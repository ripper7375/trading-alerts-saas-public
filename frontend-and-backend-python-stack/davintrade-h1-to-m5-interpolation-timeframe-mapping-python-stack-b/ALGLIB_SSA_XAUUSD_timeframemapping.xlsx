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timeframe mapping\"/>
    </mc:Choice>
  </mc:AlternateContent>
  <xr:revisionPtr revIDLastSave="0" documentId="13_ncr:1_{98921885-BAB4-451C-AD4A-77B7926FDD9B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ALGLIB_SSA_XAUUSD" sheetId="1" r:id="rId1"/>
    <sheet name="Mapped_H1_M5_Interpor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3" i="4" l="1"/>
  <c r="AG3" i="4"/>
  <c r="AH3" i="4"/>
  <c r="AF4" i="4"/>
  <c r="AG4" i="4"/>
  <c r="AH4" i="4"/>
  <c r="AF5" i="4"/>
  <c r="AG5" i="4"/>
  <c r="AH5" i="4"/>
  <c r="AF6" i="4"/>
  <c r="AG6" i="4"/>
  <c r="AH6" i="4"/>
  <c r="AF7" i="4"/>
  <c r="AG7" i="4"/>
  <c r="AH7" i="4"/>
  <c r="AF8" i="4"/>
  <c r="AG8" i="4"/>
  <c r="AH8" i="4"/>
  <c r="AF9" i="4"/>
  <c r="AG9" i="4"/>
  <c r="AH9" i="4"/>
  <c r="AF10" i="4"/>
  <c r="AG10" i="4"/>
  <c r="AH10" i="4"/>
  <c r="AF11" i="4"/>
  <c r="AG11" i="4"/>
  <c r="AH11" i="4"/>
  <c r="AF12" i="4"/>
  <c r="AG12" i="4"/>
  <c r="AH12" i="4"/>
  <c r="AF13" i="4"/>
  <c r="AG13" i="4"/>
  <c r="AH13" i="4"/>
  <c r="AF14" i="4"/>
  <c r="AG14" i="4"/>
  <c r="AH14" i="4"/>
  <c r="AF15" i="4"/>
  <c r="AG15" i="4"/>
  <c r="AH15" i="4"/>
  <c r="AF16" i="4"/>
  <c r="AG16" i="4"/>
  <c r="AH16" i="4"/>
  <c r="AF17" i="4"/>
  <c r="AG17" i="4"/>
  <c r="AH17" i="4"/>
  <c r="AF18" i="4"/>
  <c r="AG18" i="4"/>
  <c r="AH18" i="4"/>
  <c r="AF19" i="4"/>
  <c r="AG19" i="4"/>
  <c r="AH19" i="4"/>
  <c r="AF20" i="4"/>
  <c r="AG20" i="4"/>
  <c r="AH20" i="4"/>
  <c r="AF21" i="4"/>
  <c r="AG21" i="4"/>
  <c r="AH21" i="4"/>
  <c r="AF22" i="4"/>
  <c r="AG22" i="4"/>
  <c r="AH22" i="4"/>
  <c r="AF23" i="4"/>
  <c r="AG23" i="4"/>
  <c r="AH23" i="4"/>
  <c r="AF24" i="4"/>
  <c r="AG24" i="4"/>
  <c r="AH24" i="4"/>
  <c r="AF25" i="4"/>
  <c r="AG25" i="4"/>
  <c r="AH25" i="4"/>
  <c r="AF26" i="4"/>
  <c r="AG26" i="4"/>
  <c r="AH26" i="4"/>
  <c r="AF27" i="4"/>
  <c r="AG27" i="4"/>
  <c r="AH27" i="4"/>
  <c r="AF28" i="4"/>
  <c r="AG28" i="4"/>
  <c r="AH28" i="4"/>
  <c r="AF29" i="4"/>
  <c r="AG29" i="4"/>
  <c r="AH29" i="4"/>
  <c r="AF30" i="4"/>
  <c r="AG30" i="4"/>
  <c r="AH30" i="4"/>
  <c r="AF31" i="4"/>
  <c r="AG31" i="4"/>
  <c r="AH31" i="4"/>
  <c r="AF32" i="4"/>
  <c r="AG32" i="4"/>
  <c r="AH32" i="4"/>
  <c r="AF33" i="4"/>
  <c r="AG33" i="4"/>
  <c r="AH33" i="4"/>
  <c r="AF34" i="4"/>
  <c r="AG34" i="4"/>
  <c r="AH34" i="4"/>
  <c r="AF35" i="4"/>
  <c r="AG35" i="4"/>
  <c r="AH35" i="4"/>
  <c r="AF36" i="4"/>
  <c r="AG36" i="4"/>
  <c r="AH36" i="4"/>
  <c r="AF37" i="4"/>
  <c r="AG37" i="4"/>
  <c r="AH37" i="4"/>
  <c r="AF38" i="4"/>
  <c r="AG38" i="4"/>
  <c r="AH38" i="4"/>
  <c r="AF39" i="4"/>
  <c r="AG39" i="4"/>
  <c r="AH39" i="4"/>
  <c r="AF40" i="4"/>
  <c r="AG40" i="4"/>
  <c r="AH40" i="4"/>
  <c r="AF41" i="4"/>
  <c r="AG41" i="4"/>
  <c r="AH41" i="4"/>
  <c r="AF42" i="4"/>
  <c r="AG42" i="4"/>
  <c r="AH42" i="4"/>
  <c r="AF43" i="4"/>
  <c r="AG43" i="4"/>
  <c r="AH43" i="4"/>
  <c r="AF44" i="4"/>
  <c r="AG44" i="4"/>
  <c r="AH44" i="4"/>
  <c r="AF45" i="4"/>
  <c r="AG45" i="4"/>
  <c r="AH45" i="4"/>
  <c r="AF46" i="4"/>
  <c r="AG46" i="4"/>
  <c r="AH46" i="4"/>
  <c r="AF47" i="4"/>
  <c r="AG47" i="4"/>
  <c r="AH47" i="4"/>
  <c r="AF48" i="4"/>
  <c r="AG48" i="4"/>
  <c r="AH48" i="4"/>
  <c r="AF49" i="4"/>
  <c r="AG49" i="4"/>
  <c r="AH49" i="4"/>
  <c r="AF50" i="4"/>
  <c r="AG50" i="4"/>
  <c r="AH50" i="4"/>
  <c r="AF51" i="4"/>
  <c r="AG51" i="4"/>
  <c r="AH51" i="4"/>
  <c r="AF52" i="4"/>
  <c r="AG52" i="4"/>
  <c r="AH52" i="4"/>
  <c r="AF53" i="4"/>
  <c r="AG53" i="4"/>
  <c r="AH53" i="4"/>
  <c r="AF54" i="4"/>
  <c r="AG54" i="4"/>
  <c r="AH54" i="4"/>
  <c r="AF55" i="4"/>
  <c r="AG55" i="4"/>
  <c r="AH55" i="4"/>
  <c r="AF56" i="4"/>
  <c r="AG56" i="4"/>
  <c r="AH56" i="4"/>
  <c r="AF57" i="4"/>
  <c r="AG57" i="4"/>
  <c r="AH57" i="4"/>
  <c r="AF58" i="4"/>
  <c r="AG58" i="4"/>
  <c r="AH58" i="4"/>
  <c r="AF59" i="4"/>
  <c r="AG59" i="4"/>
  <c r="AH59" i="4"/>
  <c r="AF60" i="4"/>
  <c r="AG60" i="4"/>
  <c r="AH60" i="4"/>
  <c r="AF61" i="4"/>
  <c r="AG61" i="4"/>
  <c r="AH61" i="4"/>
  <c r="AF62" i="4"/>
  <c r="AG62" i="4"/>
  <c r="AH62" i="4"/>
  <c r="AF63" i="4"/>
  <c r="AG63" i="4"/>
  <c r="AH63" i="4"/>
  <c r="AF64" i="4"/>
  <c r="AG64" i="4"/>
  <c r="AH64" i="4"/>
  <c r="AF65" i="4"/>
  <c r="AG65" i="4"/>
  <c r="AH65" i="4"/>
  <c r="AF66" i="4"/>
  <c r="AG66" i="4"/>
  <c r="AH66" i="4"/>
  <c r="AF67" i="4"/>
  <c r="AG67" i="4"/>
  <c r="AH67" i="4"/>
  <c r="AF68" i="4"/>
  <c r="AG68" i="4"/>
  <c r="AH68" i="4"/>
  <c r="AF69" i="4"/>
  <c r="AG69" i="4"/>
  <c r="AH69" i="4"/>
  <c r="AF70" i="4"/>
  <c r="AG70" i="4"/>
  <c r="AH70" i="4"/>
  <c r="AF71" i="4"/>
  <c r="AG71" i="4"/>
  <c r="AH71" i="4"/>
  <c r="AF72" i="4"/>
  <c r="AG72" i="4"/>
  <c r="AH72" i="4"/>
  <c r="AF73" i="4"/>
  <c r="AG73" i="4"/>
  <c r="AH73" i="4"/>
  <c r="AF74" i="4"/>
  <c r="AG74" i="4"/>
  <c r="AH74" i="4"/>
  <c r="AF75" i="4"/>
  <c r="AG75" i="4"/>
  <c r="AH75" i="4"/>
  <c r="AF76" i="4"/>
  <c r="AG76" i="4"/>
  <c r="AH76" i="4"/>
  <c r="AF77" i="4"/>
  <c r="AG77" i="4"/>
  <c r="AH77" i="4"/>
  <c r="AF78" i="4"/>
  <c r="AG78" i="4"/>
  <c r="AH78" i="4"/>
  <c r="AF79" i="4"/>
  <c r="AG79" i="4"/>
  <c r="AH79" i="4"/>
  <c r="AF80" i="4"/>
  <c r="AG80" i="4"/>
  <c r="AH80" i="4"/>
  <c r="AF81" i="4"/>
  <c r="AG81" i="4"/>
  <c r="AH81" i="4"/>
  <c r="AF82" i="4"/>
  <c r="AG82" i="4"/>
  <c r="AH82" i="4"/>
  <c r="AF83" i="4"/>
  <c r="AG83" i="4"/>
  <c r="AH83" i="4"/>
  <c r="AF84" i="4"/>
  <c r="AG84" i="4"/>
  <c r="AH84" i="4"/>
  <c r="AF85" i="4"/>
  <c r="AG85" i="4"/>
  <c r="AH85" i="4"/>
  <c r="AF86" i="4"/>
  <c r="AG86" i="4"/>
  <c r="AH86" i="4"/>
  <c r="AF87" i="4"/>
  <c r="AG87" i="4"/>
  <c r="AH87" i="4"/>
  <c r="AF88" i="4"/>
  <c r="AG88" i="4"/>
  <c r="AH88" i="4"/>
  <c r="AF89" i="4"/>
  <c r="AG89" i="4"/>
  <c r="AH89" i="4"/>
  <c r="AF90" i="4"/>
  <c r="AG90" i="4"/>
  <c r="AH90" i="4"/>
  <c r="AF91" i="4"/>
  <c r="AG91" i="4"/>
  <c r="AH91" i="4"/>
  <c r="AF92" i="4"/>
  <c r="AG92" i="4"/>
  <c r="AH92" i="4"/>
  <c r="AF93" i="4"/>
  <c r="AG93" i="4"/>
  <c r="AH93" i="4"/>
  <c r="AF94" i="4"/>
  <c r="AG94" i="4"/>
  <c r="AH94" i="4"/>
  <c r="AF95" i="4"/>
  <c r="AG95" i="4"/>
  <c r="AH95" i="4"/>
  <c r="AF96" i="4"/>
  <c r="AG96" i="4"/>
  <c r="AH96" i="4"/>
  <c r="AF97" i="4"/>
  <c r="AG97" i="4"/>
  <c r="AH97" i="4"/>
  <c r="AF98" i="4"/>
  <c r="AG98" i="4"/>
  <c r="AH98" i="4"/>
  <c r="AF99" i="4"/>
  <c r="AG99" i="4"/>
  <c r="AH99" i="4"/>
  <c r="AF100" i="4"/>
  <c r="AG100" i="4"/>
  <c r="AH100" i="4"/>
  <c r="AF101" i="4"/>
  <c r="AG101" i="4"/>
  <c r="AH101" i="4"/>
  <c r="AF102" i="4"/>
  <c r="AG102" i="4"/>
  <c r="AH102" i="4"/>
  <c r="AF103" i="4"/>
  <c r="AG103" i="4"/>
  <c r="AH103" i="4"/>
  <c r="AF104" i="4"/>
  <c r="AG104" i="4"/>
  <c r="AH104" i="4"/>
  <c r="AF105" i="4"/>
  <c r="AG105" i="4"/>
  <c r="AH105" i="4"/>
  <c r="AF106" i="4"/>
  <c r="AG106" i="4"/>
  <c r="AH106" i="4"/>
  <c r="AF107" i="4"/>
  <c r="AG107" i="4"/>
  <c r="AH107" i="4"/>
  <c r="AF108" i="4"/>
  <c r="AG108" i="4"/>
  <c r="AH108" i="4"/>
  <c r="AF109" i="4"/>
  <c r="AG109" i="4"/>
  <c r="AH109" i="4"/>
  <c r="AF110" i="4"/>
  <c r="AG110" i="4"/>
  <c r="AH110" i="4"/>
  <c r="AF111" i="4"/>
  <c r="AG111" i="4"/>
  <c r="AH111" i="4"/>
  <c r="AF112" i="4"/>
  <c r="AG112" i="4"/>
  <c r="AH112" i="4"/>
  <c r="AF113" i="4"/>
  <c r="AG113" i="4"/>
  <c r="AH113" i="4"/>
  <c r="AF114" i="4"/>
  <c r="AG114" i="4"/>
  <c r="AH114" i="4"/>
  <c r="AF115" i="4"/>
  <c r="AG115" i="4"/>
  <c r="AH115" i="4"/>
  <c r="AF116" i="4"/>
  <c r="AG116" i="4"/>
  <c r="AH116" i="4"/>
  <c r="AF117" i="4"/>
  <c r="AG117" i="4"/>
  <c r="AH117" i="4"/>
  <c r="AF118" i="4"/>
  <c r="AG118" i="4"/>
  <c r="AH118" i="4"/>
  <c r="AF119" i="4"/>
  <c r="AG119" i="4"/>
  <c r="AH119" i="4"/>
  <c r="AF120" i="4"/>
  <c r="AG120" i="4"/>
  <c r="AH120" i="4"/>
  <c r="AF121" i="4"/>
  <c r="AG121" i="4"/>
  <c r="AH121" i="4"/>
  <c r="AF122" i="4"/>
  <c r="AG122" i="4"/>
  <c r="AH122" i="4"/>
  <c r="AF123" i="4"/>
  <c r="AG123" i="4"/>
  <c r="AH123" i="4"/>
  <c r="AF124" i="4"/>
  <c r="AG124" i="4"/>
  <c r="AH124" i="4"/>
  <c r="AF125" i="4"/>
  <c r="AG125" i="4"/>
  <c r="AH125" i="4"/>
  <c r="AF126" i="4"/>
  <c r="AG126" i="4"/>
  <c r="AH126" i="4"/>
  <c r="AF127" i="4"/>
  <c r="AG127" i="4"/>
  <c r="AH127" i="4"/>
  <c r="AF128" i="4"/>
  <c r="AG128" i="4"/>
  <c r="AH128" i="4"/>
  <c r="AF129" i="4"/>
  <c r="AG129" i="4"/>
  <c r="AH129" i="4"/>
  <c r="AF130" i="4"/>
  <c r="AG130" i="4"/>
  <c r="AH130" i="4"/>
  <c r="AF131" i="4"/>
  <c r="AG131" i="4"/>
  <c r="AH131" i="4"/>
  <c r="AF132" i="4"/>
  <c r="AG132" i="4"/>
  <c r="AH132" i="4"/>
  <c r="AF133" i="4"/>
  <c r="AG133" i="4"/>
  <c r="AH133" i="4"/>
  <c r="AF134" i="4"/>
  <c r="AG134" i="4"/>
  <c r="AH134" i="4"/>
  <c r="AF135" i="4"/>
  <c r="AG135" i="4"/>
  <c r="AH135" i="4"/>
  <c r="AF136" i="4"/>
  <c r="AG136" i="4"/>
  <c r="AH136" i="4"/>
  <c r="AF137" i="4"/>
  <c r="AG137" i="4"/>
  <c r="AH137" i="4"/>
  <c r="AF138" i="4"/>
  <c r="AG138" i="4"/>
  <c r="AH138" i="4"/>
  <c r="AF139" i="4"/>
  <c r="AG139" i="4"/>
  <c r="AH139" i="4"/>
  <c r="AF140" i="4"/>
  <c r="AG140" i="4"/>
  <c r="AH140" i="4"/>
  <c r="AF141" i="4"/>
  <c r="AG141" i="4"/>
  <c r="AH141" i="4"/>
  <c r="AF142" i="4"/>
  <c r="AG142" i="4"/>
  <c r="AH142" i="4"/>
  <c r="AF143" i="4"/>
  <c r="AG143" i="4"/>
  <c r="AH143" i="4"/>
  <c r="AF144" i="4"/>
  <c r="AG144" i="4"/>
  <c r="AH144" i="4"/>
  <c r="AF145" i="4"/>
  <c r="AG145" i="4"/>
  <c r="AH145" i="4"/>
  <c r="AF146" i="4"/>
  <c r="AG146" i="4"/>
  <c r="AH146" i="4"/>
  <c r="AF147" i="4"/>
  <c r="AG147" i="4"/>
  <c r="AH147" i="4"/>
  <c r="AF148" i="4"/>
  <c r="AG148" i="4"/>
  <c r="AH148" i="4"/>
  <c r="AF149" i="4"/>
  <c r="AG149" i="4"/>
  <c r="AH149" i="4"/>
  <c r="AF150" i="4"/>
  <c r="AG150" i="4"/>
  <c r="AH150" i="4"/>
  <c r="AF151" i="4"/>
  <c r="AG151" i="4"/>
  <c r="AH151" i="4"/>
  <c r="AF152" i="4"/>
  <c r="AG152" i="4"/>
  <c r="AH152" i="4"/>
  <c r="AF153" i="4"/>
  <c r="AG153" i="4"/>
  <c r="AH153" i="4"/>
  <c r="AF154" i="4"/>
  <c r="AG154" i="4"/>
  <c r="AH154" i="4"/>
  <c r="AF155" i="4"/>
  <c r="AG155" i="4"/>
  <c r="AH155" i="4"/>
  <c r="AF156" i="4"/>
  <c r="AG156" i="4"/>
  <c r="AH156" i="4"/>
  <c r="AF157" i="4"/>
  <c r="AG157" i="4"/>
  <c r="AH157" i="4"/>
  <c r="AF158" i="4"/>
  <c r="AG158" i="4"/>
  <c r="AH158" i="4"/>
  <c r="AF159" i="4"/>
  <c r="AG159" i="4"/>
  <c r="AH159" i="4"/>
  <c r="AF160" i="4"/>
  <c r="AG160" i="4"/>
  <c r="AH160" i="4"/>
  <c r="AF161" i="4"/>
  <c r="AG161" i="4"/>
  <c r="AH161" i="4"/>
  <c r="AF162" i="4"/>
  <c r="AG162" i="4"/>
  <c r="AH162" i="4"/>
  <c r="AF163" i="4"/>
  <c r="AG163" i="4"/>
  <c r="AH163" i="4"/>
  <c r="AF164" i="4"/>
  <c r="AG164" i="4"/>
  <c r="AH164" i="4"/>
  <c r="AF165" i="4"/>
  <c r="AG165" i="4"/>
  <c r="AH165" i="4"/>
  <c r="AF166" i="4"/>
  <c r="AG166" i="4"/>
  <c r="AH166" i="4"/>
  <c r="AF167" i="4"/>
  <c r="AG167" i="4"/>
  <c r="AH167" i="4"/>
  <c r="AF168" i="4"/>
  <c r="AG168" i="4"/>
  <c r="AH168" i="4"/>
  <c r="AF169" i="4"/>
  <c r="AG169" i="4"/>
  <c r="AH169" i="4"/>
  <c r="AF170" i="4"/>
  <c r="AG170" i="4"/>
  <c r="AH170" i="4"/>
  <c r="AF171" i="4"/>
  <c r="AG171" i="4"/>
  <c r="AH171" i="4"/>
  <c r="AF172" i="4"/>
  <c r="AG172" i="4"/>
  <c r="AH172" i="4"/>
  <c r="AF173" i="4"/>
  <c r="AG173" i="4"/>
  <c r="AH173" i="4"/>
  <c r="AF174" i="4"/>
  <c r="AG174" i="4"/>
  <c r="AH174" i="4"/>
  <c r="AF175" i="4"/>
  <c r="AG175" i="4"/>
  <c r="AH175" i="4"/>
  <c r="AF176" i="4"/>
  <c r="AG176" i="4"/>
  <c r="AH176" i="4"/>
  <c r="AF177" i="4"/>
  <c r="AG177" i="4"/>
  <c r="AH177" i="4"/>
  <c r="AF178" i="4"/>
  <c r="AG178" i="4"/>
  <c r="AH178" i="4"/>
  <c r="AF179" i="4"/>
  <c r="AG179" i="4"/>
  <c r="AH179" i="4"/>
  <c r="AF180" i="4"/>
  <c r="AG180" i="4"/>
  <c r="AH180" i="4"/>
  <c r="AF181" i="4"/>
  <c r="AG181" i="4"/>
  <c r="AH181" i="4"/>
  <c r="AF182" i="4"/>
  <c r="AG182" i="4"/>
  <c r="AH182" i="4"/>
  <c r="AF183" i="4"/>
  <c r="AG183" i="4"/>
  <c r="AH183" i="4"/>
  <c r="AF184" i="4"/>
  <c r="AG184" i="4"/>
  <c r="AH184" i="4"/>
  <c r="AF185" i="4"/>
  <c r="AG185" i="4"/>
  <c r="AH185" i="4"/>
  <c r="AF186" i="4"/>
  <c r="AG186" i="4"/>
  <c r="AH186" i="4"/>
  <c r="AF187" i="4"/>
  <c r="AG187" i="4"/>
  <c r="AH187" i="4"/>
  <c r="AF188" i="4"/>
  <c r="AG188" i="4"/>
  <c r="AH188" i="4"/>
  <c r="AF189" i="4"/>
  <c r="AG189" i="4"/>
  <c r="AH189" i="4"/>
  <c r="AF190" i="4"/>
  <c r="AG190" i="4"/>
  <c r="AH190" i="4"/>
  <c r="AF191" i="4"/>
  <c r="AG191" i="4"/>
  <c r="AH191" i="4"/>
  <c r="AF192" i="4"/>
  <c r="AG192" i="4"/>
  <c r="AH192" i="4"/>
  <c r="AF193" i="4"/>
  <c r="AG193" i="4"/>
  <c r="AH193" i="4"/>
  <c r="AF194" i="4"/>
  <c r="AG194" i="4"/>
  <c r="AH194" i="4"/>
  <c r="AF195" i="4"/>
  <c r="AG195" i="4"/>
  <c r="AH195" i="4"/>
  <c r="AF196" i="4"/>
  <c r="AG196" i="4"/>
  <c r="AH196" i="4"/>
  <c r="AF197" i="4"/>
  <c r="AG197" i="4"/>
  <c r="AH197" i="4"/>
  <c r="AF198" i="4"/>
  <c r="AG198" i="4"/>
  <c r="AH198" i="4"/>
  <c r="AF199" i="4"/>
  <c r="AG199" i="4"/>
  <c r="AH199" i="4"/>
  <c r="AF200" i="4"/>
  <c r="AG200" i="4"/>
  <c r="AH200" i="4"/>
  <c r="AF201" i="4"/>
  <c r="AG201" i="4"/>
  <c r="AH201" i="4"/>
  <c r="AF202" i="4"/>
  <c r="AG202" i="4"/>
  <c r="AH202" i="4"/>
  <c r="AF203" i="4"/>
  <c r="AG203" i="4"/>
  <c r="AH203" i="4"/>
  <c r="AF204" i="4"/>
  <c r="AG204" i="4"/>
  <c r="AH204" i="4"/>
  <c r="AF205" i="4"/>
  <c r="AG205" i="4"/>
  <c r="AH205" i="4"/>
  <c r="AF206" i="4"/>
  <c r="AG206" i="4"/>
  <c r="AH206" i="4"/>
  <c r="AF207" i="4"/>
  <c r="AG207" i="4"/>
  <c r="AH207" i="4"/>
  <c r="AF208" i="4"/>
  <c r="AG208" i="4"/>
  <c r="AH208" i="4"/>
  <c r="AF209" i="4"/>
  <c r="AG209" i="4"/>
  <c r="AH209" i="4"/>
  <c r="AF210" i="4"/>
  <c r="AG210" i="4"/>
  <c r="AH210" i="4"/>
  <c r="AF211" i="4"/>
  <c r="AG211" i="4"/>
  <c r="AH211" i="4"/>
  <c r="AF212" i="4"/>
  <c r="AG212" i="4"/>
  <c r="AH212" i="4"/>
  <c r="AF213" i="4"/>
  <c r="AG213" i="4"/>
  <c r="AH213" i="4"/>
  <c r="AF214" i="4"/>
  <c r="AG214" i="4"/>
  <c r="AH214" i="4"/>
  <c r="AF215" i="4"/>
  <c r="AG215" i="4"/>
  <c r="AH215" i="4"/>
  <c r="AF216" i="4"/>
  <c r="AG216" i="4"/>
  <c r="AH216" i="4"/>
  <c r="AF217" i="4"/>
  <c r="AG217" i="4"/>
  <c r="AH217" i="4"/>
  <c r="AF218" i="4"/>
  <c r="AG218" i="4"/>
  <c r="AH218" i="4"/>
  <c r="AF219" i="4"/>
  <c r="AG219" i="4"/>
  <c r="AH219" i="4"/>
  <c r="AF220" i="4"/>
  <c r="AG220" i="4"/>
  <c r="AH220" i="4"/>
  <c r="AF221" i="4"/>
  <c r="AG221" i="4"/>
  <c r="AH221" i="4"/>
  <c r="AF222" i="4"/>
  <c r="AG222" i="4"/>
  <c r="AH222" i="4"/>
  <c r="AF223" i="4"/>
  <c r="AG223" i="4"/>
  <c r="AH223" i="4"/>
  <c r="AF224" i="4"/>
  <c r="AG224" i="4"/>
  <c r="AH224" i="4"/>
  <c r="AF225" i="4"/>
  <c r="AG225" i="4"/>
  <c r="AH225" i="4"/>
  <c r="AF226" i="4"/>
  <c r="AG226" i="4"/>
  <c r="AH226" i="4"/>
  <c r="AF227" i="4"/>
  <c r="AG227" i="4"/>
  <c r="AH227" i="4"/>
  <c r="AF228" i="4"/>
  <c r="AG228" i="4"/>
  <c r="AH228" i="4"/>
  <c r="AF229" i="4"/>
  <c r="AG229" i="4"/>
  <c r="AH229" i="4"/>
  <c r="AF230" i="4"/>
  <c r="AG230" i="4"/>
  <c r="AH230" i="4"/>
  <c r="AF231" i="4"/>
  <c r="AG231" i="4"/>
  <c r="AH231" i="4"/>
  <c r="AF232" i="4"/>
  <c r="AG232" i="4"/>
  <c r="AH232" i="4"/>
  <c r="AF233" i="4"/>
  <c r="AG233" i="4"/>
  <c r="AH233" i="4"/>
  <c r="AF234" i="4"/>
  <c r="AG234" i="4"/>
  <c r="AH234" i="4"/>
  <c r="AF235" i="4"/>
  <c r="AG235" i="4"/>
  <c r="AH235" i="4"/>
  <c r="AF236" i="4"/>
  <c r="AG236" i="4"/>
  <c r="AH236" i="4"/>
  <c r="AF237" i="4"/>
  <c r="AG237" i="4"/>
  <c r="AH237" i="4"/>
  <c r="AF238" i="4"/>
  <c r="AG238" i="4"/>
  <c r="AH238" i="4"/>
  <c r="AF239" i="4"/>
  <c r="AG239" i="4"/>
  <c r="AH239" i="4"/>
  <c r="AF240" i="4"/>
  <c r="AG240" i="4"/>
  <c r="AH240" i="4"/>
  <c r="AF241" i="4"/>
  <c r="AG241" i="4"/>
  <c r="AH241" i="4"/>
  <c r="AF242" i="4"/>
  <c r="AG242" i="4"/>
  <c r="AH242" i="4"/>
  <c r="AF243" i="4"/>
  <c r="AG243" i="4"/>
  <c r="AH243" i="4"/>
  <c r="AF244" i="4"/>
  <c r="AG244" i="4"/>
  <c r="AH244" i="4"/>
  <c r="AF245" i="4"/>
  <c r="AG245" i="4"/>
  <c r="AH245" i="4"/>
  <c r="AF246" i="4"/>
  <c r="AG246" i="4"/>
  <c r="AH246" i="4"/>
  <c r="AF247" i="4"/>
  <c r="AG247" i="4"/>
  <c r="AH247" i="4"/>
  <c r="AF248" i="4"/>
  <c r="AG248" i="4"/>
  <c r="AH248" i="4"/>
  <c r="AF249" i="4"/>
  <c r="AG249" i="4"/>
  <c r="AH249" i="4"/>
  <c r="AF250" i="4"/>
  <c r="AG250" i="4"/>
  <c r="AH250" i="4"/>
  <c r="AF251" i="4"/>
  <c r="AG251" i="4"/>
  <c r="AH251" i="4"/>
  <c r="AF252" i="4"/>
  <c r="AG252" i="4"/>
  <c r="AH252" i="4"/>
  <c r="AF253" i="4"/>
  <c r="AG253" i="4"/>
  <c r="AH253" i="4"/>
  <c r="AF254" i="4"/>
  <c r="AG254" i="4"/>
  <c r="AH254" i="4"/>
  <c r="AF255" i="4"/>
  <c r="AG255" i="4"/>
  <c r="AH255" i="4"/>
  <c r="AF256" i="4"/>
  <c r="AG256" i="4"/>
  <c r="AH256" i="4"/>
  <c r="AF257" i="4"/>
  <c r="AG257" i="4"/>
  <c r="AH257" i="4"/>
  <c r="AF258" i="4"/>
  <c r="AG258" i="4"/>
  <c r="AH258" i="4"/>
  <c r="AF259" i="4"/>
  <c r="AG259" i="4"/>
  <c r="AH259" i="4"/>
  <c r="AF260" i="4"/>
  <c r="AG260" i="4"/>
  <c r="AH260" i="4"/>
  <c r="AF261" i="4"/>
  <c r="AG261" i="4"/>
  <c r="AH261" i="4"/>
  <c r="AF262" i="4"/>
  <c r="AG262" i="4"/>
  <c r="AH262" i="4"/>
  <c r="AF263" i="4"/>
  <c r="AG263" i="4"/>
  <c r="AH263" i="4"/>
  <c r="AF264" i="4"/>
  <c r="AG264" i="4"/>
  <c r="AH264" i="4"/>
  <c r="AF265" i="4"/>
  <c r="AG265" i="4"/>
  <c r="AH265" i="4"/>
  <c r="AF266" i="4"/>
  <c r="AG266" i="4"/>
  <c r="AH266" i="4"/>
  <c r="AF267" i="4"/>
  <c r="AG267" i="4"/>
  <c r="AH267" i="4"/>
  <c r="AF268" i="4"/>
  <c r="AG268" i="4"/>
  <c r="AH268" i="4"/>
  <c r="AF269" i="4"/>
  <c r="AG269" i="4"/>
  <c r="AH269" i="4"/>
  <c r="AF270" i="4"/>
  <c r="AG270" i="4"/>
  <c r="AH270" i="4"/>
  <c r="AF271" i="4"/>
  <c r="AG271" i="4"/>
  <c r="AH271" i="4"/>
  <c r="AF272" i="4"/>
  <c r="AG272" i="4"/>
  <c r="AH272" i="4"/>
  <c r="AF273" i="4"/>
  <c r="AG273" i="4"/>
  <c r="AH273" i="4"/>
  <c r="AF274" i="4"/>
  <c r="AG274" i="4"/>
  <c r="AH274" i="4"/>
  <c r="AF275" i="4"/>
  <c r="AG275" i="4"/>
  <c r="AH275" i="4"/>
  <c r="AF276" i="4"/>
  <c r="AG276" i="4"/>
  <c r="AH276" i="4"/>
  <c r="AF277" i="4"/>
  <c r="AG277" i="4"/>
  <c r="AH277" i="4"/>
  <c r="AF278" i="4"/>
  <c r="AG278" i="4"/>
  <c r="AH278" i="4"/>
  <c r="AF279" i="4"/>
  <c r="AG279" i="4"/>
  <c r="AH279" i="4"/>
  <c r="AF280" i="4"/>
  <c r="AG280" i="4"/>
  <c r="AH280" i="4"/>
  <c r="AF281" i="4"/>
  <c r="AG281" i="4"/>
  <c r="AH281" i="4"/>
  <c r="AF282" i="4"/>
  <c r="AG282" i="4"/>
  <c r="AH282" i="4"/>
  <c r="AF283" i="4"/>
  <c r="AG283" i="4"/>
  <c r="AH283" i="4"/>
  <c r="AF284" i="4"/>
  <c r="AG284" i="4"/>
  <c r="AH284" i="4"/>
  <c r="AF285" i="4"/>
  <c r="AG285" i="4"/>
  <c r="AH285" i="4"/>
  <c r="AF286" i="4"/>
  <c r="AG286" i="4"/>
  <c r="AH286" i="4"/>
  <c r="AF287" i="4"/>
  <c r="AG287" i="4"/>
  <c r="AH287" i="4"/>
  <c r="AF288" i="4"/>
  <c r="AG288" i="4"/>
  <c r="AH288" i="4"/>
  <c r="AF289" i="4"/>
  <c r="AG289" i="4"/>
  <c r="AH289" i="4"/>
  <c r="AF290" i="4"/>
  <c r="AG290" i="4"/>
  <c r="AH290" i="4"/>
  <c r="AF291" i="4"/>
  <c r="AG291" i="4"/>
  <c r="AH291" i="4"/>
  <c r="AF292" i="4"/>
  <c r="AG292" i="4"/>
  <c r="AH292" i="4"/>
  <c r="AF293" i="4"/>
  <c r="AG293" i="4"/>
  <c r="AH293" i="4"/>
  <c r="AF294" i="4"/>
  <c r="AG294" i="4"/>
  <c r="AH294" i="4"/>
  <c r="AF295" i="4"/>
  <c r="AG295" i="4"/>
  <c r="AH295" i="4"/>
  <c r="AF296" i="4"/>
  <c r="AG296" i="4"/>
  <c r="AH296" i="4"/>
  <c r="AF297" i="4"/>
  <c r="AG297" i="4"/>
  <c r="AH297" i="4"/>
  <c r="AF298" i="4"/>
  <c r="AG298" i="4"/>
  <c r="AH298" i="4"/>
  <c r="AF299" i="4"/>
  <c r="AG299" i="4"/>
  <c r="AH299" i="4"/>
  <c r="AF300" i="4"/>
  <c r="AG300" i="4"/>
  <c r="AH300" i="4"/>
  <c r="AF301" i="4"/>
  <c r="AG301" i="4"/>
  <c r="AH301" i="4"/>
  <c r="AF302" i="4"/>
  <c r="AG302" i="4"/>
  <c r="AH302" i="4"/>
  <c r="AF303" i="4"/>
  <c r="AG303" i="4"/>
  <c r="AH303" i="4"/>
  <c r="AF304" i="4"/>
  <c r="AG304" i="4"/>
  <c r="AH304" i="4"/>
  <c r="AF305" i="4"/>
  <c r="AG305" i="4"/>
  <c r="AH305" i="4"/>
  <c r="AF306" i="4"/>
  <c r="AG306" i="4"/>
  <c r="AH306" i="4"/>
  <c r="AF307" i="4"/>
  <c r="AG307" i="4"/>
  <c r="AH307" i="4"/>
  <c r="AF308" i="4"/>
  <c r="AG308" i="4"/>
  <c r="AH308" i="4"/>
  <c r="AF309" i="4"/>
  <c r="AG309" i="4"/>
  <c r="AH309" i="4"/>
  <c r="AF310" i="4"/>
  <c r="AG310" i="4"/>
  <c r="AH310" i="4"/>
  <c r="AF311" i="4"/>
  <c r="AG311" i="4"/>
  <c r="AH311" i="4"/>
  <c r="AF312" i="4"/>
  <c r="AG312" i="4"/>
  <c r="AH312" i="4"/>
  <c r="AF313" i="4"/>
  <c r="AG313" i="4"/>
  <c r="AH313" i="4"/>
  <c r="AF314" i="4"/>
  <c r="AG314" i="4"/>
  <c r="AH314" i="4"/>
  <c r="AF315" i="4"/>
  <c r="AG315" i="4"/>
  <c r="AH315" i="4"/>
  <c r="AF316" i="4"/>
  <c r="AG316" i="4"/>
  <c r="AH316" i="4"/>
  <c r="AF317" i="4"/>
  <c r="AG317" i="4"/>
  <c r="AH317" i="4"/>
  <c r="AF318" i="4"/>
  <c r="AG318" i="4"/>
  <c r="AH318" i="4"/>
  <c r="AF319" i="4"/>
  <c r="AG319" i="4"/>
  <c r="AH319" i="4"/>
  <c r="AF320" i="4"/>
  <c r="AG320" i="4"/>
  <c r="AH320" i="4"/>
  <c r="AF321" i="4"/>
  <c r="AG321" i="4"/>
  <c r="AH321" i="4"/>
  <c r="AF322" i="4"/>
  <c r="AG322" i="4"/>
  <c r="AH322" i="4"/>
  <c r="AF323" i="4"/>
  <c r="AG323" i="4"/>
  <c r="AH323" i="4"/>
  <c r="AF324" i="4"/>
  <c r="AG324" i="4"/>
  <c r="AH324" i="4"/>
  <c r="AF325" i="4"/>
  <c r="AG325" i="4"/>
  <c r="AH325" i="4"/>
  <c r="AF326" i="4"/>
  <c r="AG326" i="4"/>
  <c r="AH326" i="4"/>
  <c r="AF327" i="4"/>
  <c r="AG327" i="4"/>
  <c r="AH327" i="4"/>
  <c r="AF328" i="4"/>
  <c r="AG328" i="4"/>
  <c r="AH328" i="4"/>
  <c r="AF329" i="4"/>
  <c r="AG329" i="4"/>
  <c r="AH329" i="4"/>
  <c r="AF330" i="4"/>
  <c r="AG330" i="4"/>
  <c r="AH330" i="4"/>
  <c r="AF331" i="4"/>
  <c r="AG331" i="4"/>
  <c r="AH331" i="4"/>
  <c r="AF332" i="4"/>
  <c r="AG332" i="4"/>
  <c r="AH332" i="4"/>
  <c r="AF333" i="4"/>
  <c r="AG333" i="4"/>
  <c r="AH333" i="4"/>
  <c r="AF334" i="4"/>
  <c r="AG334" i="4"/>
  <c r="AH334" i="4"/>
  <c r="AF335" i="4"/>
  <c r="AG335" i="4"/>
  <c r="AH335" i="4"/>
  <c r="AF336" i="4"/>
  <c r="AG336" i="4"/>
  <c r="AH336" i="4"/>
  <c r="AF337" i="4"/>
  <c r="AG337" i="4"/>
  <c r="AH337" i="4"/>
  <c r="AF338" i="4"/>
  <c r="AG338" i="4"/>
  <c r="AH338" i="4"/>
  <c r="AF339" i="4"/>
  <c r="AG339" i="4"/>
  <c r="AH339" i="4"/>
  <c r="AF340" i="4"/>
  <c r="AG340" i="4"/>
  <c r="AH340" i="4"/>
  <c r="AF341" i="4"/>
  <c r="AG341" i="4"/>
  <c r="AH341" i="4"/>
  <c r="AF342" i="4"/>
  <c r="AG342" i="4"/>
  <c r="AH342" i="4"/>
  <c r="AF343" i="4"/>
  <c r="AG343" i="4"/>
  <c r="AH343" i="4"/>
  <c r="AF344" i="4"/>
  <c r="AG344" i="4"/>
  <c r="AH344" i="4"/>
  <c r="AF345" i="4"/>
  <c r="AG345" i="4"/>
  <c r="AH345" i="4"/>
  <c r="AF346" i="4"/>
  <c r="AG346" i="4"/>
  <c r="AH346" i="4"/>
  <c r="AF347" i="4"/>
  <c r="AG347" i="4"/>
  <c r="AH347" i="4"/>
  <c r="AF348" i="4"/>
  <c r="AG348" i="4"/>
  <c r="AH348" i="4"/>
  <c r="AF349" i="4"/>
  <c r="AG349" i="4"/>
  <c r="AH349" i="4"/>
  <c r="AF350" i="4"/>
  <c r="AG350" i="4"/>
  <c r="AH350" i="4"/>
  <c r="AF351" i="4"/>
  <c r="AG351" i="4"/>
  <c r="AH351" i="4"/>
  <c r="AF352" i="4"/>
  <c r="AG352" i="4"/>
  <c r="AH352" i="4"/>
  <c r="AF353" i="4"/>
  <c r="AG353" i="4"/>
  <c r="AH353" i="4"/>
  <c r="AF354" i="4"/>
  <c r="AG354" i="4"/>
  <c r="AH354" i="4"/>
  <c r="AF355" i="4"/>
  <c r="AG355" i="4"/>
  <c r="AH355" i="4"/>
  <c r="AF356" i="4"/>
  <c r="AG356" i="4"/>
  <c r="AH356" i="4"/>
  <c r="AF357" i="4"/>
  <c r="AG357" i="4"/>
  <c r="AH357" i="4"/>
  <c r="AF358" i="4"/>
  <c r="AG358" i="4"/>
  <c r="AH358" i="4"/>
  <c r="AF359" i="4"/>
  <c r="AG359" i="4"/>
  <c r="AH359" i="4"/>
  <c r="AF360" i="4"/>
  <c r="AG360" i="4"/>
  <c r="AH360" i="4"/>
  <c r="AF361" i="4"/>
  <c r="AG361" i="4"/>
  <c r="AH361" i="4"/>
  <c r="AF362" i="4"/>
  <c r="AG362" i="4"/>
  <c r="AH362" i="4"/>
  <c r="AF363" i="4"/>
  <c r="AG363" i="4"/>
  <c r="AH363" i="4"/>
  <c r="AF364" i="4"/>
  <c r="AG364" i="4"/>
  <c r="AH364" i="4"/>
  <c r="AF365" i="4"/>
  <c r="AG365" i="4"/>
  <c r="AH365" i="4"/>
  <c r="AF366" i="4"/>
  <c r="AG366" i="4"/>
  <c r="AH366" i="4"/>
  <c r="AF367" i="4"/>
  <c r="AG367" i="4"/>
  <c r="AH367" i="4"/>
  <c r="AF368" i="4"/>
  <c r="AG368" i="4"/>
  <c r="AH368" i="4"/>
  <c r="AF369" i="4"/>
  <c r="AG369" i="4"/>
  <c r="AH369" i="4"/>
  <c r="AF370" i="4"/>
  <c r="AG370" i="4"/>
  <c r="AH370" i="4"/>
  <c r="AF371" i="4"/>
  <c r="AG371" i="4"/>
  <c r="AH371" i="4"/>
  <c r="AF372" i="4"/>
  <c r="AG372" i="4"/>
  <c r="AH372" i="4"/>
  <c r="AF373" i="4"/>
  <c r="AG373" i="4"/>
  <c r="AH373" i="4"/>
  <c r="AF374" i="4"/>
  <c r="AG374" i="4"/>
  <c r="AH374" i="4"/>
  <c r="AF375" i="4"/>
  <c r="AG375" i="4"/>
  <c r="AH375" i="4"/>
  <c r="AF376" i="4"/>
  <c r="AG376" i="4"/>
  <c r="AH376" i="4"/>
  <c r="AF377" i="4"/>
  <c r="AG377" i="4"/>
  <c r="AH377" i="4"/>
  <c r="AF378" i="4"/>
  <c r="AG378" i="4"/>
  <c r="AH378" i="4"/>
  <c r="AF379" i="4"/>
  <c r="AG379" i="4"/>
  <c r="AH379" i="4"/>
  <c r="AF380" i="4"/>
  <c r="AG380" i="4"/>
  <c r="AH380" i="4"/>
  <c r="AF381" i="4"/>
  <c r="AG381" i="4"/>
  <c r="AH381" i="4"/>
  <c r="AF382" i="4"/>
  <c r="AG382" i="4"/>
  <c r="AH382" i="4"/>
  <c r="AF383" i="4"/>
  <c r="AG383" i="4"/>
  <c r="AH383" i="4"/>
  <c r="AF384" i="4"/>
  <c r="AG384" i="4"/>
  <c r="AH384" i="4"/>
  <c r="AF385" i="4"/>
  <c r="AG385" i="4"/>
  <c r="AH385" i="4"/>
  <c r="AF386" i="4"/>
  <c r="AG386" i="4"/>
  <c r="AH386" i="4"/>
  <c r="AF387" i="4"/>
  <c r="AG387" i="4"/>
  <c r="AH387" i="4"/>
  <c r="AF388" i="4"/>
  <c r="AG388" i="4"/>
  <c r="AH388" i="4"/>
  <c r="AF389" i="4"/>
  <c r="AG389" i="4"/>
  <c r="AH389" i="4"/>
  <c r="AF390" i="4"/>
  <c r="AG390" i="4"/>
  <c r="AH390" i="4"/>
  <c r="AF391" i="4"/>
  <c r="AG391" i="4"/>
  <c r="AH391" i="4"/>
  <c r="AF392" i="4"/>
  <c r="AG392" i="4"/>
  <c r="AH392" i="4"/>
  <c r="AF393" i="4"/>
  <c r="AG393" i="4"/>
  <c r="AH393" i="4"/>
  <c r="AF394" i="4"/>
  <c r="AG394" i="4"/>
  <c r="AH394" i="4"/>
  <c r="AF395" i="4"/>
  <c r="AG395" i="4"/>
  <c r="AH395" i="4"/>
  <c r="AF396" i="4"/>
  <c r="AG396" i="4"/>
  <c r="AH396" i="4"/>
  <c r="AF397" i="4"/>
  <c r="AG397" i="4"/>
  <c r="AH397" i="4"/>
  <c r="AF398" i="4"/>
  <c r="AG398" i="4"/>
  <c r="AH398" i="4"/>
  <c r="AF399" i="4"/>
  <c r="AG399" i="4"/>
  <c r="AH399" i="4"/>
  <c r="AF400" i="4"/>
  <c r="AG400" i="4"/>
  <c r="AH400" i="4"/>
  <c r="AF401" i="4"/>
  <c r="AG401" i="4"/>
  <c r="AH401" i="4"/>
  <c r="AF402" i="4"/>
  <c r="AG402" i="4"/>
  <c r="AH402" i="4"/>
  <c r="AF403" i="4"/>
  <c r="AG403" i="4"/>
  <c r="AH403" i="4"/>
  <c r="AF404" i="4"/>
  <c r="AG404" i="4"/>
  <c r="AH404" i="4"/>
  <c r="AF405" i="4"/>
  <c r="AG405" i="4"/>
  <c r="AH405" i="4"/>
  <c r="AF406" i="4"/>
  <c r="AG406" i="4"/>
  <c r="AH406" i="4"/>
  <c r="AF407" i="4"/>
  <c r="AG407" i="4"/>
  <c r="AH407" i="4"/>
  <c r="AF408" i="4"/>
  <c r="AG408" i="4"/>
  <c r="AH408" i="4"/>
  <c r="AF409" i="4"/>
  <c r="AG409" i="4"/>
  <c r="AH409" i="4"/>
  <c r="AF410" i="4"/>
  <c r="AG410" i="4"/>
  <c r="AH410" i="4"/>
  <c r="AF411" i="4"/>
  <c r="AG411" i="4"/>
  <c r="AH411" i="4"/>
  <c r="AF412" i="4"/>
  <c r="AG412" i="4"/>
  <c r="AH412" i="4"/>
  <c r="AF413" i="4"/>
  <c r="AG413" i="4"/>
  <c r="AH413" i="4"/>
  <c r="AF414" i="4"/>
  <c r="AG414" i="4"/>
  <c r="AH414" i="4"/>
  <c r="AF415" i="4"/>
  <c r="AG415" i="4"/>
  <c r="AH415" i="4"/>
  <c r="AF416" i="4"/>
  <c r="AG416" i="4"/>
  <c r="AH416" i="4"/>
  <c r="AF417" i="4"/>
  <c r="AG417" i="4"/>
  <c r="AH417" i="4"/>
  <c r="AF418" i="4"/>
  <c r="AG418" i="4"/>
  <c r="AH418" i="4"/>
  <c r="AF419" i="4"/>
  <c r="AG419" i="4"/>
  <c r="AH419" i="4"/>
  <c r="AF420" i="4"/>
  <c r="AG420" i="4"/>
  <c r="AH420" i="4"/>
  <c r="AF421" i="4"/>
  <c r="AG421" i="4"/>
  <c r="AH421" i="4"/>
  <c r="AF422" i="4"/>
  <c r="AG422" i="4"/>
  <c r="AH422" i="4"/>
  <c r="AF423" i="4"/>
  <c r="AG423" i="4"/>
  <c r="AH423" i="4"/>
  <c r="AF424" i="4"/>
  <c r="AG424" i="4"/>
  <c r="AH424" i="4"/>
  <c r="AF425" i="4"/>
  <c r="AG425" i="4"/>
  <c r="AH425" i="4"/>
  <c r="AF426" i="4"/>
  <c r="AG426" i="4"/>
  <c r="AH426" i="4"/>
  <c r="AF427" i="4"/>
  <c r="AG427" i="4"/>
  <c r="AH427" i="4"/>
  <c r="AF428" i="4"/>
  <c r="AG428" i="4"/>
  <c r="AH428" i="4"/>
  <c r="AF429" i="4"/>
  <c r="AG429" i="4"/>
  <c r="AH429" i="4"/>
  <c r="AF430" i="4"/>
  <c r="AG430" i="4"/>
  <c r="AH430" i="4"/>
  <c r="AF431" i="4"/>
  <c r="AG431" i="4"/>
  <c r="AH431" i="4"/>
  <c r="AF432" i="4"/>
  <c r="AG432" i="4"/>
  <c r="AH432" i="4"/>
  <c r="AF433" i="4"/>
  <c r="AG433" i="4"/>
  <c r="AH433" i="4"/>
  <c r="AF434" i="4"/>
  <c r="AG434" i="4"/>
  <c r="AH434" i="4"/>
  <c r="AF435" i="4"/>
  <c r="AG435" i="4"/>
  <c r="AH435" i="4"/>
  <c r="AF436" i="4"/>
  <c r="AG436" i="4"/>
  <c r="AH436" i="4"/>
  <c r="AF437" i="4"/>
  <c r="AG437" i="4"/>
  <c r="AH437" i="4"/>
  <c r="AF438" i="4"/>
  <c r="AG438" i="4"/>
  <c r="AH438" i="4"/>
  <c r="AF439" i="4"/>
  <c r="AG439" i="4"/>
  <c r="AH439" i="4"/>
  <c r="AF440" i="4"/>
  <c r="AG440" i="4"/>
  <c r="AH440" i="4"/>
  <c r="AF441" i="4"/>
  <c r="AG441" i="4"/>
  <c r="AH441" i="4"/>
  <c r="AF442" i="4"/>
  <c r="AG442" i="4"/>
  <c r="AH442" i="4"/>
  <c r="AF443" i="4"/>
  <c r="AG443" i="4"/>
  <c r="AH443" i="4"/>
  <c r="AF444" i="4"/>
  <c r="AG444" i="4"/>
  <c r="AH444" i="4"/>
  <c r="AF445" i="4"/>
  <c r="AG445" i="4"/>
  <c r="AH445" i="4"/>
  <c r="AF446" i="4"/>
  <c r="AG446" i="4"/>
  <c r="AH446" i="4"/>
  <c r="AF447" i="4"/>
  <c r="AG447" i="4"/>
  <c r="AH447" i="4"/>
  <c r="AF448" i="4"/>
  <c r="AG448" i="4"/>
  <c r="AH448" i="4"/>
  <c r="AF449" i="4"/>
  <c r="AG449" i="4"/>
  <c r="AH449" i="4"/>
  <c r="AF450" i="4"/>
  <c r="AG450" i="4"/>
  <c r="AH450" i="4"/>
  <c r="AF451" i="4"/>
  <c r="AG451" i="4"/>
  <c r="AH451" i="4"/>
  <c r="AF452" i="4"/>
  <c r="AG452" i="4"/>
  <c r="AH452" i="4"/>
  <c r="AF453" i="4"/>
  <c r="AG453" i="4"/>
  <c r="AH453" i="4"/>
  <c r="AF454" i="4"/>
  <c r="AG454" i="4"/>
  <c r="AH454" i="4"/>
  <c r="AF455" i="4"/>
  <c r="AG455" i="4"/>
  <c r="AH455" i="4"/>
  <c r="AF456" i="4"/>
  <c r="AG456" i="4"/>
  <c r="AH456" i="4"/>
  <c r="AF457" i="4"/>
  <c r="AG457" i="4"/>
  <c r="AH457" i="4"/>
  <c r="AF458" i="4"/>
  <c r="AG458" i="4"/>
  <c r="AH458" i="4"/>
  <c r="AF459" i="4"/>
  <c r="AG459" i="4"/>
  <c r="AH459" i="4"/>
  <c r="AF460" i="4"/>
  <c r="AG460" i="4"/>
  <c r="AH460" i="4"/>
  <c r="AF461" i="4"/>
  <c r="AG461" i="4"/>
  <c r="AH461" i="4"/>
  <c r="AF462" i="4"/>
  <c r="AG462" i="4"/>
  <c r="AH462" i="4"/>
  <c r="AF463" i="4"/>
  <c r="AG463" i="4"/>
  <c r="AH463" i="4"/>
  <c r="AF464" i="4"/>
  <c r="AG464" i="4"/>
  <c r="AH464" i="4"/>
  <c r="AF465" i="4"/>
  <c r="AG465" i="4"/>
  <c r="AH465" i="4"/>
  <c r="AF466" i="4"/>
  <c r="AG466" i="4"/>
  <c r="AH466" i="4"/>
  <c r="AF467" i="4"/>
  <c r="AG467" i="4"/>
  <c r="AH467" i="4"/>
  <c r="AF468" i="4"/>
  <c r="AG468" i="4"/>
  <c r="AH468" i="4"/>
  <c r="AF469" i="4"/>
  <c r="AG469" i="4"/>
  <c r="AH469" i="4"/>
  <c r="AF470" i="4"/>
  <c r="AG470" i="4"/>
  <c r="AH470" i="4"/>
  <c r="AF471" i="4"/>
  <c r="AG471" i="4"/>
  <c r="AH471" i="4"/>
  <c r="AF472" i="4"/>
  <c r="AG472" i="4"/>
  <c r="AH472" i="4"/>
  <c r="AF473" i="4"/>
  <c r="AG473" i="4"/>
  <c r="AH473" i="4"/>
  <c r="AF474" i="4"/>
  <c r="AG474" i="4"/>
  <c r="AH474" i="4"/>
  <c r="AF475" i="4"/>
  <c r="AG475" i="4"/>
  <c r="AH475" i="4"/>
  <c r="AF476" i="4"/>
  <c r="AG476" i="4"/>
  <c r="AH476" i="4"/>
  <c r="AF477" i="4"/>
  <c r="AG477" i="4"/>
  <c r="AH477" i="4"/>
  <c r="AF478" i="4"/>
  <c r="AG478" i="4"/>
  <c r="AH478" i="4"/>
  <c r="AF479" i="4"/>
  <c r="AG479" i="4"/>
  <c r="AH479" i="4"/>
  <c r="AF480" i="4"/>
  <c r="AG480" i="4"/>
  <c r="AH480" i="4"/>
  <c r="AF481" i="4"/>
  <c r="AG481" i="4"/>
  <c r="AH481" i="4"/>
  <c r="AF482" i="4"/>
  <c r="AG482" i="4"/>
  <c r="AH482" i="4"/>
  <c r="AF483" i="4"/>
  <c r="AG483" i="4"/>
  <c r="AH483" i="4"/>
  <c r="AF484" i="4"/>
  <c r="AG484" i="4"/>
  <c r="AH484" i="4"/>
  <c r="AF485" i="4"/>
  <c r="AG485" i="4"/>
  <c r="AH485" i="4"/>
  <c r="AF486" i="4"/>
  <c r="AG486" i="4"/>
  <c r="AH486" i="4"/>
  <c r="AF487" i="4"/>
  <c r="AG487" i="4"/>
  <c r="AH487" i="4"/>
  <c r="AF488" i="4"/>
  <c r="AG488" i="4"/>
  <c r="AH488" i="4"/>
  <c r="AF489" i="4"/>
  <c r="AG489" i="4"/>
  <c r="AH489" i="4"/>
  <c r="AF490" i="4"/>
  <c r="AG490" i="4"/>
  <c r="AH490" i="4"/>
  <c r="AF491" i="4"/>
  <c r="AG491" i="4"/>
  <c r="AH491" i="4"/>
  <c r="AF492" i="4"/>
  <c r="AG492" i="4"/>
  <c r="AH492" i="4"/>
  <c r="AF493" i="4"/>
  <c r="AG493" i="4"/>
  <c r="AH493" i="4"/>
  <c r="AF494" i="4"/>
  <c r="AG494" i="4"/>
  <c r="AH494" i="4"/>
  <c r="AF495" i="4"/>
  <c r="AG495" i="4"/>
  <c r="AH495" i="4"/>
  <c r="AF496" i="4"/>
  <c r="AG496" i="4"/>
  <c r="AH496" i="4"/>
  <c r="AF497" i="4"/>
  <c r="AG497" i="4"/>
  <c r="AH497" i="4"/>
  <c r="AF498" i="4"/>
  <c r="AG498" i="4"/>
  <c r="AH498" i="4"/>
  <c r="AF499" i="4"/>
  <c r="AG499" i="4"/>
  <c r="AH499" i="4"/>
  <c r="AF500" i="4"/>
  <c r="AG500" i="4"/>
  <c r="AH500" i="4"/>
  <c r="AF501" i="4"/>
  <c r="AG501" i="4"/>
  <c r="AH501" i="4"/>
  <c r="AF502" i="4"/>
  <c r="AG502" i="4"/>
  <c r="AH502" i="4"/>
  <c r="AF503" i="4"/>
  <c r="AG503" i="4"/>
  <c r="AH503" i="4"/>
  <c r="AF504" i="4"/>
  <c r="AG504" i="4"/>
  <c r="AH504" i="4"/>
  <c r="AF505" i="4"/>
  <c r="AG505" i="4"/>
  <c r="AH505" i="4"/>
  <c r="AF506" i="4"/>
  <c r="AG506" i="4"/>
  <c r="AH506" i="4"/>
  <c r="AF507" i="4"/>
  <c r="AG507" i="4"/>
  <c r="AH507" i="4"/>
  <c r="AF508" i="4"/>
  <c r="AG508" i="4"/>
  <c r="AH508" i="4"/>
  <c r="AF509" i="4"/>
  <c r="AG509" i="4"/>
  <c r="AH509" i="4"/>
  <c r="AF510" i="4"/>
  <c r="AG510" i="4"/>
  <c r="AH510" i="4"/>
  <c r="AF511" i="4"/>
  <c r="AG511" i="4"/>
  <c r="AH511" i="4"/>
  <c r="AF512" i="4"/>
  <c r="AG512" i="4"/>
  <c r="AH512" i="4"/>
  <c r="AF513" i="4"/>
  <c r="AG513" i="4"/>
  <c r="AH513" i="4"/>
  <c r="AF514" i="4"/>
  <c r="AG514" i="4"/>
  <c r="AH514" i="4"/>
  <c r="AF515" i="4"/>
  <c r="AG515" i="4"/>
  <c r="AH515" i="4"/>
  <c r="AF516" i="4"/>
  <c r="AG516" i="4"/>
  <c r="AH516" i="4"/>
  <c r="AF517" i="4"/>
  <c r="AG517" i="4"/>
  <c r="AH517" i="4"/>
  <c r="AF518" i="4"/>
  <c r="AG518" i="4"/>
  <c r="AH518" i="4"/>
  <c r="AF519" i="4"/>
  <c r="AG519" i="4"/>
  <c r="AH519" i="4"/>
  <c r="AF520" i="4"/>
  <c r="AG520" i="4"/>
  <c r="AH520" i="4"/>
  <c r="AF521" i="4"/>
  <c r="AG521" i="4"/>
  <c r="AH521" i="4"/>
  <c r="AF522" i="4"/>
  <c r="AG522" i="4"/>
  <c r="AH522" i="4"/>
  <c r="AF523" i="4"/>
  <c r="AG523" i="4"/>
  <c r="AH523" i="4"/>
  <c r="AF524" i="4"/>
  <c r="AG524" i="4"/>
  <c r="AH524" i="4"/>
  <c r="AF525" i="4"/>
  <c r="AG525" i="4"/>
  <c r="AH525" i="4"/>
  <c r="AF526" i="4"/>
  <c r="AG526" i="4"/>
  <c r="AH526" i="4"/>
  <c r="AF527" i="4"/>
  <c r="AG527" i="4"/>
  <c r="AH527" i="4"/>
  <c r="AF528" i="4"/>
  <c r="AG528" i="4"/>
  <c r="AH528" i="4"/>
  <c r="AF529" i="4"/>
  <c r="AG529" i="4"/>
  <c r="AH529" i="4"/>
  <c r="AF530" i="4"/>
  <c r="AG530" i="4"/>
  <c r="AH530" i="4"/>
  <c r="AF531" i="4"/>
  <c r="AG531" i="4"/>
  <c r="AH531" i="4"/>
  <c r="AF532" i="4"/>
  <c r="AG532" i="4"/>
  <c r="AH532" i="4"/>
  <c r="AF533" i="4"/>
  <c r="AG533" i="4"/>
  <c r="AH533" i="4"/>
  <c r="AF534" i="4"/>
  <c r="AG534" i="4"/>
  <c r="AH534" i="4"/>
  <c r="AF535" i="4"/>
  <c r="AG535" i="4"/>
  <c r="AH535" i="4"/>
  <c r="AF536" i="4"/>
  <c r="AG536" i="4"/>
  <c r="AH536" i="4"/>
  <c r="AF537" i="4"/>
  <c r="AG537" i="4"/>
  <c r="AH537" i="4"/>
  <c r="AF538" i="4"/>
  <c r="AG538" i="4"/>
  <c r="AH538" i="4"/>
  <c r="AF539" i="4"/>
  <c r="AG539" i="4"/>
  <c r="AH539" i="4"/>
  <c r="AF540" i="4"/>
  <c r="AG540" i="4"/>
  <c r="AH540" i="4"/>
  <c r="AF541" i="4"/>
  <c r="AG541" i="4"/>
  <c r="AH541" i="4"/>
  <c r="AF542" i="4"/>
  <c r="AG542" i="4"/>
  <c r="AH542" i="4"/>
  <c r="AF543" i="4"/>
  <c r="AG543" i="4"/>
  <c r="AH543" i="4"/>
  <c r="AF544" i="4"/>
  <c r="AG544" i="4"/>
  <c r="AH544" i="4"/>
  <c r="AF545" i="4"/>
  <c r="AG545" i="4"/>
  <c r="AH545" i="4"/>
  <c r="AF546" i="4"/>
  <c r="AG546" i="4"/>
  <c r="AH546" i="4"/>
  <c r="AF547" i="4"/>
  <c r="AG547" i="4"/>
  <c r="AH547" i="4"/>
  <c r="AF548" i="4"/>
  <c r="AG548" i="4"/>
  <c r="AH548" i="4"/>
  <c r="AF549" i="4"/>
  <c r="AG549" i="4"/>
  <c r="AH549" i="4"/>
  <c r="AF550" i="4"/>
  <c r="AG550" i="4"/>
  <c r="AH550" i="4"/>
  <c r="AF551" i="4"/>
  <c r="AG551" i="4"/>
  <c r="AH551" i="4"/>
  <c r="AF552" i="4"/>
  <c r="AG552" i="4"/>
  <c r="AH552" i="4"/>
  <c r="AF553" i="4"/>
  <c r="AG553" i="4"/>
  <c r="AH553" i="4"/>
  <c r="AF554" i="4"/>
  <c r="AG554" i="4"/>
  <c r="AH554" i="4"/>
  <c r="AF555" i="4"/>
  <c r="AG555" i="4"/>
  <c r="AH555" i="4"/>
  <c r="AF556" i="4"/>
  <c r="AG556" i="4"/>
  <c r="AH556" i="4"/>
  <c r="AF557" i="4"/>
  <c r="AG557" i="4"/>
  <c r="AH557" i="4"/>
  <c r="AF558" i="4"/>
  <c r="AG558" i="4"/>
  <c r="AH558" i="4"/>
  <c r="AF559" i="4"/>
  <c r="AG559" i="4"/>
  <c r="AH559" i="4"/>
  <c r="AF560" i="4"/>
  <c r="AG560" i="4"/>
  <c r="AH560" i="4"/>
  <c r="AF561" i="4"/>
  <c r="AG561" i="4"/>
  <c r="AH561" i="4"/>
  <c r="AF562" i="4"/>
  <c r="AG562" i="4"/>
  <c r="AH562" i="4"/>
  <c r="AF563" i="4"/>
  <c r="AG563" i="4"/>
  <c r="AH563" i="4"/>
  <c r="AF564" i="4"/>
  <c r="AG564" i="4"/>
  <c r="AH564" i="4"/>
  <c r="AF565" i="4"/>
  <c r="AG565" i="4"/>
  <c r="AH565" i="4"/>
  <c r="AF566" i="4"/>
  <c r="AG566" i="4"/>
  <c r="AH566" i="4"/>
  <c r="AF567" i="4"/>
  <c r="AG567" i="4"/>
  <c r="AH567" i="4"/>
  <c r="AF568" i="4"/>
  <c r="AG568" i="4"/>
  <c r="AH568" i="4"/>
  <c r="AF569" i="4"/>
  <c r="AG569" i="4"/>
  <c r="AH569" i="4"/>
  <c r="AF570" i="4"/>
  <c r="AG570" i="4"/>
  <c r="AH570" i="4"/>
  <c r="AF571" i="4"/>
  <c r="AG571" i="4"/>
  <c r="AH571" i="4"/>
  <c r="AF572" i="4"/>
  <c r="AG572" i="4"/>
  <c r="AH572" i="4"/>
  <c r="AF573" i="4"/>
  <c r="AG573" i="4"/>
  <c r="AH573" i="4"/>
  <c r="AF574" i="4"/>
  <c r="AG574" i="4"/>
  <c r="AH574" i="4"/>
  <c r="AF575" i="4"/>
  <c r="AG575" i="4"/>
  <c r="AH575" i="4"/>
  <c r="AF576" i="4"/>
  <c r="AG576" i="4"/>
  <c r="AH576" i="4"/>
  <c r="AF577" i="4"/>
  <c r="AG577" i="4"/>
  <c r="AH577" i="4"/>
  <c r="AF578" i="4"/>
  <c r="AG578" i="4"/>
  <c r="AH578" i="4"/>
  <c r="AF579" i="4"/>
  <c r="AG579" i="4"/>
  <c r="AH579" i="4"/>
  <c r="AF580" i="4"/>
  <c r="AG580" i="4"/>
  <c r="AH580" i="4"/>
  <c r="AF581" i="4"/>
  <c r="AG581" i="4"/>
  <c r="AH581" i="4"/>
  <c r="AF582" i="4"/>
  <c r="AG582" i="4"/>
  <c r="AH582" i="4"/>
  <c r="AF583" i="4"/>
  <c r="AG583" i="4"/>
  <c r="AH583" i="4"/>
  <c r="AF584" i="4"/>
  <c r="AG584" i="4"/>
  <c r="AH584" i="4"/>
  <c r="AF585" i="4"/>
  <c r="AG585" i="4"/>
  <c r="AH585" i="4"/>
  <c r="AF586" i="4"/>
  <c r="AG586" i="4"/>
  <c r="AH586" i="4"/>
  <c r="AF587" i="4"/>
  <c r="AG587" i="4"/>
  <c r="AH587" i="4"/>
  <c r="AF588" i="4"/>
  <c r="AG588" i="4"/>
  <c r="AH588" i="4"/>
  <c r="AF589" i="4"/>
  <c r="AG589" i="4"/>
  <c r="AH589" i="4"/>
  <c r="AF590" i="4"/>
  <c r="AG590" i="4"/>
  <c r="AH590" i="4"/>
  <c r="AF591" i="4"/>
  <c r="AG591" i="4"/>
  <c r="AH591" i="4"/>
  <c r="AF592" i="4"/>
  <c r="AG592" i="4"/>
  <c r="AH592" i="4"/>
  <c r="AF593" i="4"/>
  <c r="AG593" i="4"/>
  <c r="AH593" i="4"/>
  <c r="AF594" i="4"/>
  <c r="AG594" i="4"/>
  <c r="AH594" i="4"/>
  <c r="AF595" i="4"/>
  <c r="AG595" i="4"/>
  <c r="AH595" i="4"/>
  <c r="AF596" i="4"/>
  <c r="AG596" i="4"/>
  <c r="AH596" i="4"/>
  <c r="AF597" i="4"/>
  <c r="AG597" i="4"/>
  <c r="AH597" i="4"/>
  <c r="AF598" i="4"/>
  <c r="AG598" i="4"/>
  <c r="AH598" i="4"/>
  <c r="AF599" i="4"/>
  <c r="AG599" i="4"/>
  <c r="AH599" i="4"/>
  <c r="AF600" i="4"/>
  <c r="AG600" i="4"/>
  <c r="AH600" i="4"/>
  <c r="AF601" i="4"/>
  <c r="AG601" i="4"/>
  <c r="AH601" i="4"/>
  <c r="AF602" i="4"/>
  <c r="AG602" i="4"/>
  <c r="AH602" i="4"/>
  <c r="AF603" i="4"/>
  <c r="AG603" i="4"/>
  <c r="AH603" i="4"/>
  <c r="AF604" i="4"/>
  <c r="AG604" i="4"/>
  <c r="AH604" i="4"/>
  <c r="AF605" i="4"/>
  <c r="AG605" i="4"/>
  <c r="AH605" i="4"/>
  <c r="AF606" i="4"/>
  <c r="AG606" i="4"/>
  <c r="AH606" i="4"/>
  <c r="AF607" i="4"/>
  <c r="AG607" i="4"/>
  <c r="AH607" i="4"/>
  <c r="AF608" i="4"/>
  <c r="AG608" i="4"/>
  <c r="AH608" i="4"/>
  <c r="AF609" i="4"/>
  <c r="AG609" i="4"/>
  <c r="AH609" i="4"/>
  <c r="AF610" i="4"/>
  <c r="AG610" i="4"/>
  <c r="AH610" i="4"/>
  <c r="AF611" i="4"/>
  <c r="AG611" i="4"/>
  <c r="AH611" i="4"/>
  <c r="AF612" i="4"/>
  <c r="AG612" i="4"/>
  <c r="AH612" i="4"/>
  <c r="AF613" i="4"/>
  <c r="AG613" i="4"/>
  <c r="AH613" i="4"/>
  <c r="AF614" i="4"/>
  <c r="AG614" i="4"/>
  <c r="AH614" i="4"/>
  <c r="AF615" i="4"/>
  <c r="AG615" i="4"/>
  <c r="AH615" i="4"/>
  <c r="AF616" i="4"/>
  <c r="AG616" i="4"/>
  <c r="AH616" i="4"/>
  <c r="AF617" i="4"/>
  <c r="AG617" i="4"/>
  <c r="AH617" i="4"/>
  <c r="AF618" i="4"/>
  <c r="AG618" i="4"/>
  <c r="AH618" i="4"/>
  <c r="AF619" i="4"/>
  <c r="AG619" i="4"/>
  <c r="AH619" i="4"/>
  <c r="AF620" i="4"/>
  <c r="AG620" i="4"/>
  <c r="AH620" i="4"/>
  <c r="AF621" i="4"/>
  <c r="AG621" i="4"/>
  <c r="AH621" i="4"/>
  <c r="AF622" i="4"/>
  <c r="AG622" i="4"/>
  <c r="AH622" i="4"/>
  <c r="AF623" i="4"/>
  <c r="AG623" i="4"/>
  <c r="AH623" i="4"/>
  <c r="AF624" i="4"/>
  <c r="AG624" i="4"/>
  <c r="AH624" i="4"/>
  <c r="AF625" i="4"/>
  <c r="AG625" i="4"/>
  <c r="AH625" i="4"/>
  <c r="AF626" i="4"/>
  <c r="AG626" i="4"/>
  <c r="AH626" i="4"/>
  <c r="AF627" i="4"/>
  <c r="AG627" i="4"/>
  <c r="AH627" i="4"/>
  <c r="AF628" i="4"/>
  <c r="AG628" i="4"/>
  <c r="AH628" i="4"/>
  <c r="AF629" i="4"/>
  <c r="AG629" i="4"/>
  <c r="AH629" i="4"/>
  <c r="AF630" i="4"/>
  <c r="AG630" i="4"/>
  <c r="AH630" i="4"/>
  <c r="AF631" i="4"/>
  <c r="AG631" i="4"/>
  <c r="AH631" i="4"/>
  <c r="AF632" i="4"/>
  <c r="AG632" i="4"/>
  <c r="AH632" i="4"/>
  <c r="AF633" i="4"/>
  <c r="AG633" i="4"/>
  <c r="AH633" i="4"/>
  <c r="AF634" i="4"/>
  <c r="AG634" i="4"/>
  <c r="AH634" i="4"/>
  <c r="AF635" i="4"/>
  <c r="AG635" i="4"/>
  <c r="AH635" i="4"/>
  <c r="AF636" i="4"/>
  <c r="AG636" i="4"/>
  <c r="AH636" i="4"/>
  <c r="AF637" i="4"/>
  <c r="AG637" i="4"/>
  <c r="AH637" i="4"/>
  <c r="AF638" i="4"/>
  <c r="AG638" i="4"/>
  <c r="AH638" i="4"/>
  <c r="AF639" i="4"/>
  <c r="AG639" i="4"/>
  <c r="AH639" i="4"/>
  <c r="AF640" i="4"/>
  <c r="AG640" i="4"/>
  <c r="AH640" i="4"/>
  <c r="AF641" i="4"/>
  <c r="AG641" i="4"/>
  <c r="AH641" i="4"/>
  <c r="AF642" i="4"/>
  <c r="AG642" i="4"/>
  <c r="AH642" i="4"/>
  <c r="AF643" i="4"/>
  <c r="AG643" i="4"/>
  <c r="AH643" i="4"/>
  <c r="AF644" i="4"/>
  <c r="AG644" i="4"/>
  <c r="AH644" i="4"/>
  <c r="AF645" i="4"/>
  <c r="AG645" i="4"/>
  <c r="AH645" i="4"/>
  <c r="AF646" i="4"/>
  <c r="AG646" i="4"/>
  <c r="AH646" i="4"/>
  <c r="AF647" i="4"/>
  <c r="AG647" i="4"/>
  <c r="AH647" i="4"/>
  <c r="AF648" i="4"/>
  <c r="AG648" i="4"/>
  <c r="AH648" i="4"/>
  <c r="AF649" i="4"/>
  <c r="AG649" i="4"/>
  <c r="AH649" i="4"/>
  <c r="AF650" i="4"/>
  <c r="AG650" i="4"/>
  <c r="AH650" i="4"/>
  <c r="AF651" i="4"/>
  <c r="AG651" i="4"/>
  <c r="AH651" i="4"/>
  <c r="AF652" i="4"/>
  <c r="AG652" i="4"/>
  <c r="AH652" i="4"/>
  <c r="AF653" i="4"/>
  <c r="AG653" i="4"/>
  <c r="AH653" i="4"/>
  <c r="AF654" i="4"/>
  <c r="AG654" i="4"/>
  <c r="AH654" i="4"/>
  <c r="AF655" i="4"/>
  <c r="AG655" i="4"/>
  <c r="AH655" i="4"/>
  <c r="AF656" i="4"/>
  <c r="AG656" i="4"/>
  <c r="AH656" i="4"/>
  <c r="AF657" i="4"/>
  <c r="AG657" i="4"/>
  <c r="AH657" i="4"/>
  <c r="AF658" i="4"/>
  <c r="AG658" i="4"/>
  <c r="AH658" i="4"/>
  <c r="AF659" i="4"/>
  <c r="AG659" i="4"/>
  <c r="AH659" i="4"/>
  <c r="AF660" i="4"/>
  <c r="AG660" i="4"/>
  <c r="AH660" i="4"/>
  <c r="AF661" i="4"/>
  <c r="AG661" i="4"/>
  <c r="AH661" i="4"/>
  <c r="AF662" i="4"/>
  <c r="AG662" i="4"/>
  <c r="AH662" i="4"/>
  <c r="AF663" i="4"/>
  <c r="AG663" i="4"/>
  <c r="AH663" i="4"/>
  <c r="AF664" i="4"/>
  <c r="AG664" i="4"/>
  <c r="AH664" i="4"/>
  <c r="AF665" i="4"/>
  <c r="AG665" i="4"/>
  <c r="AH665" i="4"/>
  <c r="AF666" i="4"/>
  <c r="AG666" i="4"/>
  <c r="AH666" i="4"/>
  <c r="AF667" i="4"/>
  <c r="AG667" i="4"/>
  <c r="AH667" i="4"/>
  <c r="AF668" i="4"/>
  <c r="AG668" i="4"/>
  <c r="AH668" i="4"/>
  <c r="AF669" i="4"/>
  <c r="AG669" i="4"/>
  <c r="AH669" i="4"/>
  <c r="AF670" i="4"/>
  <c r="AG670" i="4"/>
  <c r="AH670" i="4"/>
  <c r="AF671" i="4"/>
  <c r="AG671" i="4"/>
  <c r="AH671" i="4"/>
  <c r="AF672" i="4"/>
  <c r="AG672" i="4"/>
  <c r="AH672" i="4"/>
  <c r="AF673" i="4"/>
  <c r="AG673" i="4"/>
  <c r="AH673" i="4"/>
  <c r="AF674" i="4"/>
  <c r="AG674" i="4"/>
  <c r="AH674" i="4"/>
  <c r="AF675" i="4"/>
  <c r="AG675" i="4"/>
  <c r="AH675" i="4"/>
  <c r="AF676" i="4"/>
  <c r="AG676" i="4"/>
  <c r="AH676" i="4"/>
  <c r="AF677" i="4"/>
  <c r="AG677" i="4"/>
  <c r="AH677" i="4"/>
  <c r="AF678" i="4"/>
  <c r="AG678" i="4"/>
  <c r="AH678" i="4"/>
  <c r="AF679" i="4"/>
  <c r="AG679" i="4"/>
  <c r="AH679" i="4"/>
  <c r="AF680" i="4"/>
  <c r="AG680" i="4"/>
  <c r="AH680" i="4"/>
  <c r="AF681" i="4"/>
  <c r="AG681" i="4"/>
  <c r="AH681" i="4"/>
  <c r="AF682" i="4"/>
  <c r="AG682" i="4"/>
  <c r="AH682" i="4"/>
  <c r="AF683" i="4"/>
  <c r="AG683" i="4"/>
  <c r="AH683" i="4"/>
  <c r="AF684" i="4"/>
  <c r="AG684" i="4"/>
  <c r="AH684" i="4"/>
  <c r="AF685" i="4"/>
  <c r="AG685" i="4"/>
  <c r="AH685" i="4"/>
  <c r="AF686" i="4"/>
  <c r="AG686" i="4"/>
  <c r="AH686" i="4"/>
  <c r="AF687" i="4"/>
  <c r="AG687" i="4"/>
  <c r="AH687" i="4"/>
  <c r="AF688" i="4"/>
  <c r="AG688" i="4"/>
  <c r="AH688" i="4"/>
  <c r="AF689" i="4"/>
  <c r="AG689" i="4"/>
  <c r="AH689" i="4"/>
  <c r="AF690" i="4"/>
  <c r="AG690" i="4"/>
  <c r="AH690" i="4"/>
  <c r="AF691" i="4"/>
  <c r="AG691" i="4"/>
  <c r="AH691" i="4"/>
  <c r="AF692" i="4"/>
  <c r="AG692" i="4"/>
  <c r="AH692" i="4"/>
  <c r="AF693" i="4"/>
  <c r="AG693" i="4"/>
  <c r="AH693" i="4"/>
  <c r="AF694" i="4"/>
  <c r="AG694" i="4"/>
  <c r="AH694" i="4"/>
  <c r="AF695" i="4"/>
  <c r="AG695" i="4"/>
  <c r="AH695" i="4"/>
  <c r="AF696" i="4"/>
  <c r="AG696" i="4"/>
  <c r="AH696" i="4"/>
  <c r="AF697" i="4"/>
  <c r="AG697" i="4"/>
  <c r="AH697" i="4"/>
  <c r="AF698" i="4"/>
  <c r="AG698" i="4"/>
  <c r="AH698" i="4"/>
  <c r="AF699" i="4"/>
  <c r="AG699" i="4"/>
  <c r="AH699" i="4"/>
  <c r="AF700" i="4"/>
  <c r="AG700" i="4"/>
  <c r="AH700" i="4"/>
  <c r="AF701" i="4"/>
  <c r="AG701" i="4"/>
  <c r="AH701" i="4"/>
  <c r="AF702" i="4"/>
  <c r="AG702" i="4"/>
  <c r="AH702" i="4"/>
  <c r="AF703" i="4"/>
  <c r="AG703" i="4"/>
  <c r="AH703" i="4"/>
  <c r="AF704" i="4"/>
  <c r="AG704" i="4"/>
  <c r="AH704" i="4"/>
  <c r="AF705" i="4"/>
  <c r="AG705" i="4"/>
  <c r="AH705" i="4"/>
  <c r="AF706" i="4"/>
  <c r="AG706" i="4"/>
  <c r="AH706" i="4"/>
  <c r="AF707" i="4"/>
  <c r="AG707" i="4"/>
  <c r="AH707" i="4"/>
  <c r="AF708" i="4"/>
  <c r="AG708" i="4"/>
  <c r="AH708" i="4"/>
  <c r="AF709" i="4"/>
  <c r="AG709" i="4"/>
  <c r="AH709" i="4"/>
  <c r="AF710" i="4"/>
  <c r="AG710" i="4"/>
  <c r="AH710" i="4"/>
  <c r="AF711" i="4"/>
  <c r="AG711" i="4"/>
  <c r="AH711" i="4"/>
  <c r="AF712" i="4"/>
  <c r="AG712" i="4"/>
  <c r="AH712" i="4"/>
  <c r="AF713" i="4"/>
  <c r="AG713" i="4"/>
  <c r="AH713" i="4"/>
  <c r="AF714" i="4"/>
  <c r="AG714" i="4"/>
  <c r="AH714" i="4"/>
  <c r="AF715" i="4"/>
  <c r="AG715" i="4"/>
  <c r="AH715" i="4"/>
  <c r="AF716" i="4"/>
  <c r="AG716" i="4"/>
  <c r="AH716" i="4"/>
  <c r="AF717" i="4"/>
  <c r="AG717" i="4"/>
  <c r="AH717" i="4"/>
  <c r="AF718" i="4"/>
  <c r="AG718" i="4"/>
  <c r="AH718" i="4"/>
  <c r="AF719" i="4"/>
  <c r="AG719" i="4"/>
  <c r="AH719" i="4"/>
  <c r="AF720" i="4"/>
  <c r="AG720" i="4"/>
  <c r="AH720" i="4"/>
  <c r="AF721" i="4"/>
  <c r="AG721" i="4"/>
  <c r="AH721" i="4"/>
  <c r="AF722" i="4"/>
  <c r="AG722" i="4"/>
  <c r="AH722" i="4"/>
  <c r="AF723" i="4"/>
  <c r="AG723" i="4"/>
  <c r="AH723" i="4"/>
  <c r="AF724" i="4"/>
  <c r="AG724" i="4"/>
  <c r="AH724" i="4"/>
  <c r="AF725" i="4"/>
  <c r="AG725" i="4"/>
  <c r="AH725" i="4"/>
  <c r="AF726" i="4"/>
  <c r="AG726" i="4"/>
  <c r="AH726" i="4"/>
  <c r="AF727" i="4"/>
  <c r="AG727" i="4"/>
  <c r="AH727" i="4"/>
  <c r="AF728" i="4"/>
  <c r="AG728" i="4"/>
  <c r="AH728" i="4"/>
  <c r="AF729" i="4"/>
  <c r="AG729" i="4"/>
  <c r="AH729" i="4"/>
  <c r="AF730" i="4"/>
  <c r="AG730" i="4"/>
  <c r="AH730" i="4"/>
  <c r="AF731" i="4"/>
  <c r="AG731" i="4"/>
  <c r="AH731" i="4"/>
  <c r="AF732" i="4"/>
  <c r="AG732" i="4"/>
  <c r="AH732" i="4"/>
  <c r="AF733" i="4"/>
  <c r="AG733" i="4"/>
  <c r="AH733" i="4"/>
  <c r="AF734" i="4"/>
  <c r="AG734" i="4"/>
  <c r="AH734" i="4"/>
  <c r="AF735" i="4"/>
  <c r="AG735" i="4"/>
  <c r="AH735" i="4"/>
  <c r="AF736" i="4"/>
  <c r="AG736" i="4"/>
  <c r="AH736" i="4"/>
  <c r="AF737" i="4"/>
  <c r="AG737" i="4"/>
  <c r="AH737" i="4"/>
  <c r="AF738" i="4"/>
  <c r="AG738" i="4"/>
  <c r="AH738" i="4"/>
  <c r="AF739" i="4"/>
  <c r="AG739" i="4"/>
  <c r="AH739" i="4"/>
  <c r="AF740" i="4"/>
  <c r="AG740" i="4"/>
  <c r="AH740" i="4"/>
  <c r="AF741" i="4"/>
  <c r="AG741" i="4"/>
  <c r="AH741" i="4"/>
  <c r="AF742" i="4"/>
  <c r="AG742" i="4"/>
  <c r="AH742" i="4"/>
  <c r="AF743" i="4"/>
  <c r="AG743" i="4"/>
  <c r="AH743" i="4"/>
  <c r="AF744" i="4"/>
  <c r="AG744" i="4"/>
  <c r="AH744" i="4"/>
  <c r="AF745" i="4"/>
  <c r="AG745" i="4"/>
  <c r="AH745" i="4"/>
  <c r="AF746" i="4"/>
  <c r="AG746" i="4"/>
  <c r="AH746" i="4"/>
  <c r="AF747" i="4"/>
  <c r="AG747" i="4"/>
  <c r="AH747" i="4"/>
  <c r="AF748" i="4"/>
  <c r="AG748" i="4"/>
  <c r="AH748" i="4"/>
  <c r="AF749" i="4"/>
  <c r="AG749" i="4"/>
  <c r="AH749" i="4"/>
  <c r="AF750" i="4"/>
  <c r="AG750" i="4"/>
  <c r="AH750" i="4"/>
  <c r="AF751" i="4"/>
  <c r="AG751" i="4"/>
  <c r="AH751" i="4"/>
  <c r="AF752" i="4"/>
  <c r="AG752" i="4"/>
  <c r="AH752" i="4"/>
  <c r="AF753" i="4"/>
  <c r="AG753" i="4"/>
  <c r="AH753" i="4"/>
  <c r="AF754" i="4"/>
  <c r="AG754" i="4"/>
  <c r="AH754" i="4"/>
  <c r="AF755" i="4"/>
  <c r="AG755" i="4"/>
  <c r="AH755" i="4"/>
  <c r="AF756" i="4"/>
  <c r="AG756" i="4"/>
  <c r="AH756" i="4"/>
  <c r="AF757" i="4"/>
  <c r="AG757" i="4"/>
  <c r="AH757" i="4"/>
  <c r="AF758" i="4"/>
  <c r="AG758" i="4"/>
  <c r="AH758" i="4"/>
  <c r="AF759" i="4"/>
  <c r="AG759" i="4"/>
  <c r="AH759" i="4"/>
  <c r="AF760" i="4"/>
  <c r="AG760" i="4"/>
  <c r="AH760" i="4"/>
  <c r="AF761" i="4"/>
  <c r="AG761" i="4"/>
  <c r="AH761" i="4"/>
  <c r="AF762" i="4"/>
  <c r="AG762" i="4"/>
  <c r="AH762" i="4"/>
  <c r="AF763" i="4"/>
  <c r="AG763" i="4"/>
  <c r="AH763" i="4"/>
  <c r="AF764" i="4"/>
  <c r="AG764" i="4"/>
  <c r="AH764" i="4"/>
  <c r="AF765" i="4"/>
  <c r="AG765" i="4"/>
  <c r="AH765" i="4"/>
  <c r="AF766" i="4"/>
  <c r="AG766" i="4"/>
  <c r="AH766" i="4"/>
  <c r="AF767" i="4"/>
  <c r="AG767" i="4"/>
  <c r="AH767" i="4"/>
  <c r="AF768" i="4"/>
  <c r="AG768" i="4"/>
  <c r="AH768" i="4"/>
  <c r="AF769" i="4"/>
  <c r="AG769" i="4"/>
  <c r="AH769" i="4"/>
  <c r="AF770" i="4"/>
  <c r="AG770" i="4"/>
  <c r="AH770" i="4"/>
  <c r="AF771" i="4"/>
  <c r="AG771" i="4"/>
  <c r="AH771" i="4"/>
  <c r="AF772" i="4"/>
  <c r="AG772" i="4"/>
  <c r="AH772" i="4"/>
  <c r="AF773" i="4"/>
  <c r="AG773" i="4"/>
  <c r="AH773" i="4"/>
  <c r="AF774" i="4"/>
  <c r="AG774" i="4"/>
  <c r="AH774" i="4"/>
  <c r="AF775" i="4"/>
  <c r="AG775" i="4"/>
  <c r="AH775" i="4"/>
  <c r="AF776" i="4"/>
  <c r="AG776" i="4"/>
  <c r="AH776" i="4"/>
  <c r="AF777" i="4"/>
  <c r="AG777" i="4"/>
  <c r="AH777" i="4"/>
  <c r="AF778" i="4"/>
  <c r="AG778" i="4"/>
  <c r="AH778" i="4"/>
  <c r="AF779" i="4"/>
  <c r="AG779" i="4"/>
  <c r="AH779" i="4"/>
  <c r="AF780" i="4"/>
  <c r="AG780" i="4"/>
  <c r="AH780" i="4"/>
  <c r="AF781" i="4"/>
  <c r="AG781" i="4"/>
  <c r="AH781" i="4"/>
  <c r="AF782" i="4"/>
  <c r="AG782" i="4"/>
  <c r="AH782" i="4"/>
  <c r="AF783" i="4"/>
  <c r="AG783" i="4"/>
  <c r="AH783" i="4"/>
  <c r="AF784" i="4"/>
  <c r="AG784" i="4"/>
  <c r="AH784" i="4"/>
  <c r="AF785" i="4"/>
  <c r="AG785" i="4"/>
  <c r="AH785" i="4"/>
  <c r="AF786" i="4"/>
  <c r="AG786" i="4"/>
  <c r="AH786" i="4"/>
  <c r="AF787" i="4"/>
  <c r="AG787" i="4"/>
  <c r="AH787" i="4"/>
  <c r="AF788" i="4"/>
  <c r="AG788" i="4"/>
  <c r="AH788" i="4"/>
  <c r="AF789" i="4"/>
  <c r="AG789" i="4"/>
  <c r="AH789" i="4"/>
  <c r="AF790" i="4"/>
  <c r="AG790" i="4"/>
  <c r="AH790" i="4"/>
  <c r="AF791" i="4"/>
  <c r="AG791" i="4"/>
  <c r="AH791" i="4"/>
  <c r="AF792" i="4"/>
  <c r="AG792" i="4"/>
  <c r="AH792" i="4"/>
  <c r="AF793" i="4"/>
  <c r="AG793" i="4"/>
  <c r="AH793" i="4"/>
  <c r="AF794" i="4"/>
  <c r="AG794" i="4"/>
  <c r="AH794" i="4"/>
  <c r="AF795" i="4"/>
  <c r="AG795" i="4"/>
  <c r="AH795" i="4"/>
  <c r="AF796" i="4"/>
  <c r="AG796" i="4"/>
  <c r="AH796" i="4"/>
  <c r="AF797" i="4"/>
  <c r="AG797" i="4"/>
  <c r="AH797" i="4"/>
  <c r="AF798" i="4"/>
  <c r="AG798" i="4"/>
  <c r="AH798" i="4"/>
  <c r="AF799" i="4"/>
  <c r="AG799" i="4"/>
  <c r="AH799" i="4"/>
  <c r="AF800" i="4"/>
  <c r="AG800" i="4"/>
  <c r="AH800" i="4"/>
  <c r="AF801" i="4"/>
  <c r="AG801" i="4"/>
  <c r="AH801" i="4"/>
  <c r="AF802" i="4"/>
  <c r="AG802" i="4"/>
  <c r="AH802" i="4"/>
  <c r="AF803" i="4"/>
  <c r="AG803" i="4"/>
  <c r="AH803" i="4"/>
  <c r="AF804" i="4"/>
  <c r="AG804" i="4"/>
  <c r="AH804" i="4"/>
  <c r="AF805" i="4"/>
  <c r="AG805" i="4"/>
  <c r="AH805" i="4"/>
  <c r="AF806" i="4"/>
  <c r="AG806" i="4"/>
  <c r="AH806" i="4"/>
  <c r="AF807" i="4"/>
  <c r="AG807" i="4"/>
  <c r="AH807" i="4"/>
  <c r="AF808" i="4"/>
  <c r="AG808" i="4"/>
  <c r="AH808" i="4"/>
  <c r="AF809" i="4"/>
  <c r="AG809" i="4"/>
  <c r="AH809" i="4"/>
  <c r="AF810" i="4"/>
  <c r="AG810" i="4"/>
  <c r="AH810" i="4"/>
  <c r="AF811" i="4"/>
  <c r="AG811" i="4"/>
  <c r="AH811" i="4"/>
  <c r="AF812" i="4"/>
  <c r="AG812" i="4"/>
  <c r="AH812" i="4"/>
  <c r="AF813" i="4"/>
  <c r="AG813" i="4"/>
  <c r="AH813" i="4"/>
  <c r="AF814" i="4"/>
  <c r="AG814" i="4"/>
  <c r="AH814" i="4"/>
  <c r="AF815" i="4"/>
  <c r="AG815" i="4"/>
  <c r="AH815" i="4"/>
  <c r="AF816" i="4"/>
  <c r="AG816" i="4"/>
  <c r="AH816" i="4"/>
  <c r="AF817" i="4"/>
  <c r="AG817" i="4"/>
  <c r="AH817" i="4"/>
  <c r="AF818" i="4"/>
  <c r="AG818" i="4"/>
  <c r="AH818" i="4"/>
  <c r="AF819" i="4"/>
  <c r="AG819" i="4"/>
  <c r="AH819" i="4"/>
  <c r="AF820" i="4"/>
  <c r="AG820" i="4"/>
  <c r="AH820" i="4"/>
  <c r="AF821" i="4"/>
  <c r="AG821" i="4"/>
  <c r="AH821" i="4"/>
  <c r="AF822" i="4"/>
  <c r="AG822" i="4"/>
  <c r="AH822" i="4"/>
  <c r="AF823" i="4"/>
  <c r="AG823" i="4"/>
  <c r="AH823" i="4"/>
  <c r="AF824" i="4"/>
  <c r="AG824" i="4"/>
  <c r="AH824" i="4"/>
  <c r="AF825" i="4"/>
  <c r="AG825" i="4"/>
  <c r="AH825" i="4"/>
  <c r="AF826" i="4"/>
  <c r="AG826" i="4"/>
  <c r="AH826" i="4"/>
  <c r="AF827" i="4"/>
  <c r="AG827" i="4"/>
  <c r="AH827" i="4"/>
  <c r="AF828" i="4"/>
  <c r="AG828" i="4"/>
  <c r="AH828" i="4"/>
  <c r="AF829" i="4"/>
  <c r="AG829" i="4"/>
  <c r="AH829" i="4"/>
  <c r="AF830" i="4"/>
  <c r="AG830" i="4"/>
  <c r="AH830" i="4"/>
  <c r="AF831" i="4"/>
  <c r="AG831" i="4"/>
  <c r="AH831" i="4"/>
  <c r="AF832" i="4"/>
  <c r="AG832" i="4"/>
  <c r="AH832" i="4"/>
  <c r="AF833" i="4"/>
  <c r="AG833" i="4"/>
  <c r="AH833" i="4"/>
  <c r="AF834" i="4"/>
  <c r="AG834" i="4"/>
  <c r="AH834" i="4"/>
  <c r="AF835" i="4"/>
  <c r="AG835" i="4"/>
  <c r="AH835" i="4"/>
  <c r="AF836" i="4"/>
  <c r="AG836" i="4"/>
  <c r="AH836" i="4"/>
  <c r="AF837" i="4"/>
  <c r="AG837" i="4"/>
  <c r="AH837" i="4"/>
  <c r="AF838" i="4"/>
  <c r="AG838" i="4"/>
  <c r="AH838" i="4"/>
  <c r="AF839" i="4"/>
  <c r="AG839" i="4"/>
  <c r="AH839" i="4"/>
  <c r="AF840" i="4"/>
  <c r="AG840" i="4"/>
  <c r="AH840" i="4"/>
  <c r="AF841" i="4"/>
  <c r="AG841" i="4"/>
  <c r="AH841" i="4"/>
  <c r="AF842" i="4"/>
  <c r="AG842" i="4"/>
  <c r="AH842" i="4"/>
  <c r="AF843" i="4"/>
  <c r="AG843" i="4"/>
  <c r="AH843" i="4"/>
  <c r="AF844" i="4"/>
  <c r="AG844" i="4"/>
  <c r="AH844" i="4"/>
  <c r="AF845" i="4"/>
  <c r="AG845" i="4"/>
  <c r="AH845" i="4"/>
  <c r="AF846" i="4"/>
  <c r="AG846" i="4"/>
  <c r="AH846" i="4"/>
  <c r="AF847" i="4"/>
  <c r="AG847" i="4"/>
  <c r="AH847" i="4"/>
  <c r="AF848" i="4"/>
  <c r="AG848" i="4"/>
  <c r="AH848" i="4"/>
  <c r="AF849" i="4"/>
  <c r="AG849" i="4"/>
  <c r="AH849" i="4"/>
  <c r="AF850" i="4"/>
  <c r="AG850" i="4"/>
  <c r="AH850" i="4"/>
  <c r="AF851" i="4"/>
  <c r="AG851" i="4"/>
  <c r="AH851" i="4"/>
  <c r="AF852" i="4"/>
  <c r="AG852" i="4"/>
  <c r="AH852" i="4"/>
  <c r="AF853" i="4"/>
  <c r="AG853" i="4"/>
  <c r="AH853" i="4"/>
  <c r="AF854" i="4"/>
  <c r="AG854" i="4"/>
  <c r="AH854" i="4"/>
  <c r="AF855" i="4"/>
  <c r="AG855" i="4"/>
  <c r="AH855" i="4"/>
  <c r="AF856" i="4"/>
  <c r="AG856" i="4"/>
  <c r="AH856" i="4"/>
  <c r="AF857" i="4"/>
  <c r="AG857" i="4"/>
  <c r="AH857" i="4"/>
  <c r="AF858" i="4"/>
  <c r="AG858" i="4"/>
  <c r="AH858" i="4"/>
  <c r="AF859" i="4"/>
  <c r="AG859" i="4"/>
  <c r="AH859" i="4"/>
  <c r="AF860" i="4"/>
  <c r="AG860" i="4"/>
  <c r="AH860" i="4"/>
  <c r="AF861" i="4"/>
  <c r="AG861" i="4"/>
  <c r="AH861" i="4"/>
  <c r="AF862" i="4"/>
  <c r="AG862" i="4"/>
  <c r="AH862" i="4"/>
  <c r="AF863" i="4"/>
  <c r="AG863" i="4"/>
  <c r="AH863" i="4"/>
  <c r="AF864" i="4"/>
  <c r="AG864" i="4"/>
  <c r="AH864" i="4"/>
  <c r="AF865" i="4"/>
  <c r="AG865" i="4"/>
  <c r="AH865" i="4"/>
  <c r="AF866" i="4"/>
  <c r="AG866" i="4"/>
  <c r="AH866" i="4"/>
  <c r="AF867" i="4"/>
  <c r="AG867" i="4"/>
  <c r="AH867" i="4"/>
  <c r="AF868" i="4"/>
  <c r="AG868" i="4"/>
  <c r="AH868" i="4"/>
  <c r="AF869" i="4"/>
  <c r="AG869" i="4"/>
  <c r="AH869" i="4"/>
  <c r="AF870" i="4"/>
  <c r="AG870" i="4"/>
  <c r="AH870" i="4"/>
  <c r="AF871" i="4"/>
  <c r="AG871" i="4"/>
  <c r="AH871" i="4"/>
  <c r="AF872" i="4"/>
  <c r="AG872" i="4"/>
  <c r="AH872" i="4"/>
  <c r="AF873" i="4"/>
  <c r="AG873" i="4"/>
  <c r="AH873" i="4"/>
  <c r="AF874" i="4"/>
  <c r="AG874" i="4"/>
  <c r="AH874" i="4"/>
  <c r="AF875" i="4"/>
  <c r="AG875" i="4"/>
  <c r="AH875" i="4"/>
  <c r="AF876" i="4"/>
  <c r="AG876" i="4"/>
  <c r="AH876" i="4"/>
  <c r="AF877" i="4"/>
  <c r="AG877" i="4"/>
  <c r="AH877" i="4"/>
  <c r="AF878" i="4"/>
  <c r="AG878" i="4"/>
  <c r="AH878" i="4"/>
  <c r="AF879" i="4"/>
  <c r="AG879" i="4"/>
  <c r="AH879" i="4"/>
  <c r="AF880" i="4"/>
  <c r="AG880" i="4"/>
  <c r="AH880" i="4"/>
  <c r="AF881" i="4"/>
  <c r="AG881" i="4"/>
  <c r="AH881" i="4"/>
  <c r="AF882" i="4"/>
  <c r="AG882" i="4"/>
  <c r="AH882" i="4"/>
  <c r="AF883" i="4"/>
  <c r="AG883" i="4"/>
  <c r="AH883" i="4"/>
  <c r="AF884" i="4"/>
  <c r="AG884" i="4"/>
  <c r="AH884" i="4"/>
  <c r="AF885" i="4"/>
  <c r="AG885" i="4"/>
  <c r="AH885" i="4"/>
  <c r="AF886" i="4"/>
  <c r="AG886" i="4"/>
  <c r="AH886" i="4"/>
  <c r="AF887" i="4"/>
  <c r="AG887" i="4"/>
  <c r="AH887" i="4"/>
  <c r="AF888" i="4"/>
  <c r="AG888" i="4"/>
  <c r="AH888" i="4"/>
  <c r="AF889" i="4"/>
  <c r="AG889" i="4"/>
  <c r="AH889" i="4"/>
  <c r="AF890" i="4"/>
  <c r="AG890" i="4"/>
  <c r="AH890" i="4"/>
  <c r="AF891" i="4"/>
  <c r="AG891" i="4"/>
  <c r="AH891" i="4"/>
  <c r="AF892" i="4"/>
  <c r="AG892" i="4"/>
  <c r="AH892" i="4"/>
  <c r="AF893" i="4"/>
  <c r="AG893" i="4"/>
  <c r="AH893" i="4"/>
  <c r="AF894" i="4"/>
  <c r="AG894" i="4"/>
  <c r="AH894" i="4"/>
  <c r="AF895" i="4"/>
  <c r="AG895" i="4"/>
  <c r="AH895" i="4"/>
  <c r="AF896" i="4"/>
  <c r="AG896" i="4"/>
  <c r="AH896" i="4"/>
  <c r="AF897" i="4"/>
  <c r="AG897" i="4"/>
  <c r="AH897" i="4"/>
  <c r="AF898" i="4"/>
  <c r="AG898" i="4"/>
  <c r="AH898" i="4"/>
  <c r="AF899" i="4"/>
  <c r="AG899" i="4"/>
  <c r="AH899" i="4"/>
  <c r="AF900" i="4"/>
  <c r="AG900" i="4"/>
  <c r="AH900" i="4"/>
  <c r="AF901" i="4"/>
  <c r="AG901" i="4"/>
  <c r="AH901" i="4"/>
  <c r="AF902" i="4"/>
  <c r="AG902" i="4"/>
  <c r="AH902" i="4"/>
  <c r="AF903" i="4"/>
  <c r="AG903" i="4"/>
  <c r="AH903" i="4"/>
  <c r="AF904" i="4"/>
  <c r="AG904" i="4"/>
  <c r="AH904" i="4"/>
  <c r="AF905" i="4"/>
  <c r="AG905" i="4"/>
  <c r="AH905" i="4"/>
  <c r="AF906" i="4"/>
  <c r="AG906" i="4"/>
  <c r="AH906" i="4"/>
  <c r="AF907" i="4"/>
  <c r="AG907" i="4"/>
  <c r="AH907" i="4"/>
  <c r="AF908" i="4"/>
  <c r="AG908" i="4"/>
  <c r="AH908" i="4"/>
  <c r="AF909" i="4"/>
  <c r="AG909" i="4"/>
  <c r="AH909" i="4"/>
  <c r="AF910" i="4"/>
  <c r="AG910" i="4"/>
  <c r="AH910" i="4"/>
  <c r="AF911" i="4"/>
  <c r="AG911" i="4"/>
  <c r="AH911" i="4"/>
  <c r="AF912" i="4"/>
  <c r="AG912" i="4"/>
  <c r="AH912" i="4"/>
  <c r="AF913" i="4"/>
  <c r="AG913" i="4"/>
  <c r="AH913" i="4"/>
  <c r="AF914" i="4"/>
  <c r="AG914" i="4"/>
  <c r="AH914" i="4"/>
  <c r="AF915" i="4"/>
  <c r="AG915" i="4"/>
  <c r="AH915" i="4"/>
  <c r="AF916" i="4"/>
  <c r="AG916" i="4"/>
  <c r="AH916" i="4"/>
  <c r="AF917" i="4"/>
  <c r="AG917" i="4"/>
  <c r="AH917" i="4"/>
  <c r="AF918" i="4"/>
  <c r="AG918" i="4"/>
  <c r="AH918" i="4"/>
  <c r="AF919" i="4"/>
  <c r="AG919" i="4"/>
  <c r="AH919" i="4"/>
  <c r="AF920" i="4"/>
  <c r="AG920" i="4"/>
  <c r="AH920" i="4"/>
  <c r="AF921" i="4"/>
  <c r="AG921" i="4"/>
  <c r="AH921" i="4"/>
  <c r="AF922" i="4"/>
  <c r="AG922" i="4"/>
  <c r="AH922" i="4"/>
  <c r="AF923" i="4"/>
  <c r="AG923" i="4"/>
  <c r="AH923" i="4"/>
  <c r="AF924" i="4"/>
  <c r="AG924" i="4"/>
  <c r="AH924" i="4"/>
  <c r="AF925" i="4"/>
  <c r="AG925" i="4"/>
  <c r="AH925" i="4"/>
  <c r="AF926" i="4"/>
  <c r="AG926" i="4"/>
  <c r="AH926" i="4"/>
  <c r="AF927" i="4"/>
  <c r="AG927" i="4"/>
  <c r="AH927" i="4"/>
  <c r="AF928" i="4"/>
  <c r="AG928" i="4"/>
  <c r="AH928" i="4"/>
  <c r="AF929" i="4"/>
  <c r="AG929" i="4"/>
  <c r="AH929" i="4"/>
  <c r="AF930" i="4"/>
  <c r="AG930" i="4"/>
  <c r="AH930" i="4"/>
  <c r="AF931" i="4"/>
  <c r="AG931" i="4"/>
  <c r="AH931" i="4"/>
  <c r="AF932" i="4"/>
  <c r="AG932" i="4"/>
  <c r="AH932" i="4"/>
  <c r="AF933" i="4"/>
  <c r="AG933" i="4"/>
  <c r="AH933" i="4"/>
  <c r="AF934" i="4"/>
  <c r="AG934" i="4"/>
  <c r="AH934" i="4"/>
  <c r="AF935" i="4"/>
  <c r="AG935" i="4"/>
  <c r="AH935" i="4"/>
  <c r="AF936" i="4"/>
  <c r="AG936" i="4"/>
  <c r="AH936" i="4"/>
  <c r="AF937" i="4"/>
  <c r="AG937" i="4"/>
  <c r="AH937" i="4"/>
  <c r="AF938" i="4"/>
  <c r="AG938" i="4"/>
  <c r="AH938" i="4"/>
  <c r="AF939" i="4"/>
  <c r="AG939" i="4"/>
  <c r="AH939" i="4"/>
  <c r="AF940" i="4"/>
  <c r="AG940" i="4"/>
  <c r="AH940" i="4"/>
  <c r="AF941" i="4"/>
  <c r="AG941" i="4"/>
  <c r="AH941" i="4"/>
  <c r="AF942" i="4"/>
  <c r="AG942" i="4"/>
  <c r="AH942" i="4"/>
  <c r="AF943" i="4"/>
  <c r="AG943" i="4"/>
  <c r="AH943" i="4"/>
  <c r="AF944" i="4"/>
  <c r="AG944" i="4"/>
  <c r="AH944" i="4"/>
  <c r="AF945" i="4"/>
  <c r="AG945" i="4"/>
  <c r="AH945" i="4"/>
  <c r="AF946" i="4"/>
  <c r="AG946" i="4"/>
  <c r="AH946" i="4"/>
  <c r="AF947" i="4"/>
  <c r="AG947" i="4"/>
  <c r="AH947" i="4"/>
  <c r="AF948" i="4"/>
  <c r="AG948" i="4"/>
  <c r="AH948" i="4"/>
  <c r="AF949" i="4"/>
  <c r="AG949" i="4"/>
  <c r="AH949" i="4"/>
  <c r="AF950" i="4"/>
  <c r="AG950" i="4"/>
  <c r="AH950" i="4"/>
  <c r="AF951" i="4"/>
  <c r="AG951" i="4"/>
  <c r="AH951" i="4"/>
  <c r="AF952" i="4"/>
  <c r="AG952" i="4"/>
  <c r="AH952" i="4"/>
  <c r="AF953" i="4"/>
  <c r="AG953" i="4"/>
  <c r="AH953" i="4"/>
  <c r="AF954" i="4"/>
  <c r="AG954" i="4"/>
  <c r="AH954" i="4"/>
  <c r="AF955" i="4"/>
  <c r="AG955" i="4"/>
  <c r="AH955" i="4"/>
  <c r="AF956" i="4"/>
  <c r="AG956" i="4"/>
  <c r="AH956" i="4"/>
  <c r="AF957" i="4"/>
  <c r="AG957" i="4"/>
  <c r="AH957" i="4"/>
  <c r="AF958" i="4"/>
  <c r="AG958" i="4"/>
  <c r="AH958" i="4"/>
  <c r="AF959" i="4"/>
  <c r="AG959" i="4"/>
  <c r="AH959" i="4"/>
  <c r="AF960" i="4"/>
  <c r="AG960" i="4"/>
  <c r="AH960" i="4"/>
  <c r="AF961" i="4"/>
  <c r="AG961" i="4"/>
  <c r="AH961" i="4"/>
  <c r="AF962" i="4"/>
  <c r="AG962" i="4"/>
  <c r="AH962" i="4"/>
  <c r="AF963" i="4"/>
  <c r="AG963" i="4"/>
  <c r="AH963" i="4"/>
  <c r="AF964" i="4"/>
  <c r="AG964" i="4"/>
  <c r="AH964" i="4"/>
  <c r="AF965" i="4"/>
  <c r="AG965" i="4"/>
  <c r="AH965" i="4"/>
  <c r="AF966" i="4"/>
  <c r="AG966" i="4"/>
  <c r="AH966" i="4"/>
  <c r="AF967" i="4"/>
  <c r="AG967" i="4"/>
  <c r="AH967" i="4"/>
  <c r="AF968" i="4"/>
  <c r="AG968" i="4"/>
  <c r="AH968" i="4"/>
  <c r="AF969" i="4"/>
  <c r="AG969" i="4"/>
  <c r="AH969" i="4"/>
  <c r="AF970" i="4"/>
  <c r="AG970" i="4"/>
  <c r="AH970" i="4"/>
  <c r="AF971" i="4"/>
  <c r="AG971" i="4"/>
  <c r="AH971" i="4"/>
  <c r="AF972" i="4"/>
  <c r="AG972" i="4"/>
  <c r="AH972" i="4"/>
  <c r="AF973" i="4"/>
  <c r="AG973" i="4"/>
  <c r="AH973" i="4"/>
  <c r="AF974" i="4"/>
  <c r="AG974" i="4"/>
  <c r="AH974" i="4"/>
  <c r="AF975" i="4"/>
  <c r="AG975" i="4"/>
  <c r="AH975" i="4"/>
  <c r="AF976" i="4"/>
  <c r="AG976" i="4"/>
  <c r="AH976" i="4"/>
  <c r="AF977" i="4"/>
  <c r="AG977" i="4"/>
  <c r="AH977" i="4"/>
  <c r="AF978" i="4"/>
  <c r="AG978" i="4"/>
  <c r="AH978" i="4"/>
  <c r="AF979" i="4"/>
  <c r="AG979" i="4"/>
  <c r="AH979" i="4"/>
  <c r="AF980" i="4"/>
  <c r="AG980" i="4"/>
  <c r="AH980" i="4"/>
  <c r="AF981" i="4"/>
  <c r="AG981" i="4"/>
  <c r="AH981" i="4"/>
  <c r="AF982" i="4"/>
  <c r="AG982" i="4"/>
  <c r="AH982" i="4"/>
  <c r="AF983" i="4"/>
  <c r="AG983" i="4"/>
  <c r="AH983" i="4"/>
  <c r="AF984" i="4"/>
  <c r="AG984" i="4"/>
  <c r="AH984" i="4"/>
  <c r="AF985" i="4"/>
  <c r="AG985" i="4"/>
  <c r="AH985" i="4"/>
  <c r="AF986" i="4"/>
  <c r="AG986" i="4"/>
  <c r="AH986" i="4"/>
  <c r="AH1" i="4"/>
  <c r="AG1" i="4"/>
  <c r="AH2" i="4"/>
  <c r="AG2" i="4"/>
  <c r="AF1" i="4"/>
  <c r="AF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AB2" i="4"/>
  <c r="Z2" i="4"/>
  <c r="R230" i="4"/>
  <c r="R231" i="4"/>
  <c r="R599" i="4"/>
  <c r="R621" i="4"/>
  <c r="R770" i="4"/>
  <c r="R779" i="4"/>
  <c r="R876" i="4"/>
  <c r="R881" i="4"/>
  <c r="A7" i="4"/>
  <c r="R7" i="4" s="1"/>
  <c r="A8" i="4"/>
  <c r="R8" i="4" s="1"/>
  <c r="A9" i="4"/>
  <c r="R9" i="4" s="1"/>
  <c r="A10" i="4"/>
  <c r="R10" i="4" s="1"/>
  <c r="A11" i="4"/>
  <c r="R11" i="4" s="1"/>
  <c r="A12" i="4"/>
  <c r="R12" i="4" s="1"/>
  <c r="A13" i="4"/>
  <c r="R13" i="4" s="1"/>
  <c r="A14" i="4"/>
  <c r="R14" i="4" s="1"/>
  <c r="A15" i="4"/>
  <c r="R15" i="4" s="1"/>
  <c r="A16" i="4"/>
  <c r="R16" i="4" s="1"/>
  <c r="A17" i="4"/>
  <c r="A18" i="4"/>
  <c r="A19" i="4"/>
  <c r="R19" i="4" s="1"/>
  <c r="A20" i="4"/>
  <c r="R20" i="4" s="1"/>
  <c r="A21" i="4"/>
  <c r="R21" i="4" s="1"/>
  <c r="A22" i="4"/>
  <c r="R22" i="4" s="1"/>
  <c r="A23" i="4"/>
  <c r="R23" i="4" s="1"/>
  <c r="A24" i="4"/>
  <c r="R24" i="4" s="1"/>
  <c r="A25" i="4"/>
  <c r="R25" i="4" s="1"/>
  <c r="A26" i="4"/>
  <c r="R26" i="4" s="1"/>
  <c r="A27" i="4"/>
  <c r="R27" i="4" s="1"/>
  <c r="A28" i="4"/>
  <c r="R28" i="4" s="1"/>
  <c r="A29" i="4"/>
  <c r="A30" i="4"/>
  <c r="A31" i="4"/>
  <c r="R31" i="4" s="1"/>
  <c r="A32" i="4"/>
  <c r="R32" i="4" s="1"/>
  <c r="A33" i="4"/>
  <c r="R33" i="4" s="1"/>
  <c r="A34" i="4"/>
  <c r="R34" i="4" s="1"/>
  <c r="A35" i="4"/>
  <c r="R35" i="4" s="1"/>
  <c r="A36" i="4"/>
  <c r="R36" i="4" s="1"/>
  <c r="A37" i="4"/>
  <c r="R37" i="4" s="1"/>
  <c r="A38" i="4"/>
  <c r="R38" i="4" s="1"/>
  <c r="A39" i="4"/>
  <c r="R39" i="4" s="1"/>
  <c r="A40" i="4"/>
  <c r="R40" i="4" s="1"/>
  <c r="A41" i="4"/>
  <c r="A42" i="4"/>
  <c r="A43" i="4"/>
  <c r="R43" i="4" s="1"/>
  <c r="A44" i="4"/>
  <c r="R44" i="4" s="1"/>
  <c r="A45" i="4"/>
  <c r="R45" i="4" s="1"/>
  <c r="A46" i="4"/>
  <c r="R46" i="4" s="1"/>
  <c r="A47" i="4"/>
  <c r="R47" i="4" s="1"/>
  <c r="A48" i="4"/>
  <c r="R48" i="4" s="1"/>
  <c r="A49" i="4"/>
  <c r="R49" i="4" s="1"/>
  <c r="A50" i="4"/>
  <c r="R50" i="4" s="1"/>
  <c r="A51" i="4"/>
  <c r="R51" i="4" s="1"/>
  <c r="A52" i="4"/>
  <c r="R52" i="4" s="1"/>
  <c r="A53" i="4"/>
  <c r="A54" i="4"/>
  <c r="A55" i="4"/>
  <c r="R55" i="4" s="1"/>
  <c r="A56" i="4"/>
  <c r="R56" i="4" s="1"/>
  <c r="A57" i="4"/>
  <c r="R57" i="4" s="1"/>
  <c r="A58" i="4"/>
  <c r="R58" i="4" s="1"/>
  <c r="A59" i="4"/>
  <c r="R59" i="4" s="1"/>
  <c r="A60" i="4"/>
  <c r="R60" i="4" s="1"/>
  <c r="A61" i="4"/>
  <c r="R61" i="4" s="1"/>
  <c r="A62" i="4"/>
  <c r="R62" i="4" s="1"/>
  <c r="A63" i="4"/>
  <c r="R63" i="4" s="1"/>
  <c r="A64" i="4"/>
  <c r="R64" i="4" s="1"/>
  <c r="A65" i="4"/>
  <c r="A66" i="4"/>
  <c r="A67" i="4"/>
  <c r="R67" i="4" s="1"/>
  <c r="A68" i="4"/>
  <c r="R68" i="4" s="1"/>
  <c r="A69" i="4"/>
  <c r="R69" i="4" s="1"/>
  <c r="A70" i="4"/>
  <c r="R70" i="4" s="1"/>
  <c r="A71" i="4"/>
  <c r="R71" i="4" s="1"/>
  <c r="A72" i="4"/>
  <c r="R72" i="4" s="1"/>
  <c r="A73" i="4"/>
  <c r="R73" i="4" s="1"/>
  <c r="A74" i="4"/>
  <c r="R74" i="4" s="1"/>
  <c r="A75" i="4"/>
  <c r="R75" i="4" s="1"/>
  <c r="A76" i="4"/>
  <c r="R76" i="4" s="1"/>
  <c r="A77" i="4"/>
  <c r="A78" i="4"/>
  <c r="A79" i="4"/>
  <c r="R79" i="4" s="1"/>
  <c r="A80" i="4"/>
  <c r="R80" i="4" s="1"/>
  <c r="A81" i="4"/>
  <c r="R81" i="4" s="1"/>
  <c r="A82" i="4"/>
  <c r="R82" i="4" s="1"/>
  <c r="A83" i="4"/>
  <c r="R83" i="4" s="1"/>
  <c r="A84" i="4"/>
  <c r="R84" i="4" s="1"/>
  <c r="A85" i="4"/>
  <c r="R85" i="4" s="1"/>
  <c r="A86" i="4"/>
  <c r="R86" i="4" s="1"/>
  <c r="A87" i="4"/>
  <c r="R87" i="4" s="1"/>
  <c r="A88" i="4"/>
  <c r="R88" i="4" s="1"/>
  <c r="A89" i="4"/>
  <c r="A90" i="4"/>
  <c r="A91" i="4"/>
  <c r="R91" i="4" s="1"/>
  <c r="A92" i="4"/>
  <c r="R92" i="4" s="1"/>
  <c r="A93" i="4"/>
  <c r="R93" i="4" s="1"/>
  <c r="A94" i="4"/>
  <c r="R94" i="4" s="1"/>
  <c r="A95" i="4"/>
  <c r="R95" i="4" s="1"/>
  <c r="A96" i="4"/>
  <c r="R96" i="4" s="1"/>
  <c r="A97" i="4"/>
  <c r="R97" i="4" s="1"/>
  <c r="A98" i="4"/>
  <c r="R98" i="4" s="1"/>
  <c r="A99" i="4"/>
  <c r="R99" i="4" s="1"/>
  <c r="A100" i="4"/>
  <c r="R100" i="4" s="1"/>
  <c r="A101" i="4"/>
  <c r="A102" i="4"/>
  <c r="A103" i="4"/>
  <c r="R103" i="4" s="1"/>
  <c r="A104" i="4"/>
  <c r="R104" i="4" s="1"/>
  <c r="A105" i="4"/>
  <c r="R105" i="4" s="1"/>
  <c r="A106" i="4"/>
  <c r="R106" i="4" s="1"/>
  <c r="A107" i="4"/>
  <c r="R107" i="4" s="1"/>
  <c r="A108" i="4"/>
  <c r="R108" i="4" s="1"/>
  <c r="A109" i="4"/>
  <c r="R109" i="4" s="1"/>
  <c r="A110" i="4"/>
  <c r="R110" i="4" s="1"/>
  <c r="A111" i="4"/>
  <c r="R111" i="4" s="1"/>
  <c r="A112" i="4"/>
  <c r="R112" i="4" s="1"/>
  <c r="A113" i="4"/>
  <c r="A114" i="4"/>
  <c r="C114" i="4" s="1"/>
  <c r="A115" i="4"/>
  <c r="R115" i="4" s="1"/>
  <c r="A116" i="4"/>
  <c r="R116" i="4" s="1"/>
  <c r="A117" i="4"/>
  <c r="R117" i="4" s="1"/>
  <c r="A118" i="4"/>
  <c r="R118" i="4" s="1"/>
  <c r="A119" i="4"/>
  <c r="R119" i="4" s="1"/>
  <c r="A120" i="4"/>
  <c r="R120" i="4" s="1"/>
  <c r="A121" i="4"/>
  <c r="R121" i="4" s="1"/>
  <c r="A122" i="4"/>
  <c r="R122" i="4" s="1"/>
  <c r="A123" i="4"/>
  <c r="R123" i="4" s="1"/>
  <c r="A124" i="4"/>
  <c r="R124" i="4" s="1"/>
  <c r="A125" i="4"/>
  <c r="A126" i="4"/>
  <c r="A127" i="4"/>
  <c r="R127" i="4" s="1"/>
  <c r="A128" i="4"/>
  <c r="R128" i="4" s="1"/>
  <c r="A129" i="4"/>
  <c r="R129" i="4" s="1"/>
  <c r="A130" i="4"/>
  <c r="R130" i="4" s="1"/>
  <c r="A131" i="4"/>
  <c r="R131" i="4" s="1"/>
  <c r="A132" i="4"/>
  <c r="R132" i="4" s="1"/>
  <c r="A133" i="4"/>
  <c r="R133" i="4" s="1"/>
  <c r="A134" i="4"/>
  <c r="R134" i="4" s="1"/>
  <c r="A135" i="4"/>
  <c r="R135" i="4" s="1"/>
  <c r="A136" i="4"/>
  <c r="R136" i="4" s="1"/>
  <c r="A137" i="4"/>
  <c r="A138" i="4"/>
  <c r="A139" i="4"/>
  <c r="R139" i="4" s="1"/>
  <c r="A140" i="4"/>
  <c r="R140" i="4" s="1"/>
  <c r="A141" i="4"/>
  <c r="R141" i="4" s="1"/>
  <c r="A142" i="4"/>
  <c r="R142" i="4" s="1"/>
  <c r="A143" i="4"/>
  <c r="R143" i="4" s="1"/>
  <c r="A144" i="4"/>
  <c r="R144" i="4" s="1"/>
  <c r="A145" i="4"/>
  <c r="R145" i="4" s="1"/>
  <c r="A146" i="4"/>
  <c r="R146" i="4" s="1"/>
  <c r="A147" i="4"/>
  <c r="R147" i="4" s="1"/>
  <c r="A148" i="4"/>
  <c r="R148" i="4" s="1"/>
  <c r="A149" i="4"/>
  <c r="A150" i="4"/>
  <c r="A151" i="4"/>
  <c r="R151" i="4" s="1"/>
  <c r="A152" i="4"/>
  <c r="R152" i="4" s="1"/>
  <c r="A153" i="4"/>
  <c r="R153" i="4" s="1"/>
  <c r="A154" i="4"/>
  <c r="R154" i="4" s="1"/>
  <c r="A155" i="4"/>
  <c r="R155" i="4" s="1"/>
  <c r="A156" i="4"/>
  <c r="R156" i="4" s="1"/>
  <c r="A157" i="4"/>
  <c r="R157" i="4" s="1"/>
  <c r="A158" i="4"/>
  <c r="R158" i="4" s="1"/>
  <c r="A159" i="4"/>
  <c r="R159" i="4" s="1"/>
  <c r="A160" i="4"/>
  <c r="R160" i="4" s="1"/>
  <c r="A161" i="4"/>
  <c r="A162" i="4"/>
  <c r="L162" i="4" s="1"/>
  <c r="A163" i="4"/>
  <c r="R163" i="4" s="1"/>
  <c r="A164" i="4"/>
  <c r="R164" i="4" s="1"/>
  <c r="A165" i="4"/>
  <c r="R165" i="4" s="1"/>
  <c r="A166" i="4"/>
  <c r="R166" i="4" s="1"/>
  <c r="A167" i="4"/>
  <c r="R167" i="4" s="1"/>
  <c r="A168" i="4"/>
  <c r="R168" i="4" s="1"/>
  <c r="A169" i="4"/>
  <c r="R169" i="4" s="1"/>
  <c r="A170" i="4"/>
  <c r="R170" i="4" s="1"/>
  <c r="A171" i="4"/>
  <c r="R171" i="4" s="1"/>
  <c r="A172" i="4"/>
  <c r="R172" i="4" s="1"/>
  <c r="A173" i="4"/>
  <c r="A174" i="4"/>
  <c r="A175" i="4"/>
  <c r="R175" i="4" s="1"/>
  <c r="A176" i="4"/>
  <c r="R176" i="4" s="1"/>
  <c r="A177" i="4"/>
  <c r="R177" i="4" s="1"/>
  <c r="A178" i="4"/>
  <c r="R178" i="4" s="1"/>
  <c r="A179" i="4"/>
  <c r="R179" i="4" s="1"/>
  <c r="A180" i="4"/>
  <c r="R180" i="4" s="1"/>
  <c r="A181" i="4"/>
  <c r="R181" i="4" s="1"/>
  <c r="A182" i="4"/>
  <c r="R182" i="4" s="1"/>
  <c r="A183" i="4"/>
  <c r="R183" i="4" s="1"/>
  <c r="A184" i="4"/>
  <c r="R184" i="4" s="1"/>
  <c r="A185" i="4"/>
  <c r="A186" i="4"/>
  <c r="A187" i="4"/>
  <c r="R187" i="4" s="1"/>
  <c r="A188" i="4"/>
  <c r="R188" i="4" s="1"/>
  <c r="A189" i="4"/>
  <c r="R189" i="4" s="1"/>
  <c r="A190" i="4"/>
  <c r="R190" i="4" s="1"/>
  <c r="A191" i="4"/>
  <c r="R191" i="4" s="1"/>
  <c r="A192" i="4"/>
  <c r="R192" i="4" s="1"/>
  <c r="A193" i="4"/>
  <c r="R193" i="4" s="1"/>
  <c r="A194" i="4"/>
  <c r="R194" i="4" s="1"/>
  <c r="A195" i="4"/>
  <c r="R195" i="4" s="1"/>
  <c r="A196" i="4"/>
  <c r="R196" i="4" s="1"/>
  <c r="A197" i="4"/>
  <c r="A198" i="4"/>
  <c r="A199" i="4"/>
  <c r="R199" i="4" s="1"/>
  <c r="A200" i="4"/>
  <c r="R200" i="4" s="1"/>
  <c r="A201" i="4"/>
  <c r="R201" i="4" s="1"/>
  <c r="A202" i="4"/>
  <c r="R202" i="4" s="1"/>
  <c r="A203" i="4"/>
  <c r="R203" i="4" s="1"/>
  <c r="A204" i="4"/>
  <c r="R204" i="4" s="1"/>
  <c r="A205" i="4"/>
  <c r="R205" i="4" s="1"/>
  <c r="A206" i="4"/>
  <c r="R206" i="4" s="1"/>
  <c r="A207" i="4"/>
  <c r="R207" i="4" s="1"/>
  <c r="A208" i="4"/>
  <c r="R208" i="4" s="1"/>
  <c r="A209" i="4"/>
  <c r="A210" i="4"/>
  <c r="A211" i="4"/>
  <c r="R211" i="4" s="1"/>
  <c r="A212" i="4"/>
  <c r="R212" i="4" s="1"/>
  <c r="A213" i="4"/>
  <c r="R213" i="4" s="1"/>
  <c r="A214" i="4"/>
  <c r="R214" i="4" s="1"/>
  <c r="A215" i="4"/>
  <c r="R215" i="4" s="1"/>
  <c r="A216" i="4"/>
  <c r="R216" i="4" s="1"/>
  <c r="A217" i="4"/>
  <c r="R217" i="4" s="1"/>
  <c r="A218" i="4"/>
  <c r="R218" i="4" s="1"/>
  <c r="A219" i="4"/>
  <c r="R219" i="4" s="1"/>
  <c r="A220" i="4"/>
  <c r="R220" i="4" s="1"/>
  <c r="A221" i="4"/>
  <c r="A222" i="4"/>
  <c r="A223" i="4"/>
  <c r="R223" i="4" s="1"/>
  <c r="A224" i="4"/>
  <c r="R224" i="4" s="1"/>
  <c r="A225" i="4"/>
  <c r="R225" i="4" s="1"/>
  <c r="A226" i="4"/>
  <c r="R226" i="4" s="1"/>
  <c r="A227" i="4"/>
  <c r="R227" i="4" s="1"/>
  <c r="A228" i="4"/>
  <c r="R228" i="4" s="1"/>
  <c r="A229" i="4"/>
  <c r="R229" i="4" s="1"/>
  <c r="A230" i="4"/>
  <c r="A231" i="4"/>
  <c r="A232" i="4"/>
  <c r="R232" i="4" s="1"/>
  <c r="A233" i="4"/>
  <c r="A234" i="4"/>
  <c r="A235" i="4"/>
  <c r="R235" i="4" s="1"/>
  <c r="A236" i="4"/>
  <c r="R236" i="4" s="1"/>
  <c r="A237" i="4"/>
  <c r="R237" i="4" s="1"/>
  <c r="A238" i="4"/>
  <c r="R238" i="4" s="1"/>
  <c r="A239" i="4"/>
  <c r="R239" i="4" s="1"/>
  <c r="A240" i="4"/>
  <c r="R240" i="4" s="1"/>
  <c r="A241" i="4"/>
  <c r="R241" i="4" s="1"/>
  <c r="A242" i="4"/>
  <c r="R242" i="4" s="1"/>
  <c r="A243" i="4"/>
  <c r="R243" i="4" s="1"/>
  <c r="A244" i="4"/>
  <c r="R244" i="4" s="1"/>
  <c r="A245" i="4"/>
  <c r="A246" i="4"/>
  <c r="A247" i="4"/>
  <c r="R247" i="4" s="1"/>
  <c r="A248" i="4"/>
  <c r="R248" i="4" s="1"/>
  <c r="A249" i="4"/>
  <c r="R249" i="4" s="1"/>
  <c r="A250" i="4"/>
  <c r="R250" i="4" s="1"/>
  <c r="A251" i="4"/>
  <c r="R251" i="4" s="1"/>
  <c r="A252" i="4"/>
  <c r="R252" i="4" s="1"/>
  <c r="A253" i="4"/>
  <c r="R253" i="4" s="1"/>
  <c r="A254" i="4"/>
  <c r="R254" i="4" s="1"/>
  <c r="A255" i="4"/>
  <c r="R255" i="4" s="1"/>
  <c r="A256" i="4"/>
  <c r="R256" i="4" s="1"/>
  <c r="A257" i="4"/>
  <c r="A258" i="4"/>
  <c r="A259" i="4"/>
  <c r="R259" i="4" s="1"/>
  <c r="A260" i="4"/>
  <c r="R260" i="4" s="1"/>
  <c r="A261" i="4"/>
  <c r="R261" i="4" s="1"/>
  <c r="A262" i="4"/>
  <c r="R262" i="4" s="1"/>
  <c r="A263" i="4"/>
  <c r="R263" i="4" s="1"/>
  <c r="A264" i="4"/>
  <c r="R264" i="4" s="1"/>
  <c r="A265" i="4"/>
  <c r="R265" i="4" s="1"/>
  <c r="A266" i="4"/>
  <c r="R266" i="4" s="1"/>
  <c r="A267" i="4"/>
  <c r="R267" i="4" s="1"/>
  <c r="A268" i="4"/>
  <c r="R268" i="4" s="1"/>
  <c r="A269" i="4"/>
  <c r="A270" i="4"/>
  <c r="A271" i="4"/>
  <c r="R271" i="4" s="1"/>
  <c r="A272" i="4"/>
  <c r="R272" i="4" s="1"/>
  <c r="A273" i="4"/>
  <c r="R273" i="4" s="1"/>
  <c r="A274" i="4"/>
  <c r="R274" i="4" s="1"/>
  <c r="A275" i="4"/>
  <c r="R275" i="4" s="1"/>
  <c r="A276" i="4"/>
  <c r="R276" i="4" s="1"/>
  <c r="A277" i="4"/>
  <c r="R277" i="4" s="1"/>
  <c r="A278" i="4"/>
  <c r="R278" i="4" s="1"/>
  <c r="A279" i="4"/>
  <c r="R279" i="4" s="1"/>
  <c r="A280" i="4"/>
  <c r="R280" i="4" s="1"/>
  <c r="A281" i="4"/>
  <c r="A282" i="4"/>
  <c r="A283" i="4"/>
  <c r="R283" i="4" s="1"/>
  <c r="A284" i="4"/>
  <c r="R284" i="4" s="1"/>
  <c r="A285" i="4"/>
  <c r="R285" i="4" s="1"/>
  <c r="A286" i="4"/>
  <c r="R286" i="4" s="1"/>
  <c r="A287" i="4"/>
  <c r="R287" i="4" s="1"/>
  <c r="A288" i="4"/>
  <c r="R288" i="4" s="1"/>
  <c r="A289" i="4"/>
  <c r="R289" i="4" s="1"/>
  <c r="A290" i="4"/>
  <c r="R290" i="4" s="1"/>
  <c r="A291" i="4"/>
  <c r="R291" i="4" s="1"/>
  <c r="A292" i="4"/>
  <c r="R292" i="4" s="1"/>
  <c r="A293" i="4"/>
  <c r="A294" i="4"/>
  <c r="A295" i="4"/>
  <c r="R295" i="4" s="1"/>
  <c r="A296" i="4"/>
  <c r="R296" i="4" s="1"/>
  <c r="A297" i="4"/>
  <c r="R297" i="4" s="1"/>
  <c r="A298" i="4"/>
  <c r="R298" i="4" s="1"/>
  <c r="A299" i="4"/>
  <c r="R299" i="4" s="1"/>
  <c r="A300" i="4"/>
  <c r="R300" i="4" s="1"/>
  <c r="A301" i="4"/>
  <c r="R301" i="4" s="1"/>
  <c r="A302" i="4"/>
  <c r="R302" i="4" s="1"/>
  <c r="A303" i="4"/>
  <c r="R303" i="4" s="1"/>
  <c r="A304" i="4"/>
  <c r="R304" i="4" s="1"/>
  <c r="A305" i="4"/>
  <c r="A306" i="4"/>
  <c r="A307" i="4"/>
  <c r="R307" i="4" s="1"/>
  <c r="A308" i="4"/>
  <c r="R308" i="4" s="1"/>
  <c r="A309" i="4"/>
  <c r="R309" i="4" s="1"/>
  <c r="A310" i="4"/>
  <c r="R310" i="4" s="1"/>
  <c r="A311" i="4"/>
  <c r="R311" i="4" s="1"/>
  <c r="A312" i="4"/>
  <c r="R312" i="4" s="1"/>
  <c r="A313" i="4"/>
  <c r="R313" i="4" s="1"/>
  <c r="A314" i="4"/>
  <c r="R314" i="4" s="1"/>
  <c r="A315" i="4"/>
  <c r="R315" i="4" s="1"/>
  <c r="A316" i="4"/>
  <c r="R316" i="4" s="1"/>
  <c r="A317" i="4"/>
  <c r="A318" i="4"/>
  <c r="A319" i="4"/>
  <c r="R319" i="4" s="1"/>
  <c r="A320" i="4"/>
  <c r="R320" i="4" s="1"/>
  <c r="A321" i="4"/>
  <c r="R321" i="4" s="1"/>
  <c r="A322" i="4"/>
  <c r="R322" i="4" s="1"/>
  <c r="A323" i="4"/>
  <c r="R323" i="4" s="1"/>
  <c r="A324" i="4"/>
  <c r="R324" i="4" s="1"/>
  <c r="A325" i="4"/>
  <c r="R325" i="4" s="1"/>
  <c r="A326" i="4"/>
  <c r="R326" i="4" s="1"/>
  <c r="A327" i="4"/>
  <c r="R327" i="4" s="1"/>
  <c r="A328" i="4"/>
  <c r="R328" i="4" s="1"/>
  <c r="A329" i="4"/>
  <c r="A330" i="4"/>
  <c r="A331" i="4"/>
  <c r="R331" i="4" s="1"/>
  <c r="A332" i="4"/>
  <c r="R332" i="4" s="1"/>
  <c r="A333" i="4"/>
  <c r="R333" i="4" s="1"/>
  <c r="A334" i="4"/>
  <c r="R334" i="4" s="1"/>
  <c r="A335" i="4"/>
  <c r="R335" i="4" s="1"/>
  <c r="A336" i="4"/>
  <c r="R336" i="4" s="1"/>
  <c r="A337" i="4"/>
  <c r="R337" i="4" s="1"/>
  <c r="A338" i="4"/>
  <c r="R338" i="4" s="1"/>
  <c r="A339" i="4"/>
  <c r="R339" i="4" s="1"/>
  <c r="A340" i="4"/>
  <c r="R340" i="4" s="1"/>
  <c r="A341" i="4"/>
  <c r="A342" i="4"/>
  <c r="A343" i="4"/>
  <c r="R343" i="4" s="1"/>
  <c r="A344" i="4"/>
  <c r="R344" i="4" s="1"/>
  <c r="A345" i="4"/>
  <c r="R345" i="4" s="1"/>
  <c r="A346" i="4"/>
  <c r="R346" i="4" s="1"/>
  <c r="A347" i="4"/>
  <c r="R347" i="4" s="1"/>
  <c r="A348" i="4"/>
  <c r="R348" i="4" s="1"/>
  <c r="A349" i="4"/>
  <c r="R349" i="4" s="1"/>
  <c r="A350" i="4"/>
  <c r="R350" i="4" s="1"/>
  <c r="A351" i="4"/>
  <c r="R351" i="4" s="1"/>
  <c r="A352" i="4"/>
  <c r="R352" i="4" s="1"/>
  <c r="A353" i="4"/>
  <c r="A354" i="4"/>
  <c r="A355" i="4"/>
  <c r="R355" i="4" s="1"/>
  <c r="A356" i="4"/>
  <c r="R356" i="4" s="1"/>
  <c r="A357" i="4"/>
  <c r="R357" i="4" s="1"/>
  <c r="A358" i="4"/>
  <c r="R358" i="4" s="1"/>
  <c r="A359" i="4"/>
  <c r="R359" i="4" s="1"/>
  <c r="A360" i="4"/>
  <c r="R360" i="4" s="1"/>
  <c r="A361" i="4"/>
  <c r="R361" i="4" s="1"/>
  <c r="A362" i="4"/>
  <c r="R362" i="4" s="1"/>
  <c r="A363" i="4"/>
  <c r="L363" i="4" s="1"/>
  <c r="A364" i="4"/>
  <c r="R364" i="4" s="1"/>
  <c r="A365" i="4"/>
  <c r="A366" i="4"/>
  <c r="A367" i="4"/>
  <c r="R367" i="4" s="1"/>
  <c r="A368" i="4"/>
  <c r="R368" i="4" s="1"/>
  <c r="A369" i="4"/>
  <c r="R369" i="4" s="1"/>
  <c r="A370" i="4"/>
  <c r="R370" i="4" s="1"/>
  <c r="A371" i="4"/>
  <c r="R371" i="4" s="1"/>
  <c r="A372" i="4"/>
  <c r="R372" i="4" s="1"/>
  <c r="A373" i="4"/>
  <c r="R373" i="4" s="1"/>
  <c r="A374" i="4"/>
  <c r="R374" i="4" s="1"/>
  <c r="A375" i="4"/>
  <c r="O375" i="4" s="1"/>
  <c r="AC375" i="4" s="1"/>
  <c r="A376" i="4"/>
  <c r="R376" i="4" s="1"/>
  <c r="A377" i="4"/>
  <c r="A378" i="4"/>
  <c r="A379" i="4"/>
  <c r="R379" i="4" s="1"/>
  <c r="A380" i="4"/>
  <c r="R380" i="4" s="1"/>
  <c r="A381" i="4"/>
  <c r="R381" i="4" s="1"/>
  <c r="A382" i="4"/>
  <c r="R382" i="4" s="1"/>
  <c r="A383" i="4"/>
  <c r="R383" i="4" s="1"/>
  <c r="A384" i="4"/>
  <c r="R384" i="4" s="1"/>
  <c r="A385" i="4"/>
  <c r="R385" i="4" s="1"/>
  <c r="A386" i="4"/>
  <c r="R386" i="4" s="1"/>
  <c r="A387" i="4"/>
  <c r="B387" i="4" s="1"/>
  <c r="A388" i="4"/>
  <c r="R388" i="4" s="1"/>
  <c r="A389" i="4"/>
  <c r="A390" i="4"/>
  <c r="A391" i="4"/>
  <c r="R391" i="4" s="1"/>
  <c r="A392" i="4"/>
  <c r="R392" i="4" s="1"/>
  <c r="A393" i="4"/>
  <c r="R393" i="4" s="1"/>
  <c r="A394" i="4"/>
  <c r="R394" i="4" s="1"/>
  <c r="A395" i="4"/>
  <c r="R395" i="4" s="1"/>
  <c r="A396" i="4"/>
  <c r="R396" i="4" s="1"/>
  <c r="A397" i="4"/>
  <c r="R397" i="4" s="1"/>
  <c r="A398" i="4"/>
  <c r="R398" i="4" s="1"/>
  <c r="A399" i="4"/>
  <c r="J399" i="4" s="1"/>
  <c r="T399" i="4" s="1"/>
  <c r="A400" i="4"/>
  <c r="R400" i="4" s="1"/>
  <c r="A401" i="4"/>
  <c r="A402" i="4"/>
  <c r="A403" i="4"/>
  <c r="R403" i="4" s="1"/>
  <c r="A404" i="4"/>
  <c r="R404" i="4" s="1"/>
  <c r="A405" i="4"/>
  <c r="R405" i="4" s="1"/>
  <c r="A406" i="4"/>
  <c r="R406" i="4" s="1"/>
  <c r="A407" i="4"/>
  <c r="R407" i="4" s="1"/>
  <c r="A408" i="4"/>
  <c r="R408" i="4" s="1"/>
  <c r="A409" i="4"/>
  <c r="R409" i="4" s="1"/>
  <c r="A410" i="4"/>
  <c r="R410" i="4" s="1"/>
  <c r="A411" i="4"/>
  <c r="M411" i="4" s="1"/>
  <c r="A412" i="4"/>
  <c r="R412" i="4" s="1"/>
  <c r="A413" i="4"/>
  <c r="A414" i="4"/>
  <c r="A415" i="4"/>
  <c r="R415" i="4" s="1"/>
  <c r="A416" i="4"/>
  <c r="R416" i="4" s="1"/>
  <c r="A417" i="4"/>
  <c r="R417" i="4" s="1"/>
  <c r="A418" i="4"/>
  <c r="R418" i="4" s="1"/>
  <c r="A419" i="4"/>
  <c r="R419" i="4" s="1"/>
  <c r="A420" i="4"/>
  <c r="R420" i="4" s="1"/>
  <c r="A421" i="4"/>
  <c r="R421" i="4" s="1"/>
  <c r="A422" i="4"/>
  <c r="R422" i="4" s="1"/>
  <c r="A423" i="4"/>
  <c r="O423" i="4" s="1"/>
  <c r="AC423" i="4" s="1"/>
  <c r="A424" i="4"/>
  <c r="R424" i="4" s="1"/>
  <c r="A425" i="4"/>
  <c r="A426" i="4"/>
  <c r="A427" i="4"/>
  <c r="R427" i="4" s="1"/>
  <c r="A428" i="4"/>
  <c r="R428" i="4" s="1"/>
  <c r="A429" i="4"/>
  <c r="R429" i="4" s="1"/>
  <c r="A430" i="4"/>
  <c r="R430" i="4" s="1"/>
  <c r="A431" i="4"/>
  <c r="R431" i="4" s="1"/>
  <c r="A432" i="4"/>
  <c r="R432" i="4" s="1"/>
  <c r="A433" i="4"/>
  <c r="R433" i="4" s="1"/>
  <c r="A434" i="4"/>
  <c r="R434" i="4" s="1"/>
  <c r="A435" i="4"/>
  <c r="C435" i="4" s="1"/>
  <c r="A436" i="4"/>
  <c r="R436" i="4" s="1"/>
  <c r="A437" i="4"/>
  <c r="R437" i="4" s="1"/>
  <c r="A438" i="4"/>
  <c r="A439" i="4"/>
  <c r="R439" i="4" s="1"/>
  <c r="A440" i="4"/>
  <c r="R440" i="4" s="1"/>
  <c r="A441" i="4"/>
  <c r="R441" i="4" s="1"/>
  <c r="A442" i="4"/>
  <c r="R442" i="4" s="1"/>
  <c r="A443" i="4"/>
  <c r="R443" i="4" s="1"/>
  <c r="A444" i="4"/>
  <c r="R444" i="4" s="1"/>
  <c r="A445" i="4"/>
  <c r="R445" i="4" s="1"/>
  <c r="A446" i="4"/>
  <c r="R446" i="4" s="1"/>
  <c r="A447" i="4"/>
  <c r="L447" i="4" s="1"/>
  <c r="A448" i="4"/>
  <c r="R448" i="4" s="1"/>
  <c r="A449" i="4"/>
  <c r="A450" i="4"/>
  <c r="A451" i="4"/>
  <c r="R451" i="4" s="1"/>
  <c r="A452" i="4"/>
  <c r="R452" i="4" s="1"/>
  <c r="A453" i="4"/>
  <c r="R453" i="4" s="1"/>
  <c r="A454" i="4"/>
  <c r="R454" i="4" s="1"/>
  <c r="A455" i="4"/>
  <c r="R455" i="4" s="1"/>
  <c r="A456" i="4"/>
  <c r="R456" i="4" s="1"/>
  <c r="A457" i="4"/>
  <c r="R457" i="4" s="1"/>
  <c r="A458" i="4"/>
  <c r="R458" i="4" s="1"/>
  <c r="A459" i="4"/>
  <c r="O459" i="4" s="1"/>
  <c r="AC459" i="4" s="1"/>
  <c r="A460" i="4"/>
  <c r="R460" i="4" s="1"/>
  <c r="A461" i="4"/>
  <c r="R461" i="4" s="1"/>
  <c r="A462" i="4"/>
  <c r="A463" i="4"/>
  <c r="R463" i="4" s="1"/>
  <c r="A464" i="4"/>
  <c r="R464" i="4" s="1"/>
  <c r="A465" i="4"/>
  <c r="R465" i="4" s="1"/>
  <c r="A466" i="4"/>
  <c r="R466" i="4" s="1"/>
  <c r="A467" i="4"/>
  <c r="R467" i="4" s="1"/>
  <c r="A468" i="4"/>
  <c r="R468" i="4" s="1"/>
  <c r="A469" i="4"/>
  <c r="R469" i="4" s="1"/>
  <c r="A470" i="4"/>
  <c r="R470" i="4" s="1"/>
  <c r="A471" i="4"/>
  <c r="N471" i="4" s="1"/>
  <c r="AA471" i="4" s="1"/>
  <c r="A472" i="4"/>
  <c r="R472" i="4" s="1"/>
  <c r="A473" i="4"/>
  <c r="A474" i="4"/>
  <c r="A475" i="4"/>
  <c r="R475" i="4" s="1"/>
  <c r="A476" i="4"/>
  <c r="R476" i="4" s="1"/>
  <c r="A477" i="4"/>
  <c r="R477" i="4" s="1"/>
  <c r="A478" i="4"/>
  <c r="R478" i="4" s="1"/>
  <c r="A479" i="4"/>
  <c r="R479" i="4" s="1"/>
  <c r="A480" i="4"/>
  <c r="R480" i="4" s="1"/>
  <c r="A481" i="4"/>
  <c r="R481" i="4" s="1"/>
  <c r="A482" i="4"/>
  <c r="R482" i="4" s="1"/>
  <c r="A483" i="4"/>
  <c r="I483" i="4" s="1"/>
  <c r="S483" i="4" s="1"/>
  <c r="A484" i="4"/>
  <c r="R484" i="4" s="1"/>
  <c r="A485" i="4"/>
  <c r="A486" i="4"/>
  <c r="A487" i="4"/>
  <c r="R487" i="4" s="1"/>
  <c r="A488" i="4"/>
  <c r="R488" i="4" s="1"/>
  <c r="A489" i="4"/>
  <c r="R489" i="4" s="1"/>
  <c r="A490" i="4"/>
  <c r="R490" i="4" s="1"/>
  <c r="A491" i="4"/>
  <c r="R491" i="4" s="1"/>
  <c r="A492" i="4"/>
  <c r="R492" i="4" s="1"/>
  <c r="A493" i="4"/>
  <c r="R493" i="4" s="1"/>
  <c r="A494" i="4"/>
  <c r="R494" i="4" s="1"/>
  <c r="A495" i="4"/>
  <c r="L495" i="4" s="1"/>
  <c r="A496" i="4"/>
  <c r="R496" i="4" s="1"/>
  <c r="A497" i="4"/>
  <c r="A498" i="4"/>
  <c r="A499" i="4"/>
  <c r="R499" i="4" s="1"/>
  <c r="A500" i="4"/>
  <c r="R500" i="4" s="1"/>
  <c r="A501" i="4"/>
  <c r="R501" i="4" s="1"/>
  <c r="A502" i="4"/>
  <c r="R502" i="4" s="1"/>
  <c r="A503" i="4"/>
  <c r="R503" i="4" s="1"/>
  <c r="A504" i="4"/>
  <c r="R504" i="4" s="1"/>
  <c r="A505" i="4"/>
  <c r="R505" i="4" s="1"/>
  <c r="A506" i="4"/>
  <c r="R506" i="4" s="1"/>
  <c r="A507" i="4"/>
  <c r="O507" i="4" s="1"/>
  <c r="AC507" i="4" s="1"/>
  <c r="A508" i="4"/>
  <c r="R508" i="4" s="1"/>
  <c r="A509" i="4"/>
  <c r="A510" i="4"/>
  <c r="A511" i="4"/>
  <c r="R511" i="4" s="1"/>
  <c r="A512" i="4"/>
  <c r="R512" i="4" s="1"/>
  <c r="A513" i="4"/>
  <c r="R513" i="4" s="1"/>
  <c r="A514" i="4"/>
  <c r="R514" i="4" s="1"/>
  <c r="A515" i="4"/>
  <c r="R515" i="4" s="1"/>
  <c r="A516" i="4"/>
  <c r="R516" i="4" s="1"/>
  <c r="A517" i="4"/>
  <c r="R517" i="4" s="1"/>
  <c r="A518" i="4"/>
  <c r="R518" i="4" s="1"/>
  <c r="A519" i="4"/>
  <c r="B519" i="4" s="1"/>
  <c r="A520" i="4"/>
  <c r="R520" i="4" s="1"/>
  <c r="A521" i="4"/>
  <c r="R521" i="4" s="1"/>
  <c r="A522" i="4"/>
  <c r="A523" i="4"/>
  <c r="R523" i="4" s="1"/>
  <c r="A524" i="4"/>
  <c r="R524" i="4" s="1"/>
  <c r="A525" i="4"/>
  <c r="R525" i="4" s="1"/>
  <c r="A526" i="4"/>
  <c r="R526" i="4" s="1"/>
  <c r="A527" i="4"/>
  <c r="R527" i="4" s="1"/>
  <c r="A528" i="4"/>
  <c r="R528" i="4" s="1"/>
  <c r="A529" i="4"/>
  <c r="R529" i="4" s="1"/>
  <c r="A530" i="4"/>
  <c r="R530" i="4" s="1"/>
  <c r="A531" i="4"/>
  <c r="J531" i="4" s="1"/>
  <c r="T531" i="4" s="1"/>
  <c r="A532" i="4"/>
  <c r="R532" i="4" s="1"/>
  <c r="A533" i="4"/>
  <c r="R533" i="4" s="1"/>
  <c r="A534" i="4"/>
  <c r="A535" i="4"/>
  <c r="R535" i="4" s="1"/>
  <c r="A536" i="4"/>
  <c r="R536" i="4" s="1"/>
  <c r="A537" i="4"/>
  <c r="R537" i="4" s="1"/>
  <c r="A538" i="4"/>
  <c r="R538" i="4" s="1"/>
  <c r="A539" i="4"/>
  <c r="R539" i="4" s="1"/>
  <c r="A540" i="4"/>
  <c r="R540" i="4" s="1"/>
  <c r="A541" i="4"/>
  <c r="R541" i="4" s="1"/>
  <c r="A542" i="4"/>
  <c r="R542" i="4" s="1"/>
  <c r="A543" i="4"/>
  <c r="M543" i="4" s="1"/>
  <c r="A544" i="4"/>
  <c r="R544" i="4" s="1"/>
  <c r="A545" i="4"/>
  <c r="A546" i="4"/>
  <c r="A547" i="4"/>
  <c r="R547" i="4" s="1"/>
  <c r="A548" i="4"/>
  <c r="R548" i="4" s="1"/>
  <c r="A549" i="4"/>
  <c r="R549" i="4" s="1"/>
  <c r="A550" i="4"/>
  <c r="R550" i="4" s="1"/>
  <c r="A551" i="4"/>
  <c r="R551" i="4" s="1"/>
  <c r="A552" i="4"/>
  <c r="R552" i="4" s="1"/>
  <c r="A553" i="4"/>
  <c r="R553" i="4" s="1"/>
  <c r="A554" i="4"/>
  <c r="R554" i="4" s="1"/>
  <c r="A555" i="4"/>
  <c r="O555" i="4" s="1"/>
  <c r="AC555" i="4" s="1"/>
  <c r="A556" i="4"/>
  <c r="R556" i="4" s="1"/>
  <c r="A557" i="4"/>
  <c r="R557" i="4" s="1"/>
  <c r="A558" i="4"/>
  <c r="A559" i="4"/>
  <c r="R559" i="4" s="1"/>
  <c r="A560" i="4"/>
  <c r="R560" i="4" s="1"/>
  <c r="A561" i="4"/>
  <c r="R561" i="4" s="1"/>
  <c r="A562" i="4"/>
  <c r="R562" i="4" s="1"/>
  <c r="A563" i="4"/>
  <c r="R563" i="4" s="1"/>
  <c r="A564" i="4"/>
  <c r="R564" i="4" s="1"/>
  <c r="A565" i="4"/>
  <c r="R565" i="4" s="1"/>
  <c r="A566" i="4"/>
  <c r="R566" i="4" s="1"/>
  <c r="A567" i="4"/>
  <c r="C567" i="4" s="1"/>
  <c r="A568" i="4"/>
  <c r="R568" i="4" s="1"/>
  <c r="A569" i="4"/>
  <c r="R569" i="4" s="1"/>
  <c r="A570" i="4"/>
  <c r="A571" i="4"/>
  <c r="R571" i="4" s="1"/>
  <c r="A572" i="4"/>
  <c r="R572" i="4" s="1"/>
  <c r="A573" i="4"/>
  <c r="R573" i="4" s="1"/>
  <c r="A574" i="4"/>
  <c r="R574" i="4" s="1"/>
  <c r="A575" i="4"/>
  <c r="R575" i="4" s="1"/>
  <c r="A576" i="4"/>
  <c r="R576" i="4" s="1"/>
  <c r="A577" i="4"/>
  <c r="R577" i="4" s="1"/>
  <c r="A578" i="4"/>
  <c r="R578" i="4" s="1"/>
  <c r="A579" i="4"/>
  <c r="K579" i="4" s="1"/>
  <c r="U579" i="4" s="1"/>
  <c r="A580" i="4"/>
  <c r="R580" i="4" s="1"/>
  <c r="A581" i="4"/>
  <c r="A582" i="4"/>
  <c r="A583" i="4"/>
  <c r="R583" i="4" s="1"/>
  <c r="A584" i="4"/>
  <c r="R584" i="4" s="1"/>
  <c r="A585" i="4"/>
  <c r="R585" i="4" s="1"/>
  <c r="A586" i="4"/>
  <c r="R586" i="4" s="1"/>
  <c r="A587" i="4"/>
  <c r="R587" i="4" s="1"/>
  <c r="A588" i="4"/>
  <c r="R588" i="4" s="1"/>
  <c r="A589" i="4"/>
  <c r="R589" i="4" s="1"/>
  <c r="A590" i="4"/>
  <c r="R590" i="4" s="1"/>
  <c r="A591" i="4"/>
  <c r="O591" i="4" s="1"/>
  <c r="AC591" i="4" s="1"/>
  <c r="A592" i="4"/>
  <c r="R592" i="4" s="1"/>
  <c r="A593" i="4"/>
  <c r="A594" i="4"/>
  <c r="A595" i="4"/>
  <c r="R595" i="4" s="1"/>
  <c r="A596" i="4"/>
  <c r="R596" i="4" s="1"/>
  <c r="A597" i="4"/>
  <c r="R597" i="4" s="1"/>
  <c r="A598" i="4"/>
  <c r="R598" i="4" s="1"/>
  <c r="A599" i="4"/>
  <c r="A600" i="4"/>
  <c r="R600" i="4" s="1"/>
  <c r="A601" i="4"/>
  <c r="R601" i="4" s="1"/>
  <c r="A602" i="4"/>
  <c r="R602" i="4" s="1"/>
  <c r="A603" i="4"/>
  <c r="O603" i="4" s="1"/>
  <c r="AC603" i="4" s="1"/>
  <c r="A604" i="4"/>
  <c r="R604" i="4" s="1"/>
  <c r="A605" i="4"/>
  <c r="A606" i="4"/>
  <c r="A607" i="4"/>
  <c r="R607" i="4" s="1"/>
  <c r="A608" i="4"/>
  <c r="R608" i="4" s="1"/>
  <c r="A609" i="4"/>
  <c r="R609" i="4" s="1"/>
  <c r="A610" i="4"/>
  <c r="R610" i="4" s="1"/>
  <c r="A611" i="4"/>
  <c r="R611" i="4" s="1"/>
  <c r="A612" i="4"/>
  <c r="R612" i="4" s="1"/>
  <c r="A613" i="4"/>
  <c r="R613" i="4" s="1"/>
  <c r="A614" i="4"/>
  <c r="R614" i="4" s="1"/>
  <c r="A615" i="4"/>
  <c r="I615" i="4" s="1"/>
  <c r="S615" i="4" s="1"/>
  <c r="A616" i="4"/>
  <c r="R616" i="4" s="1"/>
  <c r="A617" i="4"/>
  <c r="A618" i="4"/>
  <c r="A619" i="4"/>
  <c r="R619" i="4" s="1"/>
  <c r="A620" i="4"/>
  <c r="R620" i="4" s="1"/>
  <c r="A621" i="4"/>
  <c r="A622" i="4"/>
  <c r="R622" i="4" s="1"/>
  <c r="A623" i="4"/>
  <c r="R623" i="4" s="1"/>
  <c r="A624" i="4"/>
  <c r="R624" i="4" s="1"/>
  <c r="A625" i="4"/>
  <c r="R625" i="4" s="1"/>
  <c r="A626" i="4"/>
  <c r="R626" i="4" s="1"/>
  <c r="A627" i="4"/>
  <c r="L627" i="4" s="1"/>
  <c r="A628" i="4"/>
  <c r="R628" i="4" s="1"/>
  <c r="A629" i="4"/>
  <c r="R629" i="4" s="1"/>
  <c r="A630" i="4"/>
  <c r="A631" i="4"/>
  <c r="R631" i="4" s="1"/>
  <c r="A632" i="4"/>
  <c r="R632" i="4" s="1"/>
  <c r="A633" i="4"/>
  <c r="R633" i="4" s="1"/>
  <c r="A634" i="4"/>
  <c r="R634" i="4" s="1"/>
  <c r="A635" i="4"/>
  <c r="R635" i="4" s="1"/>
  <c r="A636" i="4"/>
  <c r="R636" i="4" s="1"/>
  <c r="A637" i="4"/>
  <c r="R637" i="4" s="1"/>
  <c r="A638" i="4"/>
  <c r="R638" i="4" s="1"/>
  <c r="A639" i="4"/>
  <c r="O639" i="4" s="1"/>
  <c r="AC639" i="4" s="1"/>
  <c r="A640" i="4"/>
  <c r="R640" i="4" s="1"/>
  <c r="A641" i="4"/>
  <c r="A642" i="4"/>
  <c r="A643" i="4"/>
  <c r="R643" i="4" s="1"/>
  <c r="A644" i="4"/>
  <c r="R644" i="4" s="1"/>
  <c r="A645" i="4"/>
  <c r="R645" i="4" s="1"/>
  <c r="A646" i="4"/>
  <c r="R646" i="4" s="1"/>
  <c r="A647" i="4"/>
  <c r="R647" i="4" s="1"/>
  <c r="A648" i="4"/>
  <c r="R648" i="4" s="1"/>
  <c r="A649" i="4"/>
  <c r="R649" i="4" s="1"/>
  <c r="A650" i="4"/>
  <c r="R650" i="4" s="1"/>
  <c r="A651" i="4"/>
  <c r="B651" i="4" s="1"/>
  <c r="A652" i="4"/>
  <c r="R652" i="4" s="1"/>
  <c r="A653" i="4"/>
  <c r="A654" i="4"/>
  <c r="A655" i="4"/>
  <c r="R655" i="4" s="1"/>
  <c r="A656" i="4"/>
  <c r="R656" i="4" s="1"/>
  <c r="A657" i="4"/>
  <c r="R657" i="4" s="1"/>
  <c r="A658" i="4"/>
  <c r="R658" i="4" s="1"/>
  <c r="A659" i="4"/>
  <c r="R659" i="4" s="1"/>
  <c r="A660" i="4"/>
  <c r="R660" i="4" s="1"/>
  <c r="A661" i="4"/>
  <c r="R661" i="4" s="1"/>
  <c r="A662" i="4"/>
  <c r="R662" i="4" s="1"/>
  <c r="A663" i="4"/>
  <c r="J663" i="4" s="1"/>
  <c r="T663" i="4" s="1"/>
  <c r="A664" i="4"/>
  <c r="R664" i="4" s="1"/>
  <c r="A665" i="4"/>
  <c r="A666" i="4"/>
  <c r="A667" i="4"/>
  <c r="R667" i="4" s="1"/>
  <c r="A668" i="4"/>
  <c r="R668" i="4" s="1"/>
  <c r="A669" i="4"/>
  <c r="R669" i="4" s="1"/>
  <c r="A670" i="4"/>
  <c r="R670" i="4" s="1"/>
  <c r="A671" i="4"/>
  <c r="R671" i="4" s="1"/>
  <c r="A672" i="4"/>
  <c r="R672" i="4" s="1"/>
  <c r="A673" i="4"/>
  <c r="R673" i="4" s="1"/>
  <c r="A674" i="4"/>
  <c r="R674" i="4" s="1"/>
  <c r="A675" i="4"/>
  <c r="M675" i="4" s="1"/>
  <c r="A676" i="4"/>
  <c r="R676" i="4" s="1"/>
  <c r="A677" i="4"/>
  <c r="R677" i="4" s="1"/>
  <c r="A678" i="4"/>
  <c r="A679" i="4"/>
  <c r="R679" i="4" s="1"/>
  <c r="A680" i="4"/>
  <c r="R680" i="4" s="1"/>
  <c r="A681" i="4"/>
  <c r="R681" i="4" s="1"/>
  <c r="A682" i="4"/>
  <c r="R682" i="4" s="1"/>
  <c r="A683" i="4"/>
  <c r="R683" i="4" s="1"/>
  <c r="A684" i="4"/>
  <c r="R684" i="4" s="1"/>
  <c r="A685" i="4"/>
  <c r="R685" i="4" s="1"/>
  <c r="A686" i="4"/>
  <c r="R686" i="4" s="1"/>
  <c r="A687" i="4"/>
  <c r="O687" i="4" s="1"/>
  <c r="AC687" i="4" s="1"/>
  <c r="A688" i="4"/>
  <c r="R688" i="4" s="1"/>
  <c r="A689" i="4"/>
  <c r="A690" i="4"/>
  <c r="A691" i="4"/>
  <c r="R691" i="4" s="1"/>
  <c r="A692" i="4"/>
  <c r="R692" i="4" s="1"/>
  <c r="A693" i="4"/>
  <c r="R693" i="4" s="1"/>
  <c r="A694" i="4"/>
  <c r="R694" i="4" s="1"/>
  <c r="A695" i="4"/>
  <c r="R695" i="4" s="1"/>
  <c r="A696" i="4"/>
  <c r="R696" i="4" s="1"/>
  <c r="A697" i="4"/>
  <c r="R697" i="4" s="1"/>
  <c r="A698" i="4"/>
  <c r="R698" i="4" s="1"/>
  <c r="A699" i="4"/>
  <c r="B699" i="4" s="1"/>
  <c r="A700" i="4"/>
  <c r="R700" i="4" s="1"/>
  <c r="A701" i="4"/>
  <c r="A702" i="4"/>
  <c r="A703" i="4"/>
  <c r="R703" i="4" s="1"/>
  <c r="A704" i="4"/>
  <c r="R704" i="4" s="1"/>
  <c r="A705" i="4"/>
  <c r="R705" i="4" s="1"/>
  <c r="A706" i="4"/>
  <c r="R706" i="4" s="1"/>
  <c r="A707" i="4"/>
  <c r="R707" i="4" s="1"/>
  <c r="A708" i="4"/>
  <c r="R708" i="4" s="1"/>
  <c r="A709" i="4"/>
  <c r="R709" i="4" s="1"/>
  <c r="A710" i="4"/>
  <c r="R710" i="4" s="1"/>
  <c r="A711" i="4"/>
  <c r="K711" i="4" s="1"/>
  <c r="U711" i="4" s="1"/>
  <c r="A712" i="4"/>
  <c r="R712" i="4" s="1"/>
  <c r="A713" i="4"/>
  <c r="A714" i="4"/>
  <c r="A715" i="4"/>
  <c r="R715" i="4" s="1"/>
  <c r="A716" i="4"/>
  <c r="R716" i="4" s="1"/>
  <c r="A717" i="4"/>
  <c r="R717" i="4" s="1"/>
  <c r="A718" i="4"/>
  <c r="R718" i="4" s="1"/>
  <c r="A719" i="4"/>
  <c r="R719" i="4" s="1"/>
  <c r="A720" i="4"/>
  <c r="R720" i="4" s="1"/>
  <c r="A721" i="4"/>
  <c r="R721" i="4" s="1"/>
  <c r="A722" i="4"/>
  <c r="R722" i="4" s="1"/>
  <c r="A723" i="4"/>
  <c r="N723" i="4" s="1"/>
  <c r="AA723" i="4" s="1"/>
  <c r="A724" i="4"/>
  <c r="R724" i="4" s="1"/>
  <c r="A725" i="4"/>
  <c r="A726" i="4"/>
  <c r="A727" i="4"/>
  <c r="R727" i="4" s="1"/>
  <c r="A728" i="4"/>
  <c r="R728" i="4" s="1"/>
  <c r="A729" i="4"/>
  <c r="R729" i="4" s="1"/>
  <c r="A730" i="4"/>
  <c r="R730" i="4" s="1"/>
  <c r="A731" i="4"/>
  <c r="R731" i="4" s="1"/>
  <c r="A732" i="4"/>
  <c r="R732" i="4" s="1"/>
  <c r="A733" i="4"/>
  <c r="R733" i="4" s="1"/>
  <c r="A734" i="4"/>
  <c r="R734" i="4" s="1"/>
  <c r="A735" i="4"/>
  <c r="O735" i="4" s="1"/>
  <c r="AC735" i="4" s="1"/>
  <c r="A736" i="4"/>
  <c r="R736" i="4" s="1"/>
  <c r="A737" i="4"/>
  <c r="R737" i="4" s="1"/>
  <c r="A738" i="4"/>
  <c r="A739" i="4"/>
  <c r="R739" i="4" s="1"/>
  <c r="A740" i="4"/>
  <c r="R740" i="4" s="1"/>
  <c r="A741" i="4"/>
  <c r="R741" i="4" s="1"/>
  <c r="A742" i="4"/>
  <c r="R742" i="4" s="1"/>
  <c r="A743" i="4"/>
  <c r="R743" i="4" s="1"/>
  <c r="A744" i="4"/>
  <c r="R744" i="4" s="1"/>
  <c r="A745" i="4"/>
  <c r="R745" i="4" s="1"/>
  <c r="A746" i="4"/>
  <c r="R746" i="4" s="1"/>
  <c r="A747" i="4"/>
  <c r="I747" i="4" s="1"/>
  <c r="S747" i="4" s="1"/>
  <c r="A748" i="4"/>
  <c r="R748" i="4" s="1"/>
  <c r="A749" i="4"/>
  <c r="R749" i="4" s="1"/>
  <c r="A750" i="4"/>
  <c r="A751" i="4"/>
  <c r="R751" i="4" s="1"/>
  <c r="A752" i="4"/>
  <c r="R752" i="4" s="1"/>
  <c r="A753" i="4"/>
  <c r="R753" i="4" s="1"/>
  <c r="A754" i="4"/>
  <c r="R754" i="4" s="1"/>
  <c r="A755" i="4"/>
  <c r="R755" i="4" s="1"/>
  <c r="A756" i="4"/>
  <c r="R756" i="4" s="1"/>
  <c r="A757" i="4"/>
  <c r="R757" i="4" s="1"/>
  <c r="A758" i="4"/>
  <c r="R758" i="4" s="1"/>
  <c r="A759" i="4"/>
  <c r="L759" i="4" s="1"/>
  <c r="A760" i="4"/>
  <c r="R760" i="4" s="1"/>
  <c r="A761" i="4"/>
  <c r="R761" i="4" s="1"/>
  <c r="A762" i="4"/>
  <c r="A763" i="4"/>
  <c r="R763" i="4" s="1"/>
  <c r="A764" i="4"/>
  <c r="R764" i="4" s="1"/>
  <c r="A765" i="4"/>
  <c r="R765" i="4" s="1"/>
  <c r="A766" i="4"/>
  <c r="R766" i="4" s="1"/>
  <c r="A767" i="4"/>
  <c r="R767" i="4" s="1"/>
  <c r="A768" i="4"/>
  <c r="R768" i="4" s="1"/>
  <c r="A769" i="4"/>
  <c r="R769" i="4" s="1"/>
  <c r="A770" i="4"/>
  <c r="A771" i="4"/>
  <c r="O771" i="4" s="1"/>
  <c r="AC771" i="4" s="1"/>
  <c r="A772" i="4"/>
  <c r="R772" i="4" s="1"/>
  <c r="A773" i="4"/>
  <c r="A774" i="4"/>
  <c r="A775" i="4"/>
  <c r="R775" i="4" s="1"/>
  <c r="A776" i="4"/>
  <c r="R776" i="4" s="1"/>
  <c r="A777" i="4"/>
  <c r="R777" i="4" s="1"/>
  <c r="A778" i="4"/>
  <c r="R778" i="4" s="1"/>
  <c r="A779" i="4"/>
  <c r="A780" i="4"/>
  <c r="R780" i="4" s="1"/>
  <c r="A781" i="4"/>
  <c r="R781" i="4" s="1"/>
  <c r="A782" i="4"/>
  <c r="R782" i="4" s="1"/>
  <c r="A783" i="4"/>
  <c r="O783" i="4" s="1"/>
  <c r="AC783" i="4" s="1"/>
  <c r="A784" i="4"/>
  <c r="R784" i="4" s="1"/>
  <c r="A785" i="4"/>
  <c r="R785" i="4" s="1"/>
  <c r="A786" i="4"/>
  <c r="A787" i="4"/>
  <c r="R787" i="4" s="1"/>
  <c r="A788" i="4"/>
  <c r="R788" i="4" s="1"/>
  <c r="A789" i="4"/>
  <c r="R789" i="4" s="1"/>
  <c r="A790" i="4"/>
  <c r="R790" i="4" s="1"/>
  <c r="A791" i="4"/>
  <c r="R791" i="4" s="1"/>
  <c r="A792" i="4"/>
  <c r="R792" i="4" s="1"/>
  <c r="A793" i="4"/>
  <c r="R793" i="4" s="1"/>
  <c r="A794" i="4"/>
  <c r="R794" i="4" s="1"/>
  <c r="A795" i="4"/>
  <c r="J795" i="4" s="1"/>
  <c r="T795" i="4" s="1"/>
  <c r="A796" i="4"/>
  <c r="R796" i="4" s="1"/>
  <c r="A797" i="4"/>
  <c r="A798" i="4"/>
  <c r="A799" i="4"/>
  <c r="R799" i="4" s="1"/>
  <c r="A800" i="4"/>
  <c r="R800" i="4" s="1"/>
  <c r="A801" i="4"/>
  <c r="R801" i="4" s="1"/>
  <c r="A802" i="4"/>
  <c r="R802" i="4" s="1"/>
  <c r="A803" i="4"/>
  <c r="R803" i="4" s="1"/>
  <c r="A804" i="4"/>
  <c r="R804" i="4" s="1"/>
  <c r="A805" i="4"/>
  <c r="R805" i="4" s="1"/>
  <c r="A806" i="4"/>
  <c r="R806" i="4" s="1"/>
  <c r="A807" i="4"/>
  <c r="M807" i="4" s="1"/>
  <c r="A808" i="4"/>
  <c r="R808" i="4" s="1"/>
  <c r="A809" i="4"/>
  <c r="R809" i="4" s="1"/>
  <c r="A810" i="4"/>
  <c r="A811" i="4"/>
  <c r="R811" i="4" s="1"/>
  <c r="A812" i="4"/>
  <c r="R812" i="4" s="1"/>
  <c r="A813" i="4"/>
  <c r="R813" i="4" s="1"/>
  <c r="A814" i="4"/>
  <c r="R814" i="4" s="1"/>
  <c r="A815" i="4"/>
  <c r="R815" i="4" s="1"/>
  <c r="A816" i="4"/>
  <c r="R816" i="4" s="1"/>
  <c r="A817" i="4"/>
  <c r="R817" i="4" s="1"/>
  <c r="A818" i="4"/>
  <c r="R818" i="4" s="1"/>
  <c r="A819" i="4"/>
  <c r="O819" i="4" s="1"/>
  <c r="AC819" i="4" s="1"/>
  <c r="A820" i="4"/>
  <c r="R820" i="4" s="1"/>
  <c r="A821" i="4"/>
  <c r="A822" i="4"/>
  <c r="A823" i="4"/>
  <c r="R823" i="4" s="1"/>
  <c r="A824" i="4"/>
  <c r="R824" i="4" s="1"/>
  <c r="A825" i="4"/>
  <c r="R825" i="4" s="1"/>
  <c r="A826" i="4"/>
  <c r="R826" i="4" s="1"/>
  <c r="A827" i="4"/>
  <c r="R827" i="4" s="1"/>
  <c r="A828" i="4"/>
  <c r="R828" i="4" s="1"/>
  <c r="A829" i="4"/>
  <c r="R829" i="4" s="1"/>
  <c r="A830" i="4"/>
  <c r="R830" i="4" s="1"/>
  <c r="A831" i="4"/>
  <c r="B831" i="4" s="1"/>
  <c r="A832" i="4"/>
  <c r="R832" i="4" s="1"/>
  <c r="A833" i="4"/>
  <c r="R833" i="4" s="1"/>
  <c r="A834" i="4"/>
  <c r="C834" i="4" s="1"/>
  <c r="A835" i="4"/>
  <c r="R835" i="4" s="1"/>
  <c r="A836" i="4"/>
  <c r="R836" i="4" s="1"/>
  <c r="A837" i="4"/>
  <c r="R837" i="4" s="1"/>
  <c r="A838" i="4"/>
  <c r="R838" i="4" s="1"/>
  <c r="A839" i="4"/>
  <c r="R839" i="4" s="1"/>
  <c r="A840" i="4"/>
  <c r="R840" i="4" s="1"/>
  <c r="A841" i="4"/>
  <c r="R841" i="4" s="1"/>
  <c r="A842" i="4"/>
  <c r="R842" i="4" s="1"/>
  <c r="A843" i="4"/>
  <c r="J843" i="4" s="1"/>
  <c r="T843" i="4" s="1"/>
  <c r="A844" i="4"/>
  <c r="R844" i="4" s="1"/>
  <c r="A845" i="4"/>
  <c r="A846" i="4"/>
  <c r="O846" i="4" s="1"/>
  <c r="AC846" i="4" s="1"/>
  <c r="A847" i="4"/>
  <c r="R847" i="4" s="1"/>
  <c r="A848" i="4"/>
  <c r="R848" i="4" s="1"/>
  <c r="A849" i="4"/>
  <c r="R849" i="4" s="1"/>
  <c r="A850" i="4"/>
  <c r="R850" i="4" s="1"/>
  <c r="A851" i="4"/>
  <c r="R851" i="4" s="1"/>
  <c r="A852" i="4"/>
  <c r="R852" i="4" s="1"/>
  <c r="A853" i="4"/>
  <c r="R853" i="4" s="1"/>
  <c r="A854" i="4"/>
  <c r="R854" i="4" s="1"/>
  <c r="A855" i="4"/>
  <c r="N855" i="4" s="1"/>
  <c r="AA855" i="4" s="1"/>
  <c r="A856" i="4"/>
  <c r="R856" i="4" s="1"/>
  <c r="A857" i="4"/>
  <c r="R857" i="4" s="1"/>
  <c r="A858" i="4"/>
  <c r="J858" i="4" s="1"/>
  <c r="T858" i="4" s="1"/>
  <c r="A859" i="4"/>
  <c r="R859" i="4" s="1"/>
  <c r="A860" i="4"/>
  <c r="R860" i="4" s="1"/>
  <c r="A861" i="4"/>
  <c r="R861" i="4" s="1"/>
  <c r="A862" i="4"/>
  <c r="R862" i="4" s="1"/>
  <c r="A863" i="4"/>
  <c r="R863" i="4" s="1"/>
  <c r="A864" i="4"/>
  <c r="R864" i="4" s="1"/>
  <c r="A865" i="4"/>
  <c r="R865" i="4" s="1"/>
  <c r="A866" i="4"/>
  <c r="R866" i="4" s="1"/>
  <c r="A867" i="4"/>
  <c r="O867" i="4" s="1"/>
  <c r="AC867" i="4" s="1"/>
  <c r="A868" i="4"/>
  <c r="R868" i="4" s="1"/>
  <c r="A869" i="4"/>
  <c r="R869" i="4" s="1"/>
  <c r="A870" i="4"/>
  <c r="O870" i="4" s="1"/>
  <c r="AC870" i="4" s="1"/>
  <c r="A871" i="4"/>
  <c r="R871" i="4" s="1"/>
  <c r="A872" i="4"/>
  <c r="R872" i="4" s="1"/>
  <c r="A873" i="4"/>
  <c r="R873" i="4" s="1"/>
  <c r="A874" i="4"/>
  <c r="R874" i="4" s="1"/>
  <c r="A875" i="4"/>
  <c r="R875" i="4" s="1"/>
  <c r="A876" i="4"/>
  <c r="A877" i="4"/>
  <c r="R877" i="4" s="1"/>
  <c r="A878" i="4"/>
  <c r="R878" i="4" s="1"/>
  <c r="A879" i="4"/>
  <c r="I879" i="4" s="1"/>
  <c r="S879" i="4" s="1"/>
  <c r="A880" i="4"/>
  <c r="R880" i="4" s="1"/>
  <c r="A881" i="4"/>
  <c r="A882" i="4"/>
  <c r="L882" i="4" s="1"/>
  <c r="A883" i="4"/>
  <c r="R883" i="4" s="1"/>
  <c r="A884" i="4"/>
  <c r="R884" i="4" s="1"/>
  <c r="A885" i="4"/>
  <c r="R885" i="4" s="1"/>
  <c r="A886" i="4"/>
  <c r="R886" i="4" s="1"/>
  <c r="A887" i="4"/>
  <c r="R887" i="4" s="1"/>
  <c r="A888" i="4"/>
  <c r="R888" i="4" s="1"/>
  <c r="A889" i="4"/>
  <c r="R889" i="4" s="1"/>
  <c r="A890" i="4"/>
  <c r="R890" i="4" s="1"/>
  <c r="A891" i="4"/>
  <c r="L891" i="4" s="1"/>
  <c r="A892" i="4"/>
  <c r="R892" i="4" s="1"/>
  <c r="A893" i="4"/>
  <c r="J893" i="4" s="1"/>
  <c r="T893" i="4" s="1"/>
  <c r="A894" i="4"/>
  <c r="B894" i="4" s="1"/>
  <c r="A895" i="4"/>
  <c r="R895" i="4" s="1"/>
  <c r="A896" i="4"/>
  <c r="R896" i="4" s="1"/>
  <c r="A897" i="4"/>
  <c r="R897" i="4" s="1"/>
  <c r="A898" i="4"/>
  <c r="R898" i="4" s="1"/>
  <c r="A899" i="4"/>
  <c r="R899" i="4" s="1"/>
  <c r="A900" i="4"/>
  <c r="R900" i="4" s="1"/>
  <c r="A901" i="4"/>
  <c r="R901" i="4" s="1"/>
  <c r="A902" i="4"/>
  <c r="R902" i="4" s="1"/>
  <c r="A903" i="4"/>
  <c r="O903" i="4" s="1"/>
  <c r="AC903" i="4" s="1"/>
  <c r="A904" i="4"/>
  <c r="R904" i="4" s="1"/>
  <c r="A905" i="4"/>
  <c r="M905" i="4" s="1"/>
  <c r="A906" i="4"/>
  <c r="N906" i="4" s="1"/>
  <c r="AA906" i="4" s="1"/>
  <c r="A907" i="4"/>
  <c r="R907" i="4" s="1"/>
  <c r="A908" i="4"/>
  <c r="R908" i="4" s="1"/>
  <c r="A909" i="4"/>
  <c r="R909" i="4" s="1"/>
  <c r="A910" i="4"/>
  <c r="R910" i="4" s="1"/>
  <c r="A911" i="4"/>
  <c r="R911" i="4" s="1"/>
  <c r="A912" i="4"/>
  <c r="R912" i="4" s="1"/>
  <c r="A913" i="4"/>
  <c r="R913" i="4" s="1"/>
  <c r="A914" i="4"/>
  <c r="R914" i="4" s="1"/>
  <c r="A915" i="4"/>
  <c r="O915" i="4" s="1"/>
  <c r="AC915" i="4" s="1"/>
  <c r="A916" i="4"/>
  <c r="R916" i="4" s="1"/>
  <c r="A917" i="4"/>
  <c r="R917" i="4" s="1"/>
  <c r="A918" i="4"/>
  <c r="I918" i="4" s="1"/>
  <c r="S918" i="4" s="1"/>
  <c r="A919" i="4"/>
  <c r="R919" i="4" s="1"/>
  <c r="A920" i="4"/>
  <c r="R920" i="4" s="1"/>
  <c r="A921" i="4"/>
  <c r="R921" i="4" s="1"/>
  <c r="A922" i="4"/>
  <c r="R922" i="4" s="1"/>
  <c r="A923" i="4"/>
  <c r="R923" i="4" s="1"/>
  <c r="A924" i="4"/>
  <c r="R924" i="4" s="1"/>
  <c r="A925" i="4"/>
  <c r="R925" i="4" s="1"/>
  <c r="A926" i="4"/>
  <c r="R926" i="4" s="1"/>
  <c r="A927" i="4"/>
  <c r="I927" i="4" s="1"/>
  <c r="S927" i="4" s="1"/>
  <c r="A928" i="4"/>
  <c r="R928" i="4" s="1"/>
  <c r="A929" i="4"/>
  <c r="R929" i="4" s="1"/>
  <c r="A930" i="4"/>
  <c r="O930" i="4" s="1"/>
  <c r="AC930" i="4" s="1"/>
  <c r="A931" i="4"/>
  <c r="R931" i="4" s="1"/>
  <c r="A932" i="4"/>
  <c r="R932" i="4" s="1"/>
  <c r="A933" i="4"/>
  <c r="R933" i="4" s="1"/>
  <c r="A934" i="4"/>
  <c r="R934" i="4" s="1"/>
  <c r="A935" i="4"/>
  <c r="R935" i="4" s="1"/>
  <c r="A936" i="4"/>
  <c r="R936" i="4" s="1"/>
  <c r="A937" i="4"/>
  <c r="R937" i="4" s="1"/>
  <c r="A938" i="4"/>
  <c r="R938" i="4" s="1"/>
  <c r="A939" i="4"/>
  <c r="M939" i="4" s="1"/>
  <c r="A940" i="4"/>
  <c r="R940" i="4" s="1"/>
  <c r="A941" i="4"/>
  <c r="I941" i="4" s="1"/>
  <c r="S941" i="4" s="1"/>
  <c r="A942" i="4"/>
  <c r="K942" i="4" s="1"/>
  <c r="U942" i="4" s="1"/>
  <c r="A943" i="4"/>
  <c r="R943" i="4" s="1"/>
  <c r="A944" i="4"/>
  <c r="R944" i="4" s="1"/>
  <c r="A945" i="4"/>
  <c r="R945" i="4" s="1"/>
  <c r="A946" i="4"/>
  <c r="R946" i="4" s="1"/>
  <c r="A947" i="4"/>
  <c r="R947" i="4" s="1"/>
  <c r="A948" i="4"/>
  <c r="R948" i="4" s="1"/>
  <c r="A949" i="4"/>
  <c r="R949" i="4" s="1"/>
  <c r="A950" i="4"/>
  <c r="R950" i="4" s="1"/>
  <c r="A951" i="4"/>
  <c r="O951" i="4" s="1"/>
  <c r="AC951" i="4" s="1"/>
  <c r="A952" i="4"/>
  <c r="R952" i="4" s="1"/>
  <c r="A953" i="4"/>
  <c r="N953" i="4" s="1"/>
  <c r="AA953" i="4" s="1"/>
  <c r="A954" i="4"/>
  <c r="O954" i="4" s="1"/>
  <c r="AC954" i="4" s="1"/>
  <c r="A955" i="4"/>
  <c r="R955" i="4" s="1"/>
  <c r="A956" i="4"/>
  <c r="R956" i="4" s="1"/>
  <c r="A957" i="4"/>
  <c r="R957" i="4" s="1"/>
  <c r="A958" i="4"/>
  <c r="R958" i="4" s="1"/>
  <c r="A959" i="4"/>
  <c r="R959" i="4" s="1"/>
  <c r="A960" i="4"/>
  <c r="R960" i="4" s="1"/>
  <c r="A961" i="4"/>
  <c r="R961" i="4" s="1"/>
  <c r="A962" i="4"/>
  <c r="R962" i="4" s="1"/>
  <c r="A963" i="4"/>
  <c r="B963" i="4" s="1"/>
  <c r="A964" i="4"/>
  <c r="L964" i="4" s="1"/>
  <c r="A965" i="4"/>
  <c r="O965" i="4" s="1"/>
  <c r="AC965" i="4" s="1"/>
  <c r="A966" i="4"/>
  <c r="M966" i="4" s="1"/>
  <c r="A967" i="4"/>
  <c r="R967" i="4" s="1"/>
  <c r="A968" i="4"/>
  <c r="R968" i="4" s="1"/>
  <c r="A969" i="4"/>
  <c r="R969" i="4" s="1"/>
  <c r="A970" i="4"/>
  <c r="R970" i="4" s="1"/>
  <c r="A971" i="4"/>
  <c r="R971" i="4" s="1"/>
  <c r="A972" i="4"/>
  <c r="R972" i="4" s="1"/>
  <c r="A973" i="4"/>
  <c r="R973" i="4" s="1"/>
  <c r="A974" i="4"/>
  <c r="R974" i="4" s="1"/>
  <c r="A975" i="4"/>
  <c r="J975" i="4" s="1"/>
  <c r="T975" i="4" s="1"/>
  <c r="A976" i="4"/>
  <c r="L976" i="4" s="1"/>
  <c r="A977" i="4"/>
  <c r="R977" i="4" s="1"/>
  <c r="A978" i="4"/>
  <c r="C978" i="4" s="1"/>
  <c r="A979" i="4"/>
  <c r="R979" i="4" s="1"/>
  <c r="A980" i="4"/>
  <c r="R980" i="4" s="1"/>
  <c r="A981" i="4"/>
  <c r="R981" i="4" s="1"/>
  <c r="A982" i="4"/>
  <c r="R982" i="4" s="1"/>
  <c r="A983" i="4"/>
  <c r="R983" i="4" s="1"/>
  <c r="A984" i="4"/>
  <c r="R984" i="4" s="1"/>
  <c r="A985" i="4"/>
  <c r="R985" i="4" s="1"/>
  <c r="A986" i="4"/>
  <c r="R986" i="4" s="1"/>
  <c r="A987" i="4"/>
  <c r="H987" i="4" s="1"/>
  <c r="A988" i="4"/>
  <c r="D988" i="4" s="1"/>
  <c r="A989" i="4"/>
  <c r="A990" i="4"/>
  <c r="G990" i="4" s="1"/>
  <c r="A991" i="4"/>
  <c r="F991" i="4" s="1"/>
  <c r="A992" i="4"/>
  <c r="D992" i="4" s="1"/>
  <c r="A993" i="4"/>
  <c r="G993" i="4" s="1"/>
  <c r="A994" i="4"/>
  <c r="O994" i="4" s="1"/>
  <c r="A995" i="4"/>
  <c r="M995" i="4" s="1"/>
  <c r="A996" i="4"/>
  <c r="K996" i="4" s="1"/>
  <c r="A997" i="4"/>
  <c r="I997" i="4" s="1"/>
  <c r="A998" i="4"/>
  <c r="G998" i="4" s="1"/>
  <c r="A999" i="4"/>
  <c r="I999" i="4" s="1"/>
  <c r="A1000" i="4"/>
  <c r="F1000" i="4" s="1"/>
  <c r="A3" i="4"/>
  <c r="A4" i="4"/>
  <c r="R4" i="4" s="1"/>
  <c r="A5" i="4"/>
  <c r="R5" i="4" s="1"/>
  <c r="A6" i="4"/>
  <c r="R6" i="4" s="1"/>
  <c r="A2" i="4"/>
  <c r="R2" i="4" s="1"/>
  <c r="O998" i="4"/>
  <c r="N998" i="4"/>
  <c r="M998" i="4"/>
  <c r="L998" i="4"/>
  <c r="K998" i="4"/>
  <c r="E998" i="4"/>
  <c r="D998" i="4"/>
  <c r="C998" i="4"/>
  <c r="B998" i="4"/>
  <c r="K997" i="4"/>
  <c r="G997" i="4"/>
  <c r="E997" i="4"/>
  <c r="D997" i="4"/>
  <c r="C997" i="4"/>
  <c r="B997" i="4"/>
  <c r="O996" i="4"/>
  <c r="N996" i="4"/>
  <c r="I996" i="4"/>
  <c r="G996" i="4"/>
  <c r="E996" i="4"/>
  <c r="D996" i="4"/>
  <c r="C996" i="4"/>
  <c r="B996" i="4"/>
  <c r="O995" i="4"/>
  <c r="N995" i="4"/>
  <c r="K995" i="4"/>
  <c r="J995" i="4"/>
  <c r="E995" i="4"/>
  <c r="D995" i="4"/>
  <c r="C995" i="4"/>
  <c r="B995" i="4"/>
  <c r="M994" i="4"/>
  <c r="K994" i="4"/>
  <c r="J994" i="4"/>
  <c r="I994" i="4"/>
  <c r="G994" i="4"/>
  <c r="C994" i="4"/>
  <c r="B994" i="4"/>
  <c r="O993" i="4"/>
  <c r="N993" i="4"/>
  <c r="M993" i="4"/>
  <c r="L993" i="4"/>
  <c r="K993" i="4"/>
  <c r="J993" i="4"/>
  <c r="I993" i="4"/>
  <c r="H993" i="4"/>
  <c r="E993" i="4"/>
  <c r="D993" i="4"/>
  <c r="C993" i="4"/>
  <c r="B993" i="4"/>
  <c r="G992" i="4"/>
  <c r="N991" i="4"/>
  <c r="J991" i="4"/>
  <c r="I991" i="4"/>
  <c r="B991" i="4"/>
  <c r="H988" i="4"/>
  <c r="G988" i="4"/>
  <c r="E988" i="4"/>
  <c r="O986" i="4"/>
  <c r="AC986" i="4" s="1"/>
  <c r="N986" i="4"/>
  <c r="AA986" i="4" s="1"/>
  <c r="M986" i="4"/>
  <c r="L986" i="4"/>
  <c r="K986" i="4"/>
  <c r="U986" i="4" s="1"/>
  <c r="J986" i="4"/>
  <c r="T986" i="4" s="1"/>
  <c r="I986" i="4"/>
  <c r="S986" i="4" s="1"/>
  <c r="H986" i="4"/>
  <c r="G986" i="4"/>
  <c r="F986" i="4"/>
  <c r="E986" i="4"/>
  <c r="D986" i="4"/>
  <c r="C986" i="4"/>
  <c r="B986" i="4"/>
  <c r="O985" i="4"/>
  <c r="AC985" i="4" s="1"/>
  <c r="N985" i="4"/>
  <c r="AA985" i="4" s="1"/>
  <c r="M985" i="4"/>
  <c r="L985" i="4"/>
  <c r="K985" i="4"/>
  <c r="U985" i="4" s="1"/>
  <c r="J985" i="4"/>
  <c r="T985" i="4" s="1"/>
  <c r="I985" i="4"/>
  <c r="S985" i="4" s="1"/>
  <c r="C985" i="4"/>
  <c r="B985" i="4"/>
  <c r="O984" i="4"/>
  <c r="AC984" i="4" s="1"/>
  <c r="N984" i="4"/>
  <c r="AA984" i="4" s="1"/>
  <c r="M984" i="4"/>
  <c r="L984" i="4"/>
  <c r="K984" i="4"/>
  <c r="U984" i="4" s="1"/>
  <c r="J984" i="4"/>
  <c r="T984" i="4" s="1"/>
  <c r="I984" i="4"/>
  <c r="S984" i="4" s="1"/>
  <c r="C984" i="4"/>
  <c r="B984" i="4"/>
  <c r="O983" i="4"/>
  <c r="AC983" i="4" s="1"/>
  <c r="N983" i="4"/>
  <c r="AA983" i="4" s="1"/>
  <c r="M983" i="4"/>
  <c r="L983" i="4"/>
  <c r="K983" i="4"/>
  <c r="U983" i="4" s="1"/>
  <c r="J983" i="4"/>
  <c r="T983" i="4" s="1"/>
  <c r="I983" i="4"/>
  <c r="S983" i="4" s="1"/>
  <c r="C983" i="4"/>
  <c r="B983" i="4"/>
  <c r="O982" i="4"/>
  <c r="AC982" i="4" s="1"/>
  <c r="N982" i="4"/>
  <c r="AA982" i="4" s="1"/>
  <c r="M982" i="4"/>
  <c r="L982" i="4"/>
  <c r="K982" i="4"/>
  <c r="U982" i="4" s="1"/>
  <c r="J982" i="4"/>
  <c r="T982" i="4" s="1"/>
  <c r="I982" i="4"/>
  <c r="S982" i="4" s="1"/>
  <c r="C982" i="4"/>
  <c r="B982" i="4"/>
  <c r="O981" i="4"/>
  <c r="AC981" i="4" s="1"/>
  <c r="N981" i="4"/>
  <c r="AA981" i="4" s="1"/>
  <c r="M981" i="4"/>
  <c r="L981" i="4"/>
  <c r="K981" i="4"/>
  <c r="U981" i="4" s="1"/>
  <c r="J981" i="4"/>
  <c r="T981" i="4" s="1"/>
  <c r="I981" i="4"/>
  <c r="S981" i="4" s="1"/>
  <c r="C981" i="4"/>
  <c r="B981" i="4"/>
  <c r="M980" i="4"/>
  <c r="O979" i="4"/>
  <c r="AC979" i="4" s="1"/>
  <c r="L979" i="4"/>
  <c r="K979" i="4"/>
  <c r="U979" i="4" s="1"/>
  <c r="J979" i="4"/>
  <c r="T979" i="4" s="1"/>
  <c r="O976" i="4"/>
  <c r="AC976" i="4" s="1"/>
  <c r="N976" i="4"/>
  <c r="AA976" i="4" s="1"/>
  <c r="M976" i="4"/>
  <c r="I976" i="4"/>
  <c r="S976" i="4" s="1"/>
  <c r="C976" i="4"/>
  <c r="B976" i="4"/>
  <c r="O974" i="4"/>
  <c r="AC974" i="4" s="1"/>
  <c r="N974" i="4"/>
  <c r="AA974" i="4" s="1"/>
  <c r="M974" i="4"/>
  <c r="L974" i="4"/>
  <c r="K974" i="4"/>
  <c r="U974" i="4" s="1"/>
  <c r="J974" i="4"/>
  <c r="T974" i="4" s="1"/>
  <c r="I974" i="4"/>
  <c r="S974" i="4" s="1"/>
  <c r="H974" i="4"/>
  <c r="G974" i="4"/>
  <c r="F974" i="4"/>
  <c r="E974" i="4"/>
  <c r="D974" i="4"/>
  <c r="C974" i="4"/>
  <c r="B974" i="4"/>
  <c r="O973" i="4"/>
  <c r="AC973" i="4" s="1"/>
  <c r="N973" i="4"/>
  <c r="AA973" i="4" s="1"/>
  <c r="M973" i="4"/>
  <c r="L973" i="4"/>
  <c r="K973" i="4"/>
  <c r="U973" i="4" s="1"/>
  <c r="J973" i="4"/>
  <c r="T973" i="4" s="1"/>
  <c r="I973" i="4"/>
  <c r="S973" i="4" s="1"/>
  <c r="C973" i="4"/>
  <c r="B973" i="4"/>
  <c r="O972" i="4"/>
  <c r="AC972" i="4" s="1"/>
  <c r="N972" i="4"/>
  <c r="AA972" i="4" s="1"/>
  <c r="M972" i="4"/>
  <c r="L972" i="4"/>
  <c r="K972" i="4"/>
  <c r="U972" i="4" s="1"/>
  <c r="J972" i="4"/>
  <c r="T972" i="4" s="1"/>
  <c r="I972" i="4"/>
  <c r="S972" i="4" s="1"/>
  <c r="C972" i="4"/>
  <c r="B972" i="4"/>
  <c r="O971" i="4"/>
  <c r="AC971" i="4" s="1"/>
  <c r="N971" i="4"/>
  <c r="AA971" i="4" s="1"/>
  <c r="M971" i="4"/>
  <c r="L971" i="4"/>
  <c r="K971" i="4"/>
  <c r="U971" i="4" s="1"/>
  <c r="J971" i="4"/>
  <c r="T971" i="4" s="1"/>
  <c r="I971" i="4"/>
  <c r="S971" i="4" s="1"/>
  <c r="C971" i="4"/>
  <c r="B971" i="4"/>
  <c r="O970" i="4"/>
  <c r="AC970" i="4" s="1"/>
  <c r="N970" i="4"/>
  <c r="AA970" i="4" s="1"/>
  <c r="M970" i="4"/>
  <c r="L970" i="4"/>
  <c r="K970" i="4"/>
  <c r="U970" i="4" s="1"/>
  <c r="J970" i="4"/>
  <c r="T970" i="4" s="1"/>
  <c r="I970" i="4"/>
  <c r="S970" i="4" s="1"/>
  <c r="C970" i="4"/>
  <c r="B970" i="4"/>
  <c r="O969" i="4"/>
  <c r="AC969" i="4" s="1"/>
  <c r="N969" i="4"/>
  <c r="AA969" i="4" s="1"/>
  <c r="M969" i="4"/>
  <c r="L969" i="4"/>
  <c r="K969" i="4"/>
  <c r="U969" i="4" s="1"/>
  <c r="J969" i="4"/>
  <c r="T969" i="4" s="1"/>
  <c r="I969" i="4"/>
  <c r="S969" i="4" s="1"/>
  <c r="C969" i="4"/>
  <c r="B969" i="4"/>
  <c r="L968" i="4"/>
  <c r="N967" i="4"/>
  <c r="AA967" i="4" s="1"/>
  <c r="K967" i="4"/>
  <c r="U967" i="4" s="1"/>
  <c r="J967" i="4"/>
  <c r="T967" i="4" s="1"/>
  <c r="I967" i="4"/>
  <c r="S967" i="4" s="1"/>
  <c r="O964" i="4"/>
  <c r="AC964" i="4" s="1"/>
  <c r="N964" i="4"/>
  <c r="AA964" i="4" s="1"/>
  <c r="M964" i="4"/>
  <c r="K964" i="4"/>
  <c r="U964" i="4" s="1"/>
  <c r="J964" i="4"/>
  <c r="T964" i="4" s="1"/>
  <c r="I964" i="4"/>
  <c r="S964" i="4" s="1"/>
  <c r="C964" i="4"/>
  <c r="B964" i="4"/>
  <c r="O962" i="4"/>
  <c r="AC962" i="4" s="1"/>
  <c r="N962" i="4"/>
  <c r="AA962" i="4" s="1"/>
  <c r="M962" i="4"/>
  <c r="L962" i="4"/>
  <c r="K962" i="4"/>
  <c r="U962" i="4" s="1"/>
  <c r="J962" i="4"/>
  <c r="T962" i="4" s="1"/>
  <c r="I962" i="4"/>
  <c r="S962" i="4" s="1"/>
  <c r="H962" i="4"/>
  <c r="G962" i="4"/>
  <c r="F962" i="4"/>
  <c r="E962" i="4"/>
  <c r="D962" i="4"/>
  <c r="C962" i="4"/>
  <c r="B962" i="4"/>
  <c r="O961" i="4"/>
  <c r="AC961" i="4" s="1"/>
  <c r="N961" i="4"/>
  <c r="AA961" i="4" s="1"/>
  <c r="M961" i="4"/>
  <c r="L961" i="4"/>
  <c r="K961" i="4"/>
  <c r="U961" i="4" s="1"/>
  <c r="J961" i="4"/>
  <c r="T961" i="4" s="1"/>
  <c r="I961" i="4"/>
  <c r="S961" i="4" s="1"/>
  <c r="C961" i="4"/>
  <c r="B961" i="4"/>
  <c r="O960" i="4"/>
  <c r="AC960" i="4" s="1"/>
  <c r="N960" i="4"/>
  <c r="AA960" i="4" s="1"/>
  <c r="M960" i="4"/>
  <c r="L960" i="4"/>
  <c r="K960" i="4"/>
  <c r="U960" i="4" s="1"/>
  <c r="J960" i="4"/>
  <c r="T960" i="4" s="1"/>
  <c r="I960" i="4"/>
  <c r="S960" i="4" s="1"/>
  <c r="C960" i="4"/>
  <c r="B960" i="4"/>
  <c r="O959" i="4"/>
  <c r="AC959" i="4" s="1"/>
  <c r="N959" i="4"/>
  <c r="AA959" i="4" s="1"/>
  <c r="M959" i="4"/>
  <c r="L959" i="4"/>
  <c r="K959" i="4"/>
  <c r="U959" i="4" s="1"/>
  <c r="J959" i="4"/>
  <c r="T959" i="4" s="1"/>
  <c r="I959" i="4"/>
  <c r="S959" i="4" s="1"/>
  <c r="C959" i="4"/>
  <c r="B959" i="4"/>
  <c r="O958" i="4"/>
  <c r="AC958" i="4" s="1"/>
  <c r="N958" i="4"/>
  <c r="AA958" i="4" s="1"/>
  <c r="M958" i="4"/>
  <c r="L958" i="4"/>
  <c r="K958" i="4"/>
  <c r="U958" i="4" s="1"/>
  <c r="J958" i="4"/>
  <c r="T958" i="4" s="1"/>
  <c r="I958" i="4"/>
  <c r="S958" i="4" s="1"/>
  <c r="C958" i="4"/>
  <c r="B958" i="4"/>
  <c r="O957" i="4"/>
  <c r="AC957" i="4" s="1"/>
  <c r="N957" i="4"/>
  <c r="AA957" i="4" s="1"/>
  <c r="M957" i="4"/>
  <c r="L957" i="4"/>
  <c r="K957" i="4"/>
  <c r="U957" i="4" s="1"/>
  <c r="J957" i="4"/>
  <c r="T957" i="4" s="1"/>
  <c r="I957" i="4"/>
  <c r="S957" i="4" s="1"/>
  <c r="C957" i="4"/>
  <c r="B957" i="4"/>
  <c r="M956" i="4"/>
  <c r="O955" i="4"/>
  <c r="AC955" i="4" s="1"/>
  <c r="N955" i="4"/>
  <c r="AA955" i="4" s="1"/>
  <c r="M955" i="4"/>
  <c r="L955" i="4"/>
  <c r="K955" i="4"/>
  <c r="U955" i="4" s="1"/>
  <c r="J955" i="4"/>
  <c r="T955" i="4" s="1"/>
  <c r="B955" i="4"/>
  <c r="O952" i="4"/>
  <c r="AC952" i="4" s="1"/>
  <c r="N952" i="4"/>
  <c r="AA952" i="4" s="1"/>
  <c r="M952" i="4"/>
  <c r="L952" i="4"/>
  <c r="K952" i="4"/>
  <c r="U952" i="4" s="1"/>
  <c r="J952" i="4"/>
  <c r="T952" i="4" s="1"/>
  <c r="I952" i="4"/>
  <c r="S952" i="4" s="1"/>
  <c r="C952" i="4"/>
  <c r="B952" i="4"/>
  <c r="O950" i="4"/>
  <c r="AC950" i="4" s="1"/>
  <c r="N950" i="4"/>
  <c r="AA950" i="4" s="1"/>
  <c r="M950" i="4"/>
  <c r="L950" i="4"/>
  <c r="K950" i="4"/>
  <c r="U950" i="4" s="1"/>
  <c r="J950" i="4"/>
  <c r="T950" i="4" s="1"/>
  <c r="I950" i="4"/>
  <c r="S950" i="4" s="1"/>
  <c r="H950" i="4"/>
  <c r="G950" i="4"/>
  <c r="F950" i="4"/>
  <c r="E950" i="4"/>
  <c r="D950" i="4"/>
  <c r="C950" i="4"/>
  <c r="B950" i="4"/>
  <c r="O949" i="4"/>
  <c r="AC949" i="4" s="1"/>
  <c r="N949" i="4"/>
  <c r="AA949" i="4" s="1"/>
  <c r="M949" i="4"/>
  <c r="L949" i="4"/>
  <c r="K949" i="4"/>
  <c r="U949" i="4" s="1"/>
  <c r="J949" i="4"/>
  <c r="T949" i="4" s="1"/>
  <c r="I949" i="4"/>
  <c r="S949" i="4" s="1"/>
  <c r="C949" i="4"/>
  <c r="B949" i="4"/>
  <c r="O948" i="4"/>
  <c r="AC948" i="4" s="1"/>
  <c r="N948" i="4"/>
  <c r="AA948" i="4" s="1"/>
  <c r="M948" i="4"/>
  <c r="L948" i="4"/>
  <c r="K948" i="4"/>
  <c r="U948" i="4" s="1"/>
  <c r="J948" i="4"/>
  <c r="T948" i="4" s="1"/>
  <c r="I948" i="4"/>
  <c r="S948" i="4" s="1"/>
  <c r="C948" i="4"/>
  <c r="B948" i="4"/>
  <c r="O947" i="4"/>
  <c r="AC947" i="4" s="1"/>
  <c r="N947" i="4"/>
  <c r="AA947" i="4" s="1"/>
  <c r="M947" i="4"/>
  <c r="L947" i="4"/>
  <c r="K947" i="4"/>
  <c r="U947" i="4" s="1"/>
  <c r="J947" i="4"/>
  <c r="T947" i="4" s="1"/>
  <c r="I947" i="4"/>
  <c r="S947" i="4" s="1"/>
  <c r="C947" i="4"/>
  <c r="B947" i="4"/>
  <c r="O946" i="4"/>
  <c r="AC946" i="4" s="1"/>
  <c r="N946" i="4"/>
  <c r="AA946" i="4" s="1"/>
  <c r="M946" i="4"/>
  <c r="L946" i="4"/>
  <c r="K946" i="4"/>
  <c r="U946" i="4" s="1"/>
  <c r="J946" i="4"/>
  <c r="T946" i="4" s="1"/>
  <c r="I946" i="4"/>
  <c r="S946" i="4" s="1"/>
  <c r="C946" i="4"/>
  <c r="B946" i="4"/>
  <c r="O945" i="4"/>
  <c r="AC945" i="4" s="1"/>
  <c r="N945" i="4"/>
  <c r="AA945" i="4" s="1"/>
  <c r="M945" i="4"/>
  <c r="L945" i="4"/>
  <c r="K945" i="4"/>
  <c r="U945" i="4" s="1"/>
  <c r="J945" i="4"/>
  <c r="T945" i="4" s="1"/>
  <c r="I945" i="4"/>
  <c r="S945" i="4" s="1"/>
  <c r="C945" i="4"/>
  <c r="B945" i="4"/>
  <c r="O944" i="4"/>
  <c r="AC944" i="4" s="1"/>
  <c r="O943" i="4"/>
  <c r="AC943" i="4" s="1"/>
  <c r="N943" i="4"/>
  <c r="AA943" i="4" s="1"/>
  <c r="M943" i="4"/>
  <c r="L943" i="4"/>
  <c r="K943" i="4"/>
  <c r="U943" i="4" s="1"/>
  <c r="J943" i="4"/>
  <c r="T943" i="4" s="1"/>
  <c r="I943" i="4"/>
  <c r="S943" i="4" s="1"/>
  <c r="C943" i="4"/>
  <c r="B943" i="4"/>
  <c r="O940" i="4"/>
  <c r="AC940" i="4" s="1"/>
  <c r="N940" i="4"/>
  <c r="AA940" i="4" s="1"/>
  <c r="M940" i="4"/>
  <c r="L940" i="4"/>
  <c r="K940" i="4"/>
  <c r="U940" i="4" s="1"/>
  <c r="J940" i="4"/>
  <c r="T940" i="4" s="1"/>
  <c r="I940" i="4"/>
  <c r="S940" i="4" s="1"/>
  <c r="C940" i="4"/>
  <c r="B940" i="4"/>
  <c r="O939" i="4"/>
  <c r="AC939" i="4" s="1"/>
  <c r="O938" i="4"/>
  <c r="AC938" i="4" s="1"/>
  <c r="N938" i="4"/>
  <c r="AA938" i="4" s="1"/>
  <c r="M938" i="4"/>
  <c r="L938" i="4"/>
  <c r="K938" i="4"/>
  <c r="U938" i="4" s="1"/>
  <c r="J938" i="4"/>
  <c r="T938" i="4" s="1"/>
  <c r="I938" i="4"/>
  <c r="S938" i="4" s="1"/>
  <c r="H938" i="4"/>
  <c r="G938" i="4"/>
  <c r="F938" i="4"/>
  <c r="E938" i="4"/>
  <c r="D938" i="4"/>
  <c r="C938" i="4"/>
  <c r="B938" i="4"/>
  <c r="O937" i="4"/>
  <c r="AC937" i="4" s="1"/>
  <c r="N937" i="4"/>
  <c r="AA937" i="4" s="1"/>
  <c r="M937" i="4"/>
  <c r="L937" i="4"/>
  <c r="K937" i="4"/>
  <c r="U937" i="4" s="1"/>
  <c r="J937" i="4"/>
  <c r="T937" i="4" s="1"/>
  <c r="I937" i="4"/>
  <c r="S937" i="4" s="1"/>
  <c r="C937" i="4"/>
  <c r="B937" i="4"/>
  <c r="O936" i="4"/>
  <c r="AC936" i="4" s="1"/>
  <c r="N936" i="4"/>
  <c r="AA936" i="4" s="1"/>
  <c r="M936" i="4"/>
  <c r="L936" i="4"/>
  <c r="K936" i="4"/>
  <c r="U936" i="4" s="1"/>
  <c r="J936" i="4"/>
  <c r="T936" i="4" s="1"/>
  <c r="I936" i="4"/>
  <c r="S936" i="4" s="1"/>
  <c r="C936" i="4"/>
  <c r="B936" i="4"/>
  <c r="O935" i="4"/>
  <c r="AC935" i="4" s="1"/>
  <c r="N935" i="4"/>
  <c r="AA935" i="4" s="1"/>
  <c r="M935" i="4"/>
  <c r="L935" i="4"/>
  <c r="K935" i="4"/>
  <c r="U935" i="4" s="1"/>
  <c r="J935" i="4"/>
  <c r="T935" i="4" s="1"/>
  <c r="I935" i="4"/>
  <c r="S935" i="4" s="1"/>
  <c r="C935" i="4"/>
  <c r="B935" i="4"/>
  <c r="O934" i="4"/>
  <c r="AC934" i="4" s="1"/>
  <c r="N934" i="4"/>
  <c r="AA934" i="4" s="1"/>
  <c r="M934" i="4"/>
  <c r="L934" i="4"/>
  <c r="K934" i="4"/>
  <c r="U934" i="4" s="1"/>
  <c r="J934" i="4"/>
  <c r="T934" i="4" s="1"/>
  <c r="I934" i="4"/>
  <c r="S934" i="4" s="1"/>
  <c r="C934" i="4"/>
  <c r="B934" i="4"/>
  <c r="O933" i="4"/>
  <c r="AC933" i="4" s="1"/>
  <c r="N933" i="4"/>
  <c r="AA933" i="4" s="1"/>
  <c r="M933" i="4"/>
  <c r="L933" i="4"/>
  <c r="K933" i="4"/>
  <c r="U933" i="4" s="1"/>
  <c r="J933" i="4"/>
  <c r="T933" i="4" s="1"/>
  <c r="I933" i="4"/>
  <c r="S933" i="4" s="1"/>
  <c r="C933" i="4"/>
  <c r="B933" i="4"/>
  <c r="B932" i="4"/>
  <c r="O931" i="4"/>
  <c r="AC931" i="4" s="1"/>
  <c r="N931" i="4"/>
  <c r="AA931" i="4" s="1"/>
  <c r="M931" i="4"/>
  <c r="L931" i="4"/>
  <c r="K931" i="4"/>
  <c r="U931" i="4" s="1"/>
  <c r="J931" i="4"/>
  <c r="T931" i="4" s="1"/>
  <c r="I931" i="4"/>
  <c r="S931" i="4" s="1"/>
  <c r="C931" i="4"/>
  <c r="B931" i="4"/>
  <c r="O928" i="4"/>
  <c r="AC928" i="4" s="1"/>
  <c r="N928" i="4"/>
  <c r="AA928" i="4" s="1"/>
  <c r="M928" i="4"/>
  <c r="L928" i="4"/>
  <c r="K928" i="4"/>
  <c r="U928" i="4" s="1"/>
  <c r="J928" i="4"/>
  <c r="T928" i="4" s="1"/>
  <c r="I928" i="4"/>
  <c r="S928" i="4" s="1"/>
  <c r="C928" i="4"/>
  <c r="B928" i="4"/>
  <c r="O926" i="4"/>
  <c r="AC926" i="4" s="1"/>
  <c r="N926" i="4"/>
  <c r="AA926" i="4" s="1"/>
  <c r="M926" i="4"/>
  <c r="L926" i="4"/>
  <c r="K926" i="4"/>
  <c r="U926" i="4" s="1"/>
  <c r="J926" i="4"/>
  <c r="T926" i="4" s="1"/>
  <c r="I926" i="4"/>
  <c r="S926" i="4" s="1"/>
  <c r="H926" i="4"/>
  <c r="G926" i="4"/>
  <c r="F926" i="4"/>
  <c r="E926" i="4"/>
  <c r="D926" i="4"/>
  <c r="C926" i="4"/>
  <c r="B926" i="4"/>
  <c r="O925" i="4"/>
  <c r="AC925" i="4" s="1"/>
  <c r="N925" i="4"/>
  <c r="AA925" i="4" s="1"/>
  <c r="M925" i="4"/>
  <c r="L925" i="4"/>
  <c r="K925" i="4"/>
  <c r="U925" i="4" s="1"/>
  <c r="J925" i="4"/>
  <c r="T925" i="4" s="1"/>
  <c r="I925" i="4"/>
  <c r="S925" i="4" s="1"/>
  <c r="C925" i="4"/>
  <c r="B925" i="4"/>
  <c r="O924" i="4"/>
  <c r="AC924" i="4" s="1"/>
  <c r="N924" i="4"/>
  <c r="AA924" i="4" s="1"/>
  <c r="M924" i="4"/>
  <c r="L924" i="4"/>
  <c r="K924" i="4"/>
  <c r="U924" i="4" s="1"/>
  <c r="J924" i="4"/>
  <c r="T924" i="4" s="1"/>
  <c r="I924" i="4"/>
  <c r="S924" i="4" s="1"/>
  <c r="C924" i="4"/>
  <c r="B924" i="4"/>
  <c r="O923" i="4"/>
  <c r="AC923" i="4" s="1"/>
  <c r="N923" i="4"/>
  <c r="AA923" i="4" s="1"/>
  <c r="M923" i="4"/>
  <c r="L923" i="4"/>
  <c r="K923" i="4"/>
  <c r="U923" i="4" s="1"/>
  <c r="J923" i="4"/>
  <c r="T923" i="4" s="1"/>
  <c r="I923" i="4"/>
  <c r="S923" i="4" s="1"/>
  <c r="C923" i="4"/>
  <c r="B923" i="4"/>
  <c r="O922" i="4"/>
  <c r="AC922" i="4" s="1"/>
  <c r="N922" i="4"/>
  <c r="AA922" i="4" s="1"/>
  <c r="M922" i="4"/>
  <c r="L922" i="4"/>
  <c r="K922" i="4"/>
  <c r="U922" i="4" s="1"/>
  <c r="J922" i="4"/>
  <c r="T922" i="4" s="1"/>
  <c r="I922" i="4"/>
  <c r="S922" i="4" s="1"/>
  <c r="C922" i="4"/>
  <c r="B922" i="4"/>
  <c r="O921" i="4"/>
  <c r="AC921" i="4" s="1"/>
  <c r="N921" i="4"/>
  <c r="AA921" i="4" s="1"/>
  <c r="M921" i="4"/>
  <c r="L921" i="4"/>
  <c r="K921" i="4"/>
  <c r="U921" i="4" s="1"/>
  <c r="J921" i="4"/>
  <c r="T921" i="4" s="1"/>
  <c r="I921" i="4"/>
  <c r="S921" i="4" s="1"/>
  <c r="C921" i="4"/>
  <c r="B921" i="4"/>
  <c r="I920" i="4"/>
  <c r="S920" i="4" s="1"/>
  <c r="C920" i="4"/>
  <c r="O919" i="4"/>
  <c r="AC919" i="4" s="1"/>
  <c r="N919" i="4"/>
  <c r="AA919" i="4" s="1"/>
  <c r="M919" i="4"/>
  <c r="L919" i="4"/>
  <c r="K919" i="4"/>
  <c r="U919" i="4" s="1"/>
  <c r="J919" i="4"/>
  <c r="T919" i="4" s="1"/>
  <c r="I919" i="4"/>
  <c r="S919" i="4" s="1"/>
  <c r="C919" i="4"/>
  <c r="B919" i="4"/>
  <c r="J918" i="4"/>
  <c r="T918" i="4" s="1"/>
  <c r="O916" i="4"/>
  <c r="AC916" i="4" s="1"/>
  <c r="N916" i="4"/>
  <c r="AA916" i="4" s="1"/>
  <c r="M916" i="4"/>
  <c r="L916" i="4"/>
  <c r="K916" i="4"/>
  <c r="U916" i="4" s="1"/>
  <c r="J916" i="4"/>
  <c r="T916" i="4" s="1"/>
  <c r="I916" i="4"/>
  <c r="S916" i="4" s="1"/>
  <c r="C916" i="4"/>
  <c r="B916" i="4"/>
  <c r="O914" i="4"/>
  <c r="AC914" i="4" s="1"/>
  <c r="N914" i="4"/>
  <c r="AA914" i="4" s="1"/>
  <c r="M914" i="4"/>
  <c r="L914" i="4"/>
  <c r="K914" i="4"/>
  <c r="U914" i="4" s="1"/>
  <c r="J914" i="4"/>
  <c r="T914" i="4" s="1"/>
  <c r="I914" i="4"/>
  <c r="S914" i="4" s="1"/>
  <c r="H914" i="4"/>
  <c r="G914" i="4"/>
  <c r="F914" i="4"/>
  <c r="E914" i="4"/>
  <c r="D914" i="4"/>
  <c r="C914" i="4"/>
  <c r="B914" i="4"/>
  <c r="O913" i="4"/>
  <c r="AC913" i="4" s="1"/>
  <c r="N913" i="4"/>
  <c r="AA913" i="4" s="1"/>
  <c r="M913" i="4"/>
  <c r="L913" i="4"/>
  <c r="K913" i="4"/>
  <c r="U913" i="4" s="1"/>
  <c r="J913" i="4"/>
  <c r="T913" i="4" s="1"/>
  <c r="I913" i="4"/>
  <c r="S913" i="4" s="1"/>
  <c r="C913" i="4"/>
  <c r="B913" i="4"/>
  <c r="O912" i="4"/>
  <c r="AC912" i="4" s="1"/>
  <c r="N912" i="4"/>
  <c r="AA912" i="4" s="1"/>
  <c r="M912" i="4"/>
  <c r="L912" i="4"/>
  <c r="K912" i="4"/>
  <c r="U912" i="4" s="1"/>
  <c r="J912" i="4"/>
  <c r="T912" i="4" s="1"/>
  <c r="I912" i="4"/>
  <c r="S912" i="4" s="1"/>
  <c r="C912" i="4"/>
  <c r="B912" i="4"/>
  <c r="O911" i="4"/>
  <c r="AC911" i="4" s="1"/>
  <c r="N911" i="4"/>
  <c r="AA911" i="4" s="1"/>
  <c r="M911" i="4"/>
  <c r="L911" i="4"/>
  <c r="K911" i="4"/>
  <c r="U911" i="4" s="1"/>
  <c r="J911" i="4"/>
  <c r="T911" i="4" s="1"/>
  <c r="I911" i="4"/>
  <c r="S911" i="4" s="1"/>
  <c r="C911" i="4"/>
  <c r="B911" i="4"/>
  <c r="O910" i="4"/>
  <c r="AC910" i="4" s="1"/>
  <c r="N910" i="4"/>
  <c r="AA910" i="4" s="1"/>
  <c r="M910" i="4"/>
  <c r="L910" i="4"/>
  <c r="K910" i="4"/>
  <c r="U910" i="4" s="1"/>
  <c r="J910" i="4"/>
  <c r="T910" i="4" s="1"/>
  <c r="I910" i="4"/>
  <c r="S910" i="4" s="1"/>
  <c r="C910" i="4"/>
  <c r="B910" i="4"/>
  <c r="O909" i="4"/>
  <c r="AC909" i="4" s="1"/>
  <c r="N909" i="4"/>
  <c r="AA909" i="4" s="1"/>
  <c r="M909" i="4"/>
  <c r="L909" i="4"/>
  <c r="K909" i="4"/>
  <c r="U909" i="4" s="1"/>
  <c r="J909" i="4"/>
  <c r="T909" i="4" s="1"/>
  <c r="I909" i="4"/>
  <c r="S909" i="4" s="1"/>
  <c r="C909" i="4"/>
  <c r="B909" i="4"/>
  <c r="L908" i="4"/>
  <c r="K908" i="4"/>
  <c r="U908" i="4" s="1"/>
  <c r="O907" i="4"/>
  <c r="AC907" i="4" s="1"/>
  <c r="N907" i="4"/>
  <c r="AA907" i="4" s="1"/>
  <c r="M907" i="4"/>
  <c r="L907" i="4"/>
  <c r="K907" i="4"/>
  <c r="U907" i="4" s="1"/>
  <c r="J907" i="4"/>
  <c r="T907" i="4" s="1"/>
  <c r="I907" i="4"/>
  <c r="S907" i="4" s="1"/>
  <c r="C907" i="4"/>
  <c r="B907" i="4"/>
  <c r="O906" i="4"/>
  <c r="AC906" i="4" s="1"/>
  <c r="O904" i="4"/>
  <c r="AC904" i="4" s="1"/>
  <c r="N904" i="4"/>
  <c r="AA904" i="4" s="1"/>
  <c r="M904" i="4"/>
  <c r="L904" i="4"/>
  <c r="K904" i="4"/>
  <c r="U904" i="4" s="1"/>
  <c r="J904" i="4"/>
  <c r="T904" i="4" s="1"/>
  <c r="I904" i="4"/>
  <c r="S904" i="4" s="1"/>
  <c r="C904" i="4"/>
  <c r="B904" i="4"/>
  <c r="O902" i="4"/>
  <c r="AC902" i="4" s="1"/>
  <c r="N902" i="4"/>
  <c r="AA902" i="4" s="1"/>
  <c r="M902" i="4"/>
  <c r="L902" i="4"/>
  <c r="K902" i="4"/>
  <c r="U902" i="4" s="1"/>
  <c r="J902" i="4"/>
  <c r="T902" i="4" s="1"/>
  <c r="I902" i="4"/>
  <c r="S902" i="4" s="1"/>
  <c r="H902" i="4"/>
  <c r="G902" i="4"/>
  <c r="F902" i="4"/>
  <c r="E902" i="4"/>
  <c r="D902" i="4"/>
  <c r="C902" i="4"/>
  <c r="B902" i="4"/>
  <c r="O901" i="4"/>
  <c r="AC901" i="4" s="1"/>
  <c r="N901" i="4"/>
  <c r="AA901" i="4" s="1"/>
  <c r="M901" i="4"/>
  <c r="L901" i="4"/>
  <c r="K901" i="4"/>
  <c r="U901" i="4" s="1"/>
  <c r="J901" i="4"/>
  <c r="T901" i="4" s="1"/>
  <c r="I901" i="4"/>
  <c r="S901" i="4" s="1"/>
  <c r="C901" i="4"/>
  <c r="B901" i="4"/>
  <c r="O900" i="4"/>
  <c r="AC900" i="4" s="1"/>
  <c r="N900" i="4"/>
  <c r="AA900" i="4" s="1"/>
  <c r="M900" i="4"/>
  <c r="L900" i="4"/>
  <c r="K900" i="4"/>
  <c r="U900" i="4" s="1"/>
  <c r="J900" i="4"/>
  <c r="T900" i="4" s="1"/>
  <c r="I900" i="4"/>
  <c r="S900" i="4" s="1"/>
  <c r="C900" i="4"/>
  <c r="B900" i="4"/>
  <c r="O899" i="4"/>
  <c r="AC899" i="4" s="1"/>
  <c r="N899" i="4"/>
  <c r="AA899" i="4" s="1"/>
  <c r="M899" i="4"/>
  <c r="L899" i="4"/>
  <c r="K899" i="4"/>
  <c r="U899" i="4" s="1"/>
  <c r="J899" i="4"/>
  <c r="T899" i="4" s="1"/>
  <c r="I899" i="4"/>
  <c r="S899" i="4" s="1"/>
  <c r="C899" i="4"/>
  <c r="B899" i="4"/>
  <c r="O898" i="4"/>
  <c r="AC898" i="4" s="1"/>
  <c r="N898" i="4"/>
  <c r="AA898" i="4" s="1"/>
  <c r="M898" i="4"/>
  <c r="L898" i="4"/>
  <c r="K898" i="4"/>
  <c r="U898" i="4" s="1"/>
  <c r="J898" i="4"/>
  <c r="T898" i="4" s="1"/>
  <c r="I898" i="4"/>
  <c r="S898" i="4" s="1"/>
  <c r="C898" i="4"/>
  <c r="B898" i="4"/>
  <c r="O897" i="4"/>
  <c r="AC897" i="4" s="1"/>
  <c r="N897" i="4"/>
  <c r="AA897" i="4" s="1"/>
  <c r="M897" i="4"/>
  <c r="L897" i="4"/>
  <c r="K897" i="4"/>
  <c r="U897" i="4" s="1"/>
  <c r="J897" i="4"/>
  <c r="T897" i="4" s="1"/>
  <c r="I897" i="4"/>
  <c r="S897" i="4" s="1"/>
  <c r="C897" i="4"/>
  <c r="B897" i="4"/>
  <c r="O896" i="4"/>
  <c r="AC896" i="4" s="1"/>
  <c r="N896" i="4"/>
  <c r="AA896" i="4" s="1"/>
  <c r="O895" i="4"/>
  <c r="AC895" i="4" s="1"/>
  <c r="N895" i="4"/>
  <c r="AA895" i="4" s="1"/>
  <c r="M895" i="4"/>
  <c r="L895" i="4"/>
  <c r="K895" i="4"/>
  <c r="U895" i="4" s="1"/>
  <c r="J895" i="4"/>
  <c r="T895" i="4" s="1"/>
  <c r="I895" i="4"/>
  <c r="S895" i="4" s="1"/>
  <c r="C895" i="4"/>
  <c r="B895" i="4"/>
  <c r="C894" i="4"/>
  <c r="O892" i="4"/>
  <c r="AC892" i="4" s="1"/>
  <c r="N892" i="4"/>
  <c r="AA892" i="4" s="1"/>
  <c r="M892" i="4"/>
  <c r="L892" i="4"/>
  <c r="K892" i="4"/>
  <c r="U892" i="4" s="1"/>
  <c r="J892" i="4"/>
  <c r="T892" i="4" s="1"/>
  <c r="I892" i="4"/>
  <c r="S892" i="4" s="1"/>
  <c r="C892" i="4"/>
  <c r="B892" i="4"/>
  <c r="O890" i="4"/>
  <c r="AC890" i="4" s="1"/>
  <c r="N890" i="4"/>
  <c r="AA890" i="4" s="1"/>
  <c r="M890" i="4"/>
  <c r="L890" i="4"/>
  <c r="K890" i="4"/>
  <c r="U890" i="4" s="1"/>
  <c r="J890" i="4"/>
  <c r="T890" i="4" s="1"/>
  <c r="I890" i="4"/>
  <c r="S890" i="4" s="1"/>
  <c r="H890" i="4"/>
  <c r="G890" i="4"/>
  <c r="F890" i="4"/>
  <c r="E890" i="4"/>
  <c r="D890" i="4"/>
  <c r="C890" i="4"/>
  <c r="B890" i="4"/>
  <c r="O889" i="4"/>
  <c r="AC889" i="4" s="1"/>
  <c r="N889" i="4"/>
  <c r="AA889" i="4" s="1"/>
  <c r="M889" i="4"/>
  <c r="L889" i="4"/>
  <c r="K889" i="4"/>
  <c r="U889" i="4" s="1"/>
  <c r="J889" i="4"/>
  <c r="T889" i="4" s="1"/>
  <c r="I889" i="4"/>
  <c r="S889" i="4" s="1"/>
  <c r="C889" i="4"/>
  <c r="B889" i="4"/>
  <c r="O888" i="4"/>
  <c r="AC888" i="4" s="1"/>
  <c r="N888" i="4"/>
  <c r="AA888" i="4" s="1"/>
  <c r="M888" i="4"/>
  <c r="L888" i="4"/>
  <c r="K888" i="4"/>
  <c r="U888" i="4" s="1"/>
  <c r="J888" i="4"/>
  <c r="T888" i="4" s="1"/>
  <c r="I888" i="4"/>
  <c r="S888" i="4" s="1"/>
  <c r="C888" i="4"/>
  <c r="B888" i="4"/>
  <c r="O887" i="4"/>
  <c r="AC887" i="4" s="1"/>
  <c r="N887" i="4"/>
  <c r="AA887" i="4" s="1"/>
  <c r="M887" i="4"/>
  <c r="L887" i="4"/>
  <c r="K887" i="4"/>
  <c r="U887" i="4" s="1"/>
  <c r="J887" i="4"/>
  <c r="T887" i="4" s="1"/>
  <c r="I887" i="4"/>
  <c r="S887" i="4" s="1"/>
  <c r="C887" i="4"/>
  <c r="B887" i="4"/>
  <c r="O886" i="4"/>
  <c r="AC886" i="4" s="1"/>
  <c r="N886" i="4"/>
  <c r="AA886" i="4" s="1"/>
  <c r="M886" i="4"/>
  <c r="L886" i="4"/>
  <c r="K886" i="4"/>
  <c r="U886" i="4" s="1"/>
  <c r="J886" i="4"/>
  <c r="T886" i="4" s="1"/>
  <c r="I886" i="4"/>
  <c r="S886" i="4" s="1"/>
  <c r="C886" i="4"/>
  <c r="B886" i="4"/>
  <c r="O885" i="4"/>
  <c r="AC885" i="4" s="1"/>
  <c r="N885" i="4"/>
  <c r="AA885" i="4" s="1"/>
  <c r="M885" i="4"/>
  <c r="L885" i="4"/>
  <c r="K885" i="4"/>
  <c r="U885" i="4" s="1"/>
  <c r="J885" i="4"/>
  <c r="T885" i="4" s="1"/>
  <c r="I885" i="4"/>
  <c r="S885" i="4" s="1"/>
  <c r="C885" i="4"/>
  <c r="B885" i="4"/>
  <c r="O883" i="4"/>
  <c r="AC883" i="4" s="1"/>
  <c r="N883" i="4"/>
  <c r="AA883" i="4" s="1"/>
  <c r="M883" i="4"/>
  <c r="L883" i="4"/>
  <c r="K883" i="4"/>
  <c r="U883" i="4" s="1"/>
  <c r="J883" i="4"/>
  <c r="T883" i="4" s="1"/>
  <c r="I883" i="4"/>
  <c r="S883" i="4" s="1"/>
  <c r="C883" i="4"/>
  <c r="B883" i="4"/>
  <c r="M882" i="4"/>
  <c r="O880" i="4"/>
  <c r="AC880" i="4" s="1"/>
  <c r="N880" i="4"/>
  <c r="AA880" i="4" s="1"/>
  <c r="M880" i="4"/>
  <c r="L880" i="4"/>
  <c r="K880" i="4"/>
  <c r="U880" i="4" s="1"/>
  <c r="J880" i="4"/>
  <c r="T880" i="4" s="1"/>
  <c r="I880" i="4"/>
  <c r="S880" i="4" s="1"/>
  <c r="C880" i="4"/>
  <c r="B880" i="4"/>
  <c r="O878" i="4"/>
  <c r="AC878" i="4" s="1"/>
  <c r="N878" i="4"/>
  <c r="AA878" i="4" s="1"/>
  <c r="M878" i="4"/>
  <c r="L878" i="4"/>
  <c r="K878" i="4"/>
  <c r="U878" i="4" s="1"/>
  <c r="J878" i="4"/>
  <c r="T878" i="4" s="1"/>
  <c r="I878" i="4"/>
  <c r="S878" i="4" s="1"/>
  <c r="H878" i="4"/>
  <c r="G878" i="4"/>
  <c r="F878" i="4"/>
  <c r="E878" i="4"/>
  <c r="D878" i="4"/>
  <c r="C878" i="4"/>
  <c r="B878" i="4"/>
  <c r="O877" i="4"/>
  <c r="AC877" i="4" s="1"/>
  <c r="N877" i="4"/>
  <c r="AA877" i="4" s="1"/>
  <c r="M877" i="4"/>
  <c r="L877" i="4"/>
  <c r="K877" i="4"/>
  <c r="U877" i="4" s="1"/>
  <c r="J877" i="4"/>
  <c r="T877" i="4" s="1"/>
  <c r="I877" i="4"/>
  <c r="S877" i="4" s="1"/>
  <c r="C877" i="4"/>
  <c r="B877" i="4"/>
  <c r="O876" i="4"/>
  <c r="AC876" i="4" s="1"/>
  <c r="N876" i="4"/>
  <c r="AA876" i="4" s="1"/>
  <c r="M876" i="4"/>
  <c r="L876" i="4"/>
  <c r="K876" i="4"/>
  <c r="U876" i="4" s="1"/>
  <c r="J876" i="4"/>
  <c r="T876" i="4" s="1"/>
  <c r="I876" i="4"/>
  <c r="S876" i="4" s="1"/>
  <c r="C876" i="4"/>
  <c r="B876" i="4"/>
  <c r="O875" i="4"/>
  <c r="AC875" i="4" s="1"/>
  <c r="N875" i="4"/>
  <c r="AA875" i="4" s="1"/>
  <c r="M875" i="4"/>
  <c r="L875" i="4"/>
  <c r="K875" i="4"/>
  <c r="U875" i="4" s="1"/>
  <c r="J875" i="4"/>
  <c r="T875" i="4" s="1"/>
  <c r="I875" i="4"/>
  <c r="S875" i="4" s="1"/>
  <c r="C875" i="4"/>
  <c r="B875" i="4"/>
  <c r="O874" i="4"/>
  <c r="AC874" i="4" s="1"/>
  <c r="N874" i="4"/>
  <c r="AA874" i="4" s="1"/>
  <c r="M874" i="4"/>
  <c r="L874" i="4"/>
  <c r="K874" i="4"/>
  <c r="U874" i="4" s="1"/>
  <c r="J874" i="4"/>
  <c r="T874" i="4" s="1"/>
  <c r="I874" i="4"/>
  <c r="S874" i="4" s="1"/>
  <c r="C874" i="4"/>
  <c r="B874" i="4"/>
  <c r="O873" i="4"/>
  <c r="AC873" i="4" s="1"/>
  <c r="N873" i="4"/>
  <c r="AA873" i="4" s="1"/>
  <c r="M873" i="4"/>
  <c r="L873" i="4"/>
  <c r="K873" i="4"/>
  <c r="U873" i="4" s="1"/>
  <c r="J873" i="4"/>
  <c r="T873" i="4" s="1"/>
  <c r="I873" i="4"/>
  <c r="S873" i="4" s="1"/>
  <c r="C873" i="4"/>
  <c r="B873" i="4"/>
  <c r="I872" i="4"/>
  <c r="S872" i="4" s="1"/>
  <c r="C872" i="4"/>
  <c r="O871" i="4"/>
  <c r="AC871" i="4" s="1"/>
  <c r="N871" i="4"/>
  <c r="AA871" i="4" s="1"/>
  <c r="M871" i="4"/>
  <c r="L871" i="4"/>
  <c r="K871" i="4"/>
  <c r="U871" i="4" s="1"/>
  <c r="J871" i="4"/>
  <c r="T871" i="4" s="1"/>
  <c r="I871" i="4"/>
  <c r="S871" i="4" s="1"/>
  <c r="C871" i="4"/>
  <c r="B871" i="4"/>
  <c r="O868" i="4"/>
  <c r="AC868" i="4" s="1"/>
  <c r="N868" i="4"/>
  <c r="AA868" i="4" s="1"/>
  <c r="M868" i="4"/>
  <c r="L868" i="4"/>
  <c r="K868" i="4"/>
  <c r="U868" i="4" s="1"/>
  <c r="J868" i="4"/>
  <c r="T868" i="4" s="1"/>
  <c r="I868" i="4"/>
  <c r="S868" i="4" s="1"/>
  <c r="C868" i="4"/>
  <c r="B868" i="4"/>
  <c r="O866" i="4"/>
  <c r="AC866" i="4" s="1"/>
  <c r="N866" i="4"/>
  <c r="AA866" i="4" s="1"/>
  <c r="M866" i="4"/>
  <c r="L866" i="4"/>
  <c r="K866" i="4"/>
  <c r="U866" i="4" s="1"/>
  <c r="J866" i="4"/>
  <c r="T866" i="4" s="1"/>
  <c r="I866" i="4"/>
  <c r="S866" i="4" s="1"/>
  <c r="H866" i="4"/>
  <c r="G866" i="4"/>
  <c r="F866" i="4"/>
  <c r="E866" i="4"/>
  <c r="D866" i="4"/>
  <c r="C866" i="4"/>
  <c r="B866" i="4"/>
  <c r="O865" i="4"/>
  <c r="AC865" i="4" s="1"/>
  <c r="N865" i="4"/>
  <c r="AA865" i="4" s="1"/>
  <c r="M865" i="4"/>
  <c r="L865" i="4"/>
  <c r="K865" i="4"/>
  <c r="U865" i="4" s="1"/>
  <c r="J865" i="4"/>
  <c r="T865" i="4" s="1"/>
  <c r="I865" i="4"/>
  <c r="S865" i="4" s="1"/>
  <c r="C865" i="4"/>
  <c r="B865" i="4"/>
  <c r="O864" i="4"/>
  <c r="AC864" i="4" s="1"/>
  <c r="N864" i="4"/>
  <c r="AA864" i="4" s="1"/>
  <c r="M864" i="4"/>
  <c r="L864" i="4"/>
  <c r="K864" i="4"/>
  <c r="U864" i="4" s="1"/>
  <c r="J864" i="4"/>
  <c r="T864" i="4" s="1"/>
  <c r="I864" i="4"/>
  <c r="S864" i="4" s="1"/>
  <c r="C864" i="4"/>
  <c r="B864" i="4"/>
  <c r="O863" i="4"/>
  <c r="AC863" i="4" s="1"/>
  <c r="N863" i="4"/>
  <c r="AA863" i="4" s="1"/>
  <c r="M863" i="4"/>
  <c r="L863" i="4"/>
  <c r="K863" i="4"/>
  <c r="U863" i="4" s="1"/>
  <c r="J863" i="4"/>
  <c r="T863" i="4" s="1"/>
  <c r="I863" i="4"/>
  <c r="S863" i="4" s="1"/>
  <c r="C863" i="4"/>
  <c r="B863" i="4"/>
  <c r="O862" i="4"/>
  <c r="AC862" i="4" s="1"/>
  <c r="N862" i="4"/>
  <c r="AA862" i="4" s="1"/>
  <c r="M862" i="4"/>
  <c r="L862" i="4"/>
  <c r="K862" i="4"/>
  <c r="U862" i="4" s="1"/>
  <c r="J862" i="4"/>
  <c r="T862" i="4" s="1"/>
  <c r="I862" i="4"/>
  <c r="S862" i="4" s="1"/>
  <c r="C862" i="4"/>
  <c r="B862" i="4"/>
  <c r="O861" i="4"/>
  <c r="AC861" i="4" s="1"/>
  <c r="N861" i="4"/>
  <c r="AA861" i="4" s="1"/>
  <c r="M861" i="4"/>
  <c r="L861" i="4"/>
  <c r="K861" i="4"/>
  <c r="U861" i="4" s="1"/>
  <c r="J861" i="4"/>
  <c r="T861" i="4" s="1"/>
  <c r="I861" i="4"/>
  <c r="S861" i="4" s="1"/>
  <c r="C861" i="4"/>
  <c r="B861" i="4"/>
  <c r="K860" i="4"/>
  <c r="U860" i="4" s="1"/>
  <c r="J860" i="4"/>
  <c r="T860" i="4" s="1"/>
  <c r="O859" i="4"/>
  <c r="AC859" i="4" s="1"/>
  <c r="N859" i="4"/>
  <c r="AA859" i="4" s="1"/>
  <c r="M859" i="4"/>
  <c r="L859" i="4"/>
  <c r="K859" i="4"/>
  <c r="U859" i="4" s="1"/>
  <c r="J859" i="4"/>
  <c r="T859" i="4" s="1"/>
  <c r="I859" i="4"/>
  <c r="S859" i="4" s="1"/>
  <c r="C859" i="4"/>
  <c r="B859" i="4"/>
  <c r="K858" i="4"/>
  <c r="U858" i="4" s="1"/>
  <c r="O856" i="4"/>
  <c r="AC856" i="4" s="1"/>
  <c r="N856" i="4"/>
  <c r="AA856" i="4" s="1"/>
  <c r="M856" i="4"/>
  <c r="L856" i="4"/>
  <c r="K856" i="4"/>
  <c r="U856" i="4" s="1"/>
  <c r="J856" i="4"/>
  <c r="T856" i="4" s="1"/>
  <c r="I856" i="4"/>
  <c r="S856" i="4" s="1"/>
  <c r="C856" i="4"/>
  <c r="B856" i="4"/>
  <c r="O854" i="4"/>
  <c r="AC854" i="4" s="1"/>
  <c r="N854" i="4"/>
  <c r="AA854" i="4" s="1"/>
  <c r="M854" i="4"/>
  <c r="L854" i="4"/>
  <c r="K854" i="4"/>
  <c r="U854" i="4" s="1"/>
  <c r="J854" i="4"/>
  <c r="T854" i="4" s="1"/>
  <c r="I854" i="4"/>
  <c r="S854" i="4" s="1"/>
  <c r="H854" i="4"/>
  <c r="G854" i="4"/>
  <c r="F854" i="4"/>
  <c r="E854" i="4"/>
  <c r="D854" i="4"/>
  <c r="C854" i="4"/>
  <c r="B854" i="4"/>
  <c r="O853" i="4"/>
  <c r="AC853" i="4" s="1"/>
  <c r="N853" i="4"/>
  <c r="AA853" i="4" s="1"/>
  <c r="M853" i="4"/>
  <c r="L853" i="4"/>
  <c r="K853" i="4"/>
  <c r="U853" i="4" s="1"/>
  <c r="J853" i="4"/>
  <c r="T853" i="4" s="1"/>
  <c r="I853" i="4"/>
  <c r="S853" i="4" s="1"/>
  <c r="C853" i="4"/>
  <c r="B853" i="4"/>
  <c r="O852" i="4"/>
  <c r="AC852" i="4" s="1"/>
  <c r="N852" i="4"/>
  <c r="AA852" i="4" s="1"/>
  <c r="M852" i="4"/>
  <c r="L852" i="4"/>
  <c r="K852" i="4"/>
  <c r="U852" i="4" s="1"/>
  <c r="J852" i="4"/>
  <c r="T852" i="4" s="1"/>
  <c r="I852" i="4"/>
  <c r="S852" i="4" s="1"/>
  <c r="C852" i="4"/>
  <c r="B852" i="4"/>
  <c r="O851" i="4"/>
  <c r="AC851" i="4" s="1"/>
  <c r="N851" i="4"/>
  <c r="AA851" i="4" s="1"/>
  <c r="M851" i="4"/>
  <c r="L851" i="4"/>
  <c r="K851" i="4"/>
  <c r="U851" i="4" s="1"/>
  <c r="J851" i="4"/>
  <c r="T851" i="4" s="1"/>
  <c r="I851" i="4"/>
  <c r="S851" i="4" s="1"/>
  <c r="C851" i="4"/>
  <c r="B851" i="4"/>
  <c r="O850" i="4"/>
  <c r="AC850" i="4" s="1"/>
  <c r="N850" i="4"/>
  <c r="AA850" i="4" s="1"/>
  <c r="M850" i="4"/>
  <c r="L850" i="4"/>
  <c r="K850" i="4"/>
  <c r="U850" i="4" s="1"/>
  <c r="J850" i="4"/>
  <c r="T850" i="4" s="1"/>
  <c r="I850" i="4"/>
  <c r="S850" i="4" s="1"/>
  <c r="C850" i="4"/>
  <c r="B850" i="4"/>
  <c r="O849" i="4"/>
  <c r="AC849" i="4" s="1"/>
  <c r="N849" i="4"/>
  <c r="AA849" i="4" s="1"/>
  <c r="M849" i="4"/>
  <c r="L849" i="4"/>
  <c r="K849" i="4"/>
  <c r="U849" i="4" s="1"/>
  <c r="J849" i="4"/>
  <c r="T849" i="4" s="1"/>
  <c r="I849" i="4"/>
  <c r="S849" i="4" s="1"/>
  <c r="C849" i="4"/>
  <c r="B849" i="4"/>
  <c r="N848" i="4"/>
  <c r="AA848" i="4" s="1"/>
  <c r="M848" i="4"/>
  <c r="O847" i="4"/>
  <c r="AC847" i="4" s="1"/>
  <c r="N847" i="4"/>
  <c r="AA847" i="4" s="1"/>
  <c r="M847" i="4"/>
  <c r="L847" i="4"/>
  <c r="K847" i="4"/>
  <c r="U847" i="4" s="1"/>
  <c r="J847" i="4"/>
  <c r="T847" i="4" s="1"/>
  <c r="I847" i="4"/>
  <c r="S847" i="4" s="1"/>
  <c r="C847" i="4"/>
  <c r="B847" i="4"/>
  <c r="O844" i="4"/>
  <c r="AC844" i="4" s="1"/>
  <c r="N844" i="4"/>
  <c r="AA844" i="4" s="1"/>
  <c r="M844" i="4"/>
  <c r="L844" i="4"/>
  <c r="K844" i="4"/>
  <c r="U844" i="4" s="1"/>
  <c r="J844" i="4"/>
  <c r="T844" i="4" s="1"/>
  <c r="I844" i="4"/>
  <c r="S844" i="4" s="1"/>
  <c r="C844" i="4"/>
  <c r="B844" i="4"/>
  <c r="O842" i="4"/>
  <c r="AC842" i="4" s="1"/>
  <c r="N842" i="4"/>
  <c r="AA842" i="4" s="1"/>
  <c r="M842" i="4"/>
  <c r="L842" i="4"/>
  <c r="K842" i="4"/>
  <c r="U842" i="4" s="1"/>
  <c r="J842" i="4"/>
  <c r="T842" i="4" s="1"/>
  <c r="I842" i="4"/>
  <c r="S842" i="4" s="1"/>
  <c r="H842" i="4"/>
  <c r="G842" i="4"/>
  <c r="F842" i="4"/>
  <c r="E842" i="4"/>
  <c r="D842" i="4"/>
  <c r="C842" i="4"/>
  <c r="B842" i="4"/>
  <c r="O841" i="4"/>
  <c r="AC841" i="4" s="1"/>
  <c r="N841" i="4"/>
  <c r="AA841" i="4" s="1"/>
  <c r="M841" i="4"/>
  <c r="L841" i="4"/>
  <c r="K841" i="4"/>
  <c r="U841" i="4" s="1"/>
  <c r="J841" i="4"/>
  <c r="T841" i="4" s="1"/>
  <c r="I841" i="4"/>
  <c r="S841" i="4" s="1"/>
  <c r="C841" i="4"/>
  <c r="B841" i="4"/>
  <c r="O840" i="4"/>
  <c r="AC840" i="4" s="1"/>
  <c r="N840" i="4"/>
  <c r="AA840" i="4" s="1"/>
  <c r="M840" i="4"/>
  <c r="L840" i="4"/>
  <c r="K840" i="4"/>
  <c r="U840" i="4" s="1"/>
  <c r="J840" i="4"/>
  <c r="T840" i="4" s="1"/>
  <c r="I840" i="4"/>
  <c r="S840" i="4" s="1"/>
  <c r="C840" i="4"/>
  <c r="B840" i="4"/>
  <c r="O839" i="4"/>
  <c r="AC839" i="4" s="1"/>
  <c r="N839" i="4"/>
  <c r="AA839" i="4" s="1"/>
  <c r="M839" i="4"/>
  <c r="L839" i="4"/>
  <c r="K839" i="4"/>
  <c r="U839" i="4" s="1"/>
  <c r="J839" i="4"/>
  <c r="T839" i="4" s="1"/>
  <c r="I839" i="4"/>
  <c r="S839" i="4" s="1"/>
  <c r="C839" i="4"/>
  <c r="B839" i="4"/>
  <c r="O838" i="4"/>
  <c r="AC838" i="4" s="1"/>
  <c r="N838" i="4"/>
  <c r="AA838" i="4" s="1"/>
  <c r="M838" i="4"/>
  <c r="L838" i="4"/>
  <c r="K838" i="4"/>
  <c r="U838" i="4" s="1"/>
  <c r="J838" i="4"/>
  <c r="T838" i="4" s="1"/>
  <c r="I838" i="4"/>
  <c r="S838" i="4" s="1"/>
  <c r="C838" i="4"/>
  <c r="B838" i="4"/>
  <c r="O837" i="4"/>
  <c r="AC837" i="4" s="1"/>
  <c r="N837" i="4"/>
  <c r="AA837" i="4" s="1"/>
  <c r="M837" i="4"/>
  <c r="L837" i="4"/>
  <c r="K837" i="4"/>
  <c r="U837" i="4" s="1"/>
  <c r="J837" i="4"/>
  <c r="T837" i="4" s="1"/>
  <c r="I837" i="4"/>
  <c r="S837" i="4" s="1"/>
  <c r="C837" i="4"/>
  <c r="B837" i="4"/>
  <c r="O836" i="4"/>
  <c r="AC836" i="4" s="1"/>
  <c r="O835" i="4"/>
  <c r="AC835" i="4" s="1"/>
  <c r="N835" i="4"/>
  <c r="AA835" i="4" s="1"/>
  <c r="M835" i="4"/>
  <c r="L835" i="4"/>
  <c r="K835" i="4"/>
  <c r="U835" i="4" s="1"/>
  <c r="J835" i="4"/>
  <c r="T835" i="4" s="1"/>
  <c r="I835" i="4"/>
  <c r="S835" i="4" s="1"/>
  <c r="C835" i="4"/>
  <c r="B835" i="4"/>
  <c r="I834" i="4"/>
  <c r="S834" i="4" s="1"/>
  <c r="O832" i="4"/>
  <c r="AC832" i="4" s="1"/>
  <c r="N832" i="4"/>
  <c r="AA832" i="4" s="1"/>
  <c r="M832" i="4"/>
  <c r="L832" i="4"/>
  <c r="K832" i="4"/>
  <c r="U832" i="4" s="1"/>
  <c r="J832" i="4"/>
  <c r="T832" i="4" s="1"/>
  <c r="I832" i="4"/>
  <c r="S832" i="4" s="1"/>
  <c r="C832" i="4"/>
  <c r="B832" i="4"/>
  <c r="O830" i="4"/>
  <c r="AC830" i="4" s="1"/>
  <c r="N830" i="4"/>
  <c r="AA830" i="4" s="1"/>
  <c r="M830" i="4"/>
  <c r="L830" i="4"/>
  <c r="K830" i="4"/>
  <c r="U830" i="4" s="1"/>
  <c r="J830" i="4"/>
  <c r="T830" i="4" s="1"/>
  <c r="I830" i="4"/>
  <c r="S830" i="4" s="1"/>
  <c r="H830" i="4"/>
  <c r="G830" i="4"/>
  <c r="F830" i="4"/>
  <c r="E830" i="4"/>
  <c r="D830" i="4"/>
  <c r="C830" i="4"/>
  <c r="B830" i="4"/>
  <c r="O829" i="4"/>
  <c r="AC829" i="4" s="1"/>
  <c r="N829" i="4"/>
  <c r="AA829" i="4" s="1"/>
  <c r="M829" i="4"/>
  <c r="L829" i="4"/>
  <c r="K829" i="4"/>
  <c r="U829" i="4" s="1"/>
  <c r="J829" i="4"/>
  <c r="T829" i="4" s="1"/>
  <c r="I829" i="4"/>
  <c r="S829" i="4" s="1"/>
  <c r="C829" i="4"/>
  <c r="B829" i="4"/>
  <c r="O828" i="4"/>
  <c r="AC828" i="4" s="1"/>
  <c r="N828" i="4"/>
  <c r="AA828" i="4" s="1"/>
  <c r="M828" i="4"/>
  <c r="L828" i="4"/>
  <c r="K828" i="4"/>
  <c r="U828" i="4" s="1"/>
  <c r="J828" i="4"/>
  <c r="T828" i="4" s="1"/>
  <c r="I828" i="4"/>
  <c r="S828" i="4" s="1"/>
  <c r="C828" i="4"/>
  <c r="B828" i="4"/>
  <c r="O827" i="4"/>
  <c r="AC827" i="4" s="1"/>
  <c r="N827" i="4"/>
  <c r="AA827" i="4" s="1"/>
  <c r="M827" i="4"/>
  <c r="L827" i="4"/>
  <c r="K827" i="4"/>
  <c r="U827" i="4" s="1"/>
  <c r="J827" i="4"/>
  <c r="T827" i="4" s="1"/>
  <c r="I827" i="4"/>
  <c r="S827" i="4" s="1"/>
  <c r="C827" i="4"/>
  <c r="B827" i="4"/>
  <c r="O826" i="4"/>
  <c r="AC826" i="4" s="1"/>
  <c r="N826" i="4"/>
  <c r="AA826" i="4" s="1"/>
  <c r="M826" i="4"/>
  <c r="L826" i="4"/>
  <c r="K826" i="4"/>
  <c r="U826" i="4" s="1"/>
  <c r="J826" i="4"/>
  <c r="T826" i="4" s="1"/>
  <c r="I826" i="4"/>
  <c r="S826" i="4" s="1"/>
  <c r="C826" i="4"/>
  <c r="B826" i="4"/>
  <c r="O825" i="4"/>
  <c r="AC825" i="4" s="1"/>
  <c r="N825" i="4"/>
  <c r="AA825" i="4" s="1"/>
  <c r="M825" i="4"/>
  <c r="L825" i="4"/>
  <c r="K825" i="4"/>
  <c r="U825" i="4" s="1"/>
  <c r="J825" i="4"/>
  <c r="T825" i="4" s="1"/>
  <c r="I825" i="4"/>
  <c r="S825" i="4" s="1"/>
  <c r="C825" i="4"/>
  <c r="B825" i="4"/>
  <c r="B824" i="4"/>
  <c r="O823" i="4"/>
  <c r="AC823" i="4" s="1"/>
  <c r="N823" i="4"/>
  <c r="AA823" i="4" s="1"/>
  <c r="M823" i="4"/>
  <c r="L823" i="4"/>
  <c r="K823" i="4"/>
  <c r="U823" i="4" s="1"/>
  <c r="J823" i="4"/>
  <c r="T823" i="4" s="1"/>
  <c r="I823" i="4"/>
  <c r="S823" i="4" s="1"/>
  <c r="C823" i="4"/>
  <c r="B823" i="4"/>
  <c r="N822" i="4"/>
  <c r="AA822" i="4" s="1"/>
  <c r="O820" i="4"/>
  <c r="AC820" i="4" s="1"/>
  <c r="N820" i="4"/>
  <c r="AA820" i="4" s="1"/>
  <c r="M820" i="4"/>
  <c r="L820" i="4"/>
  <c r="K820" i="4"/>
  <c r="U820" i="4" s="1"/>
  <c r="J820" i="4"/>
  <c r="T820" i="4" s="1"/>
  <c r="I820" i="4"/>
  <c r="S820" i="4" s="1"/>
  <c r="C820" i="4"/>
  <c r="B820" i="4"/>
  <c r="O818" i="4"/>
  <c r="AC818" i="4" s="1"/>
  <c r="N818" i="4"/>
  <c r="AA818" i="4" s="1"/>
  <c r="M818" i="4"/>
  <c r="L818" i="4"/>
  <c r="K818" i="4"/>
  <c r="U818" i="4" s="1"/>
  <c r="J818" i="4"/>
  <c r="T818" i="4" s="1"/>
  <c r="I818" i="4"/>
  <c r="S818" i="4" s="1"/>
  <c r="H818" i="4"/>
  <c r="G818" i="4"/>
  <c r="F818" i="4"/>
  <c r="E818" i="4"/>
  <c r="D818" i="4"/>
  <c r="C818" i="4"/>
  <c r="B818" i="4"/>
  <c r="O817" i="4"/>
  <c r="AC817" i="4" s="1"/>
  <c r="N817" i="4"/>
  <c r="AA817" i="4" s="1"/>
  <c r="M817" i="4"/>
  <c r="L817" i="4"/>
  <c r="K817" i="4"/>
  <c r="U817" i="4" s="1"/>
  <c r="J817" i="4"/>
  <c r="T817" i="4" s="1"/>
  <c r="I817" i="4"/>
  <c r="S817" i="4" s="1"/>
  <c r="C817" i="4"/>
  <c r="B817" i="4"/>
  <c r="O816" i="4"/>
  <c r="AC816" i="4" s="1"/>
  <c r="N816" i="4"/>
  <c r="AA816" i="4" s="1"/>
  <c r="M816" i="4"/>
  <c r="L816" i="4"/>
  <c r="K816" i="4"/>
  <c r="U816" i="4" s="1"/>
  <c r="J816" i="4"/>
  <c r="T816" i="4" s="1"/>
  <c r="I816" i="4"/>
  <c r="S816" i="4" s="1"/>
  <c r="C816" i="4"/>
  <c r="B816" i="4"/>
  <c r="O815" i="4"/>
  <c r="AC815" i="4" s="1"/>
  <c r="N815" i="4"/>
  <c r="AA815" i="4" s="1"/>
  <c r="M815" i="4"/>
  <c r="L815" i="4"/>
  <c r="K815" i="4"/>
  <c r="U815" i="4" s="1"/>
  <c r="J815" i="4"/>
  <c r="T815" i="4" s="1"/>
  <c r="I815" i="4"/>
  <c r="S815" i="4" s="1"/>
  <c r="C815" i="4"/>
  <c r="B815" i="4"/>
  <c r="O814" i="4"/>
  <c r="AC814" i="4" s="1"/>
  <c r="N814" i="4"/>
  <c r="AA814" i="4" s="1"/>
  <c r="M814" i="4"/>
  <c r="L814" i="4"/>
  <c r="K814" i="4"/>
  <c r="U814" i="4" s="1"/>
  <c r="J814" i="4"/>
  <c r="T814" i="4" s="1"/>
  <c r="I814" i="4"/>
  <c r="S814" i="4" s="1"/>
  <c r="C814" i="4"/>
  <c r="B814" i="4"/>
  <c r="O813" i="4"/>
  <c r="AC813" i="4" s="1"/>
  <c r="N813" i="4"/>
  <c r="AA813" i="4" s="1"/>
  <c r="M813" i="4"/>
  <c r="L813" i="4"/>
  <c r="K813" i="4"/>
  <c r="U813" i="4" s="1"/>
  <c r="J813" i="4"/>
  <c r="T813" i="4" s="1"/>
  <c r="I813" i="4"/>
  <c r="S813" i="4" s="1"/>
  <c r="C813" i="4"/>
  <c r="B813" i="4"/>
  <c r="J812" i="4"/>
  <c r="T812" i="4" s="1"/>
  <c r="I812" i="4"/>
  <c r="S812" i="4" s="1"/>
  <c r="O811" i="4"/>
  <c r="AC811" i="4" s="1"/>
  <c r="N811" i="4"/>
  <c r="AA811" i="4" s="1"/>
  <c r="M811" i="4"/>
  <c r="L811" i="4"/>
  <c r="K811" i="4"/>
  <c r="U811" i="4" s="1"/>
  <c r="J811" i="4"/>
  <c r="T811" i="4" s="1"/>
  <c r="I811" i="4"/>
  <c r="S811" i="4" s="1"/>
  <c r="C811" i="4"/>
  <c r="B811" i="4"/>
  <c r="B810" i="4"/>
  <c r="O808" i="4"/>
  <c r="AC808" i="4" s="1"/>
  <c r="N808" i="4"/>
  <c r="AA808" i="4" s="1"/>
  <c r="M808" i="4"/>
  <c r="L808" i="4"/>
  <c r="K808" i="4"/>
  <c r="U808" i="4" s="1"/>
  <c r="J808" i="4"/>
  <c r="T808" i="4" s="1"/>
  <c r="I808" i="4"/>
  <c r="S808" i="4" s="1"/>
  <c r="C808" i="4"/>
  <c r="B808" i="4"/>
  <c r="O806" i="4"/>
  <c r="AC806" i="4" s="1"/>
  <c r="N806" i="4"/>
  <c r="AA806" i="4" s="1"/>
  <c r="M806" i="4"/>
  <c r="L806" i="4"/>
  <c r="K806" i="4"/>
  <c r="U806" i="4" s="1"/>
  <c r="J806" i="4"/>
  <c r="T806" i="4" s="1"/>
  <c r="I806" i="4"/>
  <c r="S806" i="4" s="1"/>
  <c r="H806" i="4"/>
  <c r="G806" i="4"/>
  <c r="F806" i="4"/>
  <c r="E806" i="4"/>
  <c r="D806" i="4"/>
  <c r="C806" i="4"/>
  <c r="B806" i="4"/>
  <c r="O805" i="4"/>
  <c r="AC805" i="4" s="1"/>
  <c r="N805" i="4"/>
  <c r="AA805" i="4" s="1"/>
  <c r="M805" i="4"/>
  <c r="L805" i="4"/>
  <c r="K805" i="4"/>
  <c r="U805" i="4" s="1"/>
  <c r="J805" i="4"/>
  <c r="T805" i="4" s="1"/>
  <c r="I805" i="4"/>
  <c r="S805" i="4" s="1"/>
  <c r="C805" i="4"/>
  <c r="B805" i="4"/>
  <c r="O804" i="4"/>
  <c r="AC804" i="4" s="1"/>
  <c r="N804" i="4"/>
  <c r="AA804" i="4" s="1"/>
  <c r="M804" i="4"/>
  <c r="L804" i="4"/>
  <c r="K804" i="4"/>
  <c r="U804" i="4" s="1"/>
  <c r="J804" i="4"/>
  <c r="T804" i="4" s="1"/>
  <c r="I804" i="4"/>
  <c r="S804" i="4" s="1"/>
  <c r="C804" i="4"/>
  <c r="B804" i="4"/>
  <c r="O803" i="4"/>
  <c r="AC803" i="4" s="1"/>
  <c r="N803" i="4"/>
  <c r="AA803" i="4" s="1"/>
  <c r="M803" i="4"/>
  <c r="L803" i="4"/>
  <c r="K803" i="4"/>
  <c r="U803" i="4" s="1"/>
  <c r="J803" i="4"/>
  <c r="T803" i="4" s="1"/>
  <c r="I803" i="4"/>
  <c r="S803" i="4" s="1"/>
  <c r="C803" i="4"/>
  <c r="B803" i="4"/>
  <c r="O802" i="4"/>
  <c r="AC802" i="4" s="1"/>
  <c r="N802" i="4"/>
  <c r="AA802" i="4" s="1"/>
  <c r="M802" i="4"/>
  <c r="L802" i="4"/>
  <c r="K802" i="4"/>
  <c r="U802" i="4" s="1"/>
  <c r="J802" i="4"/>
  <c r="T802" i="4" s="1"/>
  <c r="I802" i="4"/>
  <c r="S802" i="4" s="1"/>
  <c r="C802" i="4"/>
  <c r="B802" i="4"/>
  <c r="O801" i="4"/>
  <c r="AC801" i="4" s="1"/>
  <c r="N801" i="4"/>
  <c r="AA801" i="4" s="1"/>
  <c r="M801" i="4"/>
  <c r="L801" i="4"/>
  <c r="K801" i="4"/>
  <c r="U801" i="4" s="1"/>
  <c r="J801" i="4"/>
  <c r="T801" i="4" s="1"/>
  <c r="I801" i="4"/>
  <c r="S801" i="4" s="1"/>
  <c r="C801" i="4"/>
  <c r="B801" i="4"/>
  <c r="M800" i="4"/>
  <c r="L800" i="4"/>
  <c r="O799" i="4"/>
  <c r="AC799" i="4" s="1"/>
  <c r="N799" i="4"/>
  <c r="AA799" i="4" s="1"/>
  <c r="M799" i="4"/>
  <c r="L799" i="4"/>
  <c r="K799" i="4"/>
  <c r="U799" i="4" s="1"/>
  <c r="J799" i="4"/>
  <c r="T799" i="4" s="1"/>
  <c r="I799" i="4"/>
  <c r="S799" i="4" s="1"/>
  <c r="C799" i="4"/>
  <c r="B799" i="4"/>
  <c r="L798" i="4"/>
  <c r="O796" i="4"/>
  <c r="AC796" i="4" s="1"/>
  <c r="N796" i="4"/>
  <c r="AA796" i="4" s="1"/>
  <c r="M796" i="4"/>
  <c r="L796" i="4"/>
  <c r="K796" i="4"/>
  <c r="U796" i="4" s="1"/>
  <c r="J796" i="4"/>
  <c r="T796" i="4" s="1"/>
  <c r="I796" i="4"/>
  <c r="S796" i="4" s="1"/>
  <c r="C796" i="4"/>
  <c r="B796" i="4"/>
  <c r="O794" i="4"/>
  <c r="AC794" i="4" s="1"/>
  <c r="N794" i="4"/>
  <c r="AA794" i="4" s="1"/>
  <c r="M794" i="4"/>
  <c r="L794" i="4"/>
  <c r="K794" i="4"/>
  <c r="U794" i="4" s="1"/>
  <c r="J794" i="4"/>
  <c r="T794" i="4" s="1"/>
  <c r="I794" i="4"/>
  <c r="S794" i="4" s="1"/>
  <c r="H794" i="4"/>
  <c r="G794" i="4"/>
  <c r="F794" i="4"/>
  <c r="E794" i="4"/>
  <c r="D794" i="4"/>
  <c r="C794" i="4"/>
  <c r="B794" i="4"/>
  <c r="O793" i="4"/>
  <c r="AC793" i="4" s="1"/>
  <c r="N793" i="4"/>
  <c r="AA793" i="4" s="1"/>
  <c r="M793" i="4"/>
  <c r="L793" i="4"/>
  <c r="K793" i="4"/>
  <c r="U793" i="4" s="1"/>
  <c r="J793" i="4"/>
  <c r="T793" i="4" s="1"/>
  <c r="I793" i="4"/>
  <c r="S793" i="4" s="1"/>
  <c r="C793" i="4"/>
  <c r="B793" i="4"/>
  <c r="O792" i="4"/>
  <c r="AC792" i="4" s="1"/>
  <c r="N792" i="4"/>
  <c r="AA792" i="4" s="1"/>
  <c r="M792" i="4"/>
  <c r="L792" i="4"/>
  <c r="K792" i="4"/>
  <c r="U792" i="4" s="1"/>
  <c r="J792" i="4"/>
  <c r="T792" i="4" s="1"/>
  <c r="I792" i="4"/>
  <c r="S792" i="4" s="1"/>
  <c r="C792" i="4"/>
  <c r="B792" i="4"/>
  <c r="O791" i="4"/>
  <c r="AC791" i="4" s="1"/>
  <c r="N791" i="4"/>
  <c r="AA791" i="4" s="1"/>
  <c r="M791" i="4"/>
  <c r="L791" i="4"/>
  <c r="K791" i="4"/>
  <c r="U791" i="4" s="1"/>
  <c r="J791" i="4"/>
  <c r="T791" i="4" s="1"/>
  <c r="I791" i="4"/>
  <c r="S791" i="4" s="1"/>
  <c r="C791" i="4"/>
  <c r="B791" i="4"/>
  <c r="O790" i="4"/>
  <c r="AC790" i="4" s="1"/>
  <c r="N790" i="4"/>
  <c r="AA790" i="4" s="1"/>
  <c r="M790" i="4"/>
  <c r="L790" i="4"/>
  <c r="K790" i="4"/>
  <c r="U790" i="4" s="1"/>
  <c r="J790" i="4"/>
  <c r="T790" i="4" s="1"/>
  <c r="I790" i="4"/>
  <c r="S790" i="4" s="1"/>
  <c r="C790" i="4"/>
  <c r="B790" i="4"/>
  <c r="O789" i="4"/>
  <c r="AC789" i="4" s="1"/>
  <c r="N789" i="4"/>
  <c r="AA789" i="4" s="1"/>
  <c r="M789" i="4"/>
  <c r="L789" i="4"/>
  <c r="K789" i="4"/>
  <c r="U789" i="4" s="1"/>
  <c r="J789" i="4"/>
  <c r="T789" i="4" s="1"/>
  <c r="I789" i="4"/>
  <c r="S789" i="4" s="1"/>
  <c r="C789" i="4"/>
  <c r="B789" i="4"/>
  <c r="O788" i="4"/>
  <c r="AC788" i="4" s="1"/>
  <c r="O787" i="4"/>
  <c r="AC787" i="4" s="1"/>
  <c r="N787" i="4"/>
  <c r="AA787" i="4" s="1"/>
  <c r="M787" i="4"/>
  <c r="L787" i="4"/>
  <c r="K787" i="4"/>
  <c r="U787" i="4" s="1"/>
  <c r="J787" i="4"/>
  <c r="T787" i="4" s="1"/>
  <c r="I787" i="4"/>
  <c r="S787" i="4" s="1"/>
  <c r="C787" i="4"/>
  <c r="B787" i="4"/>
  <c r="O784" i="4"/>
  <c r="AC784" i="4" s="1"/>
  <c r="N784" i="4"/>
  <c r="AA784" i="4" s="1"/>
  <c r="M784" i="4"/>
  <c r="L784" i="4"/>
  <c r="K784" i="4"/>
  <c r="U784" i="4" s="1"/>
  <c r="J784" i="4"/>
  <c r="T784" i="4" s="1"/>
  <c r="I784" i="4"/>
  <c r="S784" i="4" s="1"/>
  <c r="C784" i="4"/>
  <c r="B784" i="4"/>
  <c r="O782" i="4"/>
  <c r="AC782" i="4" s="1"/>
  <c r="N782" i="4"/>
  <c r="AA782" i="4" s="1"/>
  <c r="M782" i="4"/>
  <c r="L782" i="4"/>
  <c r="K782" i="4"/>
  <c r="U782" i="4" s="1"/>
  <c r="J782" i="4"/>
  <c r="T782" i="4" s="1"/>
  <c r="I782" i="4"/>
  <c r="S782" i="4" s="1"/>
  <c r="H782" i="4"/>
  <c r="G782" i="4"/>
  <c r="F782" i="4"/>
  <c r="E782" i="4"/>
  <c r="D782" i="4"/>
  <c r="C782" i="4"/>
  <c r="B782" i="4"/>
  <c r="O781" i="4"/>
  <c r="AC781" i="4" s="1"/>
  <c r="N781" i="4"/>
  <c r="AA781" i="4" s="1"/>
  <c r="M781" i="4"/>
  <c r="L781" i="4"/>
  <c r="K781" i="4"/>
  <c r="U781" i="4" s="1"/>
  <c r="J781" i="4"/>
  <c r="T781" i="4" s="1"/>
  <c r="I781" i="4"/>
  <c r="S781" i="4" s="1"/>
  <c r="C781" i="4"/>
  <c r="B781" i="4"/>
  <c r="O780" i="4"/>
  <c r="AC780" i="4" s="1"/>
  <c r="N780" i="4"/>
  <c r="AA780" i="4" s="1"/>
  <c r="M780" i="4"/>
  <c r="L780" i="4"/>
  <c r="K780" i="4"/>
  <c r="U780" i="4" s="1"/>
  <c r="J780" i="4"/>
  <c r="T780" i="4" s="1"/>
  <c r="I780" i="4"/>
  <c r="S780" i="4" s="1"/>
  <c r="C780" i="4"/>
  <c r="B780" i="4"/>
  <c r="O779" i="4"/>
  <c r="AC779" i="4" s="1"/>
  <c r="N779" i="4"/>
  <c r="AA779" i="4" s="1"/>
  <c r="M779" i="4"/>
  <c r="L779" i="4"/>
  <c r="K779" i="4"/>
  <c r="U779" i="4" s="1"/>
  <c r="J779" i="4"/>
  <c r="T779" i="4" s="1"/>
  <c r="I779" i="4"/>
  <c r="S779" i="4" s="1"/>
  <c r="C779" i="4"/>
  <c r="B779" i="4"/>
  <c r="O778" i="4"/>
  <c r="AC778" i="4" s="1"/>
  <c r="N778" i="4"/>
  <c r="AA778" i="4" s="1"/>
  <c r="M778" i="4"/>
  <c r="L778" i="4"/>
  <c r="K778" i="4"/>
  <c r="U778" i="4" s="1"/>
  <c r="J778" i="4"/>
  <c r="T778" i="4" s="1"/>
  <c r="I778" i="4"/>
  <c r="S778" i="4" s="1"/>
  <c r="C778" i="4"/>
  <c r="B778" i="4"/>
  <c r="O777" i="4"/>
  <c r="AC777" i="4" s="1"/>
  <c r="N777" i="4"/>
  <c r="AA777" i="4" s="1"/>
  <c r="M777" i="4"/>
  <c r="L777" i="4"/>
  <c r="K777" i="4"/>
  <c r="U777" i="4" s="1"/>
  <c r="J777" i="4"/>
  <c r="T777" i="4" s="1"/>
  <c r="I777" i="4"/>
  <c r="S777" i="4" s="1"/>
  <c r="C777" i="4"/>
  <c r="B777" i="4"/>
  <c r="O775" i="4"/>
  <c r="AC775" i="4" s="1"/>
  <c r="N775" i="4"/>
  <c r="AA775" i="4" s="1"/>
  <c r="M775" i="4"/>
  <c r="L775" i="4"/>
  <c r="K775" i="4"/>
  <c r="U775" i="4" s="1"/>
  <c r="J775" i="4"/>
  <c r="T775" i="4" s="1"/>
  <c r="I775" i="4"/>
  <c r="S775" i="4" s="1"/>
  <c r="C775" i="4"/>
  <c r="B775" i="4"/>
  <c r="J774" i="4"/>
  <c r="T774" i="4" s="1"/>
  <c r="O772" i="4"/>
  <c r="AC772" i="4" s="1"/>
  <c r="N772" i="4"/>
  <c r="AA772" i="4" s="1"/>
  <c r="M772" i="4"/>
  <c r="L772" i="4"/>
  <c r="K772" i="4"/>
  <c r="U772" i="4" s="1"/>
  <c r="J772" i="4"/>
  <c r="T772" i="4" s="1"/>
  <c r="I772" i="4"/>
  <c r="S772" i="4" s="1"/>
  <c r="C772" i="4"/>
  <c r="B772" i="4"/>
  <c r="B771" i="4"/>
  <c r="O770" i="4"/>
  <c r="AC770" i="4" s="1"/>
  <c r="N770" i="4"/>
  <c r="AA770" i="4" s="1"/>
  <c r="M770" i="4"/>
  <c r="L770" i="4"/>
  <c r="K770" i="4"/>
  <c r="U770" i="4" s="1"/>
  <c r="J770" i="4"/>
  <c r="T770" i="4" s="1"/>
  <c r="I770" i="4"/>
  <c r="S770" i="4" s="1"/>
  <c r="H770" i="4"/>
  <c r="G770" i="4"/>
  <c r="F770" i="4"/>
  <c r="E770" i="4"/>
  <c r="D770" i="4"/>
  <c r="C770" i="4"/>
  <c r="B770" i="4"/>
  <c r="O769" i="4"/>
  <c r="AC769" i="4" s="1"/>
  <c r="N769" i="4"/>
  <c r="AA769" i="4" s="1"/>
  <c r="M769" i="4"/>
  <c r="L769" i="4"/>
  <c r="K769" i="4"/>
  <c r="U769" i="4" s="1"/>
  <c r="J769" i="4"/>
  <c r="T769" i="4" s="1"/>
  <c r="I769" i="4"/>
  <c r="S769" i="4" s="1"/>
  <c r="C769" i="4"/>
  <c r="B769" i="4"/>
  <c r="O768" i="4"/>
  <c r="AC768" i="4" s="1"/>
  <c r="N768" i="4"/>
  <c r="AA768" i="4" s="1"/>
  <c r="M768" i="4"/>
  <c r="L768" i="4"/>
  <c r="K768" i="4"/>
  <c r="U768" i="4" s="1"/>
  <c r="J768" i="4"/>
  <c r="T768" i="4" s="1"/>
  <c r="I768" i="4"/>
  <c r="S768" i="4" s="1"/>
  <c r="C768" i="4"/>
  <c r="B768" i="4"/>
  <c r="O767" i="4"/>
  <c r="AC767" i="4" s="1"/>
  <c r="N767" i="4"/>
  <c r="AA767" i="4" s="1"/>
  <c r="M767" i="4"/>
  <c r="L767" i="4"/>
  <c r="K767" i="4"/>
  <c r="U767" i="4" s="1"/>
  <c r="J767" i="4"/>
  <c r="T767" i="4" s="1"/>
  <c r="I767" i="4"/>
  <c r="S767" i="4" s="1"/>
  <c r="C767" i="4"/>
  <c r="B767" i="4"/>
  <c r="O766" i="4"/>
  <c r="AC766" i="4" s="1"/>
  <c r="N766" i="4"/>
  <c r="AA766" i="4" s="1"/>
  <c r="M766" i="4"/>
  <c r="L766" i="4"/>
  <c r="K766" i="4"/>
  <c r="U766" i="4" s="1"/>
  <c r="J766" i="4"/>
  <c r="T766" i="4" s="1"/>
  <c r="I766" i="4"/>
  <c r="S766" i="4" s="1"/>
  <c r="C766" i="4"/>
  <c r="B766" i="4"/>
  <c r="O765" i="4"/>
  <c r="AC765" i="4" s="1"/>
  <c r="N765" i="4"/>
  <c r="AA765" i="4" s="1"/>
  <c r="M765" i="4"/>
  <c r="L765" i="4"/>
  <c r="K765" i="4"/>
  <c r="U765" i="4" s="1"/>
  <c r="J765" i="4"/>
  <c r="T765" i="4" s="1"/>
  <c r="I765" i="4"/>
  <c r="S765" i="4" s="1"/>
  <c r="C765" i="4"/>
  <c r="B765" i="4"/>
  <c r="J764" i="4"/>
  <c r="T764" i="4" s="1"/>
  <c r="I764" i="4"/>
  <c r="S764" i="4" s="1"/>
  <c r="O763" i="4"/>
  <c r="AC763" i="4" s="1"/>
  <c r="N763" i="4"/>
  <c r="AA763" i="4" s="1"/>
  <c r="M763" i="4"/>
  <c r="L763" i="4"/>
  <c r="K763" i="4"/>
  <c r="U763" i="4" s="1"/>
  <c r="J763" i="4"/>
  <c r="T763" i="4" s="1"/>
  <c r="I763" i="4"/>
  <c r="S763" i="4" s="1"/>
  <c r="C763" i="4"/>
  <c r="B763" i="4"/>
  <c r="O762" i="4"/>
  <c r="AC762" i="4" s="1"/>
  <c r="O760" i="4"/>
  <c r="AC760" i="4" s="1"/>
  <c r="N760" i="4"/>
  <c r="AA760" i="4" s="1"/>
  <c r="M760" i="4"/>
  <c r="L760" i="4"/>
  <c r="K760" i="4"/>
  <c r="U760" i="4" s="1"/>
  <c r="J760" i="4"/>
  <c r="T760" i="4" s="1"/>
  <c r="I760" i="4"/>
  <c r="S760" i="4" s="1"/>
  <c r="C760" i="4"/>
  <c r="B760" i="4"/>
  <c r="O758" i="4"/>
  <c r="AC758" i="4" s="1"/>
  <c r="N758" i="4"/>
  <c r="AA758" i="4" s="1"/>
  <c r="M758" i="4"/>
  <c r="L758" i="4"/>
  <c r="K758" i="4"/>
  <c r="U758" i="4" s="1"/>
  <c r="J758" i="4"/>
  <c r="T758" i="4" s="1"/>
  <c r="I758" i="4"/>
  <c r="S758" i="4" s="1"/>
  <c r="H758" i="4"/>
  <c r="G758" i="4"/>
  <c r="F758" i="4"/>
  <c r="E758" i="4"/>
  <c r="D758" i="4"/>
  <c r="C758" i="4"/>
  <c r="B758" i="4"/>
  <c r="O757" i="4"/>
  <c r="AC757" i="4" s="1"/>
  <c r="N757" i="4"/>
  <c r="AA757" i="4" s="1"/>
  <c r="M757" i="4"/>
  <c r="L757" i="4"/>
  <c r="K757" i="4"/>
  <c r="U757" i="4" s="1"/>
  <c r="J757" i="4"/>
  <c r="T757" i="4" s="1"/>
  <c r="I757" i="4"/>
  <c r="S757" i="4" s="1"/>
  <c r="C757" i="4"/>
  <c r="B757" i="4"/>
  <c r="O756" i="4"/>
  <c r="AC756" i="4" s="1"/>
  <c r="N756" i="4"/>
  <c r="AA756" i="4" s="1"/>
  <c r="M756" i="4"/>
  <c r="L756" i="4"/>
  <c r="K756" i="4"/>
  <c r="U756" i="4" s="1"/>
  <c r="J756" i="4"/>
  <c r="T756" i="4" s="1"/>
  <c r="I756" i="4"/>
  <c r="S756" i="4" s="1"/>
  <c r="C756" i="4"/>
  <c r="B756" i="4"/>
  <c r="O755" i="4"/>
  <c r="AC755" i="4" s="1"/>
  <c r="N755" i="4"/>
  <c r="AA755" i="4" s="1"/>
  <c r="M755" i="4"/>
  <c r="L755" i="4"/>
  <c r="K755" i="4"/>
  <c r="U755" i="4" s="1"/>
  <c r="J755" i="4"/>
  <c r="T755" i="4" s="1"/>
  <c r="I755" i="4"/>
  <c r="S755" i="4" s="1"/>
  <c r="C755" i="4"/>
  <c r="B755" i="4"/>
  <c r="O754" i="4"/>
  <c r="AC754" i="4" s="1"/>
  <c r="N754" i="4"/>
  <c r="AA754" i="4" s="1"/>
  <c r="M754" i="4"/>
  <c r="L754" i="4"/>
  <c r="K754" i="4"/>
  <c r="U754" i="4" s="1"/>
  <c r="J754" i="4"/>
  <c r="T754" i="4" s="1"/>
  <c r="I754" i="4"/>
  <c r="S754" i="4" s="1"/>
  <c r="C754" i="4"/>
  <c r="B754" i="4"/>
  <c r="O753" i="4"/>
  <c r="AC753" i="4" s="1"/>
  <c r="N753" i="4"/>
  <c r="AA753" i="4" s="1"/>
  <c r="M753" i="4"/>
  <c r="L753" i="4"/>
  <c r="K753" i="4"/>
  <c r="U753" i="4" s="1"/>
  <c r="J753" i="4"/>
  <c r="T753" i="4" s="1"/>
  <c r="I753" i="4"/>
  <c r="S753" i="4" s="1"/>
  <c r="C753" i="4"/>
  <c r="B753" i="4"/>
  <c r="N752" i="4"/>
  <c r="AA752" i="4" s="1"/>
  <c r="M752" i="4"/>
  <c r="L752" i="4"/>
  <c r="O751" i="4"/>
  <c r="AC751" i="4" s="1"/>
  <c r="N751" i="4"/>
  <c r="AA751" i="4" s="1"/>
  <c r="M751" i="4"/>
  <c r="L751" i="4"/>
  <c r="K751" i="4"/>
  <c r="U751" i="4" s="1"/>
  <c r="J751" i="4"/>
  <c r="T751" i="4" s="1"/>
  <c r="I751" i="4"/>
  <c r="S751" i="4" s="1"/>
  <c r="C751" i="4"/>
  <c r="B751" i="4"/>
  <c r="C750" i="4"/>
  <c r="O748" i="4"/>
  <c r="AC748" i="4" s="1"/>
  <c r="N748" i="4"/>
  <c r="AA748" i="4" s="1"/>
  <c r="M748" i="4"/>
  <c r="L748" i="4"/>
  <c r="K748" i="4"/>
  <c r="U748" i="4" s="1"/>
  <c r="J748" i="4"/>
  <c r="T748" i="4" s="1"/>
  <c r="I748" i="4"/>
  <c r="S748" i="4" s="1"/>
  <c r="C748" i="4"/>
  <c r="B748" i="4"/>
  <c r="O746" i="4"/>
  <c r="AC746" i="4" s="1"/>
  <c r="N746" i="4"/>
  <c r="AA746" i="4" s="1"/>
  <c r="M746" i="4"/>
  <c r="L746" i="4"/>
  <c r="K746" i="4"/>
  <c r="U746" i="4" s="1"/>
  <c r="J746" i="4"/>
  <c r="T746" i="4" s="1"/>
  <c r="I746" i="4"/>
  <c r="S746" i="4" s="1"/>
  <c r="H746" i="4"/>
  <c r="G746" i="4"/>
  <c r="F746" i="4"/>
  <c r="E746" i="4"/>
  <c r="D746" i="4"/>
  <c r="C746" i="4"/>
  <c r="B746" i="4"/>
  <c r="O745" i="4"/>
  <c r="AC745" i="4" s="1"/>
  <c r="N745" i="4"/>
  <c r="AA745" i="4" s="1"/>
  <c r="M745" i="4"/>
  <c r="L745" i="4"/>
  <c r="K745" i="4"/>
  <c r="U745" i="4" s="1"/>
  <c r="J745" i="4"/>
  <c r="T745" i="4" s="1"/>
  <c r="I745" i="4"/>
  <c r="S745" i="4" s="1"/>
  <c r="C745" i="4"/>
  <c r="B745" i="4"/>
  <c r="O744" i="4"/>
  <c r="AC744" i="4" s="1"/>
  <c r="N744" i="4"/>
  <c r="AA744" i="4" s="1"/>
  <c r="M744" i="4"/>
  <c r="L744" i="4"/>
  <c r="K744" i="4"/>
  <c r="U744" i="4" s="1"/>
  <c r="J744" i="4"/>
  <c r="T744" i="4" s="1"/>
  <c r="I744" i="4"/>
  <c r="S744" i="4" s="1"/>
  <c r="C744" i="4"/>
  <c r="B744" i="4"/>
  <c r="O743" i="4"/>
  <c r="AC743" i="4" s="1"/>
  <c r="N743" i="4"/>
  <c r="AA743" i="4" s="1"/>
  <c r="M743" i="4"/>
  <c r="L743" i="4"/>
  <c r="K743" i="4"/>
  <c r="U743" i="4" s="1"/>
  <c r="J743" i="4"/>
  <c r="T743" i="4" s="1"/>
  <c r="I743" i="4"/>
  <c r="S743" i="4" s="1"/>
  <c r="C743" i="4"/>
  <c r="B743" i="4"/>
  <c r="O742" i="4"/>
  <c r="AC742" i="4" s="1"/>
  <c r="N742" i="4"/>
  <c r="AA742" i="4" s="1"/>
  <c r="M742" i="4"/>
  <c r="L742" i="4"/>
  <c r="K742" i="4"/>
  <c r="U742" i="4" s="1"/>
  <c r="J742" i="4"/>
  <c r="T742" i="4" s="1"/>
  <c r="I742" i="4"/>
  <c r="S742" i="4" s="1"/>
  <c r="C742" i="4"/>
  <c r="B742" i="4"/>
  <c r="O741" i="4"/>
  <c r="AC741" i="4" s="1"/>
  <c r="N741" i="4"/>
  <c r="AA741" i="4" s="1"/>
  <c r="M741" i="4"/>
  <c r="L741" i="4"/>
  <c r="K741" i="4"/>
  <c r="U741" i="4" s="1"/>
  <c r="J741" i="4"/>
  <c r="T741" i="4" s="1"/>
  <c r="I741" i="4"/>
  <c r="S741" i="4" s="1"/>
  <c r="C741" i="4"/>
  <c r="B741" i="4"/>
  <c r="O740" i="4"/>
  <c r="AC740" i="4" s="1"/>
  <c r="O739" i="4"/>
  <c r="AC739" i="4" s="1"/>
  <c r="N739" i="4"/>
  <c r="AA739" i="4" s="1"/>
  <c r="M739" i="4"/>
  <c r="L739" i="4"/>
  <c r="K739" i="4"/>
  <c r="U739" i="4" s="1"/>
  <c r="J739" i="4"/>
  <c r="T739" i="4" s="1"/>
  <c r="I739" i="4"/>
  <c r="S739" i="4" s="1"/>
  <c r="C739" i="4"/>
  <c r="B739" i="4"/>
  <c r="M738" i="4"/>
  <c r="O736" i="4"/>
  <c r="AC736" i="4" s="1"/>
  <c r="N736" i="4"/>
  <c r="AA736" i="4" s="1"/>
  <c r="M736" i="4"/>
  <c r="L736" i="4"/>
  <c r="K736" i="4"/>
  <c r="U736" i="4" s="1"/>
  <c r="J736" i="4"/>
  <c r="T736" i="4" s="1"/>
  <c r="I736" i="4"/>
  <c r="S736" i="4" s="1"/>
  <c r="C736" i="4"/>
  <c r="B736" i="4"/>
  <c r="J735" i="4"/>
  <c r="T735" i="4" s="1"/>
  <c r="O734" i="4"/>
  <c r="AC734" i="4" s="1"/>
  <c r="N734" i="4"/>
  <c r="AA734" i="4" s="1"/>
  <c r="M734" i="4"/>
  <c r="L734" i="4"/>
  <c r="K734" i="4"/>
  <c r="U734" i="4" s="1"/>
  <c r="J734" i="4"/>
  <c r="T734" i="4" s="1"/>
  <c r="I734" i="4"/>
  <c r="S734" i="4" s="1"/>
  <c r="H734" i="4"/>
  <c r="G734" i="4"/>
  <c r="F734" i="4"/>
  <c r="E734" i="4"/>
  <c r="D734" i="4"/>
  <c r="C734" i="4"/>
  <c r="B734" i="4"/>
  <c r="O733" i="4"/>
  <c r="AC733" i="4" s="1"/>
  <c r="N733" i="4"/>
  <c r="AA733" i="4" s="1"/>
  <c r="M733" i="4"/>
  <c r="L733" i="4"/>
  <c r="K733" i="4"/>
  <c r="U733" i="4" s="1"/>
  <c r="J733" i="4"/>
  <c r="T733" i="4" s="1"/>
  <c r="I733" i="4"/>
  <c r="S733" i="4" s="1"/>
  <c r="C733" i="4"/>
  <c r="B733" i="4"/>
  <c r="O732" i="4"/>
  <c r="AC732" i="4" s="1"/>
  <c r="N732" i="4"/>
  <c r="AA732" i="4" s="1"/>
  <c r="M732" i="4"/>
  <c r="L732" i="4"/>
  <c r="K732" i="4"/>
  <c r="U732" i="4" s="1"/>
  <c r="J732" i="4"/>
  <c r="T732" i="4" s="1"/>
  <c r="I732" i="4"/>
  <c r="S732" i="4" s="1"/>
  <c r="C732" i="4"/>
  <c r="B732" i="4"/>
  <c r="O731" i="4"/>
  <c r="AC731" i="4" s="1"/>
  <c r="N731" i="4"/>
  <c r="AA731" i="4" s="1"/>
  <c r="M731" i="4"/>
  <c r="L731" i="4"/>
  <c r="K731" i="4"/>
  <c r="U731" i="4" s="1"/>
  <c r="J731" i="4"/>
  <c r="T731" i="4" s="1"/>
  <c r="I731" i="4"/>
  <c r="S731" i="4" s="1"/>
  <c r="C731" i="4"/>
  <c r="B731" i="4"/>
  <c r="O730" i="4"/>
  <c r="AC730" i="4" s="1"/>
  <c r="N730" i="4"/>
  <c r="AA730" i="4" s="1"/>
  <c r="M730" i="4"/>
  <c r="L730" i="4"/>
  <c r="K730" i="4"/>
  <c r="U730" i="4" s="1"/>
  <c r="J730" i="4"/>
  <c r="T730" i="4" s="1"/>
  <c r="I730" i="4"/>
  <c r="S730" i="4" s="1"/>
  <c r="C730" i="4"/>
  <c r="B730" i="4"/>
  <c r="O729" i="4"/>
  <c r="AC729" i="4" s="1"/>
  <c r="N729" i="4"/>
  <c r="AA729" i="4" s="1"/>
  <c r="M729" i="4"/>
  <c r="L729" i="4"/>
  <c r="K729" i="4"/>
  <c r="U729" i="4" s="1"/>
  <c r="J729" i="4"/>
  <c r="T729" i="4" s="1"/>
  <c r="I729" i="4"/>
  <c r="S729" i="4" s="1"/>
  <c r="C729" i="4"/>
  <c r="B729" i="4"/>
  <c r="I728" i="4"/>
  <c r="S728" i="4" s="1"/>
  <c r="C728" i="4"/>
  <c r="B728" i="4"/>
  <c r="O727" i="4"/>
  <c r="AC727" i="4" s="1"/>
  <c r="N727" i="4"/>
  <c r="AA727" i="4" s="1"/>
  <c r="M727" i="4"/>
  <c r="L727" i="4"/>
  <c r="K727" i="4"/>
  <c r="U727" i="4" s="1"/>
  <c r="J727" i="4"/>
  <c r="T727" i="4" s="1"/>
  <c r="I727" i="4"/>
  <c r="S727" i="4" s="1"/>
  <c r="C727" i="4"/>
  <c r="B727" i="4"/>
  <c r="O724" i="4"/>
  <c r="AC724" i="4" s="1"/>
  <c r="N724" i="4"/>
  <c r="AA724" i="4" s="1"/>
  <c r="M724" i="4"/>
  <c r="L724" i="4"/>
  <c r="K724" i="4"/>
  <c r="U724" i="4" s="1"/>
  <c r="J724" i="4"/>
  <c r="T724" i="4" s="1"/>
  <c r="I724" i="4"/>
  <c r="S724" i="4" s="1"/>
  <c r="C724" i="4"/>
  <c r="B724" i="4"/>
  <c r="O722" i="4"/>
  <c r="AC722" i="4" s="1"/>
  <c r="N722" i="4"/>
  <c r="AA722" i="4" s="1"/>
  <c r="M722" i="4"/>
  <c r="L722" i="4"/>
  <c r="K722" i="4"/>
  <c r="U722" i="4" s="1"/>
  <c r="J722" i="4"/>
  <c r="T722" i="4" s="1"/>
  <c r="I722" i="4"/>
  <c r="S722" i="4" s="1"/>
  <c r="H722" i="4"/>
  <c r="G722" i="4"/>
  <c r="F722" i="4"/>
  <c r="E722" i="4"/>
  <c r="D722" i="4"/>
  <c r="C722" i="4"/>
  <c r="B722" i="4"/>
  <c r="O721" i="4"/>
  <c r="AC721" i="4" s="1"/>
  <c r="N721" i="4"/>
  <c r="AA721" i="4" s="1"/>
  <c r="M721" i="4"/>
  <c r="L721" i="4"/>
  <c r="K721" i="4"/>
  <c r="U721" i="4" s="1"/>
  <c r="J721" i="4"/>
  <c r="T721" i="4" s="1"/>
  <c r="I721" i="4"/>
  <c r="S721" i="4" s="1"/>
  <c r="C721" i="4"/>
  <c r="B721" i="4"/>
  <c r="O720" i="4"/>
  <c r="AC720" i="4" s="1"/>
  <c r="N720" i="4"/>
  <c r="AA720" i="4" s="1"/>
  <c r="M720" i="4"/>
  <c r="L720" i="4"/>
  <c r="K720" i="4"/>
  <c r="U720" i="4" s="1"/>
  <c r="J720" i="4"/>
  <c r="T720" i="4" s="1"/>
  <c r="I720" i="4"/>
  <c r="S720" i="4" s="1"/>
  <c r="C720" i="4"/>
  <c r="B720" i="4"/>
  <c r="O719" i="4"/>
  <c r="AC719" i="4" s="1"/>
  <c r="N719" i="4"/>
  <c r="AA719" i="4" s="1"/>
  <c r="M719" i="4"/>
  <c r="L719" i="4"/>
  <c r="K719" i="4"/>
  <c r="U719" i="4" s="1"/>
  <c r="J719" i="4"/>
  <c r="T719" i="4" s="1"/>
  <c r="I719" i="4"/>
  <c r="S719" i="4" s="1"/>
  <c r="C719" i="4"/>
  <c r="B719" i="4"/>
  <c r="O718" i="4"/>
  <c r="AC718" i="4" s="1"/>
  <c r="N718" i="4"/>
  <c r="AA718" i="4" s="1"/>
  <c r="M718" i="4"/>
  <c r="L718" i="4"/>
  <c r="K718" i="4"/>
  <c r="U718" i="4" s="1"/>
  <c r="J718" i="4"/>
  <c r="T718" i="4" s="1"/>
  <c r="I718" i="4"/>
  <c r="S718" i="4" s="1"/>
  <c r="C718" i="4"/>
  <c r="B718" i="4"/>
  <c r="O717" i="4"/>
  <c r="AC717" i="4" s="1"/>
  <c r="N717" i="4"/>
  <c r="AA717" i="4" s="1"/>
  <c r="M717" i="4"/>
  <c r="L717" i="4"/>
  <c r="K717" i="4"/>
  <c r="U717" i="4" s="1"/>
  <c r="J717" i="4"/>
  <c r="T717" i="4" s="1"/>
  <c r="I717" i="4"/>
  <c r="S717" i="4" s="1"/>
  <c r="C717" i="4"/>
  <c r="B717" i="4"/>
  <c r="K716" i="4"/>
  <c r="U716" i="4" s="1"/>
  <c r="J716" i="4"/>
  <c r="T716" i="4" s="1"/>
  <c r="I716" i="4"/>
  <c r="S716" i="4" s="1"/>
  <c r="O715" i="4"/>
  <c r="AC715" i="4" s="1"/>
  <c r="N715" i="4"/>
  <c r="AA715" i="4" s="1"/>
  <c r="M715" i="4"/>
  <c r="L715" i="4"/>
  <c r="K715" i="4"/>
  <c r="U715" i="4" s="1"/>
  <c r="J715" i="4"/>
  <c r="T715" i="4" s="1"/>
  <c r="I715" i="4"/>
  <c r="S715" i="4" s="1"/>
  <c r="C715" i="4"/>
  <c r="B715" i="4"/>
  <c r="K714" i="4"/>
  <c r="U714" i="4" s="1"/>
  <c r="O712" i="4"/>
  <c r="AC712" i="4" s="1"/>
  <c r="N712" i="4"/>
  <c r="AA712" i="4" s="1"/>
  <c r="M712" i="4"/>
  <c r="L712" i="4"/>
  <c r="K712" i="4"/>
  <c r="U712" i="4" s="1"/>
  <c r="J712" i="4"/>
  <c r="T712" i="4" s="1"/>
  <c r="I712" i="4"/>
  <c r="S712" i="4" s="1"/>
  <c r="C712" i="4"/>
  <c r="B712" i="4"/>
  <c r="O710" i="4"/>
  <c r="AC710" i="4" s="1"/>
  <c r="N710" i="4"/>
  <c r="AA710" i="4" s="1"/>
  <c r="M710" i="4"/>
  <c r="L710" i="4"/>
  <c r="K710" i="4"/>
  <c r="U710" i="4" s="1"/>
  <c r="J710" i="4"/>
  <c r="T710" i="4" s="1"/>
  <c r="I710" i="4"/>
  <c r="S710" i="4" s="1"/>
  <c r="H710" i="4"/>
  <c r="G710" i="4"/>
  <c r="F710" i="4"/>
  <c r="E710" i="4"/>
  <c r="D710" i="4"/>
  <c r="C710" i="4"/>
  <c r="B710" i="4"/>
  <c r="O709" i="4"/>
  <c r="AC709" i="4" s="1"/>
  <c r="N709" i="4"/>
  <c r="AA709" i="4" s="1"/>
  <c r="M709" i="4"/>
  <c r="L709" i="4"/>
  <c r="K709" i="4"/>
  <c r="U709" i="4" s="1"/>
  <c r="J709" i="4"/>
  <c r="T709" i="4" s="1"/>
  <c r="I709" i="4"/>
  <c r="S709" i="4" s="1"/>
  <c r="C709" i="4"/>
  <c r="B709" i="4"/>
  <c r="O708" i="4"/>
  <c r="AC708" i="4" s="1"/>
  <c r="N708" i="4"/>
  <c r="AA708" i="4" s="1"/>
  <c r="M708" i="4"/>
  <c r="L708" i="4"/>
  <c r="K708" i="4"/>
  <c r="U708" i="4" s="1"/>
  <c r="J708" i="4"/>
  <c r="T708" i="4" s="1"/>
  <c r="I708" i="4"/>
  <c r="S708" i="4" s="1"/>
  <c r="C708" i="4"/>
  <c r="B708" i="4"/>
  <c r="O707" i="4"/>
  <c r="AC707" i="4" s="1"/>
  <c r="N707" i="4"/>
  <c r="AA707" i="4" s="1"/>
  <c r="M707" i="4"/>
  <c r="L707" i="4"/>
  <c r="K707" i="4"/>
  <c r="U707" i="4" s="1"/>
  <c r="J707" i="4"/>
  <c r="T707" i="4" s="1"/>
  <c r="I707" i="4"/>
  <c r="S707" i="4" s="1"/>
  <c r="C707" i="4"/>
  <c r="B707" i="4"/>
  <c r="O706" i="4"/>
  <c r="AC706" i="4" s="1"/>
  <c r="N706" i="4"/>
  <c r="AA706" i="4" s="1"/>
  <c r="M706" i="4"/>
  <c r="L706" i="4"/>
  <c r="K706" i="4"/>
  <c r="U706" i="4" s="1"/>
  <c r="J706" i="4"/>
  <c r="T706" i="4" s="1"/>
  <c r="I706" i="4"/>
  <c r="S706" i="4" s="1"/>
  <c r="C706" i="4"/>
  <c r="B706" i="4"/>
  <c r="O705" i="4"/>
  <c r="AC705" i="4" s="1"/>
  <c r="N705" i="4"/>
  <c r="AA705" i="4" s="1"/>
  <c r="M705" i="4"/>
  <c r="L705" i="4"/>
  <c r="K705" i="4"/>
  <c r="U705" i="4" s="1"/>
  <c r="J705" i="4"/>
  <c r="T705" i="4" s="1"/>
  <c r="I705" i="4"/>
  <c r="S705" i="4" s="1"/>
  <c r="C705" i="4"/>
  <c r="B705" i="4"/>
  <c r="N704" i="4"/>
  <c r="AA704" i="4" s="1"/>
  <c r="M704" i="4"/>
  <c r="L704" i="4"/>
  <c r="O703" i="4"/>
  <c r="AC703" i="4" s="1"/>
  <c r="N703" i="4"/>
  <c r="AA703" i="4" s="1"/>
  <c r="M703" i="4"/>
  <c r="L703" i="4"/>
  <c r="K703" i="4"/>
  <c r="U703" i="4" s="1"/>
  <c r="J703" i="4"/>
  <c r="T703" i="4" s="1"/>
  <c r="I703" i="4"/>
  <c r="S703" i="4" s="1"/>
  <c r="C703" i="4"/>
  <c r="B703" i="4"/>
  <c r="O700" i="4"/>
  <c r="AC700" i="4" s="1"/>
  <c r="N700" i="4"/>
  <c r="AA700" i="4" s="1"/>
  <c r="M700" i="4"/>
  <c r="L700" i="4"/>
  <c r="K700" i="4"/>
  <c r="U700" i="4" s="1"/>
  <c r="J700" i="4"/>
  <c r="T700" i="4" s="1"/>
  <c r="I700" i="4"/>
  <c r="S700" i="4" s="1"/>
  <c r="C700" i="4"/>
  <c r="B700" i="4"/>
  <c r="K699" i="4"/>
  <c r="U699" i="4" s="1"/>
  <c r="I699" i="4"/>
  <c r="S699" i="4" s="1"/>
  <c r="O698" i="4"/>
  <c r="AC698" i="4" s="1"/>
  <c r="N698" i="4"/>
  <c r="AA698" i="4" s="1"/>
  <c r="M698" i="4"/>
  <c r="L698" i="4"/>
  <c r="K698" i="4"/>
  <c r="U698" i="4" s="1"/>
  <c r="J698" i="4"/>
  <c r="T698" i="4" s="1"/>
  <c r="I698" i="4"/>
  <c r="S698" i="4" s="1"/>
  <c r="H698" i="4"/>
  <c r="G698" i="4"/>
  <c r="F698" i="4"/>
  <c r="E698" i="4"/>
  <c r="D698" i="4"/>
  <c r="C698" i="4"/>
  <c r="B698" i="4"/>
  <c r="O697" i="4"/>
  <c r="AC697" i="4" s="1"/>
  <c r="N697" i="4"/>
  <c r="AA697" i="4" s="1"/>
  <c r="M697" i="4"/>
  <c r="L697" i="4"/>
  <c r="K697" i="4"/>
  <c r="U697" i="4" s="1"/>
  <c r="J697" i="4"/>
  <c r="T697" i="4" s="1"/>
  <c r="I697" i="4"/>
  <c r="S697" i="4" s="1"/>
  <c r="C697" i="4"/>
  <c r="B697" i="4"/>
  <c r="O696" i="4"/>
  <c r="AC696" i="4" s="1"/>
  <c r="N696" i="4"/>
  <c r="AA696" i="4" s="1"/>
  <c r="M696" i="4"/>
  <c r="L696" i="4"/>
  <c r="K696" i="4"/>
  <c r="U696" i="4" s="1"/>
  <c r="J696" i="4"/>
  <c r="T696" i="4" s="1"/>
  <c r="I696" i="4"/>
  <c r="S696" i="4" s="1"/>
  <c r="C696" i="4"/>
  <c r="B696" i="4"/>
  <c r="O695" i="4"/>
  <c r="AC695" i="4" s="1"/>
  <c r="N695" i="4"/>
  <c r="AA695" i="4" s="1"/>
  <c r="M695" i="4"/>
  <c r="L695" i="4"/>
  <c r="K695" i="4"/>
  <c r="U695" i="4" s="1"/>
  <c r="J695" i="4"/>
  <c r="T695" i="4" s="1"/>
  <c r="I695" i="4"/>
  <c r="S695" i="4" s="1"/>
  <c r="C695" i="4"/>
  <c r="B695" i="4"/>
  <c r="O694" i="4"/>
  <c r="AC694" i="4" s="1"/>
  <c r="N694" i="4"/>
  <c r="AA694" i="4" s="1"/>
  <c r="M694" i="4"/>
  <c r="L694" i="4"/>
  <c r="K694" i="4"/>
  <c r="U694" i="4" s="1"/>
  <c r="J694" i="4"/>
  <c r="T694" i="4" s="1"/>
  <c r="I694" i="4"/>
  <c r="S694" i="4" s="1"/>
  <c r="C694" i="4"/>
  <c r="B694" i="4"/>
  <c r="O693" i="4"/>
  <c r="AC693" i="4" s="1"/>
  <c r="N693" i="4"/>
  <c r="AA693" i="4" s="1"/>
  <c r="M693" i="4"/>
  <c r="L693" i="4"/>
  <c r="K693" i="4"/>
  <c r="U693" i="4" s="1"/>
  <c r="J693" i="4"/>
  <c r="T693" i="4" s="1"/>
  <c r="I693" i="4"/>
  <c r="S693" i="4" s="1"/>
  <c r="C693" i="4"/>
  <c r="B693" i="4"/>
  <c r="O691" i="4"/>
  <c r="AC691" i="4" s="1"/>
  <c r="N691" i="4"/>
  <c r="AA691" i="4" s="1"/>
  <c r="M691" i="4"/>
  <c r="L691" i="4"/>
  <c r="K691" i="4"/>
  <c r="U691" i="4" s="1"/>
  <c r="J691" i="4"/>
  <c r="T691" i="4" s="1"/>
  <c r="I691" i="4"/>
  <c r="S691" i="4" s="1"/>
  <c r="C691" i="4"/>
  <c r="B691" i="4"/>
  <c r="I690" i="4"/>
  <c r="S690" i="4" s="1"/>
  <c r="O688" i="4"/>
  <c r="AC688" i="4" s="1"/>
  <c r="N688" i="4"/>
  <c r="AA688" i="4" s="1"/>
  <c r="M688" i="4"/>
  <c r="L688" i="4"/>
  <c r="K688" i="4"/>
  <c r="U688" i="4" s="1"/>
  <c r="J688" i="4"/>
  <c r="T688" i="4" s="1"/>
  <c r="I688" i="4"/>
  <c r="S688" i="4" s="1"/>
  <c r="C688" i="4"/>
  <c r="B688" i="4"/>
  <c r="O686" i="4"/>
  <c r="AC686" i="4" s="1"/>
  <c r="N686" i="4"/>
  <c r="AA686" i="4" s="1"/>
  <c r="M686" i="4"/>
  <c r="L686" i="4"/>
  <c r="K686" i="4"/>
  <c r="U686" i="4" s="1"/>
  <c r="J686" i="4"/>
  <c r="T686" i="4" s="1"/>
  <c r="I686" i="4"/>
  <c r="S686" i="4" s="1"/>
  <c r="H686" i="4"/>
  <c r="G686" i="4"/>
  <c r="F686" i="4"/>
  <c r="E686" i="4"/>
  <c r="D686" i="4"/>
  <c r="C686" i="4"/>
  <c r="B686" i="4"/>
  <c r="O685" i="4"/>
  <c r="AC685" i="4" s="1"/>
  <c r="N685" i="4"/>
  <c r="AA685" i="4" s="1"/>
  <c r="M685" i="4"/>
  <c r="L685" i="4"/>
  <c r="K685" i="4"/>
  <c r="U685" i="4" s="1"/>
  <c r="J685" i="4"/>
  <c r="T685" i="4" s="1"/>
  <c r="I685" i="4"/>
  <c r="S685" i="4" s="1"/>
  <c r="C685" i="4"/>
  <c r="B685" i="4"/>
  <c r="O684" i="4"/>
  <c r="AC684" i="4" s="1"/>
  <c r="N684" i="4"/>
  <c r="AA684" i="4" s="1"/>
  <c r="M684" i="4"/>
  <c r="L684" i="4"/>
  <c r="K684" i="4"/>
  <c r="U684" i="4" s="1"/>
  <c r="J684" i="4"/>
  <c r="T684" i="4" s="1"/>
  <c r="I684" i="4"/>
  <c r="S684" i="4" s="1"/>
  <c r="C684" i="4"/>
  <c r="B684" i="4"/>
  <c r="O683" i="4"/>
  <c r="AC683" i="4" s="1"/>
  <c r="N683" i="4"/>
  <c r="AA683" i="4" s="1"/>
  <c r="M683" i="4"/>
  <c r="L683" i="4"/>
  <c r="K683" i="4"/>
  <c r="U683" i="4" s="1"/>
  <c r="J683" i="4"/>
  <c r="T683" i="4" s="1"/>
  <c r="I683" i="4"/>
  <c r="S683" i="4" s="1"/>
  <c r="C683" i="4"/>
  <c r="B683" i="4"/>
  <c r="O682" i="4"/>
  <c r="AC682" i="4" s="1"/>
  <c r="N682" i="4"/>
  <c r="AA682" i="4" s="1"/>
  <c r="M682" i="4"/>
  <c r="L682" i="4"/>
  <c r="K682" i="4"/>
  <c r="U682" i="4" s="1"/>
  <c r="J682" i="4"/>
  <c r="T682" i="4" s="1"/>
  <c r="I682" i="4"/>
  <c r="S682" i="4" s="1"/>
  <c r="C682" i="4"/>
  <c r="B682" i="4"/>
  <c r="O681" i="4"/>
  <c r="AC681" i="4" s="1"/>
  <c r="N681" i="4"/>
  <c r="AA681" i="4" s="1"/>
  <c r="M681" i="4"/>
  <c r="L681" i="4"/>
  <c r="K681" i="4"/>
  <c r="U681" i="4" s="1"/>
  <c r="J681" i="4"/>
  <c r="T681" i="4" s="1"/>
  <c r="I681" i="4"/>
  <c r="S681" i="4" s="1"/>
  <c r="C681" i="4"/>
  <c r="B681" i="4"/>
  <c r="I680" i="4"/>
  <c r="S680" i="4" s="1"/>
  <c r="C680" i="4"/>
  <c r="B680" i="4"/>
  <c r="O679" i="4"/>
  <c r="AC679" i="4" s="1"/>
  <c r="N679" i="4"/>
  <c r="AA679" i="4" s="1"/>
  <c r="M679" i="4"/>
  <c r="L679" i="4"/>
  <c r="K679" i="4"/>
  <c r="U679" i="4" s="1"/>
  <c r="J679" i="4"/>
  <c r="T679" i="4" s="1"/>
  <c r="I679" i="4"/>
  <c r="S679" i="4" s="1"/>
  <c r="C679" i="4"/>
  <c r="B679" i="4"/>
  <c r="N678" i="4"/>
  <c r="AA678" i="4" s="1"/>
  <c r="O676" i="4"/>
  <c r="AC676" i="4" s="1"/>
  <c r="N676" i="4"/>
  <c r="AA676" i="4" s="1"/>
  <c r="M676" i="4"/>
  <c r="L676" i="4"/>
  <c r="K676" i="4"/>
  <c r="U676" i="4" s="1"/>
  <c r="J676" i="4"/>
  <c r="T676" i="4" s="1"/>
  <c r="I676" i="4"/>
  <c r="S676" i="4" s="1"/>
  <c r="C676" i="4"/>
  <c r="B676" i="4"/>
  <c r="O674" i="4"/>
  <c r="AC674" i="4" s="1"/>
  <c r="N674" i="4"/>
  <c r="AA674" i="4" s="1"/>
  <c r="M674" i="4"/>
  <c r="L674" i="4"/>
  <c r="K674" i="4"/>
  <c r="U674" i="4" s="1"/>
  <c r="J674" i="4"/>
  <c r="T674" i="4" s="1"/>
  <c r="I674" i="4"/>
  <c r="S674" i="4" s="1"/>
  <c r="H674" i="4"/>
  <c r="G674" i="4"/>
  <c r="F674" i="4"/>
  <c r="E674" i="4"/>
  <c r="D674" i="4"/>
  <c r="C674" i="4"/>
  <c r="B674" i="4"/>
  <c r="O673" i="4"/>
  <c r="AC673" i="4" s="1"/>
  <c r="N673" i="4"/>
  <c r="AA673" i="4" s="1"/>
  <c r="M673" i="4"/>
  <c r="L673" i="4"/>
  <c r="K673" i="4"/>
  <c r="U673" i="4" s="1"/>
  <c r="J673" i="4"/>
  <c r="T673" i="4" s="1"/>
  <c r="I673" i="4"/>
  <c r="S673" i="4" s="1"/>
  <c r="C673" i="4"/>
  <c r="B673" i="4"/>
  <c r="O672" i="4"/>
  <c r="AC672" i="4" s="1"/>
  <c r="N672" i="4"/>
  <c r="AA672" i="4" s="1"/>
  <c r="M672" i="4"/>
  <c r="L672" i="4"/>
  <c r="K672" i="4"/>
  <c r="U672" i="4" s="1"/>
  <c r="J672" i="4"/>
  <c r="T672" i="4" s="1"/>
  <c r="I672" i="4"/>
  <c r="S672" i="4" s="1"/>
  <c r="C672" i="4"/>
  <c r="B672" i="4"/>
  <c r="O671" i="4"/>
  <c r="AC671" i="4" s="1"/>
  <c r="N671" i="4"/>
  <c r="AA671" i="4" s="1"/>
  <c r="M671" i="4"/>
  <c r="L671" i="4"/>
  <c r="K671" i="4"/>
  <c r="U671" i="4" s="1"/>
  <c r="J671" i="4"/>
  <c r="T671" i="4" s="1"/>
  <c r="I671" i="4"/>
  <c r="S671" i="4" s="1"/>
  <c r="C671" i="4"/>
  <c r="B671" i="4"/>
  <c r="O670" i="4"/>
  <c r="AC670" i="4" s="1"/>
  <c r="N670" i="4"/>
  <c r="AA670" i="4" s="1"/>
  <c r="M670" i="4"/>
  <c r="L670" i="4"/>
  <c r="K670" i="4"/>
  <c r="U670" i="4" s="1"/>
  <c r="J670" i="4"/>
  <c r="T670" i="4" s="1"/>
  <c r="I670" i="4"/>
  <c r="S670" i="4" s="1"/>
  <c r="C670" i="4"/>
  <c r="B670" i="4"/>
  <c r="O669" i="4"/>
  <c r="AC669" i="4" s="1"/>
  <c r="N669" i="4"/>
  <c r="AA669" i="4" s="1"/>
  <c r="M669" i="4"/>
  <c r="L669" i="4"/>
  <c r="K669" i="4"/>
  <c r="U669" i="4" s="1"/>
  <c r="J669" i="4"/>
  <c r="T669" i="4" s="1"/>
  <c r="I669" i="4"/>
  <c r="S669" i="4" s="1"/>
  <c r="C669" i="4"/>
  <c r="B669" i="4"/>
  <c r="L668" i="4"/>
  <c r="K668" i="4"/>
  <c r="U668" i="4" s="1"/>
  <c r="J668" i="4"/>
  <c r="T668" i="4" s="1"/>
  <c r="O667" i="4"/>
  <c r="AC667" i="4" s="1"/>
  <c r="N667" i="4"/>
  <c r="AA667" i="4" s="1"/>
  <c r="M667" i="4"/>
  <c r="L667" i="4"/>
  <c r="K667" i="4"/>
  <c r="U667" i="4" s="1"/>
  <c r="J667" i="4"/>
  <c r="T667" i="4" s="1"/>
  <c r="I667" i="4"/>
  <c r="S667" i="4" s="1"/>
  <c r="C667" i="4"/>
  <c r="B667" i="4"/>
  <c r="B666" i="4"/>
  <c r="O664" i="4"/>
  <c r="AC664" i="4" s="1"/>
  <c r="N664" i="4"/>
  <c r="AA664" i="4" s="1"/>
  <c r="M664" i="4"/>
  <c r="L664" i="4"/>
  <c r="K664" i="4"/>
  <c r="U664" i="4" s="1"/>
  <c r="J664" i="4"/>
  <c r="T664" i="4" s="1"/>
  <c r="I664" i="4"/>
  <c r="S664" i="4" s="1"/>
  <c r="C664" i="4"/>
  <c r="B664" i="4"/>
  <c r="N663" i="4"/>
  <c r="AA663" i="4" s="1"/>
  <c r="O662" i="4"/>
  <c r="AC662" i="4" s="1"/>
  <c r="N662" i="4"/>
  <c r="AA662" i="4" s="1"/>
  <c r="M662" i="4"/>
  <c r="L662" i="4"/>
  <c r="K662" i="4"/>
  <c r="U662" i="4" s="1"/>
  <c r="J662" i="4"/>
  <c r="T662" i="4" s="1"/>
  <c r="I662" i="4"/>
  <c r="S662" i="4" s="1"/>
  <c r="H662" i="4"/>
  <c r="G662" i="4"/>
  <c r="F662" i="4"/>
  <c r="E662" i="4"/>
  <c r="D662" i="4"/>
  <c r="C662" i="4"/>
  <c r="B662" i="4"/>
  <c r="O661" i="4"/>
  <c r="AC661" i="4" s="1"/>
  <c r="N661" i="4"/>
  <c r="AA661" i="4" s="1"/>
  <c r="M661" i="4"/>
  <c r="L661" i="4"/>
  <c r="K661" i="4"/>
  <c r="U661" i="4" s="1"/>
  <c r="J661" i="4"/>
  <c r="T661" i="4" s="1"/>
  <c r="I661" i="4"/>
  <c r="S661" i="4" s="1"/>
  <c r="C661" i="4"/>
  <c r="B661" i="4"/>
  <c r="O660" i="4"/>
  <c r="AC660" i="4" s="1"/>
  <c r="N660" i="4"/>
  <c r="AA660" i="4" s="1"/>
  <c r="M660" i="4"/>
  <c r="L660" i="4"/>
  <c r="K660" i="4"/>
  <c r="U660" i="4" s="1"/>
  <c r="J660" i="4"/>
  <c r="T660" i="4" s="1"/>
  <c r="I660" i="4"/>
  <c r="S660" i="4" s="1"/>
  <c r="C660" i="4"/>
  <c r="B660" i="4"/>
  <c r="O659" i="4"/>
  <c r="AC659" i="4" s="1"/>
  <c r="N659" i="4"/>
  <c r="AA659" i="4" s="1"/>
  <c r="M659" i="4"/>
  <c r="L659" i="4"/>
  <c r="K659" i="4"/>
  <c r="U659" i="4" s="1"/>
  <c r="J659" i="4"/>
  <c r="T659" i="4" s="1"/>
  <c r="I659" i="4"/>
  <c r="S659" i="4" s="1"/>
  <c r="C659" i="4"/>
  <c r="B659" i="4"/>
  <c r="O658" i="4"/>
  <c r="AC658" i="4" s="1"/>
  <c r="N658" i="4"/>
  <c r="AA658" i="4" s="1"/>
  <c r="M658" i="4"/>
  <c r="L658" i="4"/>
  <c r="K658" i="4"/>
  <c r="U658" i="4" s="1"/>
  <c r="J658" i="4"/>
  <c r="T658" i="4" s="1"/>
  <c r="I658" i="4"/>
  <c r="S658" i="4" s="1"/>
  <c r="C658" i="4"/>
  <c r="B658" i="4"/>
  <c r="O657" i="4"/>
  <c r="AC657" i="4" s="1"/>
  <c r="N657" i="4"/>
  <c r="AA657" i="4" s="1"/>
  <c r="M657" i="4"/>
  <c r="L657" i="4"/>
  <c r="K657" i="4"/>
  <c r="U657" i="4" s="1"/>
  <c r="J657" i="4"/>
  <c r="T657" i="4" s="1"/>
  <c r="I657" i="4"/>
  <c r="S657" i="4" s="1"/>
  <c r="C657" i="4"/>
  <c r="B657" i="4"/>
  <c r="O656" i="4"/>
  <c r="AC656" i="4" s="1"/>
  <c r="N656" i="4"/>
  <c r="AA656" i="4" s="1"/>
  <c r="O655" i="4"/>
  <c r="AC655" i="4" s="1"/>
  <c r="N655" i="4"/>
  <c r="AA655" i="4" s="1"/>
  <c r="M655" i="4"/>
  <c r="L655" i="4"/>
  <c r="K655" i="4"/>
  <c r="U655" i="4" s="1"/>
  <c r="J655" i="4"/>
  <c r="T655" i="4" s="1"/>
  <c r="I655" i="4"/>
  <c r="S655" i="4" s="1"/>
  <c r="C655" i="4"/>
  <c r="B655" i="4"/>
  <c r="L654" i="4"/>
  <c r="O652" i="4"/>
  <c r="AC652" i="4" s="1"/>
  <c r="N652" i="4"/>
  <c r="AA652" i="4" s="1"/>
  <c r="M652" i="4"/>
  <c r="L652" i="4"/>
  <c r="K652" i="4"/>
  <c r="U652" i="4" s="1"/>
  <c r="J652" i="4"/>
  <c r="T652" i="4" s="1"/>
  <c r="I652" i="4"/>
  <c r="S652" i="4" s="1"/>
  <c r="C652" i="4"/>
  <c r="B652" i="4"/>
  <c r="O650" i="4"/>
  <c r="AC650" i="4" s="1"/>
  <c r="N650" i="4"/>
  <c r="AA650" i="4" s="1"/>
  <c r="M650" i="4"/>
  <c r="L650" i="4"/>
  <c r="K650" i="4"/>
  <c r="U650" i="4" s="1"/>
  <c r="J650" i="4"/>
  <c r="T650" i="4" s="1"/>
  <c r="I650" i="4"/>
  <c r="S650" i="4" s="1"/>
  <c r="H650" i="4"/>
  <c r="G650" i="4"/>
  <c r="F650" i="4"/>
  <c r="E650" i="4"/>
  <c r="D650" i="4"/>
  <c r="C650" i="4"/>
  <c r="B650" i="4"/>
  <c r="O649" i="4"/>
  <c r="AC649" i="4" s="1"/>
  <c r="N649" i="4"/>
  <c r="AA649" i="4" s="1"/>
  <c r="M649" i="4"/>
  <c r="L649" i="4"/>
  <c r="K649" i="4"/>
  <c r="U649" i="4" s="1"/>
  <c r="J649" i="4"/>
  <c r="T649" i="4" s="1"/>
  <c r="I649" i="4"/>
  <c r="S649" i="4" s="1"/>
  <c r="C649" i="4"/>
  <c r="B649" i="4"/>
  <c r="O648" i="4"/>
  <c r="AC648" i="4" s="1"/>
  <c r="N648" i="4"/>
  <c r="AA648" i="4" s="1"/>
  <c r="M648" i="4"/>
  <c r="L648" i="4"/>
  <c r="K648" i="4"/>
  <c r="U648" i="4" s="1"/>
  <c r="J648" i="4"/>
  <c r="T648" i="4" s="1"/>
  <c r="I648" i="4"/>
  <c r="S648" i="4" s="1"/>
  <c r="C648" i="4"/>
  <c r="B648" i="4"/>
  <c r="O647" i="4"/>
  <c r="AC647" i="4" s="1"/>
  <c r="N647" i="4"/>
  <c r="AA647" i="4" s="1"/>
  <c r="M647" i="4"/>
  <c r="L647" i="4"/>
  <c r="K647" i="4"/>
  <c r="U647" i="4" s="1"/>
  <c r="J647" i="4"/>
  <c r="T647" i="4" s="1"/>
  <c r="I647" i="4"/>
  <c r="S647" i="4" s="1"/>
  <c r="C647" i="4"/>
  <c r="B647" i="4"/>
  <c r="O646" i="4"/>
  <c r="AC646" i="4" s="1"/>
  <c r="N646" i="4"/>
  <c r="AA646" i="4" s="1"/>
  <c r="M646" i="4"/>
  <c r="L646" i="4"/>
  <c r="K646" i="4"/>
  <c r="U646" i="4" s="1"/>
  <c r="J646" i="4"/>
  <c r="T646" i="4" s="1"/>
  <c r="I646" i="4"/>
  <c r="S646" i="4" s="1"/>
  <c r="C646" i="4"/>
  <c r="B646" i="4"/>
  <c r="O645" i="4"/>
  <c r="AC645" i="4" s="1"/>
  <c r="N645" i="4"/>
  <c r="AA645" i="4" s="1"/>
  <c r="M645" i="4"/>
  <c r="L645" i="4"/>
  <c r="K645" i="4"/>
  <c r="U645" i="4" s="1"/>
  <c r="J645" i="4"/>
  <c r="T645" i="4" s="1"/>
  <c r="I645" i="4"/>
  <c r="S645" i="4" s="1"/>
  <c r="C645" i="4"/>
  <c r="B645" i="4"/>
  <c r="B644" i="4"/>
  <c r="O643" i="4"/>
  <c r="AC643" i="4" s="1"/>
  <c r="N643" i="4"/>
  <c r="AA643" i="4" s="1"/>
  <c r="M643" i="4"/>
  <c r="L643" i="4"/>
  <c r="K643" i="4"/>
  <c r="U643" i="4" s="1"/>
  <c r="J643" i="4"/>
  <c r="T643" i="4" s="1"/>
  <c r="I643" i="4"/>
  <c r="S643" i="4" s="1"/>
  <c r="C643" i="4"/>
  <c r="B643" i="4"/>
  <c r="O640" i="4"/>
  <c r="AC640" i="4" s="1"/>
  <c r="N640" i="4"/>
  <c r="AA640" i="4" s="1"/>
  <c r="M640" i="4"/>
  <c r="L640" i="4"/>
  <c r="K640" i="4"/>
  <c r="U640" i="4" s="1"/>
  <c r="J640" i="4"/>
  <c r="T640" i="4" s="1"/>
  <c r="I640" i="4"/>
  <c r="S640" i="4" s="1"/>
  <c r="C640" i="4"/>
  <c r="B640" i="4"/>
  <c r="O638" i="4"/>
  <c r="AC638" i="4" s="1"/>
  <c r="N638" i="4"/>
  <c r="AA638" i="4" s="1"/>
  <c r="M638" i="4"/>
  <c r="L638" i="4"/>
  <c r="K638" i="4"/>
  <c r="U638" i="4" s="1"/>
  <c r="J638" i="4"/>
  <c r="T638" i="4" s="1"/>
  <c r="I638" i="4"/>
  <c r="S638" i="4" s="1"/>
  <c r="H638" i="4"/>
  <c r="G638" i="4"/>
  <c r="F638" i="4"/>
  <c r="E638" i="4"/>
  <c r="D638" i="4"/>
  <c r="C638" i="4"/>
  <c r="B638" i="4"/>
  <c r="O637" i="4"/>
  <c r="AC637" i="4" s="1"/>
  <c r="N637" i="4"/>
  <c r="AA637" i="4" s="1"/>
  <c r="M637" i="4"/>
  <c r="L637" i="4"/>
  <c r="K637" i="4"/>
  <c r="U637" i="4" s="1"/>
  <c r="J637" i="4"/>
  <c r="T637" i="4" s="1"/>
  <c r="I637" i="4"/>
  <c r="S637" i="4" s="1"/>
  <c r="C637" i="4"/>
  <c r="B637" i="4"/>
  <c r="O636" i="4"/>
  <c r="AC636" i="4" s="1"/>
  <c r="N636" i="4"/>
  <c r="AA636" i="4" s="1"/>
  <c r="M636" i="4"/>
  <c r="L636" i="4"/>
  <c r="K636" i="4"/>
  <c r="U636" i="4" s="1"/>
  <c r="J636" i="4"/>
  <c r="T636" i="4" s="1"/>
  <c r="I636" i="4"/>
  <c r="S636" i="4" s="1"/>
  <c r="C636" i="4"/>
  <c r="B636" i="4"/>
  <c r="O635" i="4"/>
  <c r="AC635" i="4" s="1"/>
  <c r="N635" i="4"/>
  <c r="AA635" i="4" s="1"/>
  <c r="M635" i="4"/>
  <c r="L635" i="4"/>
  <c r="K635" i="4"/>
  <c r="U635" i="4" s="1"/>
  <c r="J635" i="4"/>
  <c r="T635" i="4" s="1"/>
  <c r="I635" i="4"/>
  <c r="S635" i="4" s="1"/>
  <c r="C635" i="4"/>
  <c r="B635" i="4"/>
  <c r="O634" i="4"/>
  <c r="AC634" i="4" s="1"/>
  <c r="N634" i="4"/>
  <c r="AA634" i="4" s="1"/>
  <c r="M634" i="4"/>
  <c r="L634" i="4"/>
  <c r="K634" i="4"/>
  <c r="U634" i="4" s="1"/>
  <c r="J634" i="4"/>
  <c r="T634" i="4" s="1"/>
  <c r="I634" i="4"/>
  <c r="S634" i="4" s="1"/>
  <c r="C634" i="4"/>
  <c r="B634" i="4"/>
  <c r="O633" i="4"/>
  <c r="AC633" i="4" s="1"/>
  <c r="N633" i="4"/>
  <c r="AA633" i="4" s="1"/>
  <c r="M633" i="4"/>
  <c r="L633" i="4"/>
  <c r="K633" i="4"/>
  <c r="U633" i="4" s="1"/>
  <c r="J633" i="4"/>
  <c r="T633" i="4" s="1"/>
  <c r="I633" i="4"/>
  <c r="S633" i="4" s="1"/>
  <c r="C633" i="4"/>
  <c r="B633" i="4"/>
  <c r="I632" i="4"/>
  <c r="S632" i="4" s="1"/>
  <c r="C632" i="4"/>
  <c r="B632" i="4"/>
  <c r="O631" i="4"/>
  <c r="AC631" i="4" s="1"/>
  <c r="N631" i="4"/>
  <c r="AA631" i="4" s="1"/>
  <c r="M631" i="4"/>
  <c r="L631" i="4"/>
  <c r="K631" i="4"/>
  <c r="U631" i="4" s="1"/>
  <c r="J631" i="4"/>
  <c r="T631" i="4" s="1"/>
  <c r="I631" i="4"/>
  <c r="S631" i="4" s="1"/>
  <c r="C631" i="4"/>
  <c r="B631" i="4"/>
  <c r="J630" i="4"/>
  <c r="T630" i="4" s="1"/>
  <c r="O628" i="4"/>
  <c r="AC628" i="4" s="1"/>
  <c r="N628" i="4"/>
  <c r="AA628" i="4" s="1"/>
  <c r="M628" i="4"/>
  <c r="L628" i="4"/>
  <c r="K628" i="4"/>
  <c r="U628" i="4" s="1"/>
  <c r="J628" i="4"/>
  <c r="T628" i="4" s="1"/>
  <c r="I628" i="4"/>
  <c r="S628" i="4" s="1"/>
  <c r="C628" i="4"/>
  <c r="B628" i="4"/>
  <c r="O626" i="4"/>
  <c r="AC626" i="4" s="1"/>
  <c r="N626" i="4"/>
  <c r="AA626" i="4" s="1"/>
  <c r="M626" i="4"/>
  <c r="L626" i="4"/>
  <c r="K626" i="4"/>
  <c r="U626" i="4" s="1"/>
  <c r="J626" i="4"/>
  <c r="T626" i="4" s="1"/>
  <c r="I626" i="4"/>
  <c r="S626" i="4" s="1"/>
  <c r="H626" i="4"/>
  <c r="G626" i="4"/>
  <c r="F626" i="4"/>
  <c r="E626" i="4"/>
  <c r="D626" i="4"/>
  <c r="C626" i="4"/>
  <c r="B626" i="4"/>
  <c r="O625" i="4"/>
  <c r="AC625" i="4" s="1"/>
  <c r="N625" i="4"/>
  <c r="AA625" i="4" s="1"/>
  <c r="M625" i="4"/>
  <c r="L625" i="4"/>
  <c r="K625" i="4"/>
  <c r="U625" i="4" s="1"/>
  <c r="J625" i="4"/>
  <c r="T625" i="4" s="1"/>
  <c r="I625" i="4"/>
  <c r="S625" i="4" s="1"/>
  <c r="C625" i="4"/>
  <c r="B625" i="4"/>
  <c r="O624" i="4"/>
  <c r="AC624" i="4" s="1"/>
  <c r="N624" i="4"/>
  <c r="AA624" i="4" s="1"/>
  <c r="M624" i="4"/>
  <c r="L624" i="4"/>
  <c r="K624" i="4"/>
  <c r="U624" i="4" s="1"/>
  <c r="J624" i="4"/>
  <c r="T624" i="4" s="1"/>
  <c r="I624" i="4"/>
  <c r="S624" i="4" s="1"/>
  <c r="C624" i="4"/>
  <c r="B624" i="4"/>
  <c r="O623" i="4"/>
  <c r="AC623" i="4" s="1"/>
  <c r="N623" i="4"/>
  <c r="AA623" i="4" s="1"/>
  <c r="M623" i="4"/>
  <c r="L623" i="4"/>
  <c r="K623" i="4"/>
  <c r="U623" i="4" s="1"/>
  <c r="J623" i="4"/>
  <c r="T623" i="4" s="1"/>
  <c r="I623" i="4"/>
  <c r="S623" i="4" s="1"/>
  <c r="C623" i="4"/>
  <c r="B623" i="4"/>
  <c r="O622" i="4"/>
  <c r="AC622" i="4" s="1"/>
  <c r="N622" i="4"/>
  <c r="AA622" i="4" s="1"/>
  <c r="M622" i="4"/>
  <c r="L622" i="4"/>
  <c r="K622" i="4"/>
  <c r="U622" i="4" s="1"/>
  <c r="J622" i="4"/>
  <c r="T622" i="4" s="1"/>
  <c r="I622" i="4"/>
  <c r="S622" i="4" s="1"/>
  <c r="C622" i="4"/>
  <c r="B622" i="4"/>
  <c r="O621" i="4"/>
  <c r="AC621" i="4" s="1"/>
  <c r="N621" i="4"/>
  <c r="AA621" i="4" s="1"/>
  <c r="M621" i="4"/>
  <c r="L621" i="4"/>
  <c r="K621" i="4"/>
  <c r="U621" i="4" s="1"/>
  <c r="J621" i="4"/>
  <c r="T621" i="4" s="1"/>
  <c r="I621" i="4"/>
  <c r="S621" i="4" s="1"/>
  <c r="C621" i="4"/>
  <c r="B621" i="4"/>
  <c r="L620" i="4"/>
  <c r="K620" i="4"/>
  <c r="U620" i="4" s="1"/>
  <c r="J620" i="4"/>
  <c r="T620" i="4" s="1"/>
  <c r="O619" i="4"/>
  <c r="AC619" i="4" s="1"/>
  <c r="N619" i="4"/>
  <c r="AA619" i="4" s="1"/>
  <c r="M619" i="4"/>
  <c r="L619" i="4"/>
  <c r="K619" i="4"/>
  <c r="U619" i="4" s="1"/>
  <c r="J619" i="4"/>
  <c r="T619" i="4" s="1"/>
  <c r="I619" i="4"/>
  <c r="S619" i="4" s="1"/>
  <c r="C619" i="4"/>
  <c r="B619" i="4"/>
  <c r="O618" i="4"/>
  <c r="AC618" i="4" s="1"/>
  <c r="O616" i="4"/>
  <c r="AC616" i="4" s="1"/>
  <c r="N616" i="4"/>
  <c r="AA616" i="4" s="1"/>
  <c r="M616" i="4"/>
  <c r="L616" i="4"/>
  <c r="K616" i="4"/>
  <c r="U616" i="4" s="1"/>
  <c r="J616" i="4"/>
  <c r="T616" i="4" s="1"/>
  <c r="I616" i="4"/>
  <c r="S616" i="4" s="1"/>
  <c r="C616" i="4"/>
  <c r="B616" i="4"/>
  <c r="O614" i="4"/>
  <c r="AC614" i="4" s="1"/>
  <c r="N614" i="4"/>
  <c r="AA614" i="4" s="1"/>
  <c r="M614" i="4"/>
  <c r="L614" i="4"/>
  <c r="K614" i="4"/>
  <c r="U614" i="4" s="1"/>
  <c r="J614" i="4"/>
  <c r="T614" i="4" s="1"/>
  <c r="I614" i="4"/>
  <c r="S614" i="4" s="1"/>
  <c r="H614" i="4"/>
  <c r="G614" i="4"/>
  <c r="F614" i="4"/>
  <c r="E614" i="4"/>
  <c r="D614" i="4"/>
  <c r="C614" i="4"/>
  <c r="B614" i="4"/>
  <c r="O613" i="4"/>
  <c r="AC613" i="4" s="1"/>
  <c r="N613" i="4"/>
  <c r="AA613" i="4" s="1"/>
  <c r="M613" i="4"/>
  <c r="L613" i="4"/>
  <c r="K613" i="4"/>
  <c r="U613" i="4" s="1"/>
  <c r="J613" i="4"/>
  <c r="T613" i="4" s="1"/>
  <c r="I613" i="4"/>
  <c r="S613" i="4" s="1"/>
  <c r="C613" i="4"/>
  <c r="B613" i="4"/>
  <c r="O612" i="4"/>
  <c r="AC612" i="4" s="1"/>
  <c r="N612" i="4"/>
  <c r="AA612" i="4" s="1"/>
  <c r="M612" i="4"/>
  <c r="L612" i="4"/>
  <c r="K612" i="4"/>
  <c r="U612" i="4" s="1"/>
  <c r="J612" i="4"/>
  <c r="T612" i="4" s="1"/>
  <c r="I612" i="4"/>
  <c r="S612" i="4" s="1"/>
  <c r="C612" i="4"/>
  <c r="B612" i="4"/>
  <c r="O611" i="4"/>
  <c r="AC611" i="4" s="1"/>
  <c r="N611" i="4"/>
  <c r="AA611" i="4" s="1"/>
  <c r="M611" i="4"/>
  <c r="L611" i="4"/>
  <c r="K611" i="4"/>
  <c r="U611" i="4" s="1"/>
  <c r="J611" i="4"/>
  <c r="T611" i="4" s="1"/>
  <c r="I611" i="4"/>
  <c r="S611" i="4" s="1"/>
  <c r="C611" i="4"/>
  <c r="B611" i="4"/>
  <c r="O610" i="4"/>
  <c r="AC610" i="4" s="1"/>
  <c r="N610" i="4"/>
  <c r="AA610" i="4" s="1"/>
  <c r="M610" i="4"/>
  <c r="L610" i="4"/>
  <c r="K610" i="4"/>
  <c r="U610" i="4" s="1"/>
  <c r="J610" i="4"/>
  <c r="T610" i="4" s="1"/>
  <c r="I610" i="4"/>
  <c r="S610" i="4" s="1"/>
  <c r="C610" i="4"/>
  <c r="B610" i="4"/>
  <c r="O609" i="4"/>
  <c r="AC609" i="4" s="1"/>
  <c r="N609" i="4"/>
  <c r="AA609" i="4" s="1"/>
  <c r="M609" i="4"/>
  <c r="L609" i="4"/>
  <c r="K609" i="4"/>
  <c r="U609" i="4" s="1"/>
  <c r="J609" i="4"/>
  <c r="T609" i="4" s="1"/>
  <c r="I609" i="4"/>
  <c r="S609" i="4" s="1"/>
  <c r="C609" i="4"/>
  <c r="B609" i="4"/>
  <c r="O608" i="4"/>
  <c r="AC608" i="4" s="1"/>
  <c r="N608" i="4"/>
  <c r="AA608" i="4" s="1"/>
  <c r="M608" i="4"/>
  <c r="O607" i="4"/>
  <c r="AC607" i="4" s="1"/>
  <c r="N607" i="4"/>
  <c r="AA607" i="4" s="1"/>
  <c r="M607" i="4"/>
  <c r="L607" i="4"/>
  <c r="K607" i="4"/>
  <c r="U607" i="4" s="1"/>
  <c r="J607" i="4"/>
  <c r="T607" i="4" s="1"/>
  <c r="I607" i="4"/>
  <c r="S607" i="4" s="1"/>
  <c r="C607" i="4"/>
  <c r="B607" i="4"/>
  <c r="C606" i="4"/>
  <c r="O604" i="4"/>
  <c r="AC604" i="4" s="1"/>
  <c r="N604" i="4"/>
  <c r="AA604" i="4" s="1"/>
  <c r="M604" i="4"/>
  <c r="L604" i="4"/>
  <c r="K604" i="4"/>
  <c r="U604" i="4" s="1"/>
  <c r="J604" i="4"/>
  <c r="T604" i="4" s="1"/>
  <c r="I604" i="4"/>
  <c r="S604" i="4" s="1"/>
  <c r="C604" i="4"/>
  <c r="B604" i="4"/>
  <c r="C603" i="4"/>
  <c r="O602" i="4"/>
  <c r="AC602" i="4" s="1"/>
  <c r="N602" i="4"/>
  <c r="AA602" i="4" s="1"/>
  <c r="M602" i="4"/>
  <c r="L602" i="4"/>
  <c r="K602" i="4"/>
  <c r="U602" i="4" s="1"/>
  <c r="J602" i="4"/>
  <c r="T602" i="4" s="1"/>
  <c r="I602" i="4"/>
  <c r="S602" i="4" s="1"/>
  <c r="H602" i="4"/>
  <c r="G602" i="4"/>
  <c r="F602" i="4"/>
  <c r="E602" i="4"/>
  <c r="D602" i="4"/>
  <c r="C602" i="4"/>
  <c r="B602" i="4"/>
  <c r="O601" i="4"/>
  <c r="AC601" i="4" s="1"/>
  <c r="N601" i="4"/>
  <c r="AA601" i="4" s="1"/>
  <c r="M601" i="4"/>
  <c r="L601" i="4"/>
  <c r="K601" i="4"/>
  <c r="U601" i="4" s="1"/>
  <c r="J601" i="4"/>
  <c r="T601" i="4" s="1"/>
  <c r="I601" i="4"/>
  <c r="S601" i="4" s="1"/>
  <c r="C601" i="4"/>
  <c r="B601" i="4"/>
  <c r="O600" i="4"/>
  <c r="AC600" i="4" s="1"/>
  <c r="N600" i="4"/>
  <c r="AA600" i="4" s="1"/>
  <c r="M600" i="4"/>
  <c r="L600" i="4"/>
  <c r="K600" i="4"/>
  <c r="U600" i="4" s="1"/>
  <c r="J600" i="4"/>
  <c r="T600" i="4" s="1"/>
  <c r="I600" i="4"/>
  <c r="S600" i="4" s="1"/>
  <c r="C600" i="4"/>
  <c r="B600" i="4"/>
  <c r="O599" i="4"/>
  <c r="AC599" i="4" s="1"/>
  <c r="N599" i="4"/>
  <c r="AA599" i="4" s="1"/>
  <c r="M599" i="4"/>
  <c r="L599" i="4"/>
  <c r="K599" i="4"/>
  <c r="U599" i="4" s="1"/>
  <c r="J599" i="4"/>
  <c r="T599" i="4" s="1"/>
  <c r="I599" i="4"/>
  <c r="S599" i="4" s="1"/>
  <c r="C599" i="4"/>
  <c r="B599" i="4"/>
  <c r="O598" i="4"/>
  <c r="AC598" i="4" s="1"/>
  <c r="N598" i="4"/>
  <c r="AA598" i="4" s="1"/>
  <c r="M598" i="4"/>
  <c r="L598" i="4"/>
  <c r="K598" i="4"/>
  <c r="U598" i="4" s="1"/>
  <c r="J598" i="4"/>
  <c r="T598" i="4" s="1"/>
  <c r="I598" i="4"/>
  <c r="S598" i="4" s="1"/>
  <c r="C598" i="4"/>
  <c r="B598" i="4"/>
  <c r="O597" i="4"/>
  <c r="AC597" i="4" s="1"/>
  <c r="N597" i="4"/>
  <c r="AA597" i="4" s="1"/>
  <c r="M597" i="4"/>
  <c r="L597" i="4"/>
  <c r="K597" i="4"/>
  <c r="U597" i="4" s="1"/>
  <c r="J597" i="4"/>
  <c r="T597" i="4" s="1"/>
  <c r="I597" i="4"/>
  <c r="S597" i="4" s="1"/>
  <c r="C597" i="4"/>
  <c r="B597" i="4"/>
  <c r="B596" i="4"/>
  <c r="O595" i="4"/>
  <c r="AC595" i="4" s="1"/>
  <c r="N595" i="4"/>
  <c r="AA595" i="4" s="1"/>
  <c r="M595" i="4"/>
  <c r="L595" i="4"/>
  <c r="K595" i="4"/>
  <c r="U595" i="4" s="1"/>
  <c r="J595" i="4"/>
  <c r="T595" i="4" s="1"/>
  <c r="I595" i="4"/>
  <c r="S595" i="4" s="1"/>
  <c r="C595" i="4"/>
  <c r="B595" i="4"/>
  <c r="M594" i="4"/>
  <c r="O592" i="4"/>
  <c r="AC592" i="4" s="1"/>
  <c r="N592" i="4"/>
  <c r="AA592" i="4" s="1"/>
  <c r="M592" i="4"/>
  <c r="L592" i="4"/>
  <c r="K592" i="4"/>
  <c r="U592" i="4" s="1"/>
  <c r="J592" i="4"/>
  <c r="T592" i="4" s="1"/>
  <c r="I592" i="4"/>
  <c r="S592" i="4" s="1"/>
  <c r="C592" i="4"/>
  <c r="B592" i="4"/>
  <c r="O590" i="4"/>
  <c r="AC590" i="4" s="1"/>
  <c r="N590" i="4"/>
  <c r="AA590" i="4" s="1"/>
  <c r="M590" i="4"/>
  <c r="L590" i="4"/>
  <c r="K590" i="4"/>
  <c r="U590" i="4" s="1"/>
  <c r="J590" i="4"/>
  <c r="T590" i="4" s="1"/>
  <c r="I590" i="4"/>
  <c r="S590" i="4" s="1"/>
  <c r="H590" i="4"/>
  <c r="G590" i="4"/>
  <c r="F590" i="4"/>
  <c r="E590" i="4"/>
  <c r="D590" i="4"/>
  <c r="C590" i="4"/>
  <c r="B590" i="4"/>
  <c r="O589" i="4"/>
  <c r="AC589" i="4" s="1"/>
  <c r="N589" i="4"/>
  <c r="AA589" i="4" s="1"/>
  <c r="M589" i="4"/>
  <c r="L589" i="4"/>
  <c r="K589" i="4"/>
  <c r="U589" i="4" s="1"/>
  <c r="J589" i="4"/>
  <c r="T589" i="4" s="1"/>
  <c r="I589" i="4"/>
  <c r="S589" i="4" s="1"/>
  <c r="C589" i="4"/>
  <c r="B589" i="4"/>
  <c r="O588" i="4"/>
  <c r="AC588" i="4" s="1"/>
  <c r="N588" i="4"/>
  <c r="AA588" i="4" s="1"/>
  <c r="M588" i="4"/>
  <c r="L588" i="4"/>
  <c r="K588" i="4"/>
  <c r="U588" i="4" s="1"/>
  <c r="J588" i="4"/>
  <c r="T588" i="4" s="1"/>
  <c r="I588" i="4"/>
  <c r="S588" i="4" s="1"/>
  <c r="C588" i="4"/>
  <c r="B588" i="4"/>
  <c r="O587" i="4"/>
  <c r="AC587" i="4" s="1"/>
  <c r="N587" i="4"/>
  <c r="AA587" i="4" s="1"/>
  <c r="M587" i="4"/>
  <c r="L587" i="4"/>
  <c r="K587" i="4"/>
  <c r="U587" i="4" s="1"/>
  <c r="J587" i="4"/>
  <c r="T587" i="4" s="1"/>
  <c r="I587" i="4"/>
  <c r="S587" i="4" s="1"/>
  <c r="C587" i="4"/>
  <c r="B587" i="4"/>
  <c r="O586" i="4"/>
  <c r="AC586" i="4" s="1"/>
  <c r="N586" i="4"/>
  <c r="AA586" i="4" s="1"/>
  <c r="M586" i="4"/>
  <c r="L586" i="4"/>
  <c r="K586" i="4"/>
  <c r="U586" i="4" s="1"/>
  <c r="J586" i="4"/>
  <c r="T586" i="4" s="1"/>
  <c r="I586" i="4"/>
  <c r="S586" i="4" s="1"/>
  <c r="C586" i="4"/>
  <c r="B586" i="4"/>
  <c r="O585" i="4"/>
  <c r="AC585" i="4" s="1"/>
  <c r="N585" i="4"/>
  <c r="AA585" i="4" s="1"/>
  <c r="M585" i="4"/>
  <c r="L585" i="4"/>
  <c r="K585" i="4"/>
  <c r="U585" i="4" s="1"/>
  <c r="J585" i="4"/>
  <c r="T585" i="4" s="1"/>
  <c r="I585" i="4"/>
  <c r="S585" i="4" s="1"/>
  <c r="C585" i="4"/>
  <c r="B585" i="4"/>
  <c r="J584" i="4"/>
  <c r="T584" i="4" s="1"/>
  <c r="I584" i="4"/>
  <c r="S584" i="4" s="1"/>
  <c r="C584" i="4"/>
  <c r="O583" i="4"/>
  <c r="AC583" i="4" s="1"/>
  <c r="N583" i="4"/>
  <c r="AA583" i="4" s="1"/>
  <c r="M583" i="4"/>
  <c r="L583" i="4"/>
  <c r="K583" i="4"/>
  <c r="U583" i="4" s="1"/>
  <c r="J583" i="4"/>
  <c r="T583" i="4" s="1"/>
  <c r="I583" i="4"/>
  <c r="S583" i="4" s="1"/>
  <c r="C583" i="4"/>
  <c r="B583" i="4"/>
  <c r="O580" i="4"/>
  <c r="AC580" i="4" s="1"/>
  <c r="N580" i="4"/>
  <c r="AA580" i="4" s="1"/>
  <c r="M580" i="4"/>
  <c r="L580" i="4"/>
  <c r="K580" i="4"/>
  <c r="U580" i="4" s="1"/>
  <c r="J580" i="4"/>
  <c r="T580" i="4" s="1"/>
  <c r="I580" i="4"/>
  <c r="S580" i="4" s="1"/>
  <c r="C580" i="4"/>
  <c r="B580" i="4"/>
  <c r="O579" i="4"/>
  <c r="AC579" i="4" s="1"/>
  <c r="M579" i="4"/>
  <c r="O578" i="4"/>
  <c r="AC578" i="4" s="1"/>
  <c r="N578" i="4"/>
  <c r="AA578" i="4" s="1"/>
  <c r="M578" i="4"/>
  <c r="L578" i="4"/>
  <c r="K578" i="4"/>
  <c r="U578" i="4" s="1"/>
  <c r="J578" i="4"/>
  <c r="T578" i="4" s="1"/>
  <c r="I578" i="4"/>
  <c r="S578" i="4" s="1"/>
  <c r="H578" i="4"/>
  <c r="G578" i="4"/>
  <c r="F578" i="4"/>
  <c r="E578" i="4"/>
  <c r="D578" i="4"/>
  <c r="C578" i="4"/>
  <c r="B578" i="4"/>
  <c r="O577" i="4"/>
  <c r="AC577" i="4" s="1"/>
  <c r="N577" i="4"/>
  <c r="AA577" i="4" s="1"/>
  <c r="M577" i="4"/>
  <c r="L577" i="4"/>
  <c r="K577" i="4"/>
  <c r="U577" i="4" s="1"/>
  <c r="J577" i="4"/>
  <c r="T577" i="4" s="1"/>
  <c r="I577" i="4"/>
  <c r="S577" i="4" s="1"/>
  <c r="C577" i="4"/>
  <c r="B577" i="4"/>
  <c r="O576" i="4"/>
  <c r="AC576" i="4" s="1"/>
  <c r="N576" i="4"/>
  <c r="AA576" i="4" s="1"/>
  <c r="M576" i="4"/>
  <c r="L576" i="4"/>
  <c r="K576" i="4"/>
  <c r="U576" i="4" s="1"/>
  <c r="J576" i="4"/>
  <c r="T576" i="4" s="1"/>
  <c r="I576" i="4"/>
  <c r="S576" i="4" s="1"/>
  <c r="C576" i="4"/>
  <c r="B576" i="4"/>
  <c r="O575" i="4"/>
  <c r="AC575" i="4" s="1"/>
  <c r="N575" i="4"/>
  <c r="AA575" i="4" s="1"/>
  <c r="M575" i="4"/>
  <c r="L575" i="4"/>
  <c r="K575" i="4"/>
  <c r="U575" i="4" s="1"/>
  <c r="J575" i="4"/>
  <c r="T575" i="4" s="1"/>
  <c r="I575" i="4"/>
  <c r="S575" i="4" s="1"/>
  <c r="C575" i="4"/>
  <c r="B575" i="4"/>
  <c r="O574" i="4"/>
  <c r="AC574" i="4" s="1"/>
  <c r="N574" i="4"/>
  <c r="AA574" i="4" s="1"/>
  <c r="M574" i="4"/>
  <c r="L574" i="4"/>
  <c r="K574" i="4"/>
  <c r="U574" i="4" s="1"/>
  <c r="J574" i="4"/>
  <c r="T574" i="4" s="1"/>
  <c r="I574" i="4"/>
  <c r="S574" i="4" s="1"/>
  <c r="C574" i="4"/>
  <c r="B574" i="4"/>
  <c r="O573" i="4"/>
  <c r="AC573" i="4" s="1"/>
  <c r="N573" i="4"/>
  <c r="AA573" i="4" s="1"/>
  <c r="M573" i="4"/>
  <c r="L573" i="4"/>
  <c r="K573" i="4"/>
  <c r="U573" i="4" s="1"/>
  <c r="J573" i="4"/>
  <c r="T573" i="4" s="1"/>
  <c r="I573" i="4"/>
  <c r="S573" i="4" s="1"/>
  <c r="C573" i="4"/>
  <c r="B573" i="4"/>
  <c r="N572" i="4"/>
  <c r="AA572" i="4" s="1"/>
  <c r="M572" i="4"/>
  <c r="L572" i="4"/>
  <c r="O571" i="4"/>
  <c r="AC571" i="4" s="1"/>
  <c r="N571" i="4"/>
  <c r="AA571" i="4" s="1"/>
  <c r="M571" i="4"/>
  <c r="L571" i="4"/>
  <c r="K571" i="4"/>
  <c r="U571" i="4" s="1"/>
  <c r="J571" i="4"/>
  <c r="T571" i="4" s="1"/>
  <c r="I571" i="4"/>
  <c r="S571" i="4" s="1"/>
  <c r="C571" i="4"/>
  <c r="B571" i="4"/>
  <c r="K570" i="4"/>
  <c r="U570" i="4" s="1"/>
  <c r="O568" i="4"/>
  <c r="AC568" i="4" s="1"/>
  <c r="N568" i="4"/>
  <c r="AA568" i="4" s="1"/>
  <c r="M568" i="4"/>
  <c r="L568" i="4"/>
  <c r="K568" i="4"/>
  <c r="U568" i="4" s="1"/>
  <c r="J568" i="4"/>
  <c r="T568" i="4" s="1"/>
  <c r="I568" i="4"/>
  <c r="S568" i="4" s="1"/>
  <c r="C568" i="4"/>
  <c r="B568" i="4"/>
  <c r="L567" i="4"/>
  <c r="J567" i="4"/>
  <c r="T567" i="4" s="1"/>
  <c r="O566" i="4"/>
  <c r="AC566" i="4" s="1"/>
  <c r="N566" i="4"/>
  <c r="AA566" i="4" s="1"/>
  <c r="M566" i="4"/>
  <c r="L566" i="4"/>
  <c r="K566" i="4"/>
  <c r="U566" i="4" s="1"/>
  <c r="J566" i="4"/>
  <c r="T566" i="4" s="1"/>
  <c r="I566" i="4"/>
  <c r="S566" i="4" s="1"/>
  <c r="H566" i="4"/>
  <c r="G566" i="4"/>
  <c r="F566" i="4"/>
  <c r="E566" i="4"/>
  <c r="D566" i="4"/>
  <c r="C566" i="4"/>
  <c r="B566" i="4"/>
  <c r="O565" i="4"/>
  <c r="AC565" i="4" s="1"/>
  <c r="N565" i="4"/>
  <c r="AA565" i="4" s="1"/>
  <c r="M565" i="4"/>
  <c r="L565" i="4"/>
  <c r="K565" i="4"/>
  <c r="U565" i="4" s="1"/>
  <c r="J565" i="4"/>
  <c r="T565" i="4" s="1"/>
  <c r="I565" i="4"/>
  <c r="S565" i="4" s="1"/>
  <c r="C565" i="4"/>
  <c r="B565" i="4"/>
  <c r="O564" i="4"/>
  <c r="AC564" i="4" s="1"/>
  <c r="N564" i="4"/>
  <c r="AA564" i="4" s="1"/>
  <c r="M564" i="4"/>
  <c r="L564" i="4"/>
  <c r="K564" i="4"/>
  <c r="U564" i="4" s="1"/>
  <c r="J564" i="4"/>
  <c r="T564" i="4" s="1"/>
  <c r="I564" i="4"/>
  <c r="S564" i="4" s="1"/>
  <c r="C564" i="4"/>
  <c r="B564" i="4"/>
  <c r="O563" i="4"/>
  <c r="AC563" i="4" s="1"/>
  <c r="N563" i="4"/>
  <c r="AA563" i="4" s="1"/>
  <c r="M563" i="4"/>
  <c r="L563" i="4"/>
  <c r="K563" i="4"/>
  <c r="U563" i="4" s="1"/>
  <c r="J563" i="4"/>
  <c r="T563" i="4" s="1"/>
  <c r="I563" i="4"/>
  <c r="S563" i="4" s="1"/>
  <c r="C563" i="4"/>
  <c r="B563" i="4"/>
  <c r="O562" i="4"/>
  <c r="AC562" i="4" s="1"/>
  <c r="N562" i="4"/>
  <c r="AA562" i="4" s="1"/>
  <c r="M562" i="4"/>
  <c r="L562" i="4"/>
  <c r="K562" i="4"/>
  <c r="U562" i="4" s="1"/>
  <c r="J562" i="4"/>
  <c r="T562" i="4" s="1"/>
  <c r="I562" i="4"/>
  <c r="S562" i="4" s="1"/>
  <c r="C562" i="4"/>
  <c r="B562" i="4"/>
  <c r="O561" i="4"/>
  <c r="AC561" i="4" s="1"/>
  <c r="N561" i="4"/>
  <c r="AA561" i="4" s="1"/>
  <c r="M561" i="4"/>
  <c r="L561" i="4"/>
  <c r="K561" i="4"/>
  <c r="U561" i="4" s="1"/>
  <c r="J561" i="4"/>
  <c r="T561" i="4" s="1"/>
  <c r="I561" i="4"/>
  <c r="S561" i="4" s="1"/>
  <c r="C561" i="4"/>
  <c r="B561" i="4"/>
  <c r="B560" i="4"/>
  <c r="O559" i="4"/>
  <c r="AC559" i="4" s="1"/>
  <c r="N559" i="4"/>
  <c r="AA559" i="4" s="1"/>
  <c r="M559" i="4"/>
  <c r="L559" i="4"/>
  <c r="K559" i="4"/>
  <c r="U559" i="4" s="1"/>
  <c r="J559" i="4"/>
  <c r="T559" i="4" s="1"/>
  <c r="I559" i="4"/>
  <c r="S559" i="4" s="1"/>
  <c r="C559" i="4"/>
  <c r="B559" i="4"/>
  <c r="O556" i="4"/>
  <c r="AC556" i="4" s="1"/>
  <c r="N556" i="4"/>
  <c r="AA556" i="4" s="1"/>
  <c r="M556" i="4"/>
  <c r="L556" i="4"/>
  <c r="K556" i="4"/>
  <c r="U556" i="4" s="1"/>
  <c r="J556" i="4"/>
  <c r="T556" i="4" s="1"/>
  <c r="I556" i="4"/>
  <c r="S556" i="4" s="1"/>
  <c r="C556" i="4"/>
  <c r="B556" i="4"/>
  <c r="O554" i="4"/>
  <c r="AC554" i="4" s="1"/>
  <c r="N554" i="4"/>
  <c r="AA554" i="4" s="1"/>
  <c r="M554" i="4"/>
  <c r="L554" i="4"/>
  <c r="K554" i="4"/>
  <c r="U554" i="4" s="1"/>
  <c r="J554" i="4"/>
  <c r="T554" i="4" s="1"/>
  <c r="I554" i="4"/>
  <c r="S554" i="4" s="1"/>
  <c r="H554" i="4"/>
  <c r="G554" i="4"/>
  <c r="F554" i="4"/>
  <c r="E554" i="4"/>
  <c r="D554" i="4"/>
  <c r="C554" i="4"/>
  <c r="B554" i="4"/>
  <c r="O553" i="4"/>
  <c r="AC553" i="4" s="1"/>
  <c r="N553" i="4"/>
  <c r="AA553" i="4" s="1"/>
  <c r="M553" i="4"/>
  <c r="L553" i="4"/>
  <c r="K553" i="4"/>
  <c r="U553" i="4" s="1"/>
  <c r="J553" i="4"/>
  <c r="T553" i="4" s="1"/>
  <c r="I553" i="4"/>
  <c r="S553" i="4" s="1"/>
  <c r="C553" i="4"/>
  <c r="B553" i="4"/>
  <c r="O552" i="4"/>
  <c r="AC552" i="4" s="1"/>
  <c r="N552" i="4"/>
  <c r="AA552" i="4" s="1"/>
  <c r="M552" i="4"/>
  <c r="L552" i="4"/>
  <c r="K552" i="4"/>
  <c r="U552" i="4" s="1"/>
  <c r="J552" i="4"/>
  <c r="T552" i="4" s="1"/>
  <c r="I552" i="4"/>
  <c r="S552" i="4" s="1"/>
  <c r="C552" i="4"/>
  <c r="B552" i="4"/>
  <c r="O551" i="4"/>
  <c r="AC551" i="4" s="1"/>
  <c r="N551" i="4"/>
  <c r="AA551" i="4" s="1"/>
  <c r="M551" i="4"/>
  <c r="L551" i="4"/>
  <c r="K551" i="4"/>
  <c r="U551" i="4" s="1"/>
  <c r="J551" i="4"/>
  <c r="T551" i="4" s="1"/>
  <c r="I551" i="4"/>
  <c r="S551" i="4" s="1"/>
  <c r="C551" i="4"/>
  <c r="B551" i="4"/>
  <c r="O550" i="4"/>
  <c r="AC550" i="4" s="1"/>
  <c r="N550" i="4"/>
  <c r="AA550" i="4" s="1"/>
  <c r="M550" i="4"/>
  <c r="L550" i="4"/>
  <c r="K550" i="4"/>
  <c r="U550" i="4" s="1"/>
  <c r="J550" i="4"/>
  <c r="T550" i="4" s="1"/>
  <c r="I550" i="4"/>
  <c r="S550" i="4" s="1"/>
  <c r="C550" i="4"/>
  <c r="B550" i="4"/>
  <c r="O549" i="4"/>
  <c r="AC549" i="4" s="1"/>
  <c r="N549" i="4"/>
  <c r="AA549" i="4" s="1"/>
  <c r="M549" i="4"/>
  <c r="L549" i="4"/>
  <c r="K549" i="4"/>
  <c r="U549" i="4" s="1"/>
  <c r="J549" i="4"/>
  <c r="T549" i="4" s="1"/>
  <c r="I549" i="4"/>
  <c r="S549" i="4" s="1"/>
  <c r="C549" i="4"/>
  <c r="B549" i="4"/>
  <c r="I548" i="4"/>
  <c r="S548" i="4" s="1"/>
  <c r="C548" i="4"/>
  <c r="B548" i="4"/>
  <c r="O547" i="4"/>
  <c r="AC547" i="4" s="1"/>
  <c r="N547" i="4"/>
  <c r="AA547" i="4" s="1"/>
  <c r="M547" i="4"/>
  <c r="L547" i="4"/>
  <c r="K547" i="4"/>
  <c r="U547" i="4" s="1"/>
  <c r="J547" i="4"/>
  <c r="T547" i="4" s="1"/>
  <c r="I547" i="4"/>
  <c r="S547" i="4" s="1"/>
  <c r="C547" i="4"/>
  <c r="B547" i="4"/>
  <c r="I546" i="4"/>
  <c r="S546" i="4" s="1"/>
  <c r="O544" i="4"/>
  <c r="AC544" i="4" s="1"/>
  <c r="N544" i="4"/>
  <c r="AA544" i="4" s="1"/>
  <c r="M544" i="4"/>
  <c r="L544" i="4"/>
  <c r="K544" i="4"/>
  <c r="U544" i="4" s="1"/>
  <c r="J544" i="4"/>
  <c r="T544" i="4" s="1"/>
  <c r="I544" i="4"/>
  <c r="S544" i="4" s="1"/>
  <c r="C544" i="4"/>
  <c r="B544" i="4"/>
  <c r="J543" i="4"/>
  <c r="T543" i="4" s="1"/>
  <c r="O542" i="4"/>
  <c r="AC542" i="4" s="1"/>
  <c r="N542" i="4"/>
  <c r="AA542" i="4" s="1"/>
  <c r="M542" i="4"/>
  <c r="L542" i="4"/>
  <c r="K542" i="4"/>
  <c r="U542" i="4" s="1"/>
  <c r="J542" i="4"/>
  <c r="T542" i="4" s="1"/>
  <c r="I542" i="4"/>
  <c r="S542" i="4" s="1"/>
  <c r="H542" i="4"/>
  <c r="G542" i="4"/>
  <c r="F542" i="4"/>
  <c r="E542" i="4"/>
  <c r="D542" i="4"/>
  <c r="C542" i="4"/>
  <c r="B542" i="4"/>
  <c r="O541" i="4"/>
  <c r="AC541" i="4" s="1"/>
  <c r="N541" i="4"/>
  <c r="AA541" i="4" s="1"/>
  <c r="M541" i="4"/>
  <c r="L541" i="4"/>
  <c r="K541" i="4"/>
  <c r="U541" i="4" s="1"/>
  <c r="J541" i="4"/>
  <c r="T541" i="4" s="1"/>
  <c r="I541" i="4"/>
  <c r="S541" i="4" s="1"/>
  <c r="C541" i="4"/>
  <c r="B541" i="4"/>
  <c r="O540" i="4"/>
  <c r="AC540" i="4" s="1"/>
  <c r="N540" i="4"/>
  <c r="AA540" i="4" s="1"/>
  <c r="M540" i="4"/>
  <c r="L540" i="4"/>
  <c r="K540" i="4"/>
  <c r="U540" i="4" s="1"/>
  <c r="J540" i="4"/>
  <c r="T540" i="4" s="1"/>
  <c r="I540" i="4"/>
  <c r="S540" i="4" s="1"/>
  <c r="C540" i="4"/>
  <c r="B540" i="4"/>
  <c r="O539" i="4"/>
  <c r="AC539" i="4" s="1"/>
  <c r="N539" i="4"/>
  <c r="AA539" i="4" s="1"/>
  <c r="M539" i="4"/>
  <c r="L539" i="4"/>
  <c r="K539" i="4"/>
  <c r="U539" i="4" s="1"/>
  <c r="J539" i="4"/>
  <c r="T539" i="4" s="1"/>
  <c r="I539" i="4"/>
  <c r="S539" i="4" s="1"/>
  <c r="C539" i="4"/>
  <c r="B539" i="4"/>
  <c r="O538" i="4"/>
  <c r="AC538" i="4" s="1"/>
  <c r="N538" i="4"/>
  <c r="AA538" i="4" s="1"/>
  <c r="M538" i="4"/>
  <c r="L538" i="4"/>
  <c r="K538" i="4"/>
  <c r="U538" i="4" s="1"/>
  <c r="J538" i="4"/>
  <c r="T538" i="4" s="1"/>
  <c r="I538" i="4"/>
  <c r="S538" i="4" s="1"/>
  <c r="C538" i="4"/>
  <c r="B538" i="4"/>
  <c r="O537" i="4"/>
  <c r="AC537" i="4" s="1"/>
  <c r="N537" i="4"/>
  <c r="AA537" i="4" s="1"/>
  <c r="M537" i="4"/>
  <c r="L537" i="4"/>
  <c r="K537" i="4"/>
  <c r="U537" i="4" s="1"/>
  <c r="J537" i="4"/>
  <c r="T537" i="4" s="1"/>
  <c r="I537" i="4"/>
  <c r="S537" i="4" s="1"/>
  <c r="C537" i="4"/>
  <c r="B537" i="4"/>
  <c r="M536" i="4"/>
  <c r="L536" i="4"/>
  <c r="K536" i="4"/>
  <c r="U536" i="4" s="1"/>
  <c r="O535" i="4"/>
  <c r="AC535" i="4" s="1"/>
  <c r="N535" i="4"/>
  <c r="AA535" i="4" s="1"/>
  <c r="M535" i="4"/>
  <c r="L535" i="4"/>
  <c r="K535" i="4"/>
  <c r="U535" i="4" s="1"/>
  <c r="J535" i="4"/>
  <c r="T535" i="4" s="1"/>
  <c r="I535" i="4"/>
  <c r="S535" i="4" s="1"/>
  <c r="C535" i="4"/>
  <c r="B535" i="4"/>
  <c r="N534" i="4"/>
  <c r="AA534" i="4" s="1"/>
  <c r="O532" i="4"/>
  <c r="AC532" i="4" s="1"/>
  <c r="N532" i="4"/>
  <c r="AA532" i="4" s="1"/>
  <c r="M532" i="4"/>
  <c r="L532" i="4"/>
  <c r="K532" i="4"/>
  <c r="U532" i="4" s="1"/>
  <c r="J532" i="4"/>
  <c r="T532" i="4" s="1"/>
  <c r="I532" i="4"/>
  <c r="S532" i="4" s="1"/>
  <c r="C532" i="4"/>
  <c r="B532" i="4"/>
  <c r="B531" i="4"/>
  <c r="O530" i="4"/>
  <c r="AC530" i="4" s="1"/>
  <c r="N530" i="4"/>
  <c r="AA530" i="4" s="1"/>
  <c r="M530" i="4"/>
  <c r="L530" i="4"/>
  <c r="K530" i="4"/>
  <c r="U530" i="4" s="1"/>
  <c r="J530" i="4"/>
  <c r="T530" i="4" s="1"/>
  <c r="I530" i="4"/>
  <c r="S530" i="4" s="1"/>
  <c r="H530" i="4"/>
  <c r="G530" i="4"/>
  <c r="F530" i="4"/>
  <c r="E530" i="4"/>
  <c r="D530" i="4"/>
  <c r="C530" i="4"/>
  <c r="B530" i="4"/>
  <c r="O529" i="4"/>
  <c r="AC529" i="4" s="1"/>
  <c r="N529" i="4"/>
  <c r="AA529" i="4" s="1"/>
  <c r="M529" i="4"/>
  <c r="L529" i="4"/>
  <c r="K529" i="4"/>
  <c r="U529" i="4" s="1"/>
  <c r="J529" i="4"/>
  <c r="T529" i="4" s="1"/>
  <c r="I529" i="4"/>
  <c r="S529" i="4" s="1"/>
  <c r="C529" i="4"/>
  <c r="B529" i="4"/>
  <c r="O528" i="4"/>
  <c r="AC528" i="4" s="1"/>
  <c r="N528" i="4"/>
  <c r="AA528" i="4" s="1"/>
  <c r="M528" i="4"/>
  <c r="L528" i="4"/>
  <c r="K528" i="4"/>
  <c r="U528" i="4" s="1"/>
  <c r="J528" i="4"/>
  <c r="T528" i="4" s="1"/>
  <c r="I528" i="4"/>
  <c r="S528" i="4" s="1"/>
  <c r="C528" i="4"/>
  <c r="B528" i="4"/>
  <c r="O527" i="4"/>
  <c r="AC527" i="4" s="1"/>
  <c r="N527" i="4"/>
  <c r="AA527" i="4" s="1"/>
  <c r="M527" i="4"/>
  <c r="L527" i="4"/>
  <c r="K527" i="4"/>
  <c r="U527" i="4" s="1"/>
  <c r="J527" i="4"/>
  <c r="T527" i="4" s="1"/>
  <c r="I527" i="4"/>
  <c r="S527" i="4" s="1"/>
  <c r="C527" i="4"/>
  <c r="B527" i="4"/>
  <c r="O526" i="4"/>
  <c r="AC526" i="4" s="1"/>
  <c r="N526" i="4"/>
  <c r="AA526" i="4" s="1"/>
  <c r="M526" i="4"/>
  <c r="L526" i="4"/>
  <c r="K526" i="4"/>
  <c r="U526" i="4" s="1"/>
  <c r="J526" i="4"/>
  <c r="T526" i="4" s="1"/>
  <c r="I526" i="4"/>
  <c r="S526" i="4" s="1"/>
  <c r="C526" i="4"/>
  <c r="B526" i="4"/>
  <c r="O525" i="4"/>
  <c r="AC525" i="4" s="1"/>
  <c r="N525" i="4"/>
  <c r="AA525" i="4" s="1"/>
  <c r="M525" i="4"/>
  <c r="L525" i="4"/>
  <c r="K525" i="4"/>
  <c r="U525" i="4" s="1"/>
  <c r="J525" i="4"/>
  <c r="T525" i="4" s="1"/>
  <c r="I525" i="4"/>
  <c r="S525" i="4" s="1"/>
  <c r="C525" i="4"/>
  <c r="B525" i="4"/>
  <c r="O524" i="4"/>
  <c r="AC524" i="4" s="1"/>
  <c r="O523" i="4"/>
  <c r="AC523" i="4" s="1"/>
  <c r="N523" i="4"/>
  <c r="AA523" i="4" s="1"/>
  <c r="M523" i="4"/>
  <c r="L523" i="4"/>
  <c r="K523" i="4"/>
  <c r="U523" i="4" s="1"/>
  <c r="J523" i="4"/>
  <c r="T523" i="4" s="1"/>
  <c r="I523" i="4"/>
  <c r="S523" i="4" s="1"/>
  <c r="C523" i="4"/>
  <c r="B523" i="4"/>
  <c r="B522" i="4"/>
  <c r="O520" i="4"/>
  <c r="AC520" i="4" s="1"/>
  <c r="N520" i="4"/>
  <c r="AA520" i="4" s="1"/>
  <c r="M520" i="4"/>
  <c r="L520" i="4"/>
  <c r="K520" i="4"/>
  <c r="U520" i="4" s="1"/>
  <c r="J520" i="4"/>
  <c r="T520" i="4" s="1"/>
  <c r="I520" i="4"/>
  <c r="S520" i="4" s="1"/>
  <c r="C520" i="4"/>
  <c r="B520" i="4"/>
  <c r="K519" i="4"/>
  <c r="U519" i="4" s="1"/>
  <c r="O518" i="4"/>
  <c r="AC518" i="4" s="1"/>
  <c r="N518" i="4"/>
  <c r="AA518" i="4" s="1"/>
  <c r="M518" i="4"/>
  <c r="L518" i="4"/>
  <c r="K518" i="4"/>
  <c r="U518" i="4" s="1"/>
  <c r="J518" i="4"/>
  <c r="T518" i="4" s="1"/>
  <c r="I518" i="4"/>
  <c r="S518" i="4" s="1"/>
  <c r="H518" i="4"/>
  <c r="G518" i="4"/>
  <c r="F518" i="4"/>
  <c r="E518" i="4"/>
  <c r="D518" i="4"/>
  <c r="C518" i="4"/>
  <c r="B518" i="4"/>
  <c r="O517" i="4"/>
  <c r="AC517" i="4" s="1"/>
  <c r="N517" i="4"/>
  <c r="AA517" i="4" s="1"/>
  <c r="M517" i="4"/>
  <c r="L517" i="4"/>
  <c r="K517" i="4"/>
  <c r="U517" i="4" s="1"/>
  <c r="J517" i="4"/>
  <c r="T517" i="4" s="1"/>
  <c r="I517" i="4"/>
  <c r="S517" i="4" s="1"/>
  <c r="C517" i="4"/>
  <c r="B517" i="4"/>
  <c r="O516" i="4"/>
  <c r="AC516" i="4" s="1"/>
  <c r="N516" i="4"/>
  <c r="AA516" i="4" s="1"/>
  <c r="M516" i="4"/>
  <c r="L516" i="4"/>
  <c r="K516" i="4"/>
  <c r="U516" i="4" s="1"/>
  <c r="J516" i="4"/>
  <c r="T516" i="4" s="1"/>
  <c r="I516" i="4"/>
  <c r="S516" i="4" s="1"/>
  <c r="C516" i="4"/>
  <c r="B516" i="4"/>
  <c r="O515" i="4"/>
  <c r="AC515" i="4" s="1"/>
  <c r="N515" i="4"/>
  <c r="AA515" i="4" s="1"/>
  <c r="M515" i="4"/>
  <c r="L515" i="4"/>
  <c r="K515" i="4"/>
  <c r="U515" i="4" s="1"/>
  <c r="J515" i="4"/>
  <c r="T515" i="4" s="1"/>
  <c r="I515" i="4"/>
  <c r="S515" i="4" s="1"/>
  <c r="C515" i="4"/>
  <c r="B515" i="4"/>
  <c r="O514" i="4"/>
  <c r="AC514" i="4" s="1"/>
  <c r="N514" i="4"/>
  <c r="AA514" i="4" s="1"/>
  <c r="M514" i="4"/>
  <c r="L514" i="4"/>
  <c r="K514" i="4"/>
  <c r="U514" i="4" s="1"/>
  <c r="J514" i="4"/>
  <c r="T514" i="4" s="1"/>
  <c r="I514" i="4"/>
  <c r="S514" i="4" s="1"/>
  <c r="C514" i="4"/>
  <c r="B514" i="4"/>
  <c r="O513" i="4"/>
  <c r="AC513" i="4" s="1"/>
  <c r="N513" i="4"/>
  <c r="AA513" i="4" s="1"/>
  <c r="M513" i="4"/>
  <c r="L513" i="4"/>
  <c r="K513" i="4"/>
  <c r="U513" i="4" s="1"/>
  <c r="J513" i="4"/>
  <c r="T513" i="4" s="1"/>
  <c r="I513" i="4"/>
  <c r="S513" i="4" s="1"/>
  <c r="C513" i="4"/>
  <c r="B513" i="4"/>
  <c r="I512" i="4"/>
  <c r="S512" i="4" s="1"/>
  <c r="C512" i="4"/>
  <c r="B512" i="4"/>
  <c r="O511" i="4"/>
  <c r="AC511" i="4" s="1"/>
  <c r="N511" i="4"/>
  <c r="AA511" i="4" s="1"/>
  <c r="M511" i="4"/>
  <c r="L511" i="4"/>
  <c r="K511" i="4"/>
  <c r="U511" i="4" s="1"/>
  <c r="J511" i="4"/>
  <c r="T511" i="4" s="1"/>
  <c r="I511" i="4"/>
  <c r="S511" i="4" s="1"/>
  <c r="C511" i="4"/>
  <c r="B511" i="4"/>
  <c r="L510" i="4"/>
  <c r="O508" i="4"/>
  <c r="AC508" i="4" s="1"/>
  <c r="N508" i="4"/>
  <c r="AA508" i="4" s="1"/>
  <c r="M508" i="4"/>
  <c r="L508" i="4"/>
  <c r="K508" i="4"/>
  <c r="U508" i="4" s="1"/>
  <c r="J508" i="4"/>
  <c r="T508" i="4" s="1"/>
  <c r="I508" i="4"/>
  <c r="S508" i="4" s="1"/>
  <c r="C508" i="4"/>
  <c r="B508" i="4"/>
  <c r="M507" i="4"/>
  <c r="C507" i="4"/>
  <c r="O506" i="4"/>
  <c r="AC506" i="4" s="1"/>
  <c r="N506" i="4"/>
  <c r="AA506" i="4" s="1"/>
  <c r="M506" i="4"/>
  <c r="L506" i="4"/>
  <c r="K506" i="4"/>
  <c r="U506" i="4" s="1"/>
  <c r="J506" i="4"/>
  <c r="T506" i="4" s="1"/>
  <c r="I506" i="4"/>
  <c r="S506" i="4" s="1"/>
  <c r="H506" i="4"/>
  <c r="G506" i="4"/>
  <c r="F506" i="4"/>
  <c r="E506" i="4"/>
  <c r="D506" i="4"/>
  <c r="C506" i="4"/>
  <c r="B506" i="4"/>
  <c r="O505" i="4"/>
  <c r="AC505" i="4" s="1"/>
  <c r="N505" i="4"/>
  <c r="AA505" i="4" s="1"/>
  <c r="M505" i="4"/>
  <c r="L505" i="4"/>
  <c r="K505" i="4"/>
  <c r="U505" i="4" s="1"/>
  <c r="J505" i="4"/>
  <c r="T505" i="4" s="1"/>
  <c r="I505" i="4"/>
  <c r="S505" i="4" s="1"/>
  <c r="C505" i="4"/>
  <c r="B505" i="4"/>
  <c r="O504" i="4"/>
  <c r="AC504" i="4" s="1"/>
  <c r="N504" i="4"/>
  <c r="AA504" i="4" s="1"/>
  <c r="M504" i="4"/>
  <c r="L504" i="4"/>
  <c r="K504" i="4"/>
  <c r="U504" i="4" s="1"/>
  <c r="J504" i="4"/>
  <c r="T504" i="4" s="1"/>
  <c r="I504" i="4"/>
  <c r="S504" i="4" s="1"/>
  <c r="C504" i="4"/>
  <c r="B504" i="4"/>
  <c r="O503" i="4"/>
  <c r="AC503" i="4" s="1"/>
  <c r="N503" i="4"/>
  <c r="AA503" i="4" s="1"/>
  <c r="M503" i="4"/>
  <c r="L503" i="4"/>
  <c r="K503" i="4"/>
  <c r="U503" i="4" s="1"/>
  <c r="J503" i="4"/>
  <c r="T503" i="4" s="1"/>
  <c r="I503" i="4"/>
  <c r="S503" i="4" s="1"/>
  <c r="C503" i="4"/>
  <c r="B503" i="4"/>
  <c r="O502" i="4"/>
  <c r="AC502" i="4" s="1"/>
  <c r="N502" i="4"/>
  <c r="AA502" i="4" s="1"/>
  <c r="M502" i="4"/>
  <c r="L502" i="4"/>
  <c r="K502" i="4"/>
  <c r="U502" i="4" s="1"/>
  <c r="J502" i="4"/>
  <c r="T502" i="4" s="1"/>
  <c r="I502" i="4"/>
  <c r="S502" i="4" s="1"/>
  <c r="C502" i="4"/>
  <c r="B502" i="4"/>
  <c r="O501" i="4"/>
  <c r="AC501" i="4" s="1"/>
  <c r="N501" i="4"/>
  <c r="AA501" i="4" s="1"/>
  <c r="M501" i="4"/>
  <c r="L501" i="4"/>
  <c r="K501" i="4"/>
  <c r="U501" i="4" s="1"/>
  <c r="J501" i="4"/>
  <c r="T501" i="4" s="1"/>
  <c r="I501" i="4"/>
  <c r="S501" i="4" s="1"/>
  <c r="C501" i="4"/>
  <c r="B501" i="4"/>
  <c r="N500" i="4"/>
  <c r="AA500" i="4" s="1"/>
  <c r="M500" i="4"/>
  <c r="L500" i="4"/>
  <c r="B500" i="4"/>
  <c r="O499" i="4"/>
  <c r="AC499" i="4" s="1"/>
  <c r="N499" i="4"/>
  <c r="AA499" i="4" s="1"/>
  <c r="M499" i="4"/>
  <c r="L499" i="4"/>
  <c r="K499" i="4"/>
  <c r="U499" i="4" s="1"/>
  <c r="J499" i="4"/>
  <c r="T499" i="4" s="1"/>
  <c r="I499" i="4"/>
  <c r="S499" i="4" s="1"/>
  <c r="C499" i="4"/>
  <c r="B499" i="4"/>
  <c r="O496" i="4"/>
  <c r="AC496" i="4" s="1"/>
  <c r="N496" i="4"/>
  <c r="AA496" i="4" s="1"/>
  <c r="M496" i="4"/>
  <c r="L496" i="4"/>
  <c r="K496" i="4"/>
  <c r="U496" i="4" s="1"/>
  <c r="J496" i="4"/>
  <c r="T496" i="4" s="1"/>
  <c r="I496" i="4"/>
  <c r="S496" i="4" s="1"/>
  <c r="C496" i="4"/>
  <c r="B496" i="4"/>
  <c r="I495" i="4"/>
  <c r="S495" i="4" s="1"/>
  <c r="O494" i="4"/>
  <c r="AC494" i="4" s="1"/>
  <c r="N494" i="4"/>
  <c r="AA494" i="4" s="1"/>
  <c r="M494" i="4"/>
  <c r="L494" i="4"/>
  <c r="K494" i="4"/>
  <c r="U494" i="4" s="1"/>
  <c r="J494" i="4"/>
  <c r="T494" i="4" s="1"/>
  <c r="I494" i="4"/>
  <c r="S494" i="4" s="1"/>
  <c r="H494" i="4"/>
  <c r="G494" i="4"/>
  <c r="F494" i="4"/>
  <c r="E494" i="4"/>
  <c r="D494" i="4"/>
  <c r="C494" i="4"/>
  <c r="B494" i="4"/>
  <c r="O493" i="4"/>
  <c r="AC493" i="4" s="1"/>
  <c r="N493" i="4"/>
  <c r="AA493" i="4" s="1"/>
  <c r="M493" i="4"/>
  <c r="L493" i="4"/>
  <c r="K493" i="4"/>
  <c r="U493" i="4" s="1"/>
  <c r="J493" i="4"/>
  <c r="T493" i="4" s="1"/>
  <c r="I493" i="4"/>
  <c r="S493" i="4" s="1"/>
  <c r="C493" i="4"/>
  <c r="B493" i="4"/>
  <c r="O492" i="4"/>
  <c r="AC492" i="4" s="1"/>
  <c r="N492" i="4"/>
  <c r="AA492" i="4" s="1"/>
  <c r="M492" i="4"/>
  <c r="L492" i="4"/>
  <c r="K492" i="4"/>
  <c r="U492" i="4" s="1"/>
  <c r="J492" i="4"/>
  <c r="T492" i="4" s="1"/>
  <c r="I492" i="4"/>
  <c r="S492" i="4" s="1"/>
  <c r="C492" i="4"/>
  <c r="B492" i="4"/>
  <c r="O491" i="4"/>
  <c r="AC491" i="4" s="1"/>
  <c r="N491" i="4"/>
  <c r="AA491" i="4" s="1"/>
  <c r="M491" i="4"/>
  <c r="L491" i="4"/>
  <c r="K491" i="4"/>
  <c r="U491" i="4" s="1"/>
  <c r="J491" i="4"/>
  <c r="T491" i="4" s="1"/>
  <c r="I491" i="4"/>
  <c r="S491" i="4" s="1"/>
  <c r="C491" i="4"/>
  <c r="B491" i="4"/>
  <c r="O490" i="4"/>
  <c r="AC490" i="4" s="1"/>
  <c r="N490" i="4"/>
  <c r="AA490" i="4" s="1"/>
  <c r="M490" i="4"/>
  <c r="L490" i="4"/>
  <c r="K490" i="4"/>
  <c r="U490" i="4" s="1"/>
  <c r="J490" i="4"/>
  <c r="T490" i="4" s="1"/>
  <c r="I490" i="4"/>
  <c r="S490" i="4" s="1"/>
  <c r="C490" i="4"/>
  <c r="B490" i="4"/>
  <c r="O489" i="4"/>
  <c r="AC489" i="4" s="1"/>
  <c r="N489" i="4"/>
  <c r="AA489" i="4" s="1"/>
  <c r="M489" i="4"/>
  <c r="L489" i="4"/>
  <c r="K489" i="4"/>
  <c r="U489" i="4" s="1"/>
  <c r="J489" i="4"/>
  <c r="T489" i="4" s="1"/>
  <c r="I489" i="4"/>
  <c r="S489" i="4" s="1"/>
  <c r="C489" i="4"/>
  <c r="B489" i="4"/>
  <c r="O488" i="4"/>
  <c r="AC488" i="4" s="1"/>
  <c r="J488" i="4"/>
  <c r="T488" i="4" s="1"/>
  <c r="O487" i="4"/>
  <c r="AC487" i="4" s="1"/>
  <c r="N487" i="4"/>
  <c r="AA487" i="4" s="1"/>
  <c r="M487" i="4"/>
  <c r="L487" i="4"/>
  <c r="K487" i="4"/>
  <c r="U487" i="4" s="1"/>
  <c r="J487" i="4"/>
  <c r="T487" i="4" s="1"/>
  <c r="I487" i="4"/>
  <c r="S487" i="4" s="1"/>
  <c r="C487" i="4"/>
  <c r="B487" i="4"/>
  <c r="J486" i="4"/>
  <c r="T486" i="4" s="1"/>
  <c r="O484" i="4"/>
  <c r="AC484" i="4" s="1"/>
  <c r="N484" i="4"/>
  <c r="AA484" i="4" s="1"/>
  <c r="M484" i="4"/>
  <c r="L484" i="4"/>
  <c r="K484" i="4"/>
  <c r="U484" i="4" s="1"/>
  <c r="J484" i="4"/>
  <c r="T484" i="4" s="1"/>
  <c r="I484" i="4"/>
  <c r="S484" i="4" s="1"/>
  <c r="C484" i="4"/>
  <c r="B484" i="4"/>
  <c r="M483" i="4"/>
  <c r="O482" i="4"/>
  <c r="AC482" i="4" s="1"/>
  <c r="N482" i="4"/>
  <c r="AA482" i="4" s="1"/>
  <c r="M482" i="4"/>
  <c r="L482" i="4"/>
  <c r="K482" i="4"/>
  <c r="U482" i="4" s="1"/>
  <c r="J482" i="4"/>
  <c r="T482" i="4" s="1"/>
  <c r="I482" i="4"/>
  <c r="S482" i="4" s="1"/>
  <c r="H482" i="4"/>
  <c r="G482" i="4"/>
  <c r="F482" i="4"/>
  <c r="E482" i="4"/>
  <c r="D482" i="4"/>
  <c r="C482" i="4"/>
  <c r="B482" i="4"/>
  <c r="O481" i="4"/>
  <c r="AC481" i="4" s="1"/>
  <c r="N481" i="4"/>
  <c r="AA481" i="4" s="1"/>
  <c r="M481" i="4"/>
  <c r="L481" i="4"/>
  <c r="K481" i="4"/>
  <c r="U481" i="4" s="1"/>
  <c r="J481" i="4"/>
  <c r="T481" i="4" s="1"/>
  <c r="I481" i="4"/>
  <c r="S481" i="4" s="1"/>
  <c r="C481" i="4"/>
  <c r="B481" i="4"/>
  <c r="O480" i="4"/>
  <c r="AC480" i="4" s="1"/>
  <c r="N480" i="4"/>
  <c r="AA480" i="4" s="1"/>
  <c r="M480" i="4"/>
  <c r="L480" i="4"/>
  <c r="K480" i="4"/>
  <c r="U480" i="4" s="1"/>
  <c r="J480" i="4"/>
  <c r="T480" i="4" s="1"/>
  <c r="I480" i="4"/>
  <c r="S480" i="4" s="1"/>
  <c r="C480" i="4"/>
  <c r="B480" i="4"/>
  <c r="O479" i="4"/>
  <c r="AC479" i="4" s="1"/>
  <c r="N479" i="4"/>
  <c r="AA479" i="4" s="1"/>
  <c r="M479" i="4"/>
  <c r="L479" i="4"/>
  <c r="K479" i="4"/>
  <c r="U479" i="4" s="1"/>
  <c r="J479" i="4"/>
  <c r="T479" i="4" s="1"/>
  <c r="I479" i="4"/>
  <c r="S479" i="4" s="1"/>
  <c r="C479" i="4"/>
  <c r="B479" i="4"/>
  <c r="O478" i="4"/>
  <c r="AC478" i="4" s="1"/>
  <c r="N478" i="4"/>
  <c r="AA478" i="4" s="1"/>
  <c r="M478" i="4"/>
  <c r="L478" i="4"/>
  <c r="K478" i="4"/>
  <c r="U478" i="4" s="1"/>
  <c r="J478" i="4"/>
  <c r="T478" i="4" s="1"/>
  <c r="I478" i="4"/>
  <c r="S478" i="4" s="1"/>
  <c r="C478" i="4"/>
  <c r="B478" i="4"/>
  <c r="O477" i="4"/>
  <c r="AC477" i="4" s="1"/>
  <c r="N477" i="4"/>
  <c r="AA477" i="4" s="1"/>
  <c r="M477" i="4"/>
  <c r="L477" i="4"/>
  <c r="K477" i="4"/>
  <c r="U477" i="4" s="1"/>
  <c r="J477" i="4"/>
  <c r="T477" i="4" s="1"/>
  <c r="I477" i="4"/>
  <c r="S477" i="4" s="1"/>
  <c r="C477" i="4"/>
  <c r="B477" i="4"/>
  <c r="N476" i="4"/>
  <c r="AA476" i="4" s="1"/>
  <c r="I476" i="4"/>
  <c r="S476" i="4" s="1"/>
  <c r="C476" i="4"/>
  <c r="B476" i="4"/>
  <c r="O475" i="4"/>
  <c r="AC475" i="4" s="1"/>
  <c r="N475" i="4"/>
  <c r="AA475" i="4" s="1"/>
  <c r="M475" i="4"/>
  <c r="L475" i="4"/>
  <c r="K475" i="4"/>
  <c r="U475" i="4" s="1"/>
  <c r="J475" i="4"/>
  <c r="T475" i="4" s="1"/>
  <c r="I475" i="4"/>
  <c r="S475" i="4" s="1"/>
  <c r="C475" i="4"/>
  <c r="B475" i="4"/>
  <c r="O474" i="4"/>
  <c r="AC474" i="4" s="1"/>
  <c r="O472" i="4"/>
  <c r="AC472" i="4" s="1"/>
  <c r="N472" i="4"/>
  <c r="AA472" i="4" s="1"/>
  <c r="M472" i="4"/>
  <c r="L472" i="4"/>
  <c r="K472" i="4"/>
  <c r="U472" i="4" s="1"/>
  <c r="J472" i="4"/>
  <c r="T472" i="4" s="1"/>
  <c r="I472" i="4"/>
  <c r="S472" i="4" s="1"/>
  <c r="C472" i="4"/>
  <c r="B472" i="4"/>
  <c r="J471" i="4"/>
  <c r="T471" i="4" s="1"/>
  <c r="C471" i="4"/>
  <c r="O470" i="4"/>
  <c r="AC470" i="4" s="1"/>
  <c r="N470" i="4"/>
  <c r="AA470" i="4" s="1"/>
  <c r="M470" i="4"/>
  <c r="L470" i="4"/>
  <c r="K470" i="4"/>
  <c r="U470" i="4" s="1"/>
  <c r="J470" i="4"/>
  <c r="T470" i="4" s="1"/>
  <c r="I470" i="4"/>
  <c r="S470" i="4" s="1"/>
  <c r="H470" i="4"/>
  <c r="G470" i="4"/>
  <c r="F470" i="4"/>
  <c r="E470" i="4"/>
  <c r="D470" i="4"/>
  <c r="C470" i="4"/>
  <c r="B470" i="4"/>
  <c r="O469" i="4"/>
  <c r="AC469" i="4" s="1"/>
  <c r="N469" i="4"/>
  <c r="AA469" i="4" s="1"/>
  <c r="M469" i="4"/>
  <c r="L469" i="4"/>
  <c r="K469" i="4"/>
  <c r="U469" i="4" s="1"/>
  <c r="J469" i="4"/>
  <c r="T469" i="4" s="1"/>
  <c r="I469" i="4"/>
  <c r="S469" i="4" s="1"/>
  <c r="C469" i="4"/>
  <c r="B469" i="4"/>
  <c r="O468" i="4"/>
  <c r="AC468" i="4" s="1"/>
  <c r="N468" i="4"/>
  <c r="AA468" i="4" s="1"/>
  <c r="M468" i="4"/>
  <c r="L468" i="4"/>
  <c r="K468" i="4"/>
  <c r="U468" i="4" s="1"/>
  <c r="J468" i="4"/>
  <c r="T468" i="4" s="1"/>
  <c r="I468" i="4"/>
  <c r="S468" i="4" s="1"/>
  <c r="C468" i="4"/>
  <c r="B468" i="4"/>
  <c r="O467" i="4"/>
  <c r="AC467" i="4" s="1"/>
  <c r="N467" i="4"/>
  <c r="AA467" i="4" s="1"/>
  <c r="M467" i="4"/>
  <c r="L467" i="4"/>
  <c r="K467" i="4"/>
  <c r="U467" i="4" s="1"/>
  <c r="J467" i="4"/>
  <c r="T467" i="4" s="1"/>
  <c r="I467" i="4"/>
  <c r="S467" i="4" s="1"/>
  <c r="C467" i="4"/>
  <c r="B467" i="4"/>
  <c r="O466" i="4"/>
  <c r="AC466" i="4" s="1"/>
  <c r="N466" i="4"/>
  <c r="AA466" i="4" s="1"/>
  <c r="M466" i="4"/>
  <c r="L466" i="4"/>
  <c r="K466" i="4"/>
  <c r="U466" i="4" s="1"/>
  <c r="J466" i="4"/>
  <c r="T466" i="4" s="1"/>
  <c r="I466" i="4"/>
  <c r="S466" i="4" s="1"/>
  <c r="C466" i="4"/>
  <c r="B466" i="4"/>
  <c r="O465" i="4"/>
  <c r="AC465" i="4" s="1"/>
  <c r="N465" i="4"/>
  <c r="AA465" i="4" s="1"/>
  <c r="M465" i="4"/>
  <c r="L465" i="4"/>
  <c r="K465" i="4"/>
  <c r="U465" i="4" s="1"/>
  <c r="J465" i="4"/>
  <c r="T465" i="4" s="1"/>
  <c r="I465" i="4"/>
  <c r="S465" i="4" s="1"/>
  <c r="C465" i="4"/>
  <c r="B465" i="4"/>
  <c r="N464" i="4"/>
  <c r="AA464" i="4" s="1"/>
  <c r="M464" i="4"/>
  <c r="L464" i="4"/>
  <c r="B464" i="4"/>
  <c r="O463" i="4"/>
  <c r="AC463" i="4" s="1"/>
  <c r="N463" i="4"/>
  <c r="AA463" i="4" s="1"/>
  <c r="M463" i="4"/>
  <c r="L463" i="4"/>
  <c r="K463" i="4"/>
  <c r="U463" i="4" s="1"/>
  <c r="J463" i="4"/>
  <c r="T463" i="4" s="1"/>
  <c r="I463" i="4"/>
  <c r="S463" i="4" s="1"/>
  <c r="C463" i="4"/>
  <c r="B463" i="4"/>
  <c r="C462" i="4"/>
  <c r="O460" i="4"/>
  <c r="AC460" i="4" s="1"/>
  <c r="N460" i="4"/>
  <c r="AA460" i="4" s="1"/>
  <c r="M460" i="4"/>
  <c r="L460" i="4"/>
  <c r="K460" i="4"/>
  <c r="U460" i="4" s="1"/>
  <c r="J460" i="4"/>
  <c r="T460" i="4" s="1"/>
  <c r="I460" i="4"/>
  <c r="S460" i="4" s="1"/>
  <c r="C460" i="4"/>
  <c r="B460" i="4"/>
  <c r="L459" i="4"/>
  <c r="B459" i="4"/>
  <c r="O458" i="4"/>
  <c r="AC458" i="4" s="1"/>
  <c r="N458" i="4"/>
  <c r="AA458" i="4" s="1"/>
  <c r="M458" i="4"/>
  <c r="L458" i="4"/>
  <c r="K458" i="4"/>
  <c r="U458" i="4" s="1"/>
  <c r="J458" i="4"/>
  <c r="T458" i="4" s="1"/>
  <c r="I458" i="4"/>
  <c r="S458" i="4" s="1"/>
  <c r="H458" i="4"/>
  <c r="G458" i="4"/>
  <c r="F458" i="4"/>
  <c r="E458" i="4"/>
  <c r="D458" i="4"/>
  <c r="C458" i="4"/>
  <c r="B458" i="4"/>
  <c r="O457" i="4"/>
  <c r="AC457" i="4" s="1"/>
  <c r="N457" i="4"/>
  <c r="AA457" i="4" s="1"/>
  <c r="M457" i="4"/>
  <c r="L457" i="4"/>
  <c r="K457" i="4"/>
  <c r="U457" i="4" s="1"/>
  <c r="J457" i="4"/>
  <c r="T457" i="4" s="1"/>
  <c r="I457" i="4"/>
  <c r="S457" i="4" s="1"/>
  <c r="C457" i="4"/>
  <c r="B457" i="4"/>
  <c r="O456" i="4"/>
  <c r="AC456" i="4" s="1"/>
  <c r="N456" i="4"/>
  <c r="AA456" i="4" s="1"/>
  <c r="M456" i="4"/>
  <c r="L456" i="4"/>
  <c r="K456" i="4"/>
  <c r="U456" i="4" s="1"/>
  <c r="J456" i="4"/>
  <c r="T456" i="4" s="1"/>
  <c r="I456" i="4"/>
  <c r="S456" i="4" s="1"/>
  <c r="C456" i="4"/>
  <c r="B456" i="4"/>
  <c r="O455" i="4"/>
  <c r="AC455" i="4" s="1"/>
  <c r="N455" i="4"/>
  <c r="AA455" i="4" s="1"/>
  <c r="M455" i="4"/>
  <c r="L455" i="4"/>
  <c r="K455" i="4"/>
  <c r="U455" i="4" s="1"/>
  <c r="J455" i="4"/>
  <c r="T455" i="4" s="1"/>
  <c r="I455" i="4"/>
  <c r="S455" i="4" s="1"/>
  <c r="C455" i="4"/>
  <c r="B455" i="4"/>
  <c r="O454" i="4"/>
  <c r="AC454" i="4" s="1"/>
  <c r="N454" i="4"/>
  <c r="AA454" i="4" s="1"/>
  <c r="M454" i="4"/>
  <c r="L454" i="4"/>
  <c r="K454" i="4"/>
  <c r="U454" i="4" s="1"/>
  <c r="J454" i="4"/>
  <c r="T454" i="4" s="1"/>
  <c r="I454" i="4"/>
  <c r="S454" i="4" s="1"/>
  <c r="C454" i="4"/>
  <c r="B454" i="4"/>
  <c r="O453" i="4"/>
  <c r="AC453" i="4" s="1"/>
  <c r="N453" i="4"/>
  <c r="AA453" i="4" s="1"/>
  <c r="M453" i="4"/>
  <c r="L453" i="4"/>
  <c r="K453" i="4"/>
  <c r="U453" i="4" s="1"/>
  <c r="J453" i="4"/>
  <c r="T453" i="4" s="1"/>
  <c r="I453" i="4"/>
  <c r="S453" i="4" s="1"/>
  <c r="C453" i="4"/>
  <c r="B453" i="4"/>
  <c r="L452" i="4"/>
  <c r="B452" i="4"/>
  <c r="O451" i="4"/>
  <c r="AC451" i="4" s="1"/>
  <c r="N451" i="4"/>
  <c r="AA451" i="4" s="1"/>
  <c r="M451" i="4"/>
  <c r="L451" i="4"/>
  <c r="K451" i="4"/>
  <c r="U451" i="4" s="1"/>
  <c r="J451" i="4"/>
  <c r="T451" i="4" s="1"/>
  <c r="I451" i="4"/>
  <c r="S451" i="4" s="1"/>
  <c r="C451" i="4"/>
  <c r="B451" i="4"/>
  <c r="M450" i="4"/>
  <c r="O448" i="4"/>
  <c r="AC448" i="4" s="1"/>
  <c r="N448" i="4"/>
  <c r="AA448" i="4" s="1"/>
  <c r="M448" i="4"/>
  <c r="L448" i="4"/>
  <c r="K448" i="4"/>
  <c r="U448" i="4" s="1"/>
  <c r="J448" i="4"/>
  <c r="T448" i="4" s="1"/>
  <c r="I448" i="4"/>
  <c r="S448" i="4" s="1"/>
  <c r="C448" i="4"/>
  <c r="B448" i="4"/>
  <c r="N447" i="4"/>
  <c r="AA447" i="4" s="1"/>
  <c r="I447" i="4"/>
  <c r="S447" i="4" s="1"/>
  <c r="O446" i="4"/>
  <c r="AC446" i="4" s="1"/>
  <c r="N446" i="4"/>
  <c r="AA446" i="4" s="1"/>
  <c r="M446" i="4"/>
  <c r="L446" i="4"/>
  <c r="K446" i="4"/>
  <c r="U446" i="4" s="1"/>
  <c r="J446" i="4"/>
  <c r="T446" i="4" s="1"/>
  <c r="I446" i="4"/>
  <c r="S446" i="4" s="1"/>
  <c r="H446" i="4"/>
  <c r="G446" i="4"/>
  <c r="F446" i="4"/>
  <c r="E446" i="4"/>
  <c r="D446" i="4"/>
  <c r="C446" i="4"/>
  <c r="B446" i="4"/>
  <c r="O445" i="4"/>
  <c r="AC445" i="4" s="1"/>
  <c r="N445" i="4"/>
  <c r="AA445" i="4" s="1"/>
  <c r="M445" i="4"/>
  <c r="L445" i="4"/>
  <c r="K445" i="4"/>
  <c r="U445" i="4" s="1"/>
  <c r="J445" i="4"/>
  <c r="T445" i="4" s="1"/>
  <c r="I445" i="4"/>
  <c r="S445" i="4" s="1"/>
  <c r="C445" i="4"/>
  <c r="B445" i="4"/>
  <c r="O444" i="4"/>
  <c r="AC444" i="4" s="1"/>
  <c r="N444" i="4"/>
  <c r="AA444" i="4" s="1"/>
  <c r="M444" i="4"/>
  <c r="L444" i="4"/>
  <c r="K444" i="4"/>
  <c r="U444" i="4" s="1"/>
  <c r="J444" i="4"/>
  <c r="T444" i="4" s="1"/>
  <c r="I444" i="4"/>
  <c r="S444" i="4" s="1"/>
  <c r="C444" i="4"/>
  <c r="B444" i="4"/>
  <c r="O443" i="4"/>
  <c r="AC443" i="4" s="1"/>
  <c r="N443" i="4"/>
  <c r="AA443" i="4" s="1"/>
  <c r="M443" i="4"/>
  <c r="L443" i="4"/>
  <c r="K443" i="4"/>
  <c r="U443" i="4" s="1"/>
  <c r="J443" i="4"/>
  <c r="T443" i="4" s="1"/>
  <c r="I443" i="4"/>
  <c r="S443" i="4" s="1"/>
  <c r="C443" i="4"/>
  <c r="B443" i="4"/>
  <c r="O442" i="4"/>
  <c r="AC442" i="4" s="1"/>
  <c r="N442" i="4"/>
  <c r="AA442" i="4" s="1"/>
  <c r="M442" i="4"/>
  <c r="L442" i="4"/>
  <c r="K442" i="4"/>
  <c r="U442" i="4" s="1"/>
  <c r="J442" i="4"/>
  <c r="T442" i="4" s="1"/>
  <c r="I442" i="4"/>
  <c r="S442" i="4" s="1"/>
  <c r="C442" i="4"/>
  <c r="B442" i="4"/>
  <c r="O441" i="4"/>
  <c r="AC441" i="4" s="1"/>
  <c r="N441" i="4"/>
  <c r="AA441" i="4" s="1"/>
  <c r="M441" i="4"/>
  <c r="L441" i="4"/>
  <c r="K441" i="4"/>
  <c r="U441" i="4" s="1"/>
  <c r="J441" i="4"/>
  <c r="T441" i="4" s="1"/>
  <c r="I441" i="4"/>
  <c r="S441" i="4" s="1"/>
  <c r="C441" i="4"/>
  <c r="B441" i="4"/>
  <c r="L440" i="4"/>
  <c r="K440" i="4"/>
  <c r="U440" i="4" s="1"/>
  <c r="J440" i="4"/>
  <c r="T440" i="4" s="1"/>
  <c r="O439" i="4"/>
  <c r="AC439" i="4" s="1"/>
  <c r="N439" i="4"/>
  <c r="AA439" i="4" s="1"/>
  <c r="M439" i="4"/>
  <c r="L439" i="4"/>
  <c r="K439" i="4"/>
  <c r="U439" i="4" s="1"/>
  <c r="J439" i="4"/>
  <c r="T439" i="4" s="1"/>
  <c r="I439" i="4"/>
  <c r="S439" i="4" s="1"/>
  <c r="C439" i="4"/>
  <c r="B439" i="4"/>
  <c r="O436" i="4"/>
  <c r="AC436" i="4" s="1"/>
  <c r="N436" i="4"/>
  <c r="AA436" i="4" s="1"/>
  <c r="M436" i="4"/>
  <c r="L436" i="4"/>
  <c r="K436" i="4"/>
  <c r="U436" i="4" s="1"/>
  <c r="J436" i="4"/>
  <c r="T436" i="4" s="1"/>
  <c r="I436" i="4"/>
  <c r="S436" i="4" s="1"/>
  <c r="C436" i="4"/>
  <c r="B436" i="4"/>
  <c r="O435" i="4"/>
  <c r="AC435" i="4" s="1"/>
  <c r="L435" i="4"/>
  <c r="J435" i="4"/>
  <c r="T435" i="4" s="1"/>
  <c r="O434" i="4"/>
  <c r="AC434" i="4" s="1"/>
  <c r="N434" i="4"/>
  <c r="AA434" i="4" s="1"/>
  <c r="M434" i="4"/>
  <c r="L434" i="4"/>
  <c r="K434" i="4"/>
  <c r="U434" i="4" s="1"/>
  <c r="J434" i="4"/>
  <c r="T434" i="4" s="1"/>
  <c r="I434" i="4"/>
  <c r="S434" i="4" s="1"/>
  <c r="H434" i="4"/>
  <c r="G434" i="4"/>
  <c r="F434" i="4"/>
  <c r="E434" i="4"/>
  <c r="D434" i="4"/>
  <c r="C434" i="4"/>
  <c r="B434" i="4"/>
  <c r="O433" i="4"/>
  <c r="AC433" i="4" s="1"/>
  <c r="N433" i="4"/>
  <c r="AA433" i="4" s="1"/>
  <c r="M433" i="4"/>
  <c r="L433" i="4"/>
  <c r="K433" i="4"/>
  <c r="U433" i="4" s="1"/>
  <c r="J433" i="4"/>
  <c r="T433" i="4" s="1"/>
  <c r="I433" i="4"/>
  <c r="S433" i="4" s="1"/>
  <c r="C433" i="4"/>
  <c r="B433" i="4"/>
  <c r="O432" i="4"/>
  <c r="AC432" i="4" s="1"/>
  <c r="N432" i="4"/>
  <c r="AA432" i="4" s="1"/>
  <c r="M432" i="4"/>
  <c r="L432" i="4"/>
  <c r="K432" i="4"/>
  <c r="U432" i="4" s="1"/>
  <c r="J432" i="4"/>
  <c r="T432" i="4" s="1"/>
  <c r="I432" i="4"/>
  <c r="S432" i="4" s="1"/>
  <c r="C432" i="4"/>
  <c r="B432" i="4"/>
  <c r="O431" i="4"/>
  <c r="AC431" i="4" s="1"/>
  <c r="N431" i="4"/>
  <c r="AA431" i="4" s="1"/>
  <c r="M431" i="4"/>
  <c r="L431" i="4"/>
  <c r="K431" i="4"/>
  <c r="U431" i="4" s="1"/>
  <c r="J431" i="4"/>
  <c r="T431" i="4" s="1"/>
  <c r="I431" i="4"/>
  <c r="S431" i="4" s="1"/>
  <c r="C431" i="4"/>
  <c r="B431" i="4"/>
  <c r="O430" i="4"/>
  <c r="AC430" i="4" s="1"/>
  <c r="N430" i="4"/>
  <c r="AA430" i="4" s="1"/>
  <c r="M430" i="4"/>
  <c r="L430" i="4"/>
  <c r="K430" i="4"/>
  <c r="U430" i="4" s="1"/>
  <c r="J430" i="4"/>
  <c r="T430" i="4" s="1"/>
  <c r="I430" i="4"/>
  <c r="S430" i="4" s="1"/>
  <c r="C430" i="4"/>
  <c r="B430" i="4"/>
  <c r="O429" i="4"/>
  <c r="AC429" i="4" s="1"/>
  <c r="N429" i="4"/>
  <c r="AA429" i="4" s="1"/>
  <c r="M429" i="4"/>
  <c r="L429" i="4"/>
  <c r="K429" i="4"/>
  <c r="U429" i="4" s="1"/>
  <c r="J429" i="4"/>
  <c r="T429" i="4" s="1"/>
  <c r="I429" i="4"/>
  <c r="S429" i="4" s="1"/>
  <c r="C429" i="4"/>
  <c r="B429" i="4"/>
  <c r="O428" i="4"/>
  <c r="AC428" i="4" s="1"/>
  <c r="J428" i="4"/>
  <c r="T428" i="4" s="1"/>
  <c r="B428" i="4"/>
  <c r="O427" i="4"/>
  <c r="AC427" i="4" s="1"/>
  <c r="N427" i="4"/>
  <c r="AA427" i="4" s="1"/>
  <c r="M427" i="4"/>
  <c r="L427" i="4"/>
  <c r="K427" i="4"/>
  <c r="U427" i="4" s="1"/>
  <c r="J427" i="4"/>
  <c r="T427" i="4" s="1"/>
  <c r="I427" i="4"/>
  <c r="S427" i="4" s="1"/>
  <c r="C427" i="4"/>
  <c r="B427" i="4"/>
  <c r="K426" i="4"/>
  <c r="U426" i="4" s="1"/>
  <c r="O424" i="4"/>
  <c r="AC424" i="4" s="1"/>
  <c r="N424" i="4"/>
  <c r="AA424" i="4" s="1"/>
  <c r="M424" i="4"/>
  <c r="L424" i="4"/>
  <c r="K424" i="4"/>
  <c r="U424" i="4" s="1"/>
  <c r="J424" i="4"/>
  <c r="T424" i="4" s="1"/>
  <c r="I424" i="4"/>
  <c r="S424" i="4" s="1"/>
  <c r="C424" i="4"/>
  <c r="B424" i="4"/>
  <c r="N423" i="4"/>
  <c r="AA423" i="4" s="1"/>
  <c r="L423" i="4"/>
  <c r="K423" i="4"/>
  <c r="U423" i="4" s="1"/>
  <c r="I423" i="4"/>
  <c r="S423" i="4" s="1"/>
  <c r="B423" i="4"/>
  <c r="O422" i="4"/>
  <c r="AC422" i="4" s="1"/>
  <c r="N422" i="4"/>
  <c r="AA422" i="4" s="1"/>
  <c r="M422" i="4"/>
  <c r="L422" i="4"/>
  <c r="K422" i="4"/>
  <c r="U422" i="4" s="1"/>
  <c r="J422" i="4"/>
  <c r="T422" i="4" s="1"/>
  <c r="I422" i="4"/>
  <c r="S422" i="4" s="1"/>
  <c r="H422" i="4"/>
  <c r="G422" i="4"/>
  <c r="F422" i="4"/>
  <c r="E422" i="4"/>
  <c r="D422" i="4"/>
  <c r="C422" i="4"/>
  <c r="B422" i="4"/>
  <c r="O421" i="4"/>
  <c r="AC421" i="4" s="1"/>
  <c r="N421" i="4"/>
  <c r="AA421" i="4" s="1"/>
  <c r="M421" i="4"/>
  <c r="L421" i="4"/>
  <c r="K421" i="4"/>
  <c r="U421" i="4" s="1"/>
  <c r="J421" i="4"/>
  <c r="T421" i="4" s="1"/>
  <c r="I421" i="4"/>
  <c r="S421" i="4" s="1"/>
  <c r="C421" i="4"/>
  <c r="B421" i="4"/>
  <c r="O420" i="4"/>
  <c r="AC420" i="4" s="1"/>
  <c r="N420" i="4"/>
  <c r="AA420" i="4" s="1"/>
  <c r="M420" i="4"/>
  <c r="L420" i="4"/>
  <c r="K420" i="4"/>
  <c r="U420" i="4" s="1"/>
  <c r="J420" i="4"/>
  <c r="T420" i="4" s="1"/>
  <c r="I420" i="4"/>
  <c r="S420" i="4" s="1"/>
  <c r="C420" i="4"/>
  <c r="B420" i="4"/>
  <c r="O419" i="4"/>
  <c r="AC419" i="4" s="1"/>
  <c r="N419" i="4"/>
  <c r="AA419" i="4" s="1"/>
  <c r="M419" i="4"/>
  <c r="L419" i="4"/>
  <c r="K419" i="4"/>
  <c r="U419" i="4" s="1"/>
  <c r="J419" i="4"/>
  <c r="T419" i="4" s="1"/>
  <c r="I419" i="4"/>
  <c r="S419" i="4" s="1"/>
  <c r="C419" i="4"/>
  <c r="B419" i="4"/>
  <c r="O418" i="4"/>
  <c r="AC418" i="4" s="1"/>
  <c r="N418" i="4"/>
  <c r="AA418" i="4" s="1"/>
  <c r="M418" i="4"/>
  <c r="L418" i="4"/>
  <c r="K418" i="4"/>
  <c r="U418" i="4" s="1"/>
  <c r="J418" i="4"/>
  <c r="T418" i="4" s="1"/>
  <c r="I418" i="4"/>
  <c r="S418" i="4" s="1"/>
  <c r="C418" i="4"/>
  <c r="B418" i="4"/>
  <c r="O417" i="4"/>
  <c r="AC417" i="4" s="1"/>
  <c r="N417" i="4"/>
  <c r="AA417" i="4" s="1"/>
  <c r="M417" i="4"/>
  <c r="L417" i="4"/>
  <c r="K417" i="4"/>
  <c r="U417" i="4" s="1"/>
  <c r="J417" i="4"/>
  <c r="T417" i="4" s="1"/>
  <c r="I417" i="4"/>
  <c r="S417" i="4" s="1"/>
  <c r="C417" i="4"/>
  <c r="B417" i="4"/>
  <c r="O416" i="4"/>
  <c r="AC416" i="4" s="1"/>
  <c r="M416" i="4"/>
  <c r="L416" i="4"/>
  <c r="K416" i="4"/>
  <c r="U416" i="4" s="1"/>
  <c r="O415" i="4"/>
  <c r="AC415" i="4" s="1"/>
  <c r="N415" i="4"/>
  <c r="AA415" i="4" s="1"/>
  <c r="M415" i="4"/>
  <c r="L415" i="4"/>
  <c r="K415" i="4"/>
  <c r="U415" i="4" s="1"/>
  <c r="J415" i="4"/>
  <c r="T415" i="4" s="1"/>
  <c r="I415" i="4"/>
  <c r="S415" i="4" s="1"/>
  <c r="C415" i="4"/>
  <c r="B415" i="4"/>
  <c r="O412" i="4"/>
  <c r="AC412" i="4" s="1"/>
  <c r="N412" i="4"/>
  <c r="AA412" i="4" s="1"/>
  <c r="M412" i="4"/>
  <c r="L412" i="4"/>
  <c r="K412" i="4"/>
  <c r="U412" i="4" s="1"/>
  <c r="J412" i="4"/>
  <c r="T412" i="4" s="1"/>
  <c r="I412" i="4"/>
  <c r="S412" i="4" s="1"/>
  <c r="C412" i="4"/>
  <c r="B412" i="4"/>
  <c r="O411" i="4"/>
  <c r="AC411" i="4" s="1"/>
  <c r="N411" i="4"/>
  <c r="AA411" i="4" s="1"/>
  <c r="J411" i="4"/>
  <c r="T411" i="4" s="1"/>
  <c r="C411" i="4"/>
  <c r="B411" i="4"/>
  <c r="O410" i="4"/>
  <c r="AC410" i="4" s="1"/>
  <c r="N410" i="4"/>
  <c r="AA410" i="4" s="1"/>
  <c r="M410" i="4"/>
  <c r="L410" i="4"/>
  <c r="K410" i="4"/>
  <c r="U410" i="4" s="1"/>
  <c r="J410" i="4"/>
  <c r="T410" i="4" s="1"/>
  <c r="I410" i="4"/>
  <c r="S410" i="4" s="1"/>
  <c r="H410" i="4"/>
  <c r="G410" i="4"/>
  <c r="F410" i="4"/>
  <c r="E410" i="4"/>
  <c r="D410" i="4"/>
  <c r="C410" i="4"/>
  <c r="B410" i="4"/>
  <c r="O409" i="4"/>
  <c r="AC409" i="4" s="1"/>
  <c r="N409" i="4"/>
  <c r="AA409" i="4" s="1"/>
  <c r="M409" i="4"/>
  <c r="L409" i="4"/>
  <c r="K409" i="4"/>
  <c r="U409" i="4" s="1"/>
  <c r="J409" i="4"/>
  <c r="T409" i="4" s="1"/>
  <c r="I409" i="4"/>
  <c r="S409" i="4" s="1"/>
  <c r="C409" i="4"/>
  <c r="B409" i="4"/>
  <c r="O408" i="4"/>
  <c r="AC408" i="4" s="1"/>
  <c r="N408" i="4"/>
  <c r="AA408" i="4" s="1"/>
  <c r="M408" i="4"/>
  <c r="L408" i="4"/>
  <c r="K408" i="4"/>
  <c r="U408" i="4" s="1"/>
  <c r="J408" i="4"/>
  <c r="T408" i="4" s="1"/>
  <c r="I408" i="4"/>
  <c r="S408" i="4" s="1"/>
  <c r="C408" i="4"/>
  <c r="B408" i="4"/>
  <c r="O407" i="4"/>
  <c r="AC407" i="4" s="1"/>
  <c r="N407" i="4"/>
  <c r="AA407" i="4" s="1"/>
  <c r="M407" i="4"/>
  <c r="L407" i="4"/>
  <c r="K407" i="4"/>
  <c r="U407" i="4" s="1"/>
  <c r="J407" i="4"/>
  <c r="T407" i="4" s="1"/>
  <c r="I407" i="4"/>
  <c r="S407" i="4" s="1"/>
  <c r="C407" i="4"/>
  <c r="B407" i="4"/>
  <c r="O406" i="4"/>
  <c r="AC406" i="4" s="1"/>
  <c r="N406" i="4"/>
  <c r="AA406" i="4" s="1"/>
  <c r="M406" i="4"/>
  <c r="L406" i="4"/>
  <c r="K406" i="4"/>
  <c r="U406" i="4" s="1"/>
  <c r="J406" i="4"/>
  <c r="T406" i="4" s="1"/>
  <c r="I406" i="4"/>
  <c r="S406" i="4" s="1"/>
  <c r="C406" i="4"/>
  <c r="B406" i="4"/>
  <c r="O405" i="4"/>
  <c r="AC405" i="4" s="1"/>
  <c r="N405" i="4"/>
  <c r="AA405" i="4" s="1"/>
  <c r="M405" i="4"/>
  <c r="L405" i="4"/>
  <c r="K405" i="4"/>
  <c r="U405" i="4" s="1"/>
  <c r="J405" i="4"/>
  <c r="T405" i="4" s="1"/>
  <c r="I405" i="4"/>
  <c r="S405" i="4" s="1"/>
  <c r="C405" i="4"/>
  <c r="B405" i="4"/>
  <c r="O404" i="4"/>
  <c r="AC404" i="4" s="1"/>
  <c r="M404" i="4"/>
  <c r="L404" i="4"/>
  <c r="J404" i="4"/>
  <c r="T404" i="4" s="1"/>
  <c r="C404" i="4"/>
  <c r="B404" i="4"/>
  <c r="O403" i="4"/>
  <c r="AC403" i="4" s="1"/>
  <c r="N403" i="4"/>
  <c r="AA403" i="4" s="1"/>
  <c r="M403" i="4"/>
  <c r="L403" i="4"/>
  <c r="K403" i="4"/>
  <c r="U403" i="4" s="1"/>
  <c r="J403" i="4"/>
  <c r="T403" i="4" s="1"/>
  <c r="I403" i="4"/>
  <c r="S403" i="4" s="1"/>
  <c r="C403" i="4"/>
  <c r="B403" i="4"/>
  <c r="I402" i="4"/>
  <c r="S402" i="4" s="1"/>
  <c r="O400" i="4"/>
  <c r="AC400" i="4" s="1"/>
  <c r="N400" i="4"/>
  <c r="AA400" i="4" s="1"/>
  <c r="M400" i="4"/>
  <c r="L400" i="4"/>
  <c r="K400" i="4"/>
  <c r="U400" i="4" s="1"/>
  <c r="J400" i="4"/>
  <c r="T400" i="4" s="1"/>
  <c r="I400" i="4"/>
  <c r="S400" i="4" s="1"/>
  <c r="C400" i="4"/>
  <c r="B400" i="4"/>
  <c r="N399" i="4"/>
  <c r="AA399" i="4" s="1"/>
  <c r="L399" i="4"/>
  <c r="K399" i="4"/>
  <c r="U399" i="4" s="1"/>
  <c r="B399" i="4"/>
  <c r="O398" i="4"/>
  <c r="AC398" i="4" s="1"/>
  <c r="N398" i="4"/>
  <c r="AA398" i="4" s="1"/>
  <c r="M398" i="4"/>
  <c r="L398" i="4"/>
  <c r="K398" i="4"/>
  <c r="U398" i="4" s="1"/>
  <c r="J398" i="4"/>
  <c r="T398" i="4" s="1"/>
  <c r="I398" i="4"/>
  <c r="S398" i="4" s="1"/>
  <c r="H398" i="4"/>
  <c r="G398" i="4"/>
  <c r="F398" i="4"/>
  <c r="E398" i="4"/>
  <c r="D398" i="4"/>
  <c r="C398" i="4"/>
  <c r="B398" i="4"/>
  <c r="O397" i="4"/>
  <c r="AC397" i="4" s="1"/>
  <c r="N397" i="4"/>
  <c r="AA397" i="4" s="1"/>
  <c r="M397" i="4"/>
  <c r="L397" i="4"/>
  <c r="K397" i="4"/>
  <c r="U397" i="4" s="1"/>
  <c r="J397" i="4"/>
  <c r="T397" i="4" s="1"/>
  <c r="I397" i="4"/>
  <c r="S397" i="4" s="1"/>
  <c r="C397" i="4"/>
  <c r="B397" i="4"/>
  <c r="O396" i="4"/>
  <c r="AC396" i="4" s="1"/>
  <c r="N396" i="4"/>
  <c r="AA396" i="4" s="1"/>
  <c r="M396" i="4"/>
  <c r="L396" i="4"/>
  <c r="K396" i="4"/>
  <c r="U396" i="4" s="1"/>
  <c r="J396" i="4"/>
  <c r="T396" i="4" s="1"/>
  <c r="I396" i="4"/>
  <c r="S396" i="4" s="1"/>
  <c r="C396" i="4"/>
  <c r="B396" i="4"/>
  <c r="O395" i="4"/>
  <c r="AC395" i="4" s="1"/>
  <c r="N395" i="4"/>
  <c r="AA395" i="4" s="1"/>
  <c r="M395" i="4"/>
  <c r="L395" i="4"/>
  <c r="K395" i="4"/>
  <c r="U395" i="4" s="1"/>
  <c r="J395" i="4"/>
  <c r="T395" i="4" s="1"/>
  <c r="I395" i="4"/>
  <c r="S395" i="4" s="1"/>
  <c r="C395" i="4"/>
  <c r="B395" i="4"/>
  <c r="O394" i="4"/>
  <c r="AC394" i="4" s="1"/>
  <c r="N394" i="4"/>
  <c r="AA394" i="4" s="1"/>
  <c r="M394" i="4"/>
  <c r="L394" i="4"/>
  <c r="K394" i="4"/>
  <c r="U394" i="4" s="1"/>
  <c r="J394" i="4"/>
  <c r="T394" i="4" s="1"/>
  <c r="I394" i="4"/>
  <c r="S394" i="4" s="1"/>
  <c r="C394" i="4"/>
  <c r="B394" i="4"/>
  <c r="O393" i="4"/>
  <c r="AC393" i="4" s="1"/>
  <c r="N393" i="4"/>
  <c r="AA393" i="4" s="1"/>
  <c r="M393" i="4"/>
  <c r="L393" i="4"/>
  <c r="K393" i="4"/>
  <c r="U393" i="4" s="1"/>
  <c r="J393" i="4"/>
  <c r="T393" i="4" s="1"/>
  <c r="I393" i="4"/>
  <c r="S393" i="4" s="1"/>
  <c r="C393" i="4"/>
  <c r="B393" i="4"/>
  <c r="O392" i="4"/>
  <c r="AC392" i="4" s="1"/>
  <c r="N392" i="4"/>
  <c r="AA392" i="4" s="1"/>
  <c r="M392" i="4"/>
  <c r="J392" i="4"/>
  <c r="T392" i="4" s="1"/>
  <c r="C392" i="4"/>
  <c r="B392" i="4"/>
  <c r="O391" i="4"/>
  <c r="AC391" i="4" s="1"/>
  <c r="N391" i="4"/>
  <c r="AA391" i="4" s="1"/>
  <c r="M391" i="4"/>
  <c r="L391" i="4"/>
  <c r="K391" i="4"/>
  <c r="U391" i="4" s="1"/>
  <c r="J391" i="4"/>
  <c r="T391" i="4" s="1"/>
  <c r="I391" i="4"/>
  <c r="S391" i="4" s="1"/>
  <c r="C391" i="4"/>
  <c r="B391" i="4"/>
  <c r="N390" i="4"/>
  <c r="AA390" i="4" s="1"/>
  <c r="O388" i="4"/>
  <c r="AC388" i="4" s="1"/>
  <c r="N388" i="4"/>
  <c r="AA388" i="4" s="1"/>
  <c r="M388" i="4"/>
  <c r="L388" i="4"/>
  <c r="K388" i="4"/>
  <c r="U388" i="4" s="1"/>
  <c r="J388" i="4"/>
  <c r="T388" i="4" s="1"/>
  <c r="I388" i="4"/>
  <c r="S388" i="4" s="1"/>
  <c r="C388" i="4"/>
  <c r="B388" i="4"/>
  <c r="N387" i="4"/>
  <c r="AA387" i="4" s="1"/>
  <c r="M387" i="4"/>
  <c r="K387" i="4"/>
  <c r="U387" i="4" s="1"/>
  <c r="I387" i="4"/>
  <c r="S387" i="4" s="1"/>
  <c r="C387" i="4"/>
  <c r="O386" i="4"/>
  <c r="AC386" i="4" s="1"/>
  <c r="N386" i="4"/>
  <c r="AA386" i="4" s="1"/>
  <c r="M386" i="4"/>
  <c r="L386" i="4"/>
  <c r="K386" i="4"/>
  <c r="U386" i="4" s="1"/>
  <c r="J386" i="4"/>
  <c r="T386" i="4" s="1"/>
  <c r="I386" i="4"/>
  <c r="S386" i="4" s="1"/>
  <c r="H386" i="4"/>
  <c r="G386" i="4"/>
  <c r="F386" i="4"/>
  <c r="E386" i="4"/>
  <c r="D386" i="4"/>
  <c r="C386" i="4"/>
  <c r="B386" i="4"/>
  <c r="O385" i="4"/>
  <c r="AC385" i="4" s="1"/>
  <c r="N385" i="4"/>
  <c r="AA385" i="4" s="1"/>
  <c r="M385" i="4"/>
  <c r="L385" i="4"/>
  <c r="K385" i="4"/>
  <c r="U385" i="4" s="1"/>
  <c r="J385" i="4"/>
  <c r="T385" i="4" s="1"/>
  <c r="I385" i="4"/>
  <c r="S385" i="4" s="1"/>
  <c r="C385" i="4"/>
  <c r="B385" i="4"/>
  <c r="O384" i="4"/>
  <c r="AC384" i="4" s="1"/>
  <c r="N384" i="4"/>
  <c r="AA384" i="4" s="1"/>
  <c r="M384" i="4"/>
  <c r="L384" i="4"/>
  <c r="K384" i="4"/>
  <c r="U384" i="4" s="1"/>
  <c r="J384" i="4"/>
  <c r="T384" i="4" s="1"/>
  <c r="I384" i="4"/>
  <c r="S384" i="4" s="1"/>
  <c r="C384" i="4"/>
  <c r="B384" i="4"/>
  <c r="O383" i="4"/>
  <c r="AC383" i="4" s="1"/>
  <c r="N383" i="4"/>
  <c r="AA383" i="4" s="1"/>
  <c r="M383" i="4"/>
  <c r="L383" i="4"/>
  <c r="K383" i="4"/>
  <c r="U383" i="4" s="1"/>
  <c r="J383" i="4"/>
  <c r="T383" i="4" s="1"/>
  <c r="I383" i="4"/>
  <c r="S383" i="4" s="1"/>
  <c r="C383" i="4"/>
  <c r="B383" i="4"/>
  <c r="O382" i="4"/>
  <c r="AC382" i="4" s="1"/>
  <c r="N382" i="4"/>
  <c r="AA382" i="4" s="1"/>
  <c r="M382" i="4"/>
  <c r="L382" i="4"/>
  <c r="K382" i="4"/>
  <c r="U382" i="4" s="1"/>
  <c r="J382" i="4"/>
  <c r="T382" i="4" s="1"/>
  <c r="I382" i="4"/>
  <c r="S382" i="4" s="1"/>
  <c r="C382" i="4"/>
  <c r="B382" i="4"/>
  <c r="O381" i="4"/>
  <c r="AC381" i="4" s="1"/>
  <c r="N381" i="4"/>
  <c r="AA381" i="4" s="1"/>
  <c r="M381" i="4"/>
  <c r="L381" i="4"/>
  <c r="K381" i="4"/>
  <c r="U381" i="4" s="1"/>
  <c r="J381" i="4"/>
  <c r="T381" i="4" s="1"/>
  <c r="I381" i="4"/>
  <c r="S381" i="4" s="1"/>
  <c r="C381" i="4"/>
  <c r="B381" i="4"/>
  <c r="O380" i="4"/>
  <c r="AC380" i="4" s="1"/>
  <c r="M380" i="4"/>
  <c r="K380" i="4"/>
  <c r="U380" i="4" s="1"/>
  <c r="J380" i="4"/>
  <c r="T380" i="4" s="1"/>
  <c r="I380" i="4"/>
  <c r="S380" i="4" s="1"/>
  <c r="O379" i="4"/>
  <c r="AC379" i="4" s="1"/>
  <c r="N379" i="4"/>
  <c r="AA379" i="4" s="1"/>
  <c r="M379" i="4"/>
  <c r="L379" i="4"/>
  <c r="K379" i="4"/>
  <c r="U379" i="4" s="1"/>
  <c r="J379" i="4"/>
  <c r="T379" i="4" s="1"/>
  <c r="I379" i="4"/>
  <c r="S379" i="4" s="1"/>
  <c r="C379" i="4"/>
  <c r="B379" i="4"/>
  <c r="B378" i="4"/>
  <c r="O376" i="4"/>
  <c r="AC376" i="4" s="1"/>
  <c r="N376" i="4"/>
  <c r="AA376" i="4" s="1"/>
  <c r="M376" i="4"/>
  <c r="L376" i="4"/>
  <c r="K376" i="4"/>
  <c r="U376" i="4" s="1"/>
  <c r="J376" i="4"/>
  <c r="T376" i="4" s="1"/>
  <c r="I376" i="4"/>
  <c r="S376" i="4" s="1"/>
  <c r="C376" i="4"/>
  <c r="B376" i="4"/>
  <c r="M375" i="4"/>
  <c r="K375" i="4"/>
  <c r="U375" i="4" s="1"/>
  <c r="J375" i="4"/>
  <c r="T375" i="4" s="1"/>
  <c r="C375" i="4"/>
  <c r="O374" i="4"/>
  <c r="AC374" i="4" s="1"/>
  <c r="N374" i="4"/>
  <c r="AA374" i="4" s="1"/>
  <c r="M374" i="4"/>
  <c r="L374" i="4"/>
  <c r="K374" i="4"/>
  <c r="U374" i="4" s="1"/>
  <c r="J374" i="4"/>
  <c r="T374" i="4" s="1"/>
  <c r="I374" i="4"/>
  <c r="S374" i="4" s="1"/>
  <c r="H374" i="4"/>
  <c r="G374" i="4"/>
  <c r="F374" i="4"/>
  <c r="E374" i="4"/>
  <c r="D374" i="4"/>
  <c r="C374" i="4"/>
  <c r="B374" i="4"/>
  <c r="O373" i="4"/>
  <c r="AC373" i="4" s="1"/>
  <c r="N373" i="4"/>
  <c r="AA373" i="4" s="1"/>
  <c r="M373" i="4"/>
  <c r="L373" i="4"/>
  <c r="K373" i="4"/>
  <c r="U373" i="4" s="1"/>
  <c r="J373" i="4"/>
  <c r="T373" i="4" s="1"/>
  <c r="I373" i="4"/>
  <c r="S373" i="4" s="1"/>
  <c r="C373" i="4"/>
  <c r="B373" i="4"/>
  <c r="O372" i="4"/>
  <c r="AC372" i="4" s="1"/>
  <c r="N372" i="4"/>
  <c r="AA372" i="4" s="1"/>
  <c r="M372" i="4"/>
  <c r="L372" i="4"/>
  <c r="K372" i="4"/>
  <c r="U372" i="4" s="1"/>
  <c r="J372" i="4"/>
  <c r="T372" i="4" s="1"/>
  <c r="I372" i="4"/>
  <c r="S372" i="4" s="1"/>
  <c r="C372" i="4"/>
  <c r="B372" i="4"/>
  <c r="O371" i="4"/>
  <c r="AC371" i="4" s="1"/>
  <c r="N371" i="4"/>
  <c r="AA371" i="4" s="1"/>
  <c r="M371" i="4"/>
  <c r="L371" i="4"/>
  <c r="K371" i="4"/>
  <c r="U371" i="4" s="1"/>
  <c r="J371" i="4"/>
  <c r="T371" i="4" s="1"/>
  <c r="I371" i="4"/>
  <c r="S371" i="4" s="1"/>
  <c r="C371" i="4"/>
  <c r="B371" i="4"/>
  <c r="O370" i="4"/>
  <c r="AC370" i="4" s="1"/>
  <c r="N370" i="4"/>
  <c r="AA370" i="4" s="1"/>
  <c r="M370" i="4"/>
  <c r="L370" i="4"/>
  <c r="K370" i="4"/>
  <c r="U370" i="4" s="1"/>
  <c r="J370" i="4"/>
  <c r="T370" i="4" s="1"/>
  <c r="I370" i="4"/>
  <c r="S370" i="4" s="1"/>
  <c r="C370" i="4"/>
  <c r="B370" i="4"/>
  <c r="O369" i="4"/>
  <c r="AC369" i="4" s="1"/>
  <c r="N369" i="4"/>
  <c r="AA369" i="4" s="1"/>
  <c r="M369" i="4"/>
  <c r="L369" i="4"/>
  <c r="K369" i="4"/>
  <c r="U369" i="4" s="1"/>
  <c r="J369" i="4"/>
  <c r="T369" i="4" s="1"/>
  <c r="I369" i="4"/>
  <c r="S369" i="4" s="1"/>
  <c r="C369" i="4"/>
  <c r="B369" i="4"/>
  <c r="M368" i="4"/>
  <c r="K368" i="4"/>
  <c r="U368" i="4" s="1"/>
  <c r="J368" i="4"/>
  <c r="T368" i="4" s="1"/>
  <c r="C368" i="4"/>
  <c r="O367" i="4"/>
  <c r="AC367" i="4" s="1"/>
  <c r="N367" i="4"/>
  <c r="AA367" i="4" s="1"/>
  <c r="M367" i="4"/>
  <c r="L367" i="4"/>
  <c r="K367" i="4"/>
  <c r="U367" i="4" s="1"/>
  <c r="J367" i="4"/>
  <c r="T367" i="4" s="1"/>
  <c r="I367" i="4"/>
  <c r="S367" i="4" s="1"/>
  <c r="C367" i="4"/>
  <c r="B367" i="4"/>
  <c r="L366" i="4"/>
  <c r="O364" i="4"/>
  <c r="AC364" i="4" s="1"/>
  <c r="N364" i="4"/>
  <c r="AA364" i="4" s="1"/>
  <c r="M364" i="4"/>
  <c r="L364" i="4"/>
  <c r="K364" i="4"/>
  <c r="U364" i="4" s="1"/>
  <c r="J364" i="4"/>
  <c r="T364" i="4" s="1"/>
  <c r="I364" i="4"/>
  <c r="S364" i="4" s="1"/>
  <c r="C364" i="4"/>
  <c r="B364" i="4"/>
  <c r="O363" i="4"/>
  <c r="AC363" i="4" s="1"/>
  <c r="N363" i="4"/>
  <c r="AA363" i="4" s="1"/>
  <c r="M363" i="4"/>
  <c r="K363" i="4"/>
  <c r="U363" i="4" s="1"/>
  <c r="J363" i="4"/>
  <c r="T363" i="4" s="1"/>
  <c r="C363" i="4"/>
  <c r="B363" i="4"/>
  <c r="O362" i="4"/>
  <c r="AC362" i="4" s="1"/>
  <c r="N362" i="4"/>
  <c r="AA362" i="4" s="1"/>
  <c r="M362" i="4"/>
  <c r="L362" i="4"/>
  <c r="K362" i="4"/>
  <c r="U362" i="4" s="1"/>
  <c r="J362" i="4"/>
  <c r="T362" i="4" s="1"/>
  <c r="I362" i="4"/>
  <c r="S362" i="4" s="1"/>
  <c r="H362" i="4"/>
  <c r="G362" i="4"/>
  <c r="F362" i="4"/>
  <c r="E362" i="4"/>
  <c r="D362" i="4"/>
  <c r="C362" i="4"/>
  <c r="B362" i="4"/>
  <c r="O361" i="4"/>
  <c r="AC361" i="4" s="1"/>
  <c r="N361" i="4"/>
  <c r="AA361" i="4" s="1"/>
  <c r="M361" i="4"/>
  <c r="L361" i="4"/>
  <c r="K361" i="4"/>
  <c r="U361" i="4" s="1"/>
  <c r="J361" i="4"/>
  <c r="T361" i="4" s="1"/>
  <c r="I361" i="4"/>
  <c r="S361" i="4" s="1"/>
  <c r="C361" i="4"/>
  <c r="B361" i="4"/>
  <c r="O360" i="4"/>
  <c r="AC360" i="4" s="1"/>
  <c r="N360" i="4"/>
  <c r="AA360" i="4" s="1"/>
  <c r="M360" i="4"/>
  <c r="L360" i="4"/>
  <c r="K360" i="4"/>
  <c r="U360" i="4" s="1"/>
  <c r="J360" i="4"/>
  <c r="T360" i="4" s="1"/>
  <c r="I360" i="4"/>
  <c r="S360" i="4" s="1"/>
  <c r="C360" i="4"/>
  <c r="B360" i="4"/>
  <c r="O359" i="4"/>
  <c r="AC359" i="4" s="1"/>
  <c r="N359" i="4"/>
  <c r="AA359" i="4" s="1"/>
  <c r="M359" i="4"/>
  <c r="L359" i="4"/>
  <c r="K359" i="4"/>
  <c r="U359" i="4" s="1"/>
  <c r="J359" i="4"/>
  <c r="T359" i="4" s="1"/>
  <c r="I359" i="4"/>
  <c r="S359" i="4" s="1"/>
  <c r="C359" i="4"/>
  <c r="B359" i="4"/>
  <c r="O358" i="4"/>
  <c r="AC358" i="4" s="1"/>
  <c r="N358" i="4"/>
  <c r="AA358" i="4" s="1"/>
  <c r="M358" i="4"/>
  <c r="L358" i="4"/>
  <c r="K358" i="4"/>
  <c r="U358" i="4" s="1"/>
  <c r="J358" i="4"/>
  <c r="T358" i="4" s="1"/>
  <c r="I358" i="4"/>
  <c r="S358" i="4" s="1"/>
  <c r="C358" i="4"/>
  <c r="B358" i="4"/>
  <c r="O357" i="4"/>
  <c r="AC357" i="4" s="1"/>
  <c r="N357" i="4"/>
  <c r="AA357" i="4" s="1"/>
  <c r="M357" i="4"/>
  <c r="L357" i="4"/>
  <c r="K357" i="4"/>
  <c r="U357" i="4" s="1"/>
  <c r="J357" i="4"/>
  <c r="T357" i="4" s="1"/>
  <c r="I357" i="4"/>
  <c r="S357" i="4" s="1"/>
  <c r="C357" i="4"/>
  <c r="B357" i="4"/>
  <c r="O356" i="4"/>
  <c r="AC356" i="4" s="1"/>
  <c r="N356" i="4"/>
  <c r="AA356" i="4" s="1"/>
  <c r="L356" i="4"/>
  <c r="K356" i="4"/>
  <c r="U356" i="4" s="1"/>
  <c r="I356" i="4"/>
  <c r="S356" i="4" s="1"/>
  <c r="C356" i="4"/>
  <c r="O355" i="4"/>
  <c r="AC355" i="4" s="1"/>
  <c r="N355" i="4"/>
  <c r="AA355" i="4" s="1"/>
  <c r="M355" i="4"/>
  <c r="L355" i="4"/>
  <c r="K355" i="4"/>
  <c r="U355" i="4" s="1"/>
  <c r="J355" i="4"/>
  <c r="T355" i="4" s="1"/>
  <c r="I355" i="4"/>
  <c r="S355" i="4" s="1"/>
  <c r="C355" i="4"/>
  <c r="B355" i="4"/>
  <c r="O352" i="4"/>
  <c r="AC352" i="4" s="1"/>
  <c r="N352" i="4"/>
  <c r="AA352" i="4" s="1"/>
  <c r="M352" i="4"/>
  <c r="L352" i="4"/>
  <c r="K352" i="4"/>
  <c r="U352" i="4" s="1"/>
  <c r="J352" i="4"/>
  <c r="T352" i="4" s="1"/>
  <c r="I352" i="4"/>
  <c r="S352" i="4" s="1"/>
  <c r="C352" i="4"/>
  <c r="B352" i="4"/>
  <c r="O351" i="4"/>
  <c r="AC351" i="4" s="1"/>
  <c r="N351" i="4"/>
  <c r="AA351" i="4" s="1"/>
  <c r="M351" i="4"/>
  <c r="L351" i="4"/>
  <c r="K351" i="4"/>
  <c r="U351" i="4" s="1"/>
  <c r="J351" i="4"/>
  <c r="T351" i="4" s="1"/>
  <c r="I351" i="4"/>
  <c r="S351" i="4" s="1"/>
  <c r="C351" i="4"/>
  <c r="B351" i="4"/>
  <c r="O350" i="4"/>
  <c r="AC350" i="4" s="1"/>
  <c r="N350" i="4"/>
  <c r="AA350" i="4" s="1"/>
  <c r="M350" i="4"/>
  <c r="L350" i="4"/>
  <c r="K350" i="4"/>
  <c r="U350" i="4" s="1"/>
  <c r="J350" i="4"/>
  <c r="T350" i="4" s="1"/>
  <c r="I350" i="4"/>
  <c r="S350" i="4" s="1"/>
  <c r="H350" i="4"/>
  <c r="G350" i="4"/>
  <c r="F350" i="4"/>
  <c r="E350" i="4"/>
  <c r="D350" i="4"/>
  <c r="C350" i="4"/>
  <c r="B350" i="4"/>
  <c r="O349" i="4"/>
  <c r="AC349" i="4" s="1"/>
  <c r="N349" i="4"/>
  <c r="AA349" i="4" s="1"/>
  <c r="M349" i="4"/>
  <c r="L349" i="4"/>
  <c r="K349" i="4"/>
  <c r="U349" i="4" s="1"/>
  <c r="J349" i="4"/>
  <c r="T349" i="4" s="1"/>
  <c r="I349" i="4"/>
  <c r="S349" i="4" s="1"/>
  <c r="C349" i="4"/>
  <c r="B349" i="4"/>
  <c r="O348" i="4"/>
  <c r="AC348" i="4" s="1"/>
  <c r="N348" i="4"/>
  <c r="AA348" i="4" s="1"/>
  <c r="M348" i="4"/>
  <c r="L348" i="4"/>
  <c r="K348" i="4"/>
  <c r="U348" i="4" s="1"/>
  <c r="J348" i="4"/>
  <c r="T348" i="4" s="1"/>
  <c r="I348" i="4"/>
  <c r="S348" i="4" s="1"/>
  <c r="C348" i="4"/>
  <c r="B348" i="4"/>
  <c r="O347" i="4"/>
  <c r="AC347" i="4" s="1"/>
  <c r="N347" i="4"/>
  <c r="AA347" i="4" s="1"/>
  <c r="M347" i="4"/>
  <c r="L347" i="4"/>
  <c r="K347" i="4"/>
  <c r="U347" i="4" s="1"/>
  <c r="J347" i="4"/>
  <c r="T347" i="4" s="1"/>
  <c r="I347" i="4"/>
  <c r="S347" i="4" s="1"/>
  <c r="C347" i="4"/>
  <c r="B347" i="4"/>
  <c r="O346" i="4"/>
  <c r="AC346" i="4" s="1"/>
  <c r="N346" i="4"/>
  <c r="AA346" i="4" s="1"/>
  <c r="M346" i="4"/>
  <c r="L346" i="4"/>
  <c r="K346" i="4"/>
  <c r="U346" i="4" s="1"/>
  <c r="J346" i="4"/>
  <c r="T346" i="4" s="1"/>
  <c r="I346" i="4"/>
  <c r="S346" i="4" s="1"/>
  <c r="C346" i="4"/>
  <c r="B346" i="4"/>
  <c r="O345" i="4"/>
  <c r="AC345" i="4" s="1"/>
  <c r="N345" i="4"/>
  <c r="AA345" i="4" s="1"/>
  <c r="M345" i="4"/>
  <c r="L345" i="4"/>
  <c r="K345" i="4"/>
  <c r="U345" i="4" s="1"/>
  <c r="J345" i="4"/>
  <c r="T345" i="4" s="1"/>
  <c r="I345" i="4"/>
  <c r="S345" i="4" s="1"/>
  <c r="C345" i="4"/>
  <c r="B345" i="4"/>
  <c r="O344" i="4"/>
  <c r="AC344" i="4" s="1"/>
  <c r="N344" i="4"/>
  <c r="AA344" i="4" s="1"/>
  <c r="M344" i="4"/>
  <c r="L344" i="4"/>
  <c r="K344" i="4"/>
  <c r="U344" i="4" s="1"/>
  <c r="J344" i="4"/>
  <c r="T344" i="4" s="1"/>
  <c r="I344" i="4"/>
  <c r="S344" i="4" s="1"/>
  <c r="C344" i="4"/>
  <c r="B344" i="4"/>
  <c r="O343" i="4"/>
  <c r="AC343" i="4" s="1"/>
  <c r="N343" i="4"/>
  <c r="AA343" i="4" s="1"/>
  <c r="M343" i="4"/>
  <c r="L343" i="4"/>
  <c r="K343" i="4"/>
  <c r="U343" i="4" s="1"/>
  <c r="J343" i="4"/>
  <c r="T343" i="4" s="1"/>
  <c r="I343" i="4"/>
  <c r="S343" i="4" s="1"/>
  <c r="C343" i="4"/>
  <c r="B343" i="4"/>
  <c r="J342" i="4"/>
  <c r="T342" i="4" s="1"/>
  <c r="O340" i="4"/>
  <c r="AC340" i="4" s="1"/>
  <c r="N340" i="4"/>
  <c r="AA340" i="4" s="1"/>
  <c r="M340" i="4"/>
  <c r="L340" i="4"/>
  <c r="K340" i="4"/>
  <c r="U340" i="4" s="1"/>
  <c r="J340" i="4"/>
  <c r="T340" i="4" s="1"/>
  <c r="I340" i="4"/>
  <c r="S340" i="4" s="1"/>
  <c r="C340" i="4"/>
  <c r="B340" i="4"/>
  <c r="O339" i="4"/>
  <c r="AC339" i="4" s="1"/>
  <c r="N339" i="4"/>
  <c r="AA339" i="4" s="1"/>
  <c r="M339" i="4"/>
  <c r="L339" i="4"/>
  <c r="K339" i="4"/>
  <c r="U339" i="4" s="1"/>
  <c r="J339" i="4"/>
  <c r="T339" i="4" s="1"/>
  <c r="I339" i="4"/>
  <c r="S339" i="4" s="1"/>
  <c r="C339" i="4"/>
  <c r="B339" i="4"/>
  <c r="O338" i="4"/>
  <c r="AC338" i="4" s="1"/>
  <c r="N338" i="4"/>
  <c r="AA338" i="4" s="1"/>
  <c r="M338" i="4"/>
  <c r="L338" i="4"/>
  <c r="K338" i="4"/>
  <c r="U338" i="4" s="1"/>
  <c r="J338" i="4"/>
  <c r="T338" i="4" s="1"/>
  <c r="I338" i="4"/>
  <c r="S338" i="4" s="1"/>
  <c r="H338" i="4"/>
  <c r="G338" i="4"/>
  <c r="G345" i="4" s="1"/>
  <c r="F338" i="4"/>
  <c r="E338" i="4"/>
  <c r="D338" i="4"/>
  <c r="C338" i="4"/>
  <c r="B338" i="4"/>
  <c r="O337" i="4"/>
  <c r="AC337" i="4" s="1"/>
  <c r="N337" i="4"/>
  <c r="AA337" i="4" s="1"/>
  <c r="M337" i="4"/>
  <c r="L337" i="4"/>
  <c r="K337" i="4"/>
  <c r="U337" i="4" s="1"/>
  <c r="J337" i="4"/>
  <c r="T337" i="4" s="1"/>
  <c r="I337" i="4"/>
  <c r="S337" i="4" s="1"/>
  <c r="C337" i="4"/>
  <c r="B337" i="4"/>
  <c r="O336" i="4"/>
  <c r="AC336" i="4" s="1"/>
  <c r="N336" i="4"/>
  <c r="AA336" i="4" s="1"/>
  <c r="M336" i="4"/>
  <c r="L336" i="4"/>
  <c r="K336" i="4"/>
  <c r="U336" i="4" s="1"/>
  <c r="J336" i="4"/>
  <c r="T336" i="4" s="1"/>
  <c r="I336" i="4"/>
  <c r="S336" i="4" s="1"/>
  <c r="C336" i="4"/>
  <c r="B336" i="4"/>
  <c r="O335" i="4"/>
  <c r="AC335" i="4" s="1"/>
  <c r="N335" i="4"/>
  <c r="AA335" i="4" s="1"/>
  <c r="M335" i="4"/>
  <c r="L335" i="4"/>
  <c r="K335" i="4"/>
  <c r="U335" i="4" s="1"/>
  <c r="J335" i="4"/>
  <c r="T335" i="4" s="1"/>
  <c r="I335" i="4"/>
  <c r="S335" i="4" s="1"/>
  <c r="C335" i="4"/>
  <c r="B335" i="4"/>
  <c r="O334" i="4"/>
  <c r="AC334" i="4" s="1"/>
  <c r="N334" i="4"/>
  <c r="AA334" i="4" s="1"/>
  <c r="M334" i="4"/>
  <c r="L334" i="4"/>
  <c r="K334" i="4"/>
  <c r="U334" i="4" s="1"/>
  <c r="J334" i="4"/>
  <c r="T334" i="4" s="1"/>
  <c r="I334" i="4"/>
  <c r="S334" i="4" s="1"/>
  <c r="C334" i="4"/>
  <c r="B334" i="4"/>
  <c r="O333" i="4"/>
  <c r="AC333" i="4" s="1"/>
  <c r="N333" i="4"/>
  <c r="AA333" i="4" s="1"/>
  <c r="M333" i="4"/>
  <c r="L333" i="4"/>
  <c r="K333" i="4"/>
  <c r="U333" i="4" s="1"/>
  <c r="J333" i="4"/>
  <c r="T333" i="4" s="1"/>
  <c r="I333" i="4"/>
  <c r="S333" i="4" s="1"/>
  <c r="C333" i="4"/>
  <c r="B333" i="4"/>
  <c r="O332" i="4"/>
  <c r="AC332" i="4" s="1"/>
  <c r="N332" i="4"/>
  <c r="AA332" i="4" s="1"/>
  <c r="M332" i="4"/>
  <c r="L332" i="4"/>
  <c r="K332" i="4"/>
  <c r="U332" i="4" s="1"/>
  <c r="J332" i="4"/>
  <c r="T332" i="4" s="1"/>
  <c r="I332" i="4"/>
  <c r="S332" i="4" s="1"/>
  <c r="C332" i="4"/>
  <c r="B332" i="4"/>
  <c r="O331" i="4"/>
  <c r="AC331" i="4" s="1"/>
  <c r="N331" i="4"/>
  <c r="AA331" i="4" s="1"/>
  <c r="M331" i="4"/>
  <c r="L331" i="4"/>
  <c r="K331" i="4"/>
  <c r="U331" i="4" s="1"/>
  <c r="J331" i="4"/>
  <c r="T331" i="4" s="1"/>
  <c r="I331" i="4"/>
  <c r="S331" i="4" s="1"/>
  <c r="C331" i="4"/>
  <c r="B331" i="4"/>
  <c r="O330" i="4"/>
  <c r="AC330" i="4" s="1"/>
  <c r="O328" i="4"/>
  <c r="AC328" i="4" s="1"/>
  <c r="N328" i="4"/>
  <c r="AA328" i="4" s="1"/>
  <c r="M328" i="4"/>
  <c r="L328" i="4"/>
  <c r="K328" i="4"/>
  <c r="U328" i="4" s="1"/>
  <c r="J328" i="4"/>
  <c r="T328" i="4" s="1"/>
  <c r="I328" i="4"/>
  <c r="S328" i="4" s="1"/>
  <c r="C328" i="4"/>
  <c r="B328" i="4"/>
  <c r="O327" i="4"/>
  <c r="AC327" i="4" s="1"/>
  <c r="N327" i="4"/>
  <c r="AA327" i="4" s="1"/>
  <c r="M327" i="4"/>
  <c r="L327" i="4"/>
  <c r="K327" i="4"/>
  <c r="U327" i="4" s="1"/>
  <c r="J327" i="4"/>
  <c r="T327" i="4" s="1"/>
  <c r="I327" i="4"/>
  <c r="S327" i="4" s="1"/>
  <c r="C327" i="4"/>
  <c r="B327" i="4"/>
  <c r="O326" i="4"/>
  <c r="AC326" i="4" s="1"/>
  <c r="N326" i="4"/>
  <c r="AA326" i="4" s="1"/>
  <c r="M326" i="4"/>
  <c r="L326" i="4"/>
  <c r="K326" i="4"/>
  <c r="U326" i="4" s="1"/>
  <c r="J326" i="4"/>
  <c r="T326" i="4" s="1"/>
  <c r="I326" i="4"/>
  <c r="S326" i="4" s="1"/>
  <c r="H326" i="4"/>
  <c r="G326" i="4"/>
  <c r="F326" i="4"/>
  <c r="E326" i="4"/>
  <c r="D326" i="4"/>
  <c r="C326" i="4"/>
  <c r="B326" i="4"/>
  <c r="O325" i="4"/>
  <c r="AC325" i="4" s="1"/>
  <c r="N325" i="4"/>
  <c r="AA325" i="4" s="1"/>
  <c r="M325" i="4"/>
  <c r="L325" i="4"/>
  <c r="K325" i="4"/>
  <c r="U325" i="4" s="1"/>
  <c r="J325" i="4"/>
  <c r="T325" i="4" s="1"/>
  <c r="I325" i="4"/>
  <c r="S325" i="4" s="1"/>
  <c r="C325" i="4"/>
  <c r="B325" i="4"/>
  <c r="O324" i="4"/>
  <c r="AC324" i="4" s="1"/>
  <c r="N324" i="4"/>
  <c r="AA324" i="4" s="1"/>
  <c r="M324" i="4"/>
  <c r="L324" i="4"/>
  <c r="K324" i="4"/>
  <c r="U324" i="4" s="1"/>
  <c r="J324" i="4"/>
  <c r="T324" i="4" s="1"/>
  <c r="I324" i="4"/>
  <c r="S324" i="4" s="1"/>
  <c r="C324" i="4"/>
  <c r="B324" i="4"/>
  <c r="O323" i="4"/>
  <c r="AC323" i="4" s="1"/>
  <c r="N323" i="4"/>
  <c r="AA323" i="4" s="1"/>
  <c r="M323" i="4"/>
  <c r="L323" i="4"/>
  <c r="K323" i="4"/>
  <c r="U323" i="4" s="1"/>
  <c r="J323" i="4"/>
  <c r="T323" i="4" s="1"/>
  <c r="I323" i="4"/>
  <c r="S323" i="4" s="1"/>
  <c r="C323" i="4"/>
  <c r="B323" i="4"/>
  <c r="O322" i="4"/>
  <c r="AC322" i="4" s="1"/>
  <c r="N322" i="4"/>
  <c r="AA322" i="4" s="1"/>
  <c r="M322" i="4"/>
  <c r="L322" i="4"/>
  <c r="K322" i="4"/>
  <c r="U322" i="4" s="1"/>
  <c r="J322" i="4"/>
  <c r="T322" i="4" s="1"/>
  <c r="I322" i="4"/>
  <c r="S322" i="4" s="1"/>
  <c r="C322" i="4"/>
  <c r="B322" i="4"/>
  <c r="O321" i="4"/>
  <c r="AC321" i="4" s="1"/>
  <c r="N321" i="4"/>
  <c r="AA321" i="4" s="1"/>
  <c r="M321" i="4"/>
  <c r="L321" i="4"/>
  <c r="K321" i="4"/>
  <c r="U321" i="4" s="1"/>
  <c r="J321" i="4"/>
  <c r="T321" i="4" s="1"/>
  <c r="I321" i="4"/>
  <c r="S321" i="4" s="1"/>
  <c r="C321" i="4"/>
  <c r="B321" i="4"/>
  <c r="O320" i="4"/>
  <c r="AC320" i="4" s="1"/>
  <c r="N320" i="4"/>
  <c r="AA320" i="4" s="1"/>
  <c r="M320" i="4"/>
  <c r="L320" i="4"/>
  <c r="K320" i="4"/>
  <c r="U320" i="4" s="1"/>
  <c r="J320" i="4"/>
  <c r="T320" i="4" s="1"/>
  <c r="I320" i="4"/>
  <c r="S320" i="4" s="1"/>
  <c r="C320" i="4"/>
  <c r="B320" i="4"/>
  <c r="O319" i="4"/>
  <c r="AC319" i="4" s="1"/>
  <c r="N319" i="4"/>
  <c r="AA319" i="4" s="1"/>
  <c r="M319" i="4"/>
  <c r="L319" i="4"/>
  <c r="K319" i="4"/>
  <c r="U319" i="4" s="1"/>
  <c r="J319" i="4"/>
  <c r="T319" i="4" s="1"/>
  <c r="I319" i="4"/>
  <c r="S319" i="4" s="1"/>
  <c r="C319" i="4"/>
  <c r="B319" i="4"/>
  <c r="C318" i="4"/>
  <c r="O316" i="4"/>
  <c r="AC316" i="4" s="1"/>
  <c r="N316" i="4"/>
  <c r="AA316" i="4" s="1"/>
  <c r="M316" i="4"/>
  <c r="L316" i="4"/>
  <c r="K316" i="4"/>
  <c r="U316" i="4" s="1"/>
  <c r="J316" i="4"/>
  <c r="T316" i="4" s="1"/>
  <c r="I316" i="4"/>
  <c r="S316" i="4" s="1"/>
  <c r="C316" i="4"/>
  <c r="B316" i="4"/>
  <c r="O315" i="4"/>
  <c r="AC315" i="4" s="1"/>
  <c r="N315" i="4"/>
  <c r="AA315" i="4" s="1"/>
  <c r="M315" i="4"/>
  <c r="L315" i="4"/>
  <c r="K315" i="4"/>
  <c r="U315" i="4" s="1"/>
  <c r="J315" i="4"/>
  <c r="T315" i="4" s="1"/>
  <c r="I315" i="4"/>
  <c r="S315" i="4" s="1"/>
  <c r="C315" i="4"/>
  <c r="B315" i="4"/>
  <c r="O314" i="4"/>
  <c r="AC314" i="4" s="1"/>
  <c r="N314" i="4"/>
  <c r="AA314" i="4" s="1"/>
  <c r="M314" i="4"/>
  <c r="L314" i="4"/>
  <c r="K314" i="4"/>
  <c r="U314" i="4" s="1"/>
  <c r="J314" i="4"/>
  <c r="T314" i="4" s="1"/>
  <c r="I314" i="4"/>
  <c r="S314" i="4" s="1"/>
  <c r="H314" i="4"/>
  <c r="G314" i="4"/>
  <c r="F314" i="4"/>
  <c r="F321" i="4" s="1"/>
  <c r="E314" i="4"/>
  <c r="D314" i="4"/>
  <c r="C314" i="4"/>
  <c r="B314" i="4"/>
  <c r="O313" i="4"/>
  <c r="AC313" i="4" s="1"/>
  <c r="N313" i="4"/>
  <c r="AA313" i="4" s="1"/>
  <c r="M313" i="4"/>
  <c r="L313" i="4"/>
  <c r="K313" i="4"/>
  <c r="U313" i="4" s="1"/>
  <c r="J313" i="4"/>
  <c r="T313" i="4" s="1"/>
  <c r="I313" i="4"/>
  <c r="S313" i="4" s="1"/>
  <c r="C313" i="4"/>
  <c r="B313" i="4"/>
  <c r="O312" i="4"/>
  <c r="AC312" i="4" s="1"/>
  <c r="N312" i="4"/>
  <c r="AA312" i="4" s="1"/>
  <c r="M312" i="4"/>
  <c r="L312" i="4"/>
  <c r="K312" i="4"/>
  <c r="U312" i="4" s="1"/>
  <c r="J312" i="4"/>
  <c r="T312" i="4" s="1"/>
  <c r="I312" i="4"/>
  <c r="S312" i="4" s="1"/>
  <c r="C312" i="4"/>
  <c r="B312" i="4"/>
  <c r="O311" i="4"/>
  <c r="AC311" i="4" s="1"/>
  <c r="N311" i="4"/>
  <c r="AA311" i="4" s="1"/>
  <c r="M311" i="4"/>
  <c r="L311" i="4"/>
  <c r="K311" i="4"/>
  <c r="U311" i="4" s="1"/>
  <c r="J311" i="4"/>
  <c r="T311" i="4" s="1"/>
  <c r="I311" i="4"/>
  <c r="S311" i="4" s="1"/>
  <c r="C311" i="4"/>
  <c r="B311" i="4"/>
  <c r="O310" i="4"/>
  <c r="AC310" i="4" s="1"/>
  <c r="N310" i="4"/>
  <c r="AA310" i="4" s="1"/>
  <c r="M310" i="4"/>
  <c r="L310" i="4"/>
  <c r="K310" i="4"/>
  <c r="U310" i="4" s="1"/>
  <c r="J310" i="4"/>
  <c r="T310" i="4" s="1"/>
  <c r="I310" i="4"/>
  <c r="S310" i="4" s="1"/>
  <c r="C310" i="4"/>
  <c r="B310" i="4"/>
  <c r="O309" i="4"/>
  <c r="AC309" i="4" s="1"/>
  <c r="N309" i="4"/>
  <c r="AA309" i="4" s="1"/>
  <c r="M309" i="4"/>
  <c r="L309" i="4"/>
  <c r="K309" i="4"/>
  <c r="U309" i="4" s="1"/>
  <c r="J309" i="4"/>
  <c r="T309" i="4" s="1"/>
  <c r="I309" i="4"/>
  <c r="S309" i="4" s="1"/>
  <c r="C309" i="4"/>
  <c r="B309" i="4"/>
  <c r="O308" i="4"/>
  <c r="AC308" i="4" s="1"/>
  <c r="N308" i="4"/>
  <c r="AA308" i="4" s="1"/>
  <c r="M308" i="4"/>
  <c r="L308" i="4"/>
  <c r="K308" i="4"/>
  <c r="U308" i="4" s="1"/>
  <c r="J308" i="4"/>
  <c r="T308" i="4" s="1"/>
  <c r="I308" i="4"/>
  <c r="S308" i="4" s="1"/>
  <c r="C308" i="4"/>
  <c r="B308" i="4"/>
  <c r="O307" i="4"/>
  <c r="AC307" i="4" s="1"/>
  <c r="N307" i="4"/>
  <c r="AA307" i="4" s="1"/>
  <c r="M307" i="4"/>
  <c r="L307" i="4"/>
  <c r="K307" i="4"/>
  <c r="U307" i="4" s="1"/>
  <c r="J307" i="4"/>
  <c r="T307" i="4" s="1"/>
  <c r="I307" i="4"/>
  <c r="S307" i="4" s="1"/>
  <c r="C307" i="4"/>
  <c r="B307" i="4"/>
  <c r="M306" i="4"/>
  <c r="O304" i="4"/>
  <c r="AC304" i="4" s="1"/>
  <c r="N304" i="4"/>
  <c r="AA304" i="4" s="1"/>
  <c r="M304" i="4"/>
  <c r="L304" i="4"/>
  <c r="K304" i="4"/>
  <c r="U304" i="4" s="1"/>
  <c r="J304" i="4"/>
  <c r="T304" i="4" s="1"/>
  <c r="I304" i="4"/>
  <c r="S304" i="4" s="1"/>
  <c r="C304" i="4"/>
  <c r="B304" i="4"/>
  <c r="O303" i="4"/>
  <c r="AC303" i="4" s="1"/>
  <c r="N303" i="4"/>
  <c r="AA303" i="4" s="1"/>
  <c r="M303" i="4"/>
  <c r="L303" i="4"/>
  <c r="K303" i="4"/>
  <c r="U303" i="4" s="1"/>
  <c r="J303" i="4"/>
  <c r="T303" i="4" s="1"/>
  <c r="I303" i="4"/>
  <c r="S303" i="4" s="1"/>
  <c r="C303" i="4"/>
  <c r="B303" i="4"/>
  <c r="O302" i="4"/>
  <c r="AC302" i="4" s="1"/>
  <c r="N302" i="4"/>
  <c r="AA302" i="4" s="1"/>
  <c r="M302" i="4"/>
  <c r="L302" i="4"/>
  <c r="K302" i="4"/>
  <c r="U302" i="4" s="1"/>
  <c r="J302" i="4"/>
  <c r="T302" i="4" s="1"/>
  <c r="I302" i="4"/>
  <c r="S302" i="4" s="1"/>
  <c r="H302" i="4"/>
  <c r="G302" i="4"/>
  <c r="F302" i="4"/>
  <c r="F307" i="4" s="1"/>
  <c r="E302" i="4"/>
  <c r="E313" i="4" s="1"/>
  <c r="D302" i="4"/>
  <c r="C302" i="4"/>
  <c r="B302" i="4"/>
  <c r="O301" i="4"/>
  <c r="AC301" i="4" s="1"/>
  <c r="N301" i="4"/>
  <c r="AA301" i="4" s="1"/>
  <c r="M301" i="4"/>
  <c r="L301" i="4"/>
  <c r="K301" i="4"/>
  <c r="U301" i="4" s="1"/>
  <c r="J301" i="4"/>
  <c r="T301" i="4" s="1"/>
  <c r="I301" i="4"/>
  <c r="S301" i="4" s="1"/>
  <c r="C301" i="4"/>
  <c r="B301" i="4"/>
  <c r="O300" i="4"/>
  <c r="AC300" i="4" s="1"/>
  <c r="N300" i="4"/>
  <c r="AA300" i="4" s="1"/>
  <c r="M300" i="4"/>
  <c r="L300" i="4"/>
  <c r="K300" i="4"/>
  <c r="U300" i="4" s="1"/>
  <c r="J300" i="4"/>
  <c r="T300" i="4" s="1"/>
  <c r="I300" i="4"/>
  <c r="S300" i="4" s="1"/>
  <c r="C300" i="4"/>
  <c r="B300" i="4"/>
  <c r="O299" i="4"/>
  <c r="AC299" i="4" s="1"/>
  <c r="N299" i="4"/>
  <c r="AA299" i="4" s="1"/>
  <c r="M299" i="4"/>
  <c r="L299" i="4"/>
  <c r="K299" i="4"/>
  <c r="U299" i="4" s="1"/>
  <c r="J299" i="4"/>
  <c r="T299" i="4" s="1"/>
  <c r="I299" i="4"/>
  <c r="S299" i="4" s="1"/>
  <c r="C299" i="4"/>
  <c r="B299" i="4"/>
  <c r="O298" i="4"/>
  <c r="AC298" i="4" s="1"/>
  <c r="N298" i="4"/>
  <c r="AA298" i="4" s="1"/>
  <c r="M298" i="4"/>
  <c r="L298" i="4"/>
  <c r="K298" i="4"/>
  <c r="U298" i="4" s="1"/>
  <c r="J298" i="4"/>
  <c r="T298" i="4" s="1"/>
  <c r="I298" i="4"/>
  <c r="S298" i="4" s="1"/>
  <c r="C298" i="4"/>
  <c r="B298" i="4"/>
  <c r="O297" i="4"/>
  <c r="AC297" i="4" s="1"/>
  <c r="N297" i="4"/>
  <c r="AA297" i="4" s="1"/>
  <c r="M297" i="4"/>
  <c r="L297" i="4"/>
  <c r="K297" i="4"/>
  <c r="U297" i="4" s="1"/>
  <c r="J297" i="4"/>
  <c r="T297" i="4" s="1"/>
  <c r="I297" i="4"/>
  <c r="S297" i="4" s="1"/>
  <c r="C297" i="4"/>
  <c r="B297" i="4"/>
  <c r="O296" i="4"/>
  <c r="AC296" i="4" s="1"/>
  <c r="N296" i="4"/>
  <c r="AA296" i="4" s="1"/>
  <c r="M296" i="4"/>
  <c r="L296" i="4"/>
  <c r="K296" i="4"/>
  <c r="U296" i="4" s="1"/>
  <c r="J296" i="4"/>
  <c r="T296" i="4" s="1"/>
  <c r="I296" i="4"/>
  <c r="S296" i="4" s="1"/>
  <c r="C296" i="4"/>
  <c r="B296" i="4"/>
  <c r="O295" i="4"/>
  <c r="AC295" i="4" s="1"/>
  <c r="N295" i="4"/>
  <c r="AA295" i="4" s="1"/>
  <c r="M295" i="4"/>
  <c r="L295" i="4"/>
  <c r="K295" i="4"/>
  <c r="U295" i="4" s="1"/>
  <c r="J295" i="4"/>
  <c r="T295" i="4" s="1"/>
  <c r="I295" i="4"/>
  <c r="S295" i="4" s="1"/>
  <c r="C295" i="4"/>
  <c r="B295" i="4"/>
  <c r="O292" i="4"/>
  <c r="AC292" i="4" s="1"/>
  <c r="N292" i="4"/>
  <c r="AA292" i="4" s="1"/>
  <c r="M292" i="4"/>
  <c r="L292" i="4"/>
  <c r="K292" i="4"/>
  <c r="U292" i="4" s="1"/>
  <c r="J292" i="4"/>
  <c r="T292" i="4" s="1"/>
  <c r="I292" i="4"/>
  <c r="S292" i="4" s="1"/>
  <c r="C292" i="4"/>
  <c r="B292" i="4"/>
  <c r="O291" i="4"/>
  <c r="AC291" i="4" s="1"/>
  <c r="N291" i="4"/>
  <c r="AA291" i="4" s="1"/>
  <c r="M291" i="4"/>
  <c r="L291" i="4"/>
  <c r="K291" i="4"/>
  <c r="U291" i="4" s="1"/>
  <c r="J291" i="4"/>
  <c r="T291" i="4" s="1"/>
  <c r="I291" i="4"/>
  <c r="S291" i="4" s="1"/>
  <c r="C291" i="4"/>
  <c r="B291" i="4"/>
  <c r="O290" i="4"/>
  <c r="AC290" i="4" s="1"/>
  <c r="N290" i="4"/>
  <c r="AA290" i="4" s="1"/>
  <c r="M290" i="4"/>
  <c r="L290" i="4"/>
  <c r="K290" i="4"/>
  <c r="U290" i="4" s="1"/>
  <c r="J290" i="4"/>
  <c r="T290" i="4" s="1"/>
  <c r="I290" i="4"/>
  <c r="S290" i="4" s="1"/>
  <c r="H290" i="4"/>
  <c r="G290" i="4"/>
  <c r="F290" i="4"/>
  <c r="E290" i="4"/>
  <c r="D290" i="4"/>
  <c r="C290" i="4"/>
  <c r="B290" i="4"/>
  <c r="O289" i="4"/>
  <c r="AC289" i="4" s="1"/>
  <c r="N289" i="4"/>
  <c r="AA289" i="4" s="1"/>
  <c r="M289" i="4"/>
  <c r="L289" i="4"/>
  <c r="K289" i="4"/>
  <c r="U289" i="4" s="1"/>
  <c r="J289" i="4"/>
  <c r="T289" i="4" s="1"/>
  <c r="I289" i="4"/>
  <c r="S289" i="4" s="1"/>
  <c r="C289" i="4"/>
  <c r="B289" i="4"/>
  <c r="O288" i="4"/>
  <c r="AC288" i="4" s="1"/>
  <c r="N288" i="4"/>
  <c r="AA288" i="4" s="1"/>
  <c r="M288" i="4"/>
  <c r="L288" i="4"/>
  <c r="K288" i="4"/>
  <c r="U288" i="4" s="1"/>
  <c r="J288" i="4"/>
  <c r="T288" i="4" s="1"/>
  <c r="I288" i="4"/>
  <c r="S288" i="4" s="1"/>
  <c r="C288" i="4"/>
  <c r="B288" i="4"/>
  <c r="O287" i="4"/>
  <c r="AC287" i="4" s="1"/>
  <c r="N287" i="4"/>
  <c r="AA287" i="4" s="1"/>
  <c r="M287" i="4"/>
  <c r="L287" i="4"/>
  <c r="K287" i="4"/>
  <c r="U287" i="4" s="1"/>
  <c r="J287" i="4"/>
  <c r="T287" i="4" s="1"/>
  <c r="I287" i="4"/>
  <c r="S287" i="4" s="1"/>
  <c r="C287" i="4"/>
  <c r="B287" i="4"/>
  <c r="O286" i="4"/>
  <c r="AC286" i="4" s="1"/>
  <c r="N286" i="4"/>
  <c r="AA286" i="4" s="1"/>
  <c r="M286" i="4"/>
  <c r="L286" i="4"/>
  <c r="K286" i="4"/>
  <c r="U286" i="4" s="1"/>
  <c r="J286" i="4"/>
  <c r="T286" i="4" s="1"/>
  <c r="I286" i="4"/>
  <c r="S286" i="4" s="1"/>
  <c r="C286" i="4"/>
  <c r="B286" i="4"/>
  <c r="O285" i="4"/>
  <c r="AC285" i="4" s="1"/>
  <c r="N285" i="4"/>
  <c r="AA285" i="4" s="1"/>
  <c r="M285" i="4"/>
  <c r="L285" i="4"/>
  <c r="K285" i="4"/>
  <c r="U285" i="4" s="1"/>
  <c r="J285" i="4"/>
  <c r="T285" i="4" s="1"/>
  <c r="I285" i="4"/>
  <c r="S285" i="4" s="1"/>
  <c r="C285" i="4"/>
  <c r="B285" i="4"/>
  <c r="O284" i="4"/>
  <c r="AC284" i="4" s="1"/>
  <c r="N284" i="4"/>
  <c r="AA284" i="4" s="1"/>
  <c r="M284" i="4"/>
  <c r="L284" i="4"/>
  <c r="K284" i="4"/>
  <c r="U284" i="4" s="1"/>
  <c r="J284" i="4"/>
  <c r="T284" i="4" s="1"/>
  <c r="I284" i="4"/>
  <c r="S284" i="4" s="1"/>
  <c r="C284" i="4"/>
  <c r="B284" i="4"/>
  <c r="O283" i="4"/>
  <c r="AC283" i="4" s="1"/>
  <c r="N283" i="4"/>
  <c r="AA283" i="4" s="1"/>
  <c r="M283" i="4"/>
  <c r="L283" i="4"/>
  <c r="K283" i="4"/>
  <c r="U283" i="4" s="1"/>
  <c r="J283" i="4"/>
  <c r="T283" i="4" s="1"/>
  <c r="I283" i="4"/>
  <c r="S283" i="4" s="1"/>
  <c r="C283" i="4"/>
  <c r="B283" i="4"/>
  <c r="K282" i="4"/>
  <c r="U282" i="4" s="1"/>
  <c r="K281" i="4"/>
  <c r="U281" i="4" s="1"/>
  <c r="O280" i="4"/>
  <c r="AC280" i="4" s="1"/>
  <c r="N280" i="4"/>
  <c r="AA280" i="4" s="1"/>
  <c r="M280" i="4"/>
  <c r="L280" i="4"/>
  <c r="K280" i="4"/>
  <c r="U280" i="4" s="1"/>
  <c r="J280" i="4"/>
  <c r="T280" i="4" s="1"/>
  <c r="I280" i="4"/>
  <c r="S280" i="4" s="1"/>
  <c r="C280" i="4"/>
  <c r="B280" i="4"/>
  <c r="O279" i="4"/>
  <c r="AC279" i="4" s="1"/>
  <c r="N279" i="4"/>
  <c r="AA279" i="4" s="1"/>
  <c r="M279" i="4"/>
  <c r="L279" i="4"/>
  <c r="K279" i="4"/>
  <c r="U279" i="4" s="1"/>
  <c r="J279" i="4"/>
  <c r="T279" i="4" s="1"/>
  <c r="I279" i="4"/>
  <c r="S279" i="4" s="1"/>
  <c r="C279" i="4"/>
  <c r="B279" i="4"/>
  <c r="O278" i="4"/>
  <c r="AC278" i="4" s="1"/>
  <c r="N278" i="4"/>
  <c r="AA278" i="4" s="1"/>
  <c r="M278" i="4"/>
  <c r="L278" i="4"/>
  <c r="K278" i="4"/>
  <c r="U278" i="4" s="1"/>
  <c r="J278" i="4"/>
  <c r="T278" i="4" s="1"/>
  <c r="I278" i="4"/>
  <c r="S278" i="4" s="1"/>
  <c r="H278" i="4"/>
  <c r="G278" i="4"/>
  <c r="F278" i="4"/>
  <c r="E278" i="4"/>
  <c r="D278" i="4"/>
  <c r="C278" i="4"/>
  <c r="B278" i="4"/>
  <c r="O277" i="4"/>
  <c r="AC277" i="4" s="1"/>
  <c r="N277" i="4"/>
  <c r="AA277" i="4" s="1"/>
  <c r="M277" i="4"/>
  <c r="L277" i="4"/>
  <c r="K277" i="4"/>
  <c r="U277" i="4" s="1"/>
  <c r="J277" i="4"/>
  <c r="T277" i="4" s="1"/>
  <c r="I277" i="4"/>
  <c r="S277" i="4" s="1"/>
  <c r="C277" i="4"/>
  <c r="B277" i="4"/>
  <c r="O276" i="4"/>
  <c r="AC276" i="4" s="1"/>
  <c r="N276" i="4"/>
  <c r="AA276" i="4" s="1"/>
  <c r="M276" i="4"/>
  <c r="L276" i="4"/>
  <c r="K276" i="4"/>
  <c r="U276" i="4" s="1"/>
  <c r="J276" i="4"/>
  <c r="T276" i="4" s="1"/>
  <c r="I276" i="4"/>
  <c r="S276" i="4" s="1"/>
  <c r="C276" i="4"/>
  <c r="B276" i="4"/>
  <c r="O275" i="4"/>
  <c r="AC275" i="4" s="1"/>
  <c r="N275" i="4"/>
  <c r="AA275" i="4" s="1"/>
  <c r="M275" i="4"/>
  <c r="L275" i="4"/>
  <c r="K275" i="4"/>
  <c r="U275" i="4" s="1"/>
  <c r="J275" i="4"/>
  <c r="T275" i="4" s="1"/>
  <c r="I275" i="4"/>
  <c r="S275" i="4" s="1"/>
  <c r="C275" i="4"/>
  <c r="B275" i="4"/>
  <c r="O274" i="4"/>
  <c r="AC274" i="4" s="1"/>
  <c r="N274" i="4"/>
  <c r="AA274" i="4" s="1"/>
  <c r="M274" i="4"/>
  <c r="L274" i="4"/>
  <c r="K274" i="4"/>
  <c r="U274" i="4" s="1"/>
  <c r="J274" i="4"/>
  <c r="T274" i="4" s="1"/>
  <c r="I274" i="4"/>
  <c r="S274" i="4" s="1"/>
  <c r="C274" i="4"/>
  <c r="B274" i="4"/>
  <c r="O273" i="4"/>
  <c r="AC273" i="4" s="1"/>
  <c r="N273" i="4"/>
  <c r="AA273" i="4" s="1"/>
  <c r="M273" i="4"/>
  <c r="L273" i="4"/>
  <c r="K273" i="4"/>
  <c r="U273" i="4" s="1"/>
  <c r="J273" i="4"/>
  <c r="T273" i="4" s="1"/>
  <c r="I273" i="4"/>
  <c r="S273" i="4" s="1"/>
  <c r="C273" i="4"/>
  <c r="B273" i="4"/>
  <c r="O272" i="4"/>
  <c r="AC272" i="4" s="1"/>
  <c r="N272" i="4"/>
  <c r="AA272" i="4" s="1"/>
  <c r="M272" i="4"/>
  <c r="L272" i="4"/>
  <c r="K272" i="4"/>
  <c r="U272" i="4" s="1"/>
  <c r="J272" i="4"/>
  <c r="T272" i="4" s="1"/>
  <c r="I272" i="4"/>
  <c r="S272" i="4" s="1"/>
  <c r="C272" i="4"/>
  <c r="B272" i="4"/>
  <c r="O271" i="4"/>
  <c r="AC271" i="4" s="1"/>
  <c r="N271" i="4"/>
  <c r="AA271" i="4" s="1"/>
  <c r="M271" i="4"/>
  <c r="L271" i="4"/>
  <c r="K271" i="4"/>
  <c r="U271" i="4" s="1"/>
  <c r="J271" i="4"/>
  <c r="T271" i="4" s="1"/>
  <c r="I271" i="4"/>
  <c r="S271" i="4" s="1"/>
  <c r="C271" i="4"/>
  <c r="B271" i="4"/>
  <c r="B269" i="4"/>
  <c r="O268" i="4"/>
  <c r="AC268" i="4" s="1"/>
  <c r="N268" i="4"/>
  <c r="AA268" i="4" s="1"/>
  <c r="M268" i="4"/>
  <c r="L268" i="4"/>
  <c r="K268" i="4"/>
  <c r="U268" i="4" s="1"/>
  <c r="J268" i="4"/>
  <c r="T268" i="4" s="1"/>
  <c r="I268" i="4"/>
  <c r="S268" i="4" s="1"/>
  <c r="C268" i="4"/>
  <c r="B268" i="4"/>
  <c r="O267" i="4"/>
  <c r="AC267" i="4" s="1"/>
  <c r="N267" i="4"/>
  <c r="AA267" i="4" s="1"/>
  <c r="M267" i="4"/>
  <c r="L267" i="4"/>
  <c r="K267" i="4"/>
  <c r="U267" i="4" s="1"/>
  <c r="J267" i="4"/>
  <c r="T267" i="4" s="1"/>
  <c r="I267" i="4"/>
  <c r="S267" i="4" s="1"/>
  <c r="C267" i="4"/>
  <c r="B267" i="4"/>
  <c r="O266" i="4"/>
  <c r="AC266" i="4" s="1"/>
  <c r="N266" i="4"/>
  <c r="AA266" i="4" s="1"/>
  <c r="M266" i="4"/>
  <c r="L266" i="4"/>
  <c r="K266" i="4"/>
  <c r="U266" i="4" s="1"/>
  <c r="J266" i="4"/>
  <c r="T266" i="4" s="1"/>
  <c r="I266" i="4"/>
  <c r="S266" i="4" s="1"/>
  <c r="H266" i="4"/>
  <c r="G266" i="4"/>
  <c r="F266" i="4"/>
  <c r="E266" i="4"/>
  <c r="E272" i="4" s="1"/>
  <c r="D266" i="4"/>
  <c r="C266" i="4"/>
  <c r="B266" i="4"/>
  <c r="O265" i="4"/>
  <c r="AC265" i="4" s="1"/>
  <c r="N265" i="4"/>
  <c r="AA265" i="4" s="1"/>
  <c r="M265" i="4"/>
  <c r="L265" i="4"/>
  <c r="K265" i="4"/>
  <c r="U265" i="4" s="1"/>
  <c r="J265" i="4"/>
  <c r="T265" i="4" s="1"/>
  <c r="I265" i="4"/>
  <c r="S265" i="4" s="1"/>
  <c r="C265" i="4"/>
  <c r="B265" i="4"/>
  <c r="O264" i="4"/>
  <c r="AC264" i="4" s="1"/>
  <c r="N264" i="4"/>
  <c r="AA264" i="4" s="1"/>
  <c r="M264" i="4"/>
  <c r="L264" i="4"/>
  <c r="K264" i="4"/>
  <c r="U264" i="4" s="1"/>
  <c r="J264" i="4"/>
  <c r="T264" i="4" s="1"/>
  <c r="I264" i="4"/>
  <c r="S264" i="4" s="1"/>
  <c r="C264" i="4"/>
  <c r="B264" i="4"/>
  <c r="O263" i="4"/>
  <c r="AC263" i="4" s="1"/>
  <c r="N263" i="4"/>
  <c r="AA263" i="4" s="1"/>
  <c r="M263" i="4"/>
  <c r="L263" i="4"/>
  <c r="K263" i="4"/>
  <c r="U263" i="4" s="1"/>
  <c r="J263" i="4"/>
  <c r="T263" i="4" s="1"/>
  <c r="I263" i="4"/>
  <c r="S263" i="4" s="1"/>
  <c r="C263" i="4"/>
  <c r="B263" i="4"/>
  <c r="O262" i="4"/>
  <c r="AC262" i="4" s="1"/>
  <c r="N262" i="4"/>
  <c r="AA262" i="4" s="1"/>
  <c r="M262" i="4"/>
  <c r="L262" i="4"/>
  <c r="K262" i="4"/>
  <c r="U262" i="4" s="1"/>
  <c r="J262" i="4"/>
  <c r="T262" i="4" s="1"/>
  <c r="I262" i="4"/>
  <c r="S262" i="4" s="1"/>
  <c r="C262" i="4"/>
  <c r="B262" i="4"/>
  <c r="O261" i="4"/>
  <c r="AC261" i="4" s="1"/>
  <c r="N261" i="4"/>
  <c r="AA261" i="4" s="1"/>
  <c r="M261" i="4"/>
  <c r="L261" i="4"/>
  <c r="K261" i="4"/>
  <c r="U261" i="4" s="1"/>
  <c r="J261" i="4"/>
  <c r="T261" i="4" s="1"/>
  <c r="I261" i="4"/>
  <c r="S261" i="4" s="1"/>
  <c r="C261" i="4"/>
  <c r="B261" i="4"/>
  <c r="O260" i="4"/>
  <c r="AC260" i="4" s="1"/>
  <c r="N260" i="4"/>
  <c r="AA260" i="4" s="1"/>
  <c r="M260" i="4"/>
  <c r="L260" i="4"/>
  <c r="K260" i="4"/>
  <c r="U260" i="4" s="1"/>
  <c r="J260" i="4"/>
  <c r="T260" i="4" s="1"/>
  <c r="I260" i="4"/>
  <c r="S260" i="4" s="1"/>
  <c r="C260" i="4"/>
  <c r="B260" i="4"/>
  <c r="O259" i="4"/>
  <c r="AC259" i="4" s="1"/>
  <c r="N259" i="4"/>
  <c r="AA259" i="4" s="1"/>
  <c r="M259" i="4"/>
  <c r="L259" i="4"/>
  <c r="K259" i="4"/>
  <c r="U259" i="4" s="1"/>
  <c r="J259" i="4"/>
  <c r="T259" i="4" s="1"/>
  <c r="I259" i="4"/>
  <c r="S259" i="4" s="1"/>
  <c r="C259" i="4"/>
  <c r="B259" i="4"/>
  <c r="I258" i="4"/>
  <c r="S258" i="4" s="1"/>
  <c r="O256" i="4"/>
  <c r="AC256" i="4" s="1"/>
  <c r="N256" i="4"/>
  <c r="AA256" i="4" s="1"/>
  <c r="M256" i="4"/>
  <c r="L256" i="4"/>
  <c r="K256" i="4"/>
  <c r="U256" i="4" s="1"/>
  <c r="J256" i="4"/>
  <c r="T256" i="4" s="1"/>
  <c r="I256" i="4"/>
  <c r="S256" i="4" s="1"/>
  <c r="C256" i="4"/>
  <c r="B256" i="4"/>
  <c r="O255" i="4"/>
  <c r="AC255" i="4" s="1"/>
  <c r="N255" i="4"/>
  <c r="AA255" i="4" s="1"/>
  <c r="M255" i="4"/>
  <c r="L255" i="4"/>
  <c r="K255" i="4"/>
  <c r="U255" i="4" s="1"/>
  <c r="J255" i="4"/>
  <c r="T255" i="4" s="1"/>
  <c r="I255" i="4"/>
  <c r="S255" i="4" s="1"/>
  <c r="C255" i="4"/>
  <c r="B255" i="4"/>
  <c r="O254" i="4"/>
  <c r="AC254" i="4" s="1"/>
  <c r="N254" i="4"/>
  <c r="AA254" i="4" s="1"/>
  <c r="M254" i="4"/>
  <c r="L254" i="4"/>
  <c r="K254" i="4"/>
  <c r="U254" i="4" s="1"/>
  <c r="J254" i="4"/>
  <c r="T254" i="4" s="1"/>
  <c r="I254" i="4"/>
  <c r="S254" i="4" s="1"/>
  <c r="H254" i="4"/>
  <c r="G254" i="4"/>
  <c r="G261" i="4" s="1"/>
  <c r="F254" i="4"/>
  <c r="E254" i="4"/>
  <c r="D254" i="4"/>
  <c r="C254" i="4"/>
  <c r="B254" i="4"/>
  <c r="O253" i="4"/>
  <c r="AC253" i="4" s="1"/>
  <c r="N253" i="4"/>
  <c r="AA253" i="4" s="1"/>
  <c r="M253" i="4"/>
  <c r="L253" i="4"/>
  <c r="K253" i="4"/>
  <c r="U253" i="4" s="1"/>
  <c r="J253" i="4"/>
  <c r="T253" i="4" s="1"/>
  <c r="I253" i="4"/>
  <c r="S253" i="4" s="1"/>
  <c r="C253" i="4"/>
  <c r="B253" i="4"/>
  <c r="O252" i="4"/>
  <c r="AC252" i="4" s="1"/>
  <c r="N252" i="4"/>
  <c r="AA252" i="4" s="1"/>
  <c r="M252" i="4"/>
  <c r="L252" i="4"/>
  <c r="K252" i="4"/>
  <c r="U252" i="4" s="1"/>
  <c r="J252" i="4"/>
  <c r="T252" i="4" s="1"/>
  <c r="I252" i="4"/>
  <c r="S252" i="4" s="1"/>
  <c r="C252" i="4"/>
  <c r="B252" i="4"/>
  <c r="O251" i="4"/>
  <c r="AC251" i="4" s="1"/>
  <c r="N251" i="4"/>
  <c r="AA251" i="4" s="1"/>
  <c r="M251" i="4"/>
  <c r="L251" i="4"/>
  <c r="K251" i="4"/>
  <c r="U251" i="4" s="1"/>
  <c r="J251" i="4"/>
  <c r="T251" i="4" s="1"/>
  <c r="I251" i="4"/>
  <c r="S251" i="4" s="1"/>
  <c r="C251" i="4"/>
  <c r="B251" i="4"/>
  <c r="O250" i="4"/>
  <c r="AC250" i="4" s="1"/>
  <c r="N250" i="4"/>
  <c r="AA250" i="4" s="1"/>
  <c r="M250" i="4"/>
  <c r="L250" i="4"/>
  <c r="K250" i="4"/>
  <c r="U250" i="4" s="1"/>
  <c r="J250" i="4"/>
  <c r="T250" i="4" s="1"/>
  <c r="I250" i="4"/>
  <c r="S250" i="4" s="1"/>
  <c r="C250" i="4"/>
  <c r="B250" i="4"/>
  <c r="O249" i="4"/>
  <c r="AC249" i="4" s="1"/>
  <c r="N249" i="4"/>
  <c r="AA249" i="4" s="1"/>
  <c r="M249" i="4"/>
  <c r="L249" i="4"/>
  <c r="K249" i="4"/>
  <c r="U249" i="4" s="1"/>
  <c r="J249" i="4"/>
  <c r="T249" i="4" s="1"/>
  <c r="I249" i="4"/>
  <c r="S249" i="4" s="1"/>
  <c r="C249" i="4"/>
  <c r="B249" i="4"/>
  <c r="O248" i="4"/>
  <c r="AC248" i="4" s="1"/>
  <c r="N248" i="4"/>
  <c r="AA248" i="4" s="1"/>
  <c r="M248" i="4"/>
  <c r="L248" i="4"/>
  <c r="K248" i="4"/>
  <c r="U248" i="4" s="1"/>
  <c r="J248" i="4"/>
  <c r="T248" i="4" s="1"/>
  <c r="I248" i="4"/>
  <c r="S248" i="4" s="1"/>
  <c r="C248" i="4"/>
  <c r="B248" i="4"/>
  <c r="O247" i="4"/>
  <c r="AC247" i="4" s="1"/>
  <c r="N247" i="4"/>
  <c r="AA247" i="4" s="1"/>
  <c r="M247" i="4"/>
  <c r="L247" i="4"/>
  <c r="K247" i="4"/>
  <c r="U247" i="4" s="1"/>
  <c r="J247" i="4"/>
  <c r="T247" i="4" s="1"/>
  <c r="I247" i="4"/>
  <c r="S247" i="4" s="1"/>
  <c r="C247" i="4"/>
  <c r="B247" i="4"/>
  <c r="N246" i="4"/>
  <c r="AA246" i="4" s="1"/>
  <c r="O244" i="4"/>
  <c r="AC244" i="4" s="1"/>
  <c r="N244" i="4"/>
  <c r="AA244" i="4" s="1"/>
  <c r="M244" i="4"/>
  <c r="L244" i="4"/>
  <c r="K244" i="4"/>
  <c r="U244" i="4" s="1"/>
  <c r="J244" i="4"/>
  <c r="T244" i="4" s="1"/>
  <c r="I244" i="4"/>
  <c r="S244" i="4" s="1"/>
  <c r="C244" i="4"/>
  <c r="B244" i="4"/>
  <c r="O243" i="4"/>
  <c r="AC243" i="4" s="1"/>
  <c r="N243" i="4"/>
  <c r="AA243" i="4" s="1"/>
  <c r="M243" i="4"/>
  <c r="L243" i="4"/>
  <c r="K243" i="4"/>
  <c r="U243" i="4" s="1"/>
  <c r="J243" i="4"/>
  <c r="T243" i="4" s="1"/>
  <c r="I243" i="4"/>
  <c r="S243" i="4" s="1"/>
  <c r="C243" i="4"/>
  <c r="B243" i="4"/>
  <c r="O242" i="4"/>
  <c r="AC242" i="4" s="1"/>
  <c r="N242" i="4"/>
  <c r="AA242" i="4" s="1"/>
  <c r="M242" i="4"/>
  <c r="L242" i="4"/>
  <c r="K242" i="4"/>
  <c r="U242" i="4" s="1"/>
  <c r="J242" i="4"/>
  <c r="T242" i="4" s="1"/>
  <c r="I242" i="4"/>
  <c r="S242" i="4" s="1"/>
  <c r="H242" i="4"/>
  <c r="G242" i="4"/>
  <c r="F242" i="4"/>
  <c r="E242" i="4"/>
  <c r="D242" i="4"/>
  <c r="C242" i="4"/>
  <c r="B242" i="4"/>
  <c r="O241" i="4"/>
  <c r="AC241" i="4" s="1"/>
  <c r="N241" i="4"/>
  <c r="AA241" i="4" s="1"/>
  <c r="M241" i="4"/>
  <c r="L241" i="4"/>
  <c r="K241" i="4"/>
  <c r="U241" i="4" s="1"/>
  <c r="J241" i="4"/>
  <c r="T241" i="4" s="1"/>
  <c r="I241" i="4"/>
  <c r="S241" i="4" s="1"/>
  <c r="C241" i="4"/>
  <c r="B241" i="4"/>
  <c r="O240" i="4"/>
  <c r="AC240" i="4" s="1"/>
  <c r="N240" i="4"/>
  <c r="AA240" i="4" s="1"/>
  <c r="M240" i="4"/>
  <c r="L240" i="4"/>
  <c r="K240" i="4"/>
  <c r="U240" i="4" s="1"/>
  <c r="J240" i="4"/>
  <c r="T240" i="4" s="1"/>
  <c r="I240" i="4"/>
  <c r="S240" i="4" s="1"/>
  <c r="C240" i="4"/>
  <c r="B240" i="4"/>
  <c r="O239" i="4"/>
  <c r="AC239" i="4" s="1"/>
  <c r="N239" i="4"/>
  <c r="AA239" i="4" s="1"/>
  <c r="M239" i="4"/>
  <c r="L239" i="4"/>
  <c r="K239" i="4"/>
  <c r="U239" i="4" s="1"/>
  <c r="J239" i="4"/>
  <c r="T239" i="4" s="1"/>
  <c r="I239" i="4"/>
  <c r="S239" i="4" s="1"/>
  <c r="C239" i="4"/>
  <c r="B239" i="4"/>
  <c r="O238" i="4"/>
  <c r="AC238" i="4" s="1"/>
  <c r="N238" i="4"/>
  <c r="AA238" i="4" s="1"/>
  <c r="M238" i="4"/>
  <c r="L238" i="4"/>
  <c r="K238" i="4"/>
  <c r="U238" i="4" s="1"/>
  <c r="J238" i="4"/>
  <c r="T238" i="4" s="1"/>
  <c r="I238" i="4"/>
  <c r="S238" i="4" s="1"/>
  <c r="C238" i="4"/>
  <c r="B238" i="4"/>
  <c r="O237" i="4"/>
  <c r="AC237" i="4" s="1"/>
  <c r="N237" i="4"/>
  <c r="AA237" i="4" s="1"/>
  <c r="M237" i="4"/>
  <c r="L237" i="4"/>
  <c r="K237" i="4"/>
  <c r="U237" i="4" s="1"/>
  <c r="J237" i="4"/>
  <c r="T237" i="4" s="1"/>
  <c r="I237" i="4"/>
  <c r="S237" i="4" s="1"/>
  <c r="C237" i="4"/>
  <c r="B237" i="4"/>
  <c r="O236" i="4"/>
  <c r="AC236" i="4" s="1"/>
  <c r="N236" i="4"/>
  <c r="AA236" i="4" s="1"/>
  <c r="M236" i="4"/>
  <c r="L236" i="4"/>
  <c r="K236" i="4"/>
  <c r="U236" i="4" s="1"/>
  <c r="J236" i="4"/>
  <c r="T236" i="4" s="1"/>
  <c r="I236" i="4"/>
  <c r="S236" i="4" s="1"/>
  <c r="C236" i="4"/>
  <c r="B236" i="4"/>
  <c r="O235" i="4"/>
  <c r="AC235" i="4" s="1"/>
  <c r="N235" i="4"/>
  <c r="AA235" i="4" s="1"/>
  <c r="M235" i="4"/>
  <c r="L235" i="4"/>
  <c r="K235" i="4"/>
  <c r="U235" i="4" s="1"/>
  <c r="J235" i="4"/>
  <c r="T235" i="4" s="1"/>
  <c r="I235" i="4"/>
  <c r="S235" i="4" s="1"/>
  <c r="C235" i="4"/>
  <c r="B235" i="4"/>
  <c r="B234" i="4"/>
  <c r="O232" i="4"/>
  <c r="AC232" i="4" s="1"/>
  <c r="N232" i="4"/>
  <c r="AA232" i="4" s="1"/>
  <c r="M232" i="4"/>
  <c r="L232" i="4"/>
  <c r="K232" i="4"/>
  <c r="U232" i="4" s="1"/>
  <c r="J232" i="4"/>
  <c r="T232" i="4" s="1"/>
  <c r="I232" i="4"/>
  <c r="S232" i="4" s="1"/>
  <c r="C232" i="4"/>
  <c r="B232" i="4"/>
  <c r="O231" i="4"/>
  <c r="AC231" i="4" s="1"/>
  <c r="N231" i="4"/>
  <c r="AA231" i="4" s="1"/>
  <c r="M231" i="4"/>
  <c r="L231" i="4"/>
  <c r="K231" i="4"/>
  <c r="U231" i="4" s="1"/>
  <c r="J231" i="4"/>
  <c r="T231" i="4" s="1"/>
  <c r="I231" i="4"/>
  <c r="S231" i="4" s="1"/>
  <c r="C231" i="4"/>
  <c r="B231" i="4"/>
  <c r="O230" i="4"/>
  <c r="AC230" i="4" s="1"/>
  <c r="N230" i="4"/>
  <c r="AA230" i="4" s="1"/>
  <c r="M230" i="4"/>
  <c r="L230" i="4"/>
  <c r="K230" i="4"/>
  <c r="U230" i="4" s="1"/>
  <c r="J230" i="4"/>
  <c r="T230" i="4" s="1"/>
  <c r="I230" i="4"/>
  <c r="S230" i="4" s="1"/>
  <c r="H230" i="4"/>
  <c r="G230" i="4"/>
  <c r="F230" i="4"/>
  <c r="E230" i="4"/>
  <c r="D230" i="4"/>
  <c r="C230" i="4"/>
  <c r="B230" i="4"/>
  <c r="O229" i="4"/>
  <c r="AC229" i="4" s="1"/>
  <c r="N229" i="4"/>
  <c r="AA229" i="4" s="1"/>
  <c r="M229" i="4"/>
  <c r="L229" i="4"/>
  <c r="K229" i="4"/>
  <c r="U229" i="4" s="1"/>
  <c r="J229" i="4"/>
  <c r="T229" i="4" s="1"/>
  <c r="I229" i="4"/>
  <c r="S229" i="4" s="1"/>
  <c r="C229" i="4"/>
  <c r="B229" i="4"/>
  <c r="O228" i="4"/>
  <c r="AC228" i="4" s="1"/>
  <c r="N228" i="4"/>
  <c r="AA228" i="4" s="1"/>
  <c r="M228" i="4"/>
  <c r="L228" i="4"/>
  <c r="K228" i="4"/>
  <c r="U228" i="4" s="1"/>
  <c r="J228" i="4"/>
  <c r="T228" i="4" s="1"/>
  <c r="I228" i="4"/>
  <c r="S228" i="4" s="1"/>
  <c r="C228" i="4"/>
  <c r="B228" i="4"/>
  <c r="O227" i="4"/>
  <c r="AC227" i="4" s="1"/>
  <c r="N227" i="4"/>
  <c r="AA227" i="4" s="1"/>
  <c r="M227" i="4"/>
  <c r="L227" i="4"/>
  <c r="K227" i="4"/>
  <c r="U227" i="4" s="1"/>
  <c r="J227" i="4"/>
  <c r="T227" i="4" s="1"/>
  <c r="I227" i="4"/>
  <c r="S227" i="4" s="1"/>
  <c r="C227" i="4"/>
  <c r="B227" i="4"/>
  <c r="O226" i="4"/>
  <c r="AC226" i="4" s="1"/>
  <c r="N226" i="4"/>
  <c r="AA226" i="4" s="1"/>
  <c r="M226" i="4"/>
  <c r="L226" i="4"/>
  <c r="K226" i="4"/>
  <c r="U226" i="4" s="1"/>
  <c r="J226" i="4"/>
  <c r="T226" i="4" s="1"/>
  <c r="I226" i="4"/>
  <c r="S226" i="4" s="1"/>
  <c r="C226" i="4"/>
  <c r="B226" i="4"/>
  <c r="O225" i="4"/>
  <c r="AC225" i="4" s="1"/>
  <c r="N225" i="4"/>
  <c r="AA225" i="4" s="1"/>
  <c r="M225" i="4"/>
  <c r="L225" i="4"/>
  <c r="K225" i="4"/>
  <c r="U225" i="4" s="1"/>
  <c r="J225" i="4"/>
  <c r="T225" i="4" s="1"/>
  <c r="I225" i="4"/>
  <c r="S225" i="4" s="1"/>
  <c r="C225" i="4"/>
  <c r="B225" i="4"/>
  <c r="O224" i="4"/>
  <c r="AC224" i="4" s="1"/>
  <c r="N224" i="4"/>
  <c r="AA224" i="4" s="1"/>
  <c r="M224" i="4"/>
  <c r="L224" i="4"/>
  <c r="K224" i="4"/>
  <c r="U224" i="4" s="1"/>
  <c r="J224" i="4"/>
  <c r="T224" i="4" s="1"/>
  <c r="I224" i="4"/>
  <c r="S224" i="4" s="1"/>
  <c r="C224" i="4"/>
  <c r="B224" i="4"/>
  <c r="O223" i="4"/>
  <c r="AC223" i="4" s="1"/>
  <c r="N223" i="4"/>
  <c r="AA223" i="4" s="1"/>
  <c r="M223" i="4"/>
  <c r="L223" i="4"/>
  <c r="K223" i="4"/>
  <c r="U223" i="4" s="1"/>
  <c r="J223" i="4"/>
  <c r="T223" i="4" s="1"/>
  <c r="I223" i="4"/>
  <c r="S223" i="4" s="1"/>
  <c r="C223" i="4"/>
  <c r="B223" i="4"/>
  <c r="L222" i="4"/>
  <c r="O220" i="4"/>
  <c r="AC220" i="4" s="1"/>
  <c r="N220" i="4"/>
  <c r="AA220" i="4" s="1"/>
  <c r="M220" i="4"/>
  <c r="L220" i="4"/>
  <c r="K220" i="4"/>
  <c r="U220" i="4" s="1"/>
  <c r="J220" i="4"/>
  <c r="T220" i="4" s="1"/>
  <c r="I220" i="4"/>
  <c r="S220" i="4" s="1"/>
  <c r="C220" i="4"/>
  <c r="B220" i="4"/>
  <c r="O219" i="4"/>
  <c r="AC219" i="4" s="1"/>
  <c r="N219" i="4"/>
  <c r="AA219" i="4" s="1"/>
  <c r="M219" i="4"/>
  <c r="L219" i="4"/>
  <c r="K219" i="4"/>
  <c r="U219" i="4" s="1"/>
  <c r="J219" i="4"/>
  <c r="T219" i="4" s="1"/>
  <c r="I219" i="4"/>
  <c r="S219" i="4" s="1"/>
  <c r="C219" i="4"/>
  <c r="B219" i="4"/>
  <c r="O218" i="4"/>
  <c r="AC218" i="4" s="1"/>
  <c r="N218" i="4"/>
  <c r="AA218" i="4" s="1"/>
  <c r="M218" i="4"/>
  <c r="L218" i="4"/>
  <c r="K218" i="4"/>
  <c r="U218" i="4" s="1"/>
  <c r="J218" i="4"/>
  <c r="T218" i="4" s="1"/>
  <c r="I218" i="4"/>
  <c r="S218" i="4" s="1"/>
  <c r="H218" i="4"/>
  <c r="G218" i="4"/>
  <c r="F218" i="4"/>
  <c r="E218" i="4"/>
  <c r="D218" i="4"/>
  <c r="D225" i="4" s="1"/>
  <c r="C218" i="4"/>
  <c r="B218" i="4"/>
  <c r="O217" i="4"/>
  <c r="AC217" i="4" s="1"/>
  <c r="N217" i="4"/>
  <c r="AA217" i="4" s="1"/>
  <c r="M217" i="4"/>
  <c r="L217" i="4"/>
  <c r="K217" i="4"/>
  <c r="U217" i="4" s="1"/>
  <c r="J217" i="4"/>
  <c r="T217" i="4" s="1"/>
  <c r="I217" i="4"/>
  <c r="S217" i="4" s="1"/>
  <c r="C217" i="4"/>
  <c r="B217" i="4"/>
  <c r="O216" i="4"/>
  <c r="AC216" i="4" s="1"/>
  <c r="N216" i="4"/>
  <c r="AA216" i="4" s="1"/>
  <c r="M216" i="4"/>
  <c r="L216" i="4"/>
  <c r="K216" i="4"/>
  <c r="U216" i="4" s="1"/>
  <c r="J216" i="4"/>
  <c r="T216" i="4" s="1"/>
  <c r="I216" i="4"/>
  <c r="S216" i="4" s="1"/>
  <c r="C216" i="4"/>
  <c r="B216" i="4"/>
  <c r="O215" i="4"/>
  <c r="AC215" i="4" s="1"/>
  <c r="N215" i="4"/>
  <c r="AA215" i="4" s="1"/>
  <c r="M215" i="4"/>
  <c r="L215" i="4"/>
  <c r="K215" i="4"/>
  <c r="U215" i="4" s="1"/>
  <c r="J215" i="4"/>
  <c r="T215" i="4" s="1"/>
  <c r="I215" i="4"/>
  <c r="S215" i="4" s="1"/>
  <c r="C215" i="4"/>
  <c r="B215" i="4"/>
  <c r="O214" i="4"/>
  <c r="AC214" i="4" s="1"/>
  <c r="N214" i="4"/>
  <c r="AA214" i="4" s="1"/>
  <c r="M214" i="4"/>
  <c r="L214" i="4"/>
  <c r="K214" i="4"/>
  <c r="U214" i="4" s="1"/>
  <c r="J214" i="4"/>
  <c r="T214" i="4" s="1"/>
  <c r="I214" i="4"/>
  <c r="S214" i="4" s="1"/>
  <c r="C214" i="4"/>
  <c r="B214" i="4"/>
  <c r="O213" i="4"/>
  <c r="AC213" i="4" s="1"/>
  <c r="N213" i="4"/>
  <c r="AA213" i="4" s="1"/>
  <c r="M213" i="4"/>
  <c r="L213" i="4"/>
  <c r="K213" i="4"/>
  <c r="U213" i="4" s="1"/>
  <c r="J213" i="4"/>
  <c r="T213" i="4" s="1"/>
  <c r="I213" i="4"/>
  <c r="S213" i="4" s="1"/>
  <c r="C213" i="4"/>
  <c r="B213" i="4"/>
  <c r="O212" i="4"/>
  <c r="AC212" i="4" s="1"/>
  <c r="N212" i="4"/>
  <c r="AA212" i="4" s="1"/>
  <c r="M212" i="4"/>
  <c r="L212" i="4"/>
  <c r="K212" i="4"/>
  <c r="U212" i="4" s="1"/>
  <c r="J212" i="4"/>
  <c r="T212" i="4" s="1"/>
  <c r="I212" i="4"/>
  <c r="S212" i="4" s="1"/>
  <c r="C212" i="4"/>
  <c r="B212" i="4"/>
  <c r="O211" i="4"/>
  <c r="AC211" i="4" s="1"/>
  <c r="N211" i="4"/>
  <c r="AA211" i="4" s="1"/>
  <c r="M211" i="4"/>
  <c r="L211" i="4"/>
  <c r="K211" i="4"/>
  <c r="U211" i="4" s="1"/>
  <c r="J211" i="4"/>
  <c r="T211" i="4" s="1"/>
  <c r="I211" i="4"/>
  <c r="S211" i="4" s="1"/>
  <c r="C211" i="4"/>
  <c r="B211" i="4"/>
  <c r="O208" i="4"/>
  <c r="AC208" i="4" s="1"/>
  <c r="N208" i="4"/>
  <c r="AA208" i="4" s="1"/>
  <c r="M208" i="4"/>
  <c r="L208" i="4"/>
  <c r="K208" i="4"/>
  <c r="U208" i="4" s="1"/>
  <c r="J208" i="4"/>
  <c r="T208" i="4" s="1"/>
  <c r="I208" i="4"/>
  <c r="S208" i="4" s="1"/>
  <c r="C208" i="4"/>
  <c r="B208" i="4"/>
  <c r="O207" i="4"/>
  <c r="AC207" i="4" s="1"/>
  <c r="N207" i="4"/>
  <c r="AA207" i="4" s="1"/>
  <c r="M207" i="4"/>
  <c r="L207" i="4"/>
  <c r="K207" i="4"/>
  <c r="U207" i="4" s="1"/>
  <c r="J207" i="4"/>
  <c r="T207" i="4" s="1"/>
  <c r="I207" i="4"/>
  <c r="S207" i="4" s="1"/>
  <c r="C207" i="4"/>
  <c r="B207" i="4"/>
  <c r="O206" i="4"/>
  <c r="AC206" i="4" s="1"/>
  <c r="N206" i="4"/>
  <c r="AA206" i="4" s="1"/>
  <c r="M206" i="4"/>
  <c r="L206" i="4"/>
  <c r="K206" i="4"/>
  <c r="U206" i="4" s="1"/>
  <c r="J206" i="4"/>
  <c r="T206" i="4" s="1"/>
  <c r="I206" i="4"/>
  <c r="S206" i="4" s="1"/>
  <c r="H206" i="4"/>
  <c r="G206" i="4"/>
  <c r="F206" i="4"/>
  <c r="E206" i="4"/>
  <c r="D206" i="4"/>
  <c r="C206" i="4"/>
  <c r="B206" i="4"/>
  <c r="O205" i="4"/>
  <c r="AC205" i="4" s="1"/>
  <c r="N205" i="4"/>
  <c r="AA205" i="4" s="1"/>
  <c r="M205" i="4"/>
  <c r="L205" i="4"/>
  <c r="K205" i="4"/>
  <c r="U205" i="4" s="1"/>
  <c r="J205" i="4"/>
  <c r="T205" i="4" s="1"/>
  <c r="I205" i="4"/>
  <c r="S205" i="4" s="1"/>
  <c r="C205" i="4"/>
  <c r="B205" i="4"/>
  <c r="O204" i="4"/>
  <c r="AC204" i="4" s="1"/>
  <c r="N204" i="4"/>
  <c r="AA204" i="4" s="1"/>
  <c r="M204" i="4"/>
  <c r="L204" i="4"/>
  <c r="K204" i="4"/>
  <c r="U204" i="4" s="1"/>
  <c r="J204" i="4"/>
  <c r="T204" i="4" s="1"/>
  <c r="I204" i="4"/>
  <c r="S204" i="4" s="1"/>
  <c r="C204" i="4"/>
  <c r="B204" i="4"/>
  <c r="O203" i="4"/>
  <c r="AC203" i="4" s="1"/>
  <c r="N203" i="4"/>
  <c r="AA203" i="4" s="1"/>
  <c r="M203" i="4"/>
  <c r="L203" i="4"/>
  <c r="K203" i="4"/>
  <c r="U203" i="4" s="1"/>
  <c r="J203" i="4"/>
  <c r="T203" i="4" s="1"/>
  <c r="I203" i="4"/>
  <c r="S203" i="4" s="1"/>
  <c r="C203" i="4"/>
  <c r="B203" i="4"/>
  <c r="O202" i="4"/>
  <c r="AC202" i="4" s="1"/>
  <c r="N202" i="4"/>
  <c r="AA202" i="4" s="1"/>
  <c r="M202" i="4"/>
  <c r="L202" i="4"/>
  <c r="K202" i="4"/>
  <c r="U202" i="4" s="1"/>
  <c r="J202" i="4"/>
  <c r="T202" i="4" s="1"/>
  <c r="I202" i="4"/>
  <c r="S202" i="4" s="1"/>
  <c r="C202" i="4"/>
  <c r="B202" i="4"/>
  <c r="O201" i="4"/>
  <c r="AC201" i="4" s="1"/>
  <c r="N201" i="4"/>
  <c r="AA201" i="4" s="1"/>
  <c r="M201" i="4"/>
  <c r="L201" i="4"/>
  <c r="K201" i="4"/>
  <c r="U201" i="4" s="1"/>
  <c r="J201" i="4"/>
  <c r="T201" i="4" s="1"/>
  <c r="I201" i="4"/>
  <c r="S201" i="4" s="1"/>
  <c r="C201" i="4"/>
  <c r="B201" i="4"/>
  <c r="O200" i="4"/>
  <c r="AC200" i="4" s="1"/>
  <c r="N200" i="4"/>
  <c r="AA200" i="4" s="1"/>
  <c r="M200" i="4"/>
  <c r="L200" i="4"/>
  <c r="K200" i="4"/>
  <c r="U200" i="4" s="1"/>
  <c r="J200" i="4"/>
  <c r="T200" i="4" s="1"/>
  <c r="I200" i="4"/>
  <c r="S200" i="4" s="1"/>
  <c r="C200" i="4"/>
  <c r="B200" i="4"/>
  <c r="O199" i="4"/>
  <c r="AC199" i="4" s="1"/>
  <c r="N199" i="4"/>
  <c r="AA199" i="4" s="1"/>
  <c r="M199" i="4"/>
  <c r="L199" i="4"/>
  <c r="K199" i="4"/>
  <c r="U199" i="4" s="1"/>
  <c r="J199" i="4"/>
  <c r="T199" i="4" s="1"/>
  <c r="I199" i="4"/>
  <c r="S199" i="4" s="1"/>
  <c r="C199" i="4"/>
  <c r="B199" i="4"/>
  <c r="J198" i="4"/>
  <c r="T198" i="4" s="1"/>
  <c r="O196" i="4"/>
  <c r="AC196" i="4" s="1"/>
  <c r="N196" i="4"/>
  <c r="AA196" i="4" s="1"/>
  <c r="M196" i="4"/>
  <c r="L196" i="4"/>
  <c r="K196" i="4"/>
  <c r="U196" i="4" s="1"/>
  <c r="J196" i="4"/>
  <c r="T196" i="4" s="1"/>
  <c r="I196" i="4"/>
  <c r="S196" i="4" s="1"/>
  <c r="C196" i="4"/>
  <c r="B196" i="4"/>
  <c r="O195" i="4"/>
  <c r="AC195" i="4" s="1"/>
  <c r="N195" i="4"/>
  <c r="AA195" i="4" s="1"/>
  <c r="M195" i="4"/>
  <c r="L195" i="4"/>
  <c r="K195" i="4"/>
  <c r="U195" i="4" s="1"/>
  <c r="J195" i="4"/>
  <c r="T195" i="4" s="1"/>
  <c r="I195" i="4"/>
  <c r="S195" i="4" s="1"/>
  <c r="C195" i="4"/>
  <c r="B195" i="4"/>
  <c r="O194" i="4"/>
  <c r="AC194" i="4" s="1"/>
  <c r="N194" i="4"/>
  <c r="AA194" i="4" s="1"/>
  <c r="M194" i="4"/>
  <c r="L194" i="4"/>
  <c r="K194" i="4"/>
  <c r="U194" i="4" s="1"/>
  <c r="J194" i="4"/>
  <c r="T194" i="4" s="1"/>
  <c r="I194" i="4"/>
  <c r="S194" i="4" s="1"/>
  <c r="H194" i="4"/>
  <c r="G194" i="4"/>
  <c r="F194" i="4"/>
  <c r="E194" i="4"/>
  <c r="D194" i="4"/>
  <c r="C194" i="4"/>
  <c r="B194" i="4"/>
  <c r="O193" i="4"/>
  <c r="AC193" i="4" s="1"/>
  <c r="N193" i="4"/>
  <c r="AA193" i="4" s="1"/>
  <c r="M193" i="4"/>
  <c r="L193" i="4"/>
  <c r="K193" i="4"/>
  <c r="U193" i="4" s="1"/>
  <c r="J193" i="4"/>
  <c r="T193" i="4" s="1"/>
  <c r="I193" i="4"/>
  <c r="S193" i="4" s="1"/>
  <c r="C193" i="4"/>
  <c r="B193" i="4"/>
  <c r="O192" i="4"/>
  <c r="AC192" i="4" s="1"/>
  <c r="N192" i="4"/>
  <c r="AA192" i="4" s="1"/>
  <c r="M192" i="4"/>
  <c r="L192" i="4"/>
  <c r="K192" i="4"/>
  <c r="U192" i="4" s="1"/>
  <c r="J192" i="4"/>
  <c r="T192" i="4" s="1"/>
  <c r="I192" i="4"/>
  <c r="S192" i="4" s="1"/>
  <c r="C192" i="4"/>
  <c r="B192" i="4"/>
  <c r="O191" i="4"/>
  <c r="AC191" i="4" s="1"/>
  <c r="N191" i="4"/>
  <c r="AA191" i="4" s="1"/>
  <c r="M191" i="4"/>
  <c r="L191" i="4"/>
  <c r="K191" i="4"/>
  <c r="U191" i="4" s="1"/>
  <c r="J191" i="4"/>
  <c r="T191" i="4" s="1"/>
  <c r="I191" i="4"/>
  <c r="S191" i="4" s="1"/>
  <c r="C191" i="4"/>
  <c r="B191" i="4"/>
  <c r="O190" i="4"/>
  <c r="AC190" i="4" s="1"/>
  <c r="N190" i="4"/>
  <c r="AA190" i="4" s="1"/>
  <c r="M190" i="4"/>
  <c r="L190" i="4"/>
  <c r="K190" i="4"/>
  <c r="U190" i="4" s="1"/>
  <c r="J190" i="4"/>
  <c r="T190" i="4" s="1"/>
  <c r="I190" i="4"/>
  <c r="S190" i="4" s="1"/>
  <c r="C190" i="4"/>
  <c r="B190" i="4"/>
  <c r="O189" i="4"/>
  <c r="AC189" i="4" s="1"/>
  <c r="N189" i="4"/>
  <c r="AA189" i="4" s="1"/>
  <c r="M189" i="4"/>
  <c r="L189" i="4"/>
  <c r="K189" i="4"/>
  <c r="U189" i="4" s="1"/>
  <c r="J189" i="4"/>
  <c r="T189" i="4" s="1"/>
  <c r="I189" i="4"/>
  <c r="S189" i="4" s="1"/>
  <c r="C189" i="4"/>
  <c r="B189" i="4"/>
  <c r="O188" i="4"/>
  <c r="AC188" i="4" s="1"/>
  <c r="N188" i="4"/>
  <c r="AA188" i="4" s="1"/>
  <c r="M188" i="4"/>
  <c r="L188" i="4"/>
  <c r="K188" i="4"/>
  <c r="U188" i="4" s="1"/>
  <c r="J188" i="4"/>
  <c r="T188" i="4" s="1"/>
  <c r="I188" i="4"/>
  <c r="S188" i="4" s="1"/>
  <c r="C188" i="4"/>
  <c r="B188" i="4"/>
  <c r="O187" i="4"/>
  <c r="AC187" i="4" s="1"/>
  <c r="N187" i="4"/>
  <c r="AA187" i="4" s="1"/>
  <c r="M187" i="4"/>
  <c r="L187" i="4"/>
  <c r="K187" i="4"/>
  <c r="U187" i="4" s="1"/>
  <c r="J187" i="4"/>
  <c r="T187" i="4" s="1"/>
  <c r="I187" i="4"/>
  <c r="S187" i="4" s="1"/>
  <c r="C187" i="4"/>
  <c r="B187" i="4"/>
  <c r="O186" i="4"/>
  <c r="AC186" i="4" s="1"/>
  <c r="O184" i="4"/>
  <c r="AC184" i="4" s="1"/>
  <c r="N184" i="4"/>
  <c r="AA184" i="4" s="1"/>
  <c r="M184" i="4"/>
  <c r="L184" i="4"/>
  <c r="K184" i="4"/>
  <c r="U184" i="4" s="1"/>
  <c r="J184" i="4"/>
  <c r="T184" i="4" s="1"/>
  <c r="I184" i="4"/>
  <c r="S184" i="4" s="1"/>
  <c r="C184" i="4"/>
  <c r="B184" i="4"/>
  <c r="O183" i="4"/>
  <c r="AC183" i="4" s="1"/>
  <c r="N183" i="4"/>
  <c r="AA183" i="4" s="1"/>
  <c r="M183" i="4"/>
  <c r="L183" i="4"/>
  <c r="K183" i="4"/>
  <c r="U183" i="4" s="1"/>
  <c r="J183" i="4"/>
  <c r="T183" i="4" s="1"/>
  <c r="I183" i="4"/>
  <c r="S183" i="4" s="1"/>
  <c r="C183" i="4"/>
  <c r="B183" i="4"/>
  <c r="O182" i="4"/>
  <c r="AC182" i="4" s="1"/>
  <c r="N182" i="4"/>
  <c r="AA182" i="4" s="1"/>
  <c r="M182" i="4"/>
  <c r="L182" i="4"/>
  <c r="K182" i="4"/>
  <c r="U182" i="4" s="1"/>
  <c r="J182" i="4"/>
  <c r="T182" i="4" s="1"/>
  <c r="I182" i="4"/>
  <c r="S182" i="4" s="1"/>
  <c r="H182" i="4"/>
  <c r="G182" i="4"/>
  <c r="F182" i="4"/>
  <c r="E182" i="4"/>
  <c r="D182" i="4"/>
  <c r="C182" i="4"/>
  <c r="B182" i="4"/>
  <c r="O181" i="4"/>
  <c r="AC181" i="4" s="1"/>
  <c r="N181" i="4"/>
  <c r="AA181" i="4" s="1"/>
  <c r="M181" i="4"/>
  <c r="L181" i="4"/>
  <c r="K181" i="4"/>
  <c r="U181" i="4" s="1"/>
  <c r="J181" i="4"/>
  <c r="T181" i="4" s="1"/>
  <c r="I181" i="4"/>
  <c r="S181" i="4" s="1"/>
  <c r="C181" i="4"/>
  <c r="B181" i="4"/>
  <c r="O180" i="4"/>
  <c r="AC180" i="4" s="1"/>
  <c r="N180" i="4"/>
  <c r="AA180" i="4" s="1"/>
  <c r="M180" i="4"/>
  <c r="L180" i="4"/>
  <c r="K180" i="4"/>
  <c r="U180" i="4" s="1"/>
  <c r="J180" i="4"/>
  <c r="T180" i="4" s="1"/>
  <c r="I180" i="4"/>
  <c r="S180" i="4" s="1"/>
  <c r="C180" i="4"/>
  <c r="B180" i="4"/>
  <c r="O179" i="4"/>
  <c r="AC179" i="4" s="1"/>
  <c r="N179" i="4"/>
  <c r="AA179" i="4" s="1"/>
  <c r="M179" i="4"/>
  <c r="L179" i="4"/>
  <c r="K179" i="4"/>
  <c r="U179" i="4" s="1"/>
  <c r="J179" i="4"/>
  <c r="T179" i="4" s="1"/>
  <c r="I179" i="4"/>
  <c r="S179" i="4" s="1"/>
  <c r="C179" i="4"/>
  <c r="B179" i="4"/>
  <c r="O178" i="4"/>
  <c r="AC178" i="4" s="1"/>
  <c r="N178" i="4"/>
  <c r="AA178" i="4" s="1"/>
  <c r="M178" i="4"/>
  <c r="L178" i="4"/>
  <c r="K178" i="4"/>
  <c r="U178" i="4" s="1"/>
  <c r="J178" i="4"/>
  <c r="T178" i="4" s="1"/>
  <c r="I178" i="4"/>
  <c r="S178" i="4" s="1"/>
  <c r="C178" i="4"/>
  <c r="B178" i="4"/>
  <c r="O177" i="4"/>
  <c r="AC177" i="4" s="1"/>
  <c r="N177" i="4"/>
  <c r="AA177" i="4" s="1"/>
  <c r="M177" i="4"/>
  <c r="L177" i="4"/>
  <c r="K177" i="4"/>
  <c r="U177" i="4" s="1"/>
  <c r="J177" i="4"/>
  <c r="T177" i="4" s="1"/>
  <c r="I177" i="4"/>
  <c r="S177" i="4" s="1"/>
  <c r="C177" i="4"/>
  <c r="B177" i="4"/>
  <c r="O176" i="4"/>
  <c r="AC176" i="4" s="1"/>
  <c r="N176" i="4"/>
  <c r="AA176" i="4" s="1"/>
  <c r="M176" i="4"/>
  <c r="L176" i="4"/>
  <c r="K176" i="4"/>
  <c r="U176" i="4" s="1"/>
  <c r="J176" i="4"/>
  <c r="T176" i="4" s="1"/>
  <c r="I176" i="4"/>
  <c r="S176" i="4" s="1"/>
  <c r="C176" i="4"/>
  <c r="B176" i="4"/>
  <c r="O175" i="4"/>
  <c r="AC175" i="4" s="1"/>
  <c r="N175" i="4"/>
  <c r="AA175" i="4" s="1"/>
  <c r="M175" i="4"/>
  <c r="L175" i="4"/>
  <c r="K175" i="4"/>
  <c r="U175" i="4" s="1"/>
  <c r="J175" i="4"/>
  <c r="T175" i="4" s="1"/>
  <c r="I175" i="4"/>
  <c r="S175" i="4" s="1"/>
  <c r="C175" i="4"/>
  <c r="B175" i="4"/>
  <c r="C174" i="4"/>
  <c r="O172" i="4"/>
  <c r="AC172" i="4" s="1"/>
  <c r="N172" i="4"/>
  <c r="AA172" i="4" s="1"/>
  <c r="M172" i="4"/>
  <c r="L172" i="4"/>
  <c r="K172" i="4"/>
  <c r="U172" i="4" s="1"/>
  <c r="J172" i="4"/>
  <c r="T172" i="4" s="1"/>
  <c r="I172" i="4"/>
  <c r="S172" i="4" s="1"/>
  <c r="C172" i="4"/>
  <c r="B172" i="4"/>
  <c r="O171" i="4"/>
  <c r="AC171" i="4" s="1"/>
  <c r="N171" i="4"/>
  <c r="AA171" i="4" s="1"/>
  <c r="M171" i="4"/>
  <c r="L171" i="4"/>
  <c r="K171" i="4"/>
  <c r="U171" i="4" s="1"/>
  <c r="J171" i="4"/>
  <c r="T171" i="4" s="1"/>
  <c r="I171" i="4"/>
  <c r="S171" i="4" s="1"/>
  <c r="C171" i="4"/>
  <c r="B171" i="4"/>
  <c r="O170" i="4"/>
  <c r="AC170" i="4" s="1"/>
  <c r="N170" i="4"/>
  <c r="AA170" i="4" s="1"/>
  <c r="M170" i="4"/>
  <c r="L170" i="4"/>
  <c r="K170" i="4"/>
  <c r="U170" i="4" s="1"/>
  <c r="J170" i="4"/>
  <c r="T170" i="4" s="1"/>
  <c r="I170" i="4"/>
  <c r="S170" i="4" s="1"/>
  <c r="H170" i="4"/>
  <c r="G170" i="4"/>
  <c r="F170" i="4"/>
  <c r="F175" i="4" s="1"/>
  <c r="E170" i="4"/>
  <c r="E176" i="4" s="1"/>
  <c r="D170" i="4"/>
  <c r="C170" i="4"/>
  <c r="B170" i="4"/>
  <c r="O169" i="4"/>
  <c r="AC169" i="4" s="1"/>
  <c r="N169" i="4"/>
  <c r="AA169" i="4" s="1"/>
  <c r="M169" i="4"/>
  <c r="L169" i="4"/>
  <c r="K169" i="4"/>
  <c r="U169" i="4" s="1"/>
  <c r="J169" i="4"/>
  <c r="T169" i="4" s="1"/>
  <c r="I169" i="4"/>
  <c r="S169" i="4" s="1"/>
  <c r="C169" i="4"/>
  <c r="B169" i="4"/>
  <c r="O168" i="4"/>
  <c r="AC168" i="4" s="1"/>
  <c r="N168" i="4"/>
  <c r="AA168" i="4" s="1"/>
  <c r="M168" i="4"/>
  <c r="L168" i="4"/>
  <c r="K168" i="4"/>
  <c r="U168" i="4" s="1"/>
  <c r="J168" i="4"/>
  <c r="T168" i="4" s="1"/>
  <c r="I168" i="4"/>
  <c r="S168" i="4" s="1"/>
  <c r="C168" i="4"/>
  <c r="B168" i="4"/>
  <c r="O167" i="4"/>
  <c r="AC167" i="4" s="1"/>
  <c r="N167" i="4"/>
  <c r="AA167" i="4" s="1"/>
  <c r="M167" i="4"/>
  <c r="L167" i="4"/>
  <c r="K167" i="4"/>
  <c r="U167" i="4" s="1"/>
  <c r="J167" i="4"/>
  <c r="T167" i="4" s="1"/>
  <c r="I167" i="4"/>
  <c r="S167" i="4" s="1"/>
  <c r="C167" i="4"/>
  <c r="B167" i="4"/>
  <c r="O166" i="4"/>
  <c r="AC166" i="4" s="1"/>
  <c r="N166" i="4"/>
  <c r="AA166" i="4" s="1"/>
  <c r="M166" i="4"/>
  <c r="L166" i="4"/>
  <c r="K166" i="4"/>
  <c r="U166" i="4" s="1"/>
  <c r="J166" i="4"/>
  <c r="T166" i="4" s="1"/>
  <c r="I166" i="4"/>
  <c r="S166" i="4" s="1"/>
  <c r="C166" i="4"/>
  <c r="B166" i="4"/>
  <c r="O165" i="4"/>
  <c r="AC165" i="4" s="1"/>
  <c r="N165" i="4"/>
  <c r="AA165" i="4" s="1"/>
  <c r="M165" i="4"/>
  <c r="L165" i="4"/>
  <c r="K165" i="4"/>
  <c r="U165" i="4" s="1"/>
  <c r="J165" i="4"/>
  <c r="T165" i="4" s="1"/>
  <c r="I165" i="4"/>
  <c r="S165" i="4" s="1"/>
  <c r="C165" i="4"/>
  <c r="B165" i="4"/>
  <c r="O164" i="4"/>
  <c r="AC164" i="4" s="1"/>
  <c r="N164" i="4"/>
  <c r="AA164" i="4" s="1"/>
  <c r="M164" i="4"/>
  <c r="L164" i="4"/>
  <c r="K164" i="4"/>
  <c r="U164" i="4" s="1"/>
  <c r="J164" i="4"/>
  <c r="T164" i="4" s="1"/>
  <c r="I164" i="4"/>
  <c r="S164" i="4" s="1"/>
  <c r="C164" i="4"/>
  <c r="B164" i="4"/>
  <c r="O163" i="4"/>
  <c r="AC163" i="4" s="1"/>
  <c r="N163" i="4"/>
  <c r="AA163" i="4" s="1"/>
  <c r="M163" i="4"/>
  <c r="L163" i="4"/>
  <c r="K163" i="4"/>
  <c r="U163" i="4" s="1"/>
  <c r="J163" i="4"/>
  <c r="T163" i="4" s="1"/>
  <c r="I163" i="4"/>
  <c r="S163" i="4" s="1"/>
  <c r="C163" i="4"/>
  <c r="B163" i="4"/>
  <c r="M162" i="4"/>
  <c r="O160" i="4"/>
  <c r="AC160" i="4" s="1"/>
  <c r="N160" i="4"/>
  <c r="AA160" i="4" s="1"/>
  <c r="M160" i="4"/>
  <c r="L160" i="4"/>
  <c r="K160" i="4"/>
  <c r="U160" i="4" s="1"/>
  <c r="J160" i="4"/>
  <c r="T160" i="4" s="1"/>
  <c r="I160" i="4"/>
  <c r="S160" i="4" s="1"/>
  <c r="C160" i="4"/>
  <c r="B160" i="4"/>
  <c r="O159" i="4"/>
  <c r="AC159" i="4" s="1"/>
  <c r="N159" i="4"/>
  <c r="AA159" i="4" s="1"/>
  <c r="M159" i="4"/>
  <c r="L159" i="4"/>
  <c r="K159" i="4"/>
  <c r="U159" i="4" s="1"/>
  <c r="J159" i="4"/>
  <c r="T159" i="4" s="1"/>
  <c r="I159" i="4"/>
  <c r="S159" i="4" s="1"/>
  <c r="C159" i="4"/>
  <c r="B159" i="4"/>
  <c r="O158" i="4"/>
  <c r="AC158" i="4" s="1"/>
  <c r="N158" i="4"/>
  <c r="AA158" i="4" s="1"/>
  <c r="M158" i="4"/>
  <c r="L158" i="4"/>
  <c r="K158" i="4"/>
  <c r="U158" i="4" s="1"/>
  <c r="J158" i="4"/>
  <c r="T158" i="4" s="1"/>
  <c r="I158" i="4"/>
  <c r="S158" i="4" s="1"/>
  <c r="H158" i="4"/>
  <c r="G158" i="4"/>
  <c r="F158" i="4"/>
  <c r="F162" i="4" s="1"/>
  <c r="E158" i="4"/>
  <c r="D158" i="4"/>
  <c r="C158" i="4"/>
  <c r="B158" i="4"/>
  <c r="O157" i="4"/>
  <c r="AC157" i="4" s="1"/>
  <c r="N157" i="4"/>
  <c r="AA157" i="4" s="1"/>
  <c r="M157" i="4"/>
  <c r="L157" i="4"/>
  <c r="K157" i="4"/>
  <c r="U157" i="4" s="1"/>
  <c r="J157" i="4"/>
  <c r="T157" i="4" s="1"/>
  <c r="I157" i="4"/>
  <c r="S157" i="4" s="1"/>
  <c r="C157" i="4"/>
  <c r="B157" i="4"/>
  <c r="O156" i="4"/>
  <c r="AC156" i="4" s="1"/>
  <c r="N156" i="4"/>
  <c r="AA156" i="4" s="1"/>
  <c r="M156" i="4"/>
  <c r="L156" i="4"/>
  <c r="K156" i="4"/>
  <c r="U156" i="4" s="1"/>
  <c r="J156" i="4"/>
  <c r="T156" i="4" s="1"/>
  <c r="I156" i="4"/>
  <c r="S156" i="4" s="1"/>
  <c r="C156" i="4"/>
  <c r="B156" i="4"/>
  <c r="O155" i="4"/>
  <c r="AC155" i="4" s="1"/>
  <c r="N155" i="4"/>
  <c r="AA155" i="4" s="1"/>
  <c r="M155" i="4"/>
  <c r="L155" i="4"/>
  <c r="K155" i="4"/>
  <c r="U155" i="4" s="1"/>
  <c r="J155" i="4"/>
  <c r="T155" i="4" s="1"/>
  <c r="I155" i="4"/>
  <c r="S155" i="4" s="1"/>
  <c r="C155" i="4"/>
  <c r="B155" i="4"/>
  <c r="O154" i="4"/>
  <c r="AC154" i="4" s="1"/>
  <c r="N154" i="4"/>
  <c r="AA154" i="4" s="1"/>
  <c r="M154" i="4"/>
  <c r="L154" i="4"/>
  <c r="K154" i="4"/>
  <c r="U154" i="4" s="1"/>
  <c r="J154" i="4"/>
  <c r="T154" i="4" s="1"/>
  <c r="I154" i="4"/>
  <c r="S154" i="4" s="1"/>
  <c r="C154" i="4"/>
  <c r="B154" i="4"/>
  <c r="O153" i="4"/>
  <c r="AC153" i="4" s="1"/>
  <c r="N153" i="4"/>
  <c r="AA153" i="4" s="1"/>
  <c r="M153" i="4"/>
  <c r="L153" i="4"/>
  <c r="K153" i="4"/>
  <c r="U153" i="4" s="1"/>
  <c r="J153" i="4"/>
  <c r="T153" i="4" s="1"/>
  <c r="I153" i="4"/>
  <c r="S153" i="4" s="1"/>
  <c r="C153" i="4"/>
  <c r="B153" i="4"/>
  <c r="O152" i="4"/>
  <c r="AC152" i="4" s="1"/>
  <c r="N152" i="4"/>
  <c r="AA152" i="4" s="1"/>
  <c r="M152" i="4"/>
  <c r="L152" i="4"/>
  <c r="K152" i="4"/>
  <c r="U152" i="4" s="1"/>
  <c r="J152" i="4"/>
  <c r="T152" i="4" s="1"/>
  <c r="I152" i="4"/>
  <c r="S152" i="4" s="1"/>
  <c r="C152" i="4"/>
  <c r="B152" i="4"/>
  <c r="O151" i="4"/>
  <c r="AC151" i="4" s="1"/>
  <c r="N151" i="4"/>
  <c r="AA151" i="4" s="1"/>
  <c r="M151" i="4"/>
  <c r="L151" i="4"/>
  <c r="K151" i="4"/>
  <c r="U151" i="4" s="1"/>
  <c r="J151" i="4"/>
  <c r="T151" i="4" s="1"/>
  <c r="I151" i="4"/>
  <c r="S151" i="4" s="1"/>
  <c r="C151" i="4"/>
  <c r="B151" i="4"/>
  <c r="O148" i="4"/>
  <c r="AC148" i="4" s="1"/>
  <c r="N148" i="4"/>
  <c r="AA148" i="4" s="1"/>
  <c r="M148" i="4"/>
  <c r="L148" i="4"/>
  <c r="K148" i="4"/>
  <c r="U148" i="4" s="1"/>
  <c r="J148" i="4"/>
  <c r="T148" i="4" s="1"/>
  <c r="I148" i="4"/>
  <c r="S148" i="4" s="1"/>
  <c r="C148" i="4"/>
  <c r="B148" i="4"/>
  <c r="O147" i="4"/>
  <c r="AC147" i="4" s="1"/>
  <c r="N147" i="4"/>
  <c r="AA147" i="4" s="1"/>
  <c r="M147" i="4"/>
  <c r="L147" i="4"/>
  <c r="K147" i="4"/>
  <c r="U147" i="4" s="1"/>
  <c r="J147" i="4"/>
  <c r="T147" i="4" s="1"/>
  <c r="I147" i="4"/>
  <c r="S147" i="4" s="1"/>
  <c r="C147" i="4"/>
  <c r="B147" i="4"/>
  <c r="O146" i="4"/>
  <c r="AC146" i="4" s="1"/>
  <c r="N146" i="4"/>
  <c r="AA146" i="4" s="1"/>
  <c r="M146" i="4"/>
  <c r="L146" i="4"/>
  <c r="K146" i="4"/>
  <c r="U146" i="4" s="1"/>
  <c r="J146" i="4"/>
  <c r="T146" i="4" s="1"/>
  <c r="I146" i="4"/>
  <c r="S146" i="4" s="1"/>
  <c r="H146" i="4"/>
  <c r="G146" i="4"/>
  <c r="F146" i="4"/>
  <c r="E146" i="4"/>
  <c r="D146" i="4"/>
  <c r="C146" i="4"/>
  <c r="B146" i="4"/>
  <c r="O145" i="4"/>
  <c r="AC145" i="4" s="1"/>
  <c r="N145" i="4"/>
  <c r="AA145" i="4" s="1"/>
  <c r="M145" i="4"/>
  <c r="L145" i="4"/>
  <c r="K145" i="4"/>
  <c r="U145" i="4" s="1"/>
  <c r="J145" i="4"/>
  <c r="T145" i="4" s="1"/>
  <c r="I145" i="4"/>
  <c r="S145" i="4" s="1"/>
  <c r="C145" i="4"/>
  <c r="B145" i="4"/>
  <c r="O144" i="4"/>
  <c r="AC144" i="4" s="1"/>
  <c r="N144" i="4"/>
  <c r="AA144" i="4" s="1"/>
  <c r="M144" i="4"/>
  <c r="L144" i="4"/>
  <c r="K144" i="4"/>
  <c r="U144" i="4" s="1"/>
  <c r="J144" i="4"/>
  <c r="T144" i="4" s="1"/>
  <c r="I144" i="4"/>
  <c r="S144" i="4" s="1"/>
  <c r="C144" i="4"/>
  <c r="B144" i="4"/>
  <c r="O143" i="4"/>
  <c r="AC143" i="4" s="1"/>
  <c r="N143" i="4"/>
  <c r="AA143" i="4" s="1"/>
  <c r="M143" i="4"/>
  <c r="L143" i="4"/>
  <c r="K143" i="4"/>
  <c r="U143" i="4" s="1"/>
  <c r="J143" i="4"/>
  <c r="T143" i="4" s="1"/>
  <c r="I143" i="4"/>
  <c r="S143" i="4" s="1"/>
  <c r="C143" i="4"/>
  <c r="B143" i="4"/>
  <c r="O142" i="4"/>
  <c r="AC142" i="4" s="1"/>
  <c r="N142" i="4"/>
  <c r="AA142" i="4" s="1"/>
  <c r="M142" i="4"/>
  <c r="L142" i="4"/>
  <c r="K142" i="4"/>
  <c r="U142" i="4" s="1"/>
  <c r="J142" i="4"/>
  <c r="T142" i="4" s="1"/>
  <c r="I142" i="4"/>
  <c r="S142" i="4" s="1"/>
  <c r="C142" i="4"/>
  <c r="B142" i="4"/>
  <c r="O141" i="4"/>
  <c r="AC141" i="4" s="1"/>
  <c r="N141" i="4"/>
  <c r="AA141" i="4" s="1"/>
  <c r="M141" i="4"/>
  <c r="L141" i="4"/>
  <c r="K141" i="4"/>
  <c r="U141" i="4" s="1"/>
  <c r="J141" i="4"/>
  <c r="T141" i="4" s="1"/>
  <c r="I141" i="4"/>
  <c r="S141" i="4" s="1"/>
  <c r="C141" i="4"/>
  <c r="B141" i="4"/>
  <c r="O140" i="4"/>
  <c r="AC140" i="4" s="1"/>
  <c r="N140" i="4"/>
  <c r="AA140" i="4" s="1"/>
  <c r="M140" i="4"/>
  <c r="L140" i="4"/>
  <c r="K140" i="4"/>
  <c r="U140" i="4" s="1"/>
  <c r="J140" i="4"/>
  <c r="T140" i="4" s="1"/>
  <c r="I140" i="4"/>
  <c r="S140" i="4" s="1"/>
  <c r="C140" i="4"/>
  <c r="B140" i="4"/>
  <c r="O139" i="4"/>
  <c r="AC139" i="4" s="1"/>
  <c r="N139" i="4"/>
  <c r="AA139" i="4" s="1"/>
  <c r="M139" i="4"/>
  <c r="L139" i="4"/>
  <c r="K139" i="4"/>
  <c r="U139" i="4" s="1"/>
  <c r="J139" i="4"/>
  <c r="T139" i="4" s="1"/>
  <c r="I139" i="4"/>
  <c r="S139" i="4" s="1"/>
  <c r="C139" i="4"/>
  <c r="B139" i="4"/>
  <c r="K138" i="4"/>
  <c r="U138" i="4" s="1"/>
  <c r="O136" i="4"/>
  <c r="AC136" i="4" s="1"/>
  <c r="N136" i="4"/>
  <c r="AA136" i="4" s="1"/>
  <c r="M136" i="4"/>
  <c r="L136" i="4"/>
  <c r="K136" i="4"/>
  <c r="U136" i="4" s="1"/>
  <c r="J136" i="4"/>
  <c r="T136" i="4" s="1"/>
  <c r="I136" i="4"/>
  <c r="S136" i="4" s="1"/>
  <c r="C136" i="4"/>
  <c r="B136" i="4"/>
  <c r="O135" i="4"/>
  <c r="AC135" i="4" s="1"/>
  <c r="N135" i="4"/>
  <c r="AA135" i="4" s="1"/>
  <c r="M135" i="4"/>
  <c r="L135" i="4"/>
  <c r="K135" i="4"/>
  <c r="U135" i="4" s="1"/>
  <c r="J135" i="4"/>
  <c r="T135" i="4" s="1"/>
  <c r="I135" i="4"/>
  <c r="S135" i="4" s="1"/>
  <c r="C135" i="4"/>
  <c r="B135" i="4"/>
  <c r="O134" i="4"/>
  <c r="AC134" i="4" s="1"/>
  <c r="N134" i="4"/>
  <c r="AA134" i="4" s="1"/>
  <c r="M134" i="4"/>
  <c r="L134" i="4"/>
  <c r="K134" i="4"/>
  <c r="U134" i="4" s="1"/>
  <c r="J134" i="4"/>
  <c r="T134" i="4" s="1"/>
  <c r="I134" i="4"/>
  <c r="S134" i="4" s="1"/>
  <c r="H134" i="4"/>
  <c r="H136" i="4" s="1"/>
  <c r="G134" i="4"/>
  <c r="G143" i="4" s="1"/>
  <c r="F134" i="4"/>
  <c r="E134" i="4"/>
  <c r="D134" i="4"/>
  <c r="C134" i="4"/>
  <c r="B134" i="4"/>
  <c r="O133" i="4"/>
  <c r="AC133" i="4" s="1"/>
  <c r="N133" i="4"/>
  <c r="AA133" i="4" s="1"/>
  <c r="M133" i="4"/>
  <c r="L133" i="4"/>
  <c r="K133" i="4"/>
  <c r="U133" i="4" s="1"/>
  <c r="J133" i="4"/>
  <c r="T133" i="4" s="1"/>
  <c r="I133" i="4"/>
  <c r="S133" i="4" s="1"/>
  <c r="C133" i="4"/>
  <c r="B133" i="4"/>
  <c r="O132" i="4"/>
  <c r="AC132" i="4" s="1"/>
  <c r="N132" i="4"/>
  <c r="AA132" i="4" s="1"/>
  <c r="M132" i="4"/>
  <c r="L132" i="4"/>
  <c r="K132" i="4"/>
  <c r="U132" i="4" s="1"/>
  <c r="J132" i="4"/>
  <c r="T132" i="4" s="1"/>
  <c r="I132" i="4"/>
  <c r="S132" i="4" s="1"/>
  <c r="C132" i="4"/>
  <c r="B132" i="4"/>
  <c r="O131" i="4"/>
  <c r="AC131" i="4" s="1"/>
  <c r="N131" i="4"/>
  <c r="AA131" i="4" s="1"/>
  <c r="M131" i="4"/>
  <c r="L131" i="4"/>
  <c r="K131" i="4"/>
  <c r="U131" i="4" s="1"/>
  <c r="J131" i="4"/>
  <c r="T131" i="4" s="1"/>
  <c r="I131" i="4"/>
  <c r="S131" i="4" s="1"/>
  <c r="C131" i="4"/>
  <c r="B131" i="4"/>
  <c r="O130" i="4"/>
  <c r="AC130" i="4" s="1"/>
  <c r="N130" i="4"/>
  <c r="AA130" i="4" s="1"/>
  <c r="M130" i="4"/>
  <c r="L130" i="4"/>
  <c r="K130" i="4"/>
  <c r="U130" i="4" s="1"/>
  <c r="J130" i="4"/>
  <c r="T130" i="4" s="1"/>
  <c r="I130" i="4"/>
  <c r="S130" i="4" s="1"/>
  <c r="C130" i="4"/>
  <c r="B130" i="4"/>
  <c r="O129" i="4"/>
  <c r="AC129" i="4" s="1"/>
  <c r="N129" i="4"/>
  <c r="AA129" i="4" s="1"/>
  <c r="M129" i="4"/>
  <c r="L129" i="4"/>
  <c r="K129" i="4"/>
  <c r="U129" i="4" s="1"/>
  <c r="J129" i="4"/>
  <c r="T129" i="4" s="1"/>
  <c r="I129" i="4"/>
  <c r="S129" i="4" s="1"/>
  <c r="C129" i="4"/>
  <c r="B129" i="4"/>
  <c r="O128" i="4"/>
  <c r="AC128" i="4" s="1"/>
  <c r="N128" i="4"/>
  <c r="AA128" i="4" s="1"/>
  <c r="M128" i="4"/>
  <c r="L128" i="4"/>
  <c r="K128" i="4"/>
  <c r="U128" i="4" s="1"/>
  <c r="J128" i="4"/>
  <c r="T128" i="4" s="1"/>
  <c r="I128" i="4"/>
  <c r="S128" i="4" s="1"/>
  <c r="C128" i="4"/>
  <c r="B128" i="4"/>
  <c r="O127" i="4"/>
  <c r="AC127" i="4" s="1"/>
  <c r="N127" i="4"/>
  <c r="AA127" i="4" s="1"/>
  <c r="M127" i="4"/>
  <c r="L127" i="4"/>
  <c r="K127" i="4"/>
  <c r="U127" i="4" s="1"/>
  <c r="J127" i="4"/>
  <c r="T127" i="4" s="1"/>
  <c r="I127" i="4"/>
  <c r="S127" i="4" s="1"/>
  <c r="C127" i="4"/>
  <c r="B127" i="4"/>
  <c r="O124" i="4"/>
  <c r="AC124" i="4" s="1"/>
  <c r="N124" i="4"/>
  <c r="AA124" i="4" s="1"/>
  <c r="M124" i="4"/>
  <c r="L124" i="4"/>
  <c r="K124" i="4"/>
  <c r="U124" i="4" s="1"/>
  <c r="J124" i="4"/>
  <c r="T124" i="4" s="1"/>
  <c r="I124" i="4"/>
  <c r="S124" i="4" s="1"/>
  <c r="C124" i="4"/>
  <c r="B124" i="4"/>
  <c r="O123" i="4"/>
  <c r="AC123" i="4" s="1"/>
  <c r="N123" i="4"/>
  <c r="AA123" i="4" s="1"/>
  <c r="M123" i="4"/>
  <c r="L123" i="4"/>
  <c r="K123" i="4"/>
  <c r="U123" i="4" s="1"/>
  <c r="J123" i="4"/>
  <c r="T123" i="4" s="1"/>
  <c r="I123" i="4"/>
  <c r="S123" i="4" s="1"/>
  <c r="C123" i="4"/>
  <c r="B123" i="4"/>
  <c r="O122" i="4"/>
  <c r="AC122" i="4" s="1"/>
  <c r="N122" i="4"/>
  <c r="AA122" i="4" s="1"/>
  <c r="M122" i="4"/>
  <c r="L122" i="4"/>
  <c r="K122" i="4"/>
  <c r="U122" i="4" s="1"/>
  <c r="J122" i="4"/>
  <c r="T122" i="4" s="1"/>
  <c r="I122" i="4"/>
  <c r="S122" i="4" s="1"/>
  <c r="H122" i="4"/>
  <c r="G122" i="4"/>
  <c r="F122" i="4"/>
  <c r="E122" i="4"/>
  <c r="D122" i="4"/>
  <c r="C122" i="4"/>
  <c r="B122" i="4"/>
  <c r="O121" i="4"/>
  <c r="AC121" i="4" s="1"/>
  <c r="N121" i="4"/>
  <c r="AA121" i="4" s="1"/>
  <c r="M121" i="4"/>
  <c r="L121" i="4"/>
  <c r="K121" i="4"/>
  <c r="U121" i="4" s="1"/>
  <c r="J121" i="4"/>
  <c r="T121" i="4" s="1"/>
  <c r="I121" i="4"/>
  <c r="S121" i="4" s="1"/>
  <c r="C121" i="4"/>
  <c r="B121" i="4"/>
  <c r="O120" i="4"/>
  <c r="AC120" i="4" s="1"/>
  <c r="N120" i="4"/>
  <c r="AA120" i="4" s="1"/>
  <c r="M120" i="4"/>
  <c r="L120" i="4"/>
  <c r="K120" i="4"/>
  <c r="U120" i="4" s="1"/>
  <c r="J120" i="4"/>
  <c r="T120" i="4" s="1"/>
  <c r="I120" i="4"/>
  <c r="S120" i="4" s="1"/>
  <c r="C120" i="4"/>
  <c r="B120" i="4"/>
  <c r="O119" i="4"/>
  <c r="AC119" i="4" s="1"/>
  <c r="N119" i="4"/>
  <c r="AA119" i="4" s="1"/>
  <c r="M119" i="4"/>
  <c r="L119" i="4"/>
  <c r="K119" i="4"/>
  <c r="U119" i="4" s="1"/>
  <c r="J119" i="4"/>
  <c r="T119" i="4" s="1"/>
  <c r="I119" i="4"/>
  <c r="S119" i="4" s="1"/>
  <c r="C119" i="4"/>
  <c r="B119" i="4"/>
  <c r="O118" i="4"/>
  <c r="AC118" i="4" s="1"/>
  <c r="N118" i="4"/>
  <c r="AA118" i="4" s="1"/>
  <c r="M118" i="4"/>
  <c r="L118" i="4"/>
  <c r="K118" i="4"/>
  <c r="U118" i="4" s="1"/>
  <c r="J118" i="4"/>
  <c r="T118" i="4" s="1"/>
  <c r="I118" i="4"/>
  <c r="S118" i="4" s="1"/>
  <c r="C118" i="4"/>
  <c r="B118" i="4"/>
  <c r="O117" i="4"/>
  <c r="AC117" i="4" s="1"/>
  <c r="N117" i="4"/>
  <c r="AA117" i="4" s="1"/>
  <c r="M117" i="4"/>
  <c r="L117" i="4"/>
  <c r="K117" i="4"/>
  <c r="U117" i="4" s="1"/>
  <c r="J117" i="4"/>
  <c r="T117" i="4" s="1"/>
  <c r="I117" i="4"/>
  <c r="S117" i="4" s="1"/>
  <c r="C117" i="4"/>
  <c r="B117" i="4"/>
  <c r="O116" i="4"/>
  <c r="AC116" i="4" s="1"/>
  <c r="N116" i="4"/>
  <c r="AA116" i="4" s="1"/>
  <c r="M116" i="4"/>
  <c r="L116" i="4"/>
  <c r="K116" i="4"/>
  <c r="U116" i="4" s="1"/>
  <c r="J116" i="4"/>
  <c r="T116" i="4" s="1"/>
  <c r="I116" i="4"/>
  <c r="S116" i="4" s="1"/>
  <c r="C116" i="4"/>
  <c r="B116" i="4"/>
  <c r="O115" i="4"/>
  <c r="AC115" i="4" s="1"/>
  <c r="N115" i="4"/>
  <c r="AA115" i="4" s="1"/>
  <c r="M115" i="4"/>
  <c r="L115" i="4"/>
  <c r="K115" i="4"/>
  <c r="U115" i="4" s="1"/>
  <c r="J115" i="4"/>
  <c r="T115" i="4" s="1"/>
  <c r="I115" i="4"/>
  <c r="S115" i="4" s="1"/>
  <c r="C115" i="4"/>
  <c r="B115" i="4"/>
  <c r="I114" i="4"/>
  <c r="S114" i="4" s="1"/>
  <c r="O112" i="4"/>
  <c r="AC112" i="4" s="1"/>
  <c r="N112" i="4"/>
  <c r="AA112" i="4" s="1"/>
  <c r="M112" i="4"/>
  <c r="L112" i="4"/>
  <c r="K112" i="4"/>
  <c r="U112" i="4" s="1"/>
  <c r="J112" i="4"/>
  <c r="T112" i="4" s="1"/>
  <c r="I112" i="4"/>
  <c r="S112" i="4" s="1"/>
  <c r="C112" i="4"/>
  <c r="B112" i="4"/>
  <c r="O111" i="4"/>
  <c r="AC111" i="4" s="1"/>
  <c r="N111" i="4"/>
  <c r="AA111" i="4" s="1"/>
  <c r="M111" i="4"/>
  <c r="L111" i="4"/>
  <c r="K111" i="4"/>
  <c r="U111" i="4" s="1"/>
  <c r="J111" i="4"/>
  <c r="T111" i="4" s="1"/>
  <c r="I111" i="4"/>
  <c r="S111" i="4" s="1"/>
  <c r="C111" i="4"/>
  <c r="B111" i="4"/>
  <c r="O110" i="4"/>
  <c r="AC110" i="4" s="1"/>
  <c r="N110" i="4"/>
  <c r="AA110" i="4" s="1"/>
  <c r="M110" i="4"/>
  <c r="L110" i="4"/>
  <c r="K110" i="4"/>
  <c r="U110" i="4" s="1"/>
  <c r="J110" i="4"/>
  <c r="T110" i="4" s="1"/>
  <c r="I110" i="4"/>
  <c r="S110" i="4" s="1"/>
  <c r="H110" i="4"/>
  <c r="G110" i="4"/>
  <c r="F110" i="4"/>
  <c r="E110" i="4"/>
  <c r="E114" i="4" s="1"/>
  <c r="D110" i="4"/>
  <c r="C110" i="4"/>
  <c r="B110" i="4"/>
  <c r="O109" i="4"/>
  <c r="AC109" i="4" s="1"/>
  <c r="N109" i="4"/>
  <c r="AA109" i="4" s="1"/>
  <c r="M109" i="4"/>
  <c r="L109" i="4"/>
  <c r="K109" i="4"/>
  <c r="U109" i="4" s="1"/>
  <c r="J109" i="4"/>
  <c r="T109" i="4" s="1"/>
  <c r="I109" i="4"/>
  <c r="S109" i="4" s="1"/>
  <c r="C109" i="4"/>
  <c r="B109" i="4"/>
  <c r="O108" i="4"/>
  <c r="AC108" i="4" s="1"/>
  <c r="N108" i="4"/>
  <c r="AA108" i="4" s="1"/>
  <c r="M108" i="4"/>
  <c r="L108" i="4"/>
  <c r="K108" i="4"/>
  <c r="U108" i="4" s="1"/>
  <c r="J108" i="4"/>
  <c r="T108" i="4" s="1"/>
  <c r="I108" i="4"/>
  <c r="S108" i="4" s="1"/>
  <c r="C108" i="4"/>
  <c r="B108" i="4"/>
  <c r="O107" i="4"/>
  <c r="AC107" i="4" s="1"/>
  <c r="N107" i="4"/>
  <c r="AA107" i="4" s="1"/>
  <c r="M107" i="4"/>
  <c r="L107" i="4"/>
  <c r="K107" i="4"/>
  <c r="U107" i="4" s="1"/>
  <c r="J107" i="4"/>
  <c r="T107" i="4" s="1"/>
  <c r="I107" i="4"/>
  <c r="S107" i="4" s="1"/>
  <c r="C107" i="4"/>
  <c r="B107" i="4"/>
  <c r="O106" i="4"/>
  <c r="AC106" i="4" s="1"/>
  <c r="N106" i="4"/>
  <c r="AA106" i="4" s="1"/>
  <c r="M106" i="4"/>
  <c r="L106" i="4"/>
  <c r="K106" i="4"/>
  <c r="U106" i="4" s="1"/>
  <c r="J106" i="4"/>
  <c r="T106" i="4" s="1"/>
  <c r="I106" i="4"/>
  <c r="S106" i="4" s="1"/>
  <c r="C106" i="4"/>
  <c r="B106" i="4"/>
  <c r="O105" i="4"/>
  <c r="AC105" i="4" s="1"/>
  <c r="N105" i="4"/>
  <c r="AA105" i="4" s="1"/>
  <c r="M105" i="4"/>
  <c r="L105" i="4"/>
  <c r="K105" i="4"/>
  <c r="U105" i="4" s="1"/>
  <c r="J105" i="4"/>
  <c r="T105" i="4" s="1"/>
  <c r="I105" i="4"/>
  <c r="S105" i="4" s="1"/>
  <c r="C105" i="4"/>
  <c r="B105" i="4"/>
  <c r="O104" i="4"/>
  <c r="AC104" i="4" s="1"/>
  <c r="N104" i="4"/>
  <c r="AA104" i="4" s="1"/>
  <c r="M104" i="4"/>
  <c r="L104" i="4"/>
  <c r="K104" i="4"/>
  <c r="U104" i="4" s="1"/>
  <c r="J104" i="4"/>
  <c r="T104" i="4" s="1"/>
  <c r="I104" i="4"/>
  <c r="S104" i="4" s="1"/>
  <c r="C104" i="4"/>
  <c r="B104" i="4"/>
  <c r="O103" i="4"/>
  <c r="AC103" i="4" s="1"/>
  <c r="N103" i="4"/>
  <c r="AA103" i="4" s="1"/>
  <c r="M103" i="4"/>
  <c r="L103" i="4"/>
  <c r="K103" i="4"/>
  <c r="U103" i="4" s="1"/>
  <c r="J103" i="4"/>
  <c r="T103" i="4" s="1"/>
  <c r="I103" i="4"/>
  <c r="S103" i="4" s="1"/>
  <c r="C103" i="4"/>
  <c r="B103" i="4"/>
  <c r="N102" i="4"/>
  <c r="AA102" i="4" s="1"/>
  <c r="O100" i="4"/>
  <c r="AC100" i="4" s="1"/>
  <c r="N100" i="4"/>
  <c r="AA100" i="4" s="1"/>
  <c r="M100" i="4"/>
  <c r="L100" i="4"/>
  <c r="K100" i="4"/>
  <c r="U100" i="4" s="1"/>
  <c r="J100" i="4"/>
  <c r="T100" i="4" s="1"/>
  <c r="I100" i="4"/>
  <c r="S100" i="4" s="1"/>
  <c r="C100" i="4"/>
  <c r="B100" i="4"/>
  <c r="O99" i="4"/>
  <c r="AC99" i="4" s="1"/>
  <c r="N99" i="4"/>
  <c r="AA99" i="4" s="1"/>
  <c r="M99" i="4"/>
  <c r="L99" i="4"/>
  <c r="K99" i="4"/>
  <c r="U99" i="4" s="1"/>
  <c r="J99" i="4"/>
  <c r="T99" i="4" s="1"/>
  <c r="I99" i="4"/>
  <c r="S99" i="4" s="1"/>
  <c r="C99" i="4"/>
  <c r="B99" i="4"/>
  <c r="O98" i="4"/>
  <c r="AC98" i="4" s="1"/>
  <c r="N98" i="4"/>
  <c r="AA98" i="4" s="1"/>
  <c r="M98" i="4"/>
  <c r="L98" i="4"/>
  <c r="K98" i="4"/>
  <c r="U98" i="4" s="1"/>
  <c r="J98" i="4"/>
  <c r="T98" i="4" s="1"/>
  <c r="I98" i="4"/>
  <c r="S98" i="4" s="1"/>
  <c r="H98" i="4"/>
  <c r="G98" i="4"/>
  <c r="F98" i="4"/>
  <c r="E98" i="4"/>
  <c r="D98" i="4"/>
  <c r="C98" i="4"/>
  <c r="B98" i="4"/>
  <c r="O97" i="4"/>
  <c r="AC97" i="4" s="1"/>
  <c r="N97" i="4"/>
  <c r="AA97" i="4" s="1"/>
  <c r="M97" i="4"/>
  <c r="L97" i="4"/>
  <c r="K97" i="4"/>
  <c r="U97" i="4" s="1"/>
  <c r="J97" i="4"/>
  <c r="T97" i="4" s="1"/>
  <c r="I97" i="4"/>
  <c r="S97" i="4" s="1"/>
  <c r="C97" i="4"/>
  <c r="B97" i="4"/>
  <c r="O96" i="4"/>
  <c r="AC96" i="4" s="1"/>
  <c r="N96" i="4"/>
  <c r="AA96" i="4" s="1"/>
  <c r="M96" i="4"/>
  <c r="L96" i="4"/>
  <c r="K96" i="4"/>
  <c r="U96" i="4" s="1"/>
  <c r="J96" i="4"/>
  <c r="T96" i="4" s="1"/>
  <c r="I96" i="4"/>
  <c r="S96" i="4" s="1"/>
  <c r="C96" i="4"/>
  <c r="B96" i="4"/>
  <c r="O95" i="4"/>
  <c r="AC95" i="4" s="1"/>
  <c r="N95" i="4"/>
  <c r="AA95" i="4" s="1"/>
  <c r="M95" i="4"/>
  <c r="L95" i="4"/>
  <c r="K95" i="4"/>
  <c r="U95" i="4" s="1"/>
  <c r="J95" i="4"/>
  <c r="T95" i="4" s="1"/>
  <c r="I95" i="4"/>
  <c r="S95" i="4" s="1"/>
  <c r="C95" i="4"/>
  <c r="B95" i="4"/>
  <c r="O94" i="4"/>
  <c r="AC94" i="4" s="1"/>
  <c r="N94" i="4"/>
  <c r="AA94" i="4" s="1"/>
  <c r="M94" i="4"/>
  <c r="L94" i="4"/>
  <c r="K94" i="4"/>
  <c r="U94" i="4" s="1"/>
  <c r="J94" i="4"/>
  <c r="T94" i="4" s="1"/>
  <c r="I94" i="4"/>
  <c r="S94" i="4" s="1"/>
  <c r="C94" i="4"/>
  <c r="B94" i="4"/>
  <c r="O93" i="4"/>
  <c r="AC93" i="4" s="1"/>
  <c r="N93" i="4"/>
  <c r="AA93" i="4" s="1"/>
  <c r="M93" i="4"/>
  <c r="L93" i="4"/>
  <c r="K93" i="4"/>
  <c r="U93" i="4" s="1"/>
  <c r="J93" i="4"/>
  <c r="T93" i="4" s="1"/>
  <c r="I93" i="4"/>
  <c r="S93" i="4" s="1"/>
  <c r="C93" i="4"/>
  <c r="B93" i="4"/>
  <c r="O92" i="4"/>
  <c r="AC92" i="4" s="1"/>
  <c r="N92" i="4"/>
  <c r="AA92" i="4" s="1"/>
  <c r="M92" i="4"/>
  <c r="L92" i="4"/>
  <c r="K92" i="4"/>
  <c r="U92" i="4" s="1"/>
  <c r="J92" i="4"/>
  <c r="T92" i="4" s="1"/>
  <c r="I92" i="4"/>
  <c r="S92" i="4" s="1"/>
  <c r="C92" i="4"/>
  <c r="B92" i="4"/>
  <c r="O91" i="4"/>
  <c r="AC91" i="4" s="1"/>
  <c r="N91" i="4"/>
  <c r="AA91" i="4" s="1"/>
  <c r="M91" i="4"/>
  <c r="L91" i="4"/>
  <c r="K91" i="4"/>
  <c r="U91" i="4" s="1"/>
  <c r="J91" i="4"/>
  <c r="T91" i="4" s="1"/>
  <c r="I91" i="4"/>
  <c r="S91" i="4" s="1"/>
  <c r="C91" i="4"/>
  <c r="B91" i="4"/>
  <c r="B90" i="4"/>
  <c r="O88" i="4"/>
  <c r="AC88" i="4" s="1"/>
  <c r="N88" i="4"/>
  <c r="AA88" i="4" s="1"/>
  <c r="M88" i="4"/>
  <c r="L88" i="4"/>
  <c r="K88" i="4"/>
  <c r="U88" i="4" s="1"/>
  <c r="J88" i="4"/>
  <c r="T88" i="4" s="1"/>
  <c r="I88" i="4"/>
  <c r="S88" i="4" s="1"/>
  <c r="C88" i="4"/>
  <c r="B88" i="4"/>
  <c r="O87" i="4"/>
  <c r="AC87" i="4" s="1"/>
  <c r="N87" i="4"/>
  <c r="AA87" i="4" s="1"/>
  <c r="M87" i="4"/>
  <c r="L87" i="4"/>
  <c r="K87" i="4"/>
  <c r="U87" i="4" s="1"/>
  <c r="J87" i="4"/>
  <c r="T87" i="4" s="1"/>
  <c r="I87" i="4"/>
  <c r="S87" i="4" s="1"/>
  <c r="C87" i="4"/>
  <c r="B87" i="4"/>
  <c r="O86" i="4"/>
  <c r="AC86" i="4" s="1"/>
  <c r="N86" i="4"/>
  <c r="AA86" i="4" s="1"/>
  <c r="M86" i="4"/>
  <c r="L86" i="4"/>
  <c r="K86" i="4"/>
  <c r="U86" i="4" s="1"/>
  <c r="J86" i="4"/>
  <c r="T86" i="4" s="1"/>
  <c r="I86" i="4"/>
  <c r="S86" i="4" s="1"/>
  <c r="H86" i="4"/>
  <c r="G86" i="4"/>
  <c r="F86" i="4"/>
  <c r="E86" i="4"/>
  <c r="E88" i="4" s="1"/>
  <c r="D86" i="4"/>
  <c r="D93" i="4" s="1"/>
  <c r="C86" i="4"/>
  <c r="B86" i="4"/>
  <c r="O85" i="4"/>
  <c r="AC85" i="4" s="1"/>
  <c r="N85" i="4"/>
  <c r="AA85" i="4" s="1"/>
  <c r="M85" i="4"/>
  <c r="L85" i="4"/>
  <c r="K85" i="4"/>
  <c r="U85" i="4" s="1"/>
  <c r="J85" i="4"/>
  <c r="T85" i="4" s="1"/>
  <c r="I85" i="4"/>
  <c r="S85" i="4" s="1"/>
  <c r="C85" i="4"/>
  <c r="B85" i="4"/>
  <c r="O84" i="4"/>
  <c r="AC84" i="4" s="1"/>
  <c r="N84" i="4"/>
  <c r="AA84" i="4" s="1"/>
  <c r="M84" i="4"/>
  <c r="L84" i="4"/>
  <c r="K84" i="4"/>
  <c r="U84" i="4" s="1"/>
  <c r="J84" i="4"/>
  <c r="T84" i="4" s="1"/>
  <c r="I84" i="4"/>
  <c r="S84" i="4" s="1"/>
  <c r="C84" i="4"/>
  <c r="B84" i="4"/>
  <c r="O83" i="4"/>
  <c r="AC83" i="4" s="1"/>
  <c r="N83" i="4"/>
  <c r="AA83" i="4" s="1"/>
  <c r="M83" i="4"/>
  <c r="L83" i="4"/>
  <c r="K83" i="4"/>
  <c r="U83" i="4" s="1"/>
  <c r="J83" i="4"/>
  <c r="T83" i="4" s="1"/>
  <c r="I83" i="4"/>
  <c r="S83" i="4" s="1"/>
  <c r="C83" i="4"/>
  <c r="B83" i="4"/>
  <c r="O82" i="4"/>
  <c r="AC82" i="4" s="1"/>
  <c r="N82" i="4"/>
  <c r="AA82" i="4" s="1"/>
  <c r="M82" i="4"/>
  <c r="L82" i="4"/>
  <c r="K82" i="4"/>
  <c r="U82" i="4" s="1"/>
  <c r="J82" i="4"/>
  <c r="T82" i="4" s="1"/>
  <c r="I82" i="4"/>
  <c r="S82" i="4" s="1"/>
  <c r="C82" i="4"/>
  <c r="B82" i="4"/>
  <c r="O81" i="4"/>
  <c r="AC81" i="4" s="1"/>
  <c r="N81" i="4"/>
  <c r="AA81" i="4" s="1"/>
  <c r="M81" i="4"/>
  <c r="L81" i="4"/>
  <c r="K81" i="4"/>
  <c r="U81" i="4" s="1"/>
  <c r="J81" i="4"/>
  <c r="T81" i="4" s="1"/>
  <c r="I81" i="4"/>
  <c r="S81" i="4" s="1"/>
  <c r="C81" i="4"/>
  <c r="B81" i="4"/>
  <c r="O80" i="4"/>
  <c r="AC80" i="4" s="1"/>
  <c r="N80" i="4"/>
  <c r="AA80" i="4" s="1"/>
  <c r="M80" i="4"/>
  <c r="L80" i="4"/>
  <c r="K80" i="4"/>
  <c r="U80" i="4" s="1"/>
  <c r="J80" i="4"/>
  <c r="T80" i="4" s="1"/>
  <c r="I80" i="4"/>
  <c r="S80" i="4" s="1"/>
  <c r="C80" i="4"/>
  <c r="B80" i="4"/>
  <c r="O79" i="4"/>
  <c r="AC79" i="4" s="1"/>
  <c r="N79" i="4"/>
  <c r="AA79" i="4" s="1"/>
  <c r="M79" i="4"/>
  <c r="L79" i="4"/>
  <c r="K79" i="4"/>
  <c r="U79" i="4" s="1"/>
  <c r="J79" i="4"/>
  <c r="T79" i="4" s="1"/>
  <c r="I79" i="4"/>
  <c r="S79" i="4" s="1"/>
  <c r="C79" i="4"/>
  <c r="B79" i="4"/>
  <c r="L78" i="4"/>
  <c r="O76" i="4"/>
  <c r="AC76" i="4" s="1"/>
  <c r="N76" i="4"/>
  <c r="AA76" i="4" s="1"/>
  <c r="M76" i="4"/>
  <c r="L76" i="4"/>
  <c r="K76" i="4"/>
  <c r="U76" i="4" s="1"/>
  <c r="J76" i="4"/>
  <c r="T76" i="4" s="1"/>
  <c r="I76" i="4"/>
  <c r="S76" i="4" s="1"/>
  <c r="C76" i="4"/>
  <c r="B76" i="4"/>
  <c r="O75" i="4"/>
  <c r="AC75" i="4" s="1"/>
  <c r="N75" i="4"/>
  <c r="AA75" i="4" s="1"/>
  <c r="M75" i="4"/>
  <c r="L75" i="4"/>
  <c r="K75" i="4"/>
  <c r="U75" i="4" s="1"/>
  <c r="J75" i="4"/>
  <c r="T75" i="4" s="1"/>
  <c r="I75" i="4"/>
  <c r="S75" i="4" s="1"/>
  <c r="C75" i="4"/>
  <c r="B75" i="4"/>
  <c r="O74" i="4"/>
  <c r="AC74" i="4" s="1"/>
  <c r="N74" i="4"/>
  <c r="AA74" i="4" s="1"/>
  <c r="M74" i="4"/>
  <c r="L74" i="4"/>
  <c r="K74" i="4"/>
  <c r="U74" i="4" s="1"/>
  <c r="J74" i="4"/>
  <c r="T74" i="4" s="1"/>
  <c r="I74" i="4"/>
  <c r="S74" i="4" s="1"/>
  <c r="H74" i="4"/>
  <c r="H84" i="4" s="1"/>
  <c r="G74" i="4"/>
  <c r="F74" i="4"/>
  <c r="E74" i="4"/>
  <c r="D74" i="4"/>
  <c r="D80" i="4" s="1"/>
  <c r="C74" i="4"/>
  <c r="B74" i="4"/>
  <c r="O73" i="4"/>
  <c r="AC73" i="4" s="1"/>
  <c r="N73" i="4"/>
  <c r="AA73" i="4" s="1"/>
  <c r="M73" i="4"/>
  <c r="L73" i="4"/>
  <c r="K73" i="4"/>
  <c r="U73" i="4" s="1"/>
  <c r="J73" i="4"/>
  <c r="T73" i="4" s="1"/>
  <c r="I73" i="4"/>
  <c r="S73" i="4" s="1"/>
  <c r="C73" i="4"/>
  <c r="B73" i="4"/>
  <c r="O72" i="4"/>
  <c r="AC72" i="4" s="1"/>
  <c r="N72" i="4"/>
  <c r="AA72" i="4" s="1"/>
  <c r="M72" i="4"/>
  <c r="L72" i="4"/>
  <c r="K72" i="4"/>
  <c r="U72" i="4" s="1"/>
  <c r="J72" i="4"/>
  <c r="T72" i="4" s="1"/>
  <c r="I72" i="4"/>
  <c r="S72" i="4" s="1"/>
  <c r="C72" i="4"/>
  <c r="B72" i="4"/>
  <c r="O71" i="4"/>
  <c r="AC71" i="4" s="1"/>
  <c r="N71" i="4"/>
  <c r="AA71" i="4" s="1"/>
  <c r="M71" i="4"/>
  <c r="L71" i="4"/>
  <c r="K71" i="4"/>
  <c r="U71" i="4" s="1"/>
  <c r="J71" i="4"/>
  <c r="T71" i="4" s="1"/>
  <c r="I71" i="4"/>
  <c r="S71" i="4" s="1"/>
  <c r="C71" i="4"/>
  <c r="B71" i="4"/>
  <c r="O70" i="4"/>
  <c r="AC70" i="4" s="1"/>
  <c r="N70" i="4"/>
  <c r="AA70" i="4" s="1"/>
  <c r="M70" i="4"/>
  <c r="L70" i="4"/>
  <c r="K70" i="4"/>
  <c r="U70" i="4" s="1"/>
  <c r="J70" i="4"/>
  <c r="T70" i="4" s="1"/>
  <c r="I70" i="4"/>
  <c r="S70" i="4" s="1"/>
  <c r="C70" i="4"/>
  <c r="B70" i="4"/>
  <c r="O69" i="4"/>
  <c r="AC69" i="4" s="1"/>
  <c r="N69" i="4"/>
  <c r="AA69" i="4" s="1"/>
  <c r="M69" i="4"/>
  <c r="L69" i="4"/>
  <c r="K69" i="4"/>
  <c r="U69" i="4" s="1"/>
  <c r="J69" i="4"/>
  <c r="T69" i="4" s="1"/>
  <c r="I69" i="4"/>
  <c r="S69" i="4" s="1"/>
  <c r="C69" i="4"/>
  <c r="B69" i="4"/>
  <c r="O68" i="4"/>
  <c r="AC68" i="4" s="1"/>
  <c r="N68" i="4"/>
  <c r="AA68" i="4" s="1"/>
  <c r="M68" i="4"/>
  <c r="L68" i="4"/>
  <c r="K68" i="4"/>
  <c r="U68" i="4" s="1"/>
  <c r="J68" i="4"/>
  <c r="T68" i="4" s="1"/>
  <c r="I68" i="4"/>
  <c r="S68" i="4" s="1"/>
  <c r="C68" i="4"/>
  <c r="B68" i="4"/>
  <c r="O67" i="4"/>
  <c r="AC67" i="4" s="1"/>
  <c r="N67" i="4"/>
  <c r="AA67" i="4" s="1"/>
  <c r="M67" i="4"/>
  <c r="L67" i="4"/>
  <c r="K67" i="4"/>
  <c r="U67" i="4" s="1"/>
  <c r="J67" i="4"/>
  <c r="T67" i="4" s="1"/>
  <c r="I67" i="4"/>
  <c r="S67" i="4" s="1"/>
  <c r="C67" i="4"/>
  <c r="B67" i="4"/>
  <c r="O64" i="4"/>
  <c r="AC64" i="4" s="1"/>
  <c r="N64" i="4"/>
  <c r="AA64" i="4" s="1"/>
  <c r="M64" i="4"/>
  <c r="L64" i="4"/>
  <c r="K64" i="4"/>
  <c r="U64" i="4" s="1"/>
  <c r="J64" i="4"/>
  <c r="T64" i="4" s="1"/>
  <c r="I64" i="4"/>
  <c r="S64" i="4" s="1"/>
  <c r="C64" i="4"/>
  <c r="B64" i="4"/>
  <c r="O63" i="4"/>
  <c r="AC63" i="4" s="1"/>
  <c r="N63" i="4"/>
  <c r="AA63" i="4" s="1"/>
  <c r="M63" i="4"/>
  <c r="L63" i="4"/>
  <c r="K63" i="4"/>
  <c r="U63" i="4" s="1"/>
  <c r="J63" i="4"/>
  <c r="T63" i="4" s="1"/>
  <c r="I63" i="4"/>
  <c r="S63" i="4" s="1"/>
  <c r="C63" i="4"/>
  <c r="B63" i="4"/>
  <c r="O62" i="4"/>
  <c r="AC62" i="4" s="1"/>
  <c r="N62" i="4"/>
  <c r="AA62" i="4" s="1"/>
  <c r="M62" i="4"/>
  <c r="L62" i="4"/>
  <c r="K62" i="4"/>
  <c r="U62" i="4" s="1"/>
  <c r="J62" i="4"/>
  <c r="T62" i="4" s="1"/>
  <c r="I62" i="4"/>
  <c r="S62" i="4" s="1"/>
  <c r="H62" i="4"/>
  <c r="G62" i="4"/>
  <c r="F62" i="4"/>
  <c r="E62" i="4"/>
  <c r="D62" i="4"/>
  <c r="C62" i="4"/>
  <c r="B62" i="4"/>
  <c r="O61" i="4"/>
  <c r="AC61" i="4" s="1"/>
  <c r="N61" i="4"/>
  <c r="AA61" i="4" s="1"/>
  <c r="M61" i="4"/>
  <c r="L61" i="4"/>
  <c r="K61" i="4"/>
  <c r="U61" i="4" s="1"/>
  <c r="J61" i="4"/>
  <c r="T61" i="4" s="1"/>
  <c r="I61" i="4"/>
  <c r="S61" i="4" s="1"/>
  <c r="C61" i="4"/>
  <c r="B61" i="4"/>
  <c r="O60" i="4"/>
  <c r="AC60" i="4" s="1"/>
  <c r="N60" i="4"/>
  <c r="AA60" i="4" s="1"/>
  <c r="M60" i="4"/>
  <c r="L60" i="4"/>
  <c r="K60" i="4"/>
  <c r="U60" i="4" s="1"/>
  <c r="J60" i="4"/>
  <c r="T60" i="4" s="1"/>
  <c r="I60" i="4"/>
  <c r="S60" i="4" s="1"/>
  <c r="C60" i="4"/>
  <c r="B60" i="4"/>
  <c r="O59" i="4"/>
  <c r="AC59" i="4" s="1"/>
  <c r="N59" i="4"/>
  <c r="AA59" i="4" s="1"/>
  <c r="M59" i="4"/>
  <c r="L59" i="4"/>
  <c r="K59" i="4"/>
  <c r="U59" i="4" s="1"/>
  <c r="J59" i="4"/>
  <c r="T59" i="4" s="1"/>
  <c r="I59" i="4"/>
  <c r="S59" i="4" s="1"/>
  <c r="C59" i="4"/>
  <c r="B59" i="4"/>
  <c r="O58" i="4"/>
  <c r="AC58" i="4" s="1"/>
  <c r="N58" i="4"/>
  <c r="AA58" i="4" s="1"/>
  <c r="M58" i="4"/>
  <c r="L58" i="4"/>
  <c r="K58" i="4"/>
  <c r="U58" i="4" s="1"/>
  <c r="J58" i="4"/>
  <c r="T58" i="4" s="1"/>
  <c r="I58" i="4"/>
  <c r="S58" i="4" s="1"/>
  <c r="C58" i="4"/>
  <c r="B58" i="4"/>
  <c r="O57" i="4"/>
  <c r="AC57" i="4" s="1"/>
  <c r="N57" i="4"/>
  <c r="AA57" i="4" s="1"/>
  <c r="M57" i="4"/>
  <c r="L57" i="4"/>
  <c r="K57" i="4"/>
  <c r="U57" i="4" s="1"/>
  <c r="J57" i="4"/>
  <c r="T57" i="4" s="1"/>
  <c r="I57" i="4"/>
  <c r="S57" i="4" s="1"/>
  <c r="C57" i="4"/>
  <c r="B57" i="4"/>
  <c r="O56" i="4"/>
  <c r="AC56" i="4" s="1"/>
  <c r="N56" i="4"/>
  <c r="AA56" i="4" s="1"/>
  <c r="M56" i="4"/>
  <c r="L56" i="4"/>
  <c r="K56" i="4"/>
  <c r="U56" i="4" s="1"/>
  <c r="J56" i="4"/>
  <c r="T56" i="4" s="1"/>
  <c r="I56" i="4"/>
  <c r="S56" i="4" s="1"/>
  <c r="C56" i="4"/>
  <c r="B56" i="4"/>
  <c r="O55" i="4"/>
  <c r="AC55" i="4" s="1"/>
  <c r="N55" i="4"/>
  <c r="AA55" i="4" s="1"/>
  <c r="M55" i="4"/>
  <c r="L55" i="4"/>
  <c r="K55" i="4"/>
  <c r="U55" i="4" s="1"/>
  <c r="J55" i="4"/>
  <c r="T55" i="4" s="1"/>
  <c r="I55" i="4"/>
  <c r="S55" i="4" s="1"/>
  <c r="C55" i="4"/>
  <c r="B55" i="4"/>
  <c r="J54" i="4"/>
  <c r="T54" i="4" s="1"/>
  <c r="I53" i="4"/>
  <c r="S53" i="4" s="1"/>
  <c r="O52" i="4"/>
  <c r="AC52" i="4" s="1"/>
  <c r="N52" i="4"/>
  <c r="AA52" i="4" s="1"/>
  <c r="M52" i="4"/>
  <c r="L52" i="4"/>
  <c r="K52" i="4"/>
  <c r="U52" i="4" s="1"/>
  <c r="J52" i="4"/>
  <c r="T52" i="4" s="1"/>
  <c r="I52" i="4"/>
  <c r="S52" i="4" s="1"/>
  <c r="C52" i="4"/>
  <c r="B52" i="4"/>
  <c r="O51" i="4"/>
  <c r="AC51" i="4" s="1"/>
  <c r="N51" i="4"/>
  <c r="AA51" i="4" s="1"/>
  <c r="M51" i="4"/>
  <c r="L51" i="4"/>
  <c r="K51" i="4"/>
  <c r="U51" i="4" s="1"/>
  <c r="J51" i="4"/>
  <c r="T51" i="4" s="1"/>
  <c r="I51" i="4"/>
  <c r="S51" i="4" s="1"/>
  <c r="C51" i="4"/>
  <c r="B51" i="4"/>
  <c r="O50" i="4"/>
  <c r="AC50" i="4" s="1"/>
  <c r="N50" i="4"/>
  <c r="AA50" i="4" s="1"/>
  <c r="M50" i="4"/>
  <c r="L50" i="4"/>
  <c r="K50" i="4"/>
  <c r="U50" i="4" s="1"/>
  <c r="J50" i="4"/>
  <c r="T50" i="4" s="1"/>
  <c r="I50" i="4"/>
  <c r="S50" i="4" s="1"/>
  <c r="H50" i="4"/>
  <c r="G50" i="4"/>
  <c r="F50" i="4"/>
  <c r="E50" i="4"/>
  <c r="D50" i="4"/>
  <c r="C50" i="4"/>
  <c r="B50" i="4"/>
  <c r="O49" i="4"/>
  <c r="AC49" i="4" s="1"/>
  <c r="N49" i="4"/>
  <c r="AA49" i="4" s="1"/>
  <c r="M49" i="4"/>
  <c r="L49" i="4"/>
  <c r="K49" i="4"/>
  <c r="U49" i="4" s="1"/>
  <c r="J49" i="4"/>
  <c r="T49" i="4" s="1"/>
  <c r="I49" i="4"/>
  <c r="S49" i="4" s="1"/>
  <c r="C49" i="4"/>
  <c r="B49" i="4"/>
  <c r="O48" i="4"/>
  <c r="AC48" i="4" s="1"/>
  <c r="N48" i="4"/>
  <c r="AA48" i="4" s="1"/>
  <c r="M48" i="4"/>
  <c r="L48" i="4"/>
  <c r="K48" i="4"/>
  <c r="U48" i="4" s="1"/>
  <c r="J48" i="4"/>
  <c r="T48" i="4" s="1"/>
  <c r="I48" i="4"/>
  <c r="S48" i="4" s="1"/>
  <c r="C48" i="4"/>
  <c r="B48" i="4"/>
  <c r="O47" i="4"/>
  <c r="AC47" i="4" s="1"/>
  <c r="N47" i="4"/>
  <c r="AA47" i="4" s="1"/>
  <c r="M47" i="4"/>
  <c r="L47" i="4"/>
  <c r="K47" i="4"/>
  <c r="U47" i="4" s="1"/>
  <c r="J47" i="4"/>
  <c r="T47" i="4" s="1"/>
  <c r="I47" i="4"/>
  <c r="S47" i="4" s="1"/>
  <c r="C47" i="4"/>
  <c r="B47" i="4"/>
  <c r="O46" i="4"/>
  <c r="AC46" i="4" s="1"/>
  <c r="N46" i="4"/>
  <c r="AA46" i="4" s="1"/>
  <c r="M46" i="4"/>
  <c r="L46" i="4"/>
  <c r="K46" i="4"/>
  <c r="U46" i="4" s="1"/>
  <c r="J46" i="4"/>
  <c r="T46" i="4" s="1"/>
  <c r="I46" i="4"/>
  <c r="S46" i="4" s="1"/>
  <c r="C46" i="4"/>
  <c r="B46" i="4"/>
  <c r="O45" i="4"/>
  <c r="AC45" i="4" s="1"/>
  <c r="N45" i="4"/>
  <c r="AA45" i="4" s="1"/>
  <c r="M45" i="4"/>
  <c r="L45" i="4"/>
  <c r="K45" i="4"/>
  <c r="U45" i="4" s="1"/>
  <c r="J45" i="4"/>
  <c r="T45" i="4" s="1"/>
  <c r="I45" i="4"/>
  <c r="S45" i="4" s="1"/>
  <c r="C45" i="4"/>
  <c r="B45" i="4"/>
  <c r="O44" i="4"/>
  <c r="AC44" i="4" s="1"/>
  <c r="N44" i="4"/>
  <c r="AA44" i="4" s="1"/>
  <c r="M44" i="4"/>
  <c r="L44" i="4"/>
  <c r="K44" i="4"/>
  <c r="U44" i="4" s="1"/>
  <c r="J44" i="4"/>
  <c r="T44" i="4" s="1"/>
  <c r="I44" i="4"/>
  <c r="S44" i="4" s="1"/>
  <c r="C44" i="4"/>
  <c r="B44" i="4"/>
  <c r="O43" i="4"/>
  <c r="AC43" i="4" s="1"/>
  <c r="N43" i="4"/>
  <c r="AA43" i="4" s="1"/>
  <c r="M43" i="4"/>
  <c r="L43" i="4"/>
  <c r="K43" i="4"/>
  <c r="U43" i="4" s="1"/>
  <c r="J43" i="4"/>
  <c r="T43" i="4" s="1"/>
  <c r="I43" i="4"/>
  <c r="S43" i="4" s="1"/>
  <c r="C43" i="4"/>
  <c r="B43" i="4"/>
  <c r="O42" i="4"/>
  <c r="AC42" i="4" s="1"/>
  <c r="O40" i="4"/>
  <c r="AC40" i="4" s="1"/>
  <c r="N40" i="4"/>
  <c r="AA40" i="4" s="1"/>
  <c r="M40" i="4"/>
  <c r="L40" i="4"/>
  <c r="K40" i="4"/>
  <c r="U40" i="4" s="1"/>
  <c r="J40" i="4"/>
  <c r="T40" i="4" s="1"/>
  <c r="I40" i="4"/>
  <c r="S40" i="4" s="1"/>
  <c r="C40" i="4"/>
  <c r="B40" i="4"/>
  <c r="O39" i="4"/>
  <c r="AC39" i="4" s="1"/>
  <c r="N39" i="4"/>
  <c r="AA39" i="4" s="1"/>
  <c r="M39" i="4"/>
  <c r="L39" i="4"/>
  <c r="K39" i="4"/>
  <c r="U39" i="4" s="1"/>
  <c r="J39" i="4"/>
  <c r="T39" i="4" s="1"/>
  <c r="I39" i="4"/>
  <c r="S39" i="4" s="1"/>
  <c r="C39" i="4"/>
  <c r="B39" i="4"/>
  <c r="O38" i="4"/>
  <c r="AC38" i="4" s="1"/>
  <c r="N38" i="4"/>
  <c r="AA38" i="4" s="1"/>
  <c r="M38" i="4"/>
  <c r="L38" i="4"/>
  <c r="K38" i="4"/>
  <c r="U38" i="4" s="1"/>
  <c r="J38" i="4"/>
  <c r="T38" i="4" s="1"/>
  <c r="I38" i="4"/>
  <c r="S38" i="4" s="1"/>
  <c r="H38" i="4"/>
  <c r="G38" i="4"/>
  <c r="F38" i="4"/>
  <c r="E38" i="4"/>
  <c r="D38" i="4"/>
  <c r="D41" i="4" s="1"/>
  <c r="C38" i="4"/>
  <c r="B38" i="4"/>
  <c r="O37" i="4"/>
  <c r="AC37" i="4" s="1"/>
  <c r="N37" i="4"/>
  <c r="AA37" i="4" s="1"/>
  <c r="M37" i="4"/>
  <c r="L37" i="4"/>
  <c r="K37" i="4"/>
  <c r="U37" i="4" s="1"/>
  <c r="J37" i="4"/>
  <c r="T37" i="4" s="1"/>
  <c r="I37" i="4"/>
  <c r="S37" i="4" s="1"/>
  <c r="C37" i="4"/>
  <c r="B37" i="4"/>
  <c r="O36" i="4"/>
  <c r="AC36" i="4" s="1"/>
  <c r="N36" i="4"/>
  <c r="AA36" i="4" s="1"/>
  <c r="M36" i="4"/>
  <c r="L36" i="4"/>
  <c r="K36" i="4"/>
  <c r="U36" i="4" s="1"/>
  <c r="J36" i="4"/>
  <c r="T36" i="4" s="1"/>
  <c r="I36" i="4"/>
  <c r="S36" i="4" s="1"/>
  <c r="C36" i="4"/>
  <c r="B36" i="4"/>
  <c r="O35" i="4"/>
  <c r="AC35" i="4" s="1"/>
  <c r="N35" i="4"/>
  <c r="AA35" i="4" s="1"/>
  <c r="M35" i="4"/>
  <c r="L35" i="4"/>
  <c r="K35" i="4"/>
  <c r="U35" i="4" s="1"/>
  <c r="J35" i="4"/>
  <c r="T35" i="4" s="1"/>
  <c r="I35" i="4"/>
  <c r="S35" i="4" s="1"/>
  <c r="C35" i="4"/>
  <c r="B35" i="4"/>
  <c r="O34" i="4"/>
  <c r="AC34" i="4" s="1"/>
  <c r="N34" i="4"/>
  <c r="AA34" i="4" s="1"/>
  <c r="M34" i="4"/>
  <c r="L34" i="4"/>
  <c r="K34" i="4"/>
  <c r="U34" i="4" s="1"/>
  <c r="J34" i="4"/>
  <c r="T34" i="4" s="1"/>
  <c r="I34" i="4"/>
  <c r="S34" i="4" s="1"/>
  <c r="C34" i="4"/>
  <c r="B34" i="4"/>
  <c r="O33" i="4"/>
  <c r="AC33" i="4" s="1"/>
  <c r="N33" i="4"/>
  <c r="AA33" i="4" s="1"/>
  <c r="M33" i="4"/>
  <c r="L33" i="4"/>
  <c r="K33" i="4"/>
  <c r="U33" i="4" s="1"/>
  <c r="J33" i="4"/>
  <c r="T33" i="4" s="1"/>
  <c r="I33" i="4"/>
  <c r="S33" i="4" s="1"/>
  <c r="C33" i="4"/>
  <c r="B33" i="4"/>
  <c r="O32" i="4"/>
  <c r="AC32" i="4" s="1"/>
  <c r="N32" i="4"/>
  <c r="AA32" i="4" s="1"/>
  <c r="M32" i="4"/>
  <c r="L32" i="4"/>
  <c r="K32" i="4"/>
  <c r="U32" i="4" s="1"/>
  <c r="J32" i="4"/>
  <c r="T32" i="4" s="1"/>
  <c r="I32" i="4"/>
  <c r="S32" i="4" s="1"/>
  <c r="C32" i="4"/>
  <c r="B32" i="4"/>
  <c r="O31" i="4"/>
  <c r="AC31" i="4" s="1"/>
  <c r="N31" i="4"/>
  <c r="AA31" i="4" s="1"/>
  <c r="M31" i="4"/>
  <c r="L31" i="4"/>
  <c r="K31" i="4"/>
  <c r="U31" i="4" s="1"/>
  <c r="J31" i="4"/>
  <c r="T31" i="4" s="1"/>
  <c r="I31" i="4"/>
  <c r="S31" i="4" s="1"/>
  <c r="C31" i="4"/>
  <c r="B31" i="4"/>
  <c r="C30" i="4"/>
  <c r="O28" i="4"/>
  <c r="AC28" i="4" s="1"/>
  <c r="N28" i="4"/>
  <c r="AA28" i="4" s="1"/>
  <c r="M28" i="4"/>
  <c r="L28" i="4"/>
  <c r="K28" i="4"/>
  <c r="U28" i="4" s="1"/>
  <c r="J28" i="4"/>
  <c r="T28" i="4" s="1"/>
  <c r="I28" i="4"/>
  <c r="S28" i="4" s="1"/>
  <c r="C28" i="4"/>
  <c r="B28" i="4"/>
  <c r="O27" i="4"/>
  <c r="AC27" i="4" s="1"/>
  <c r="N27" i="4"/>
  <c r="AA27" i="4" s="1"/>
  <c r="M27" i="4"/>
  <c r="L27" i="4"/>
  <c r="K27" i="4"/>
  <c r="U27" i="4" s="1"/>
  <c r="J27" i="4"/>
  <c r="T27" i="4" s="1"/>
  <c r="I27" i="4"/>
  <c r="S27" i="4" s="1"/>
  <c r="C27" i="4"/>
  <c r="B27" i="4"/>
  <c r="O26" i="4"/>
  <c r="AC26" i="4" s="1"/>
  <c r="N26" i="4"/>
  <c r="AA26" i="4" s="1"/>
  <c r="M26" i="4"/>
  <c r="L26" i="4"/>
  <c r="K26" i="4"/>
  <c r="U26" i="4" s="1"/>
  <c r="J26" i="4"/>
  <c r="T26" i="4" s="1"/>
  <c r="I26" i="4"/>
  <c r="S26" i="4" s="1"/>
  <c r="H26" i="4"/>
  <c r="G26" i="4"/>
  <c r="F26" i="4"/>
  <c r="F30" i="4" s="1"/>
  <c r="E26" i="4"/>
  <c r="D26" i="4"/>
  <c r="C26" i="4"/>
  <c r="B26" i="4"/>
  <c r="O25" i="4"/>
  <c r="AC25" i="4" s="1"/>
  <c r="N25" i="4"/>
  <c r="AA25" i="4" s="1"/>
  <c r="M25" i="4"/>
  <c r="L25" i="4"/>
  <c r="K25" i="4"/>
  <c r="U25" i="4" s="1"/>
  <c r="J25" i="4"/>
  <c r="T25" i="4" s="1"/>
  <c r="I25" i="4"/>
  <c r="S25" i="4" s="1"/>
  <c r="C25" i="4"/>
  <c r="B25" i="4"/>
  <c r="O24" i="4"/>
  <c r="AC24" i="4" s="1"/>
  <c r="N24" i="4"/>
  <c r="AA24" i="4" s="1"/>
  <c r="M24" i="4"/>
  <c r="L24" i="4"/>
  <c r="K24" i="4"/>
  <c r="U24" i="4" s="1"/>
  <c r="J24" i="4"/>
  <c r="T24" i="4" s="1"/>
  <c r="I24" i="4"/>
  <c r="S24" i="4" s="1"/>
  <c r="C24" i="4"/>
  <c r="B24" i="4"/>
  <c r="O23" i="4"/>
  <c r="AC23" i="4" s="1"/>
  <c r="N23" i="4"/>
  <c r="AA23" i="4" s="1"/>
  <c r="M23" i="4"/>
  <c r="L23" i="4"/>
  <c r="K23" i="4"/>
  <c r="U23" i="4" s="1"/>
  <c r="J23" i="4"/>
  <c r="T23" i="4" s="1"/>
  <c r="I23" i="4"/>
  <c r="S23" i="4" s="1"/>
  <c r="C23" i="4"/>
  <c r="B23" i="4"/>
  <c r="O22" i="4"/>
  <c r="AC22" i="4" s="1"/>
  <c r="N22" i="4"/>
  <c r="AA22" i="4" s="1"/>
  <c r="M22" i="4"/>
  <c r="L22" i="4"/>
  <c r="K22" i="4"/>
  <c r="U22" i="4" s="1"/>
  <c r="J22" i="4"/>
  <c r="T22" i="4" s="1"/>
  <c r="I22" i="4"/>
  <c r="S22" i="4" s="1"/>
  <c r="C22" i="4"/>
  <c r="B22" i="4"/>
  <c r="O21" i="4"/>
  <c r="AC21" i="4" s="1"/>
  <c r="N21" i="4"/>
  <c r="AA21" i="4" s="1"/>
  <c r="M21" i="4"/>
  <c r="L21" i="4"/>
  <c r="K21" i="4"/>
  <c r="U21" i="4" s="1"/>
  <c r="J21" i="4"/>
  <c r="T21" i="4" s="1"/>
  <c r="I21" i="4"/>
  <c r="S21" i="4" s="1"/>
  <c r="C21" i="4"/>
  <c r="B21" i="4"/>
  <c r="O20" i="4"/>
  <c r="AC20" i="4" s="1"/>
  <c r="N20" i="4"/>
  <c r="AA20" i="4" s="1"/>
  <c r="M20" i="4"/>
  <c r="L20" i="4"/>
  <c r="K20" i="4"/>
  <c r="U20" i="4" s="1"/>
  <c r="J20" i="4"/>
  <c r="T20" i="4" s="1"/>
  <c r="I20" i="4"/>
  <c r="S20" i="4" s="1"/>
  <c r="C20" i="4"/>
  <c r="B20" i="4"/>
  <c r="O19" i="4"/>
  <c r="AC19" i="4" s="1"/>
  <c r="N19" i="4"/>
  <c r="AA19" i="4" s="1"/>
  <c r="M19" i="4"/>
  <c r="L19" i="4"/>
  <c r="K19" i="4"/>
  <c r="U19" i="4" s="1"/>
  <c r="J19" i="4"/>
  <c r="T19" i="4" s="1"/>
  <c r="I19" i="4"/>
  <c r="S19" i="4" s="1"/>
  <c r="C19" i="4"/>
  <c r="B19" i="4"/>
  <c r="M18" i="4"/>
  <c r="O17" i="4"/>
  <c r="AC17" i="4" s="1"/>
  <c r="O16" i="4"/>
  <c r="AC16" i="4" s="1"/>
  <c r="N16" i="4"/>
  <c r="AA16" i="4" s="1"/>
  <c r="M16" i="4"/>
  <c r="L16" i="4"/>
  <c r="K16" i="4"/>
  <c r="U16" i="4" s="1"/>
  <c r="J16" i="4"/>
  <c r="T16" i="4" s="1"/>
  <c r="I16" i="4"/>
  <c r="S16" i="4" s="1"/>
  <c r="C16" i="4"/>
  <c r="B16" i="4"/>
  <c r="O15" i="4"/>
  <c r="AC15" i="4" s="1"/>
  <c r="N15" i="4"/>
  <c r="AA15" i="4" s="1"/>
  <c r="M15" i="4"/>
  <c r="L15" i="4"/>
  <c r="K15" i="4"/>
  <c r="U15" i="4" s="1"/>
  <c r="J15" i="4"/>
  <c r="T15" i="4" s="1"/>
  <c r="I15" i="4"/>
  <c r="S15" i="4" s="1"/>
  <c r="C15" i="4"/>
  <c r="B15" i="4"/>
  <c r="O14" i="4"/>
  <c r="AC14" i="4" s="1"/>
  <c r="N14" i="4"/>
  <c r="AA14" i="4" s="1"/>
  <c r="M14" i="4"/>
  <c r="L14" i="4"/>
  <c r="K14" i="4"/>
  <c r="U14" i="4" s="1"/>
  <c r="J14" i="4"/>
  <c r="T14" i="4" s="1"/>
  <c r="I14" i="4"/>
  <c r="S14" i="4" s="1"/>
  <c r="H14" i="4"/>
  <c r="G14" i="4"/>
  <c r="F14" i="4"/>
  <c r="E14" i="4"/>
  <c r="D14" i="4"/>
  <c r="C14" i="4"/>
  <c r="B14" i="4"/>
  <c r="O13" i="4"/>
  <c r="AC13" i="4" s="1"/>
  <c r="N13" i="4"/>
  <c r="AA13" i="4" s="1"/>
  <c r="M13" i="4"/>
  <c r="L13" i="4"/>
  <c r="K13" i="4"/>
  <c r="U13" i="4" s="1"/>
  <c r="J13" i="4"/>
  <c r="T13" i="4" s="1"/>
  <c r="I13" i="4"/>
  <c r="S13" i="4" s="1"/>
  <c r="C13" i="4"/>
  <c r="B13" i="4"/>
  <c r="O12" i="4"/>
  <c r="AC12" i="4" s="1"/>
  <c r="N12" i="4"/>
  <c r="AA12" i="4" s="1"/>
  <c r="M12" i="4"/>
  <c r="L12" i="4"/>
  <c r="K12" i="4"/>
  <c r="U12" i="4" s="1"/>
  <c r="J12" i="4"/>
  <c r="T12" i="4" s="1"/>
  <c r="I12" i="4"/>
  <c r="S12" i="4" s="1"/>
  <c r="C12" i="4"/>
  <c r="B12" i="4"/>
  <c r="O11" i="4"/>
  <c r="AC11" i="4" s="1"/>
  <c r="N11" i="4"/>
  <c r="AA11" i="4" s="1"/>
  <c r="M11" i="4"/>
  <c r="L11" i="4"/>
  <c r="K11" i="4"/>
  <c r="U11" i="4" s="1"/>
  <c r="J11" i="4"/>
  <c r="T11" i="4" s="1"/>
  <c r="I11" i="4"/>
  <c r="S11" i="4" s="1"/>
  <c r="C11" i="4"/>
  <c r="B11" i="4"/>
  <c r="O10" i="4"/>
  <c r="AC10" i="4" s="1"/>
  <c r="N10" i="4"/>
  <c r="AA10" i="4" s="1"/>
  <c r="M10" i="4"/>
  <c r="L10" i="4"/>
  <c r="K10" i="4"/>
  <c r="U10" i="4" s="1"/>
  <c r="J10" i="4"/>
  <c r="T10" i="4" s="1"/>
  <c r="I10" i="4"/>
  <c r="S10" i="4" s="1"/>
  <c r="C10" i="4"/>
  <c r="B10" i="4"/>
  <c r="O9" i="4"/>
  <c r="AC9" i="4" s="1"/>
  <c r="N9" i="4"/>
  <c r="AA9" i="4" s="1"/>
  <c r="M9" i="4"/>
  <c r="L9" i="4"/>
  <c r="K9" i="4"/>
  <c r="U9" i="4" s="1"/>
  <c r="J9" i="4"/>
  <c r="T9" i="4" s="1"/>
  <c r="I9" i="4"/>
  <c r="S9" i="4" s="1"/>
  <c r="C9" i="4"/>
  <c r="B9" i="4"/>
  <c r="O8" i="4"/>
  <c r="AC8" i="4" s="1"/>
  <c r="N8" i="4"/>
  <c r="AA8" i="4" s="1"/>
  <c r="M8" i="4"/>
  <c r="L8" i="4"/>
  <c r="K8" i="4"/>
  <c r="U8" i="4" s="1"/>
  <c r="J8" i="4"/>
  <c r="T8" i="4" s="1"/>
  <c r="I8" i="4"/>
  <c r="S8" i="4" s="1"/>
  <c r="C8" i="4"/>
  <c r="B8" i="4"/>
  <c r="O7" i="4"/>
  <c r="AC7" i="4" s="1"/>
  <c r="N7" i="4"/>
  <c r="AA7" i="4" s="1"/>
  <c r="M7" i="4"/>
  <c r="L7" i="4"/>
  <c r="K7" i="4"/>
  <c r="U7" i="4" s="1"/>
  <c r="J7" i="4"/>
  <c r="T7" i="4" s="1"/>
  <c r="I7" i="4"/>
  <c r="S7" i="4" s="1"/>
  <c r="C7" i="4"/>
  <c r="B7" i="4"/>
  <c r="O6" i="4"/>
  <c r="AC6" i="4" s="1"/>
  <c r="N6" i="4"/>
  <c r="AA6" i="4" s="1"/>
  <c r="M6" i="4"/>
  <c r="L6" i="4"/>
  <c r="K6" i="4"/>
  <c r="U6" i="4" s="1"/>
  <c r="J6" i="4"/>
  <c r="T6" i="4" s="1"/>
  <c r="I6" i="4"/>
  <c r="S6" i="4" s="1"/>
  <c r="C6" i="4"/>
  <c r="B6" i="4"/>
  <c r="O5" i="4"/>
  <c r="AC5" i="4" s="1"/>
  <c r="N5" i="4"/>
  <c r="AA5" i="4" s="1"/>
  <c r="M5" i="4"/>
  <c r="L5" i="4"/>
  <c r="K5" i="4"/>
  <c r="U5" i="4" s="1"/>
  <c r="J5" i="4"/>
  <c r="T5" i="4" s="1"/>
  <c r="I5" i="4"/>
  <c r="S5" i="4" s="1"/>
  <c r="C5" i="4"/>
  <c r="B5" i="4"/>
  <c r="O4" i="4"/>
  <c r="AC4" i="4" s="1"/>
  <c r="N4" i="4"/>
  <c r="AA4" i="4" s="1"/>
  <c r="M4" i="4"/>
  <c r="L4" i="4"/>
  <c r="K4" i="4"/>
  <c r="U4" i="4" s="1"/>
  <c r="J4" i="4"/>
  <c r="T4" i="4" s="1"/>
  <c r="I4" i="4"/>
  <c r="S4" i="4" s="1"/>
  <c r="C4" i="4"/>
  <c r="B4" i="4"/>
  <c r="O2" i="4"/>
  <c r="AC2" i="4" s="1"/>
  <c r="N2" i="4"/>
  <c r="AA2" i="4" s="1"/>
  <c r="M2" i="4"/>
  <c r="Y2" i="4" s="1"/>
  <c r="L2" i="4"/>
  <c r="X2" i="4" s="1"/>
  <c r="K2" i="4"/>
  <c r="U2" i="4" s="1"/>
  <c r="J2" i="4"/>
  <c r="T2" i="4" s="1"/>
  <c r="I2" i="4"/>
  <c r="S2" i="4" s="1"/>
  <c r="H2" i="4"/>
  <c r="G2" i="4"/>
  <c r="F2" i="4"/>
  <c r="W2" i="4" s="1"/>
  <c r="E2" i="4"/>
  <c r="V2" i="4" s="1"/>
  <c r="D2" i="4"/>
  <c r="C2" i="4"/>
  <c r="B2" i="4"/>
  <c r="N368" i="4" l="1"/>
  <c r="AA368" i="4" s="1"/>
  <c r="B380" i="4"/>
  <c r="K392" i="4"/>
  <c r="U392" i="4" s="1"/>
  <c r="I416" i="4"/>
  <c r="S416" i="4" s="1"/>
  <c r="M428" i="4"/>
  <c r="C440" i="4"/>
  <c r="O452" i="4"/>
  <c r="AC452" i="4" s="1"/>
  <c r="J464" i="4"/>
  <c r="T464" i="4" s="1"/>
  <c r="M488" i="4"/>
  <c r="J500" i="4"/>
  <c r="T500" i="4" s="1"/>
  <c r="M524" i="4"/>
  <c r="I536" i="4"/>
  <c r="S536" i="4" s="1"/>
  <c r="O560" i="4"/>
  <c r="AC560" i="4" s="1"/>
  <c r="J572" i="4"/>
  <c r="T572" i="4" s="1"/>
  <c r="O596" i="4"/>
  <c r="AC596" i="4" s="1"/>
  <c r="K608" i="4"/>
  <c r="U608" i="4" s="1"/>
  <c r="C620" i="4"/>
  <c r="O644" i="4"/>
  <c r="AC644" i="4" s="1"/>
  <c r="L656" i="4"/>
  <c r="C668" i="4"/>
  <c r="N692" i="4"/>
  <c r="AA692" i="4" s="1"/>
  <c r="J704" i="4"/>
  <c r="T704" i="4" s="1"/>
  <c r="B716" i="4"/>
  <c r="M740" i="4"/>
  <c r="J752" i="4"/>
  <c r="T752" i="4" s="1"/>
  <c r="B764" i="4"/>
  <c r="O776" i="4"/>
  <c r="AC776" i="4" s="1"/>
  <c r="M788" i="4"/>
  <c r="J800" i="4"/>
  <c r="T800" i="4" s="1"/>
  <c r="B812" i="4"/>
  <c r="M836" i="4"/>
  <c r="K848" i="4"/>
  <c r="U848" i="4" s="1"/>
  <c r="C860" i="4"/>
  <c r="O884" i="4"/>
  <c r="AC884" i="4" s="1"/>
  <c r="L896" i="4"/>
  <c r="I908" i="4"/>
  <c r="S908" i="4" s="1"/>
  <c r="M944" i="4"/>
  <c r="C955" i="4"/>
  <c r="K956" i="4"/>
  <c r="U956" i="4" s="1"/>
  <c r="B967" i="4"/>
  <c r="J968" i="4"/>
  <c r="T968" i="4" s="1"/>
  <c r="C979" i="4"/>
  <c r="K980" i="4"/>
  <c r="U980" i="4" s="1"/>
  <c r="G991" i="4"/>
  <c r="E992" i="4"/>
  <c r="R893" i="4"/>
  <c r="M356" i="4"/>
  <c r="O368" i="4"/>
  <c r="AC368" i="4" s="1"/>
  <c r="C380" i="4"/>
  <c r="L392" i="4"/>
  <c r="J416" i="4"/>
  <c r="T416" i="4" s="1"/>
  <c r="N428" i="4"/>
  <c r="AA428" i="4" s="1"/>
  <c r="I440" i="4"/>
  <c r="S440" i="4" s="1"/>
  <c r="K464" i="4"/>
  <c r="U464" i="4" s="1"/>
  <c r="N488" i="4"/>
  <c r="AA488" i="4" s="1"/>
  <c r="K500" i="4"/>
  <c r="U500" i="4" s="1"/>
  <c r="N524" i="4"/>
  <c r="AA524" i="4" s="1"/>
  <c r="J536" i="4"/>
  <c r="T536" i="4" s="1"/>
  <c r="K572" i="4"/>
  <c r="U572" i="4" s="1"/>
  <c r="B584" i="4"/>
  <c r="L608" i="4"/>
  <c r="I620" i="4"/>
  <c r="S620" i="4" s="1"/>
  <c r="M656" i="4"/>
  <c r="I668" i="4"/>
  <c r="S668" i="4" s="1"/>
  <c r="O692" i="4"/>
  <c r="AC692" i="4" s="1"/>
  <c r="K704" i="4"/>
  <c r="U704" i="4" s="1"/>
  <c r="C716" i="4"/>
  <c r="N740" i="4"/>
  <c r="AA740" i="4" s="1"/>
  <c r="K752" i="4"/>
  <c r="U752" i="4" s="1"/>
  <c r="C764" i="4"/>
  <c r="N788" i="4"/>
  <c r="AA788" i="4" s="1"/>
  <c r="K800" i="4"/>
  <c r="U800" i="4" s="1"/>
  <c r="C812" i="4"/>
  <c r="N836" i="4"/>
  <c r="AA836" i="4" s="1"/>
  <c r="L848" i="4"/>
  <c r="I860" i="4"/>
  <c r="S860" i="4" s="1"/>
  <c r="B872" i="4"/>
  <c r="M896" i="4"/>
  <c r="J908" i="4"/>
  <c r="T908" i="4" s="1"/>
  <c r="B920" i="4"/>
  <c r="N944" i="4"/>
  <c r="AA944" i="4" s="1"/>
  <c r="I955" i="4"/>
  <c r="S955" i="4" s="1"/>
  <c r="L956" i="4"/>
  <c r="C967" i="4"/>
  <c r="K968" i="4"/>
  <c r="U968" i="4" s="1"/>
  <c r="I979" i="4"/>
  <c r="S979" i="4" s="1"/>
  <c r="L980" i="4"/>
  <c r="H991" i="4"/>
  <c r="F992" i="4"/>
  <c r="N956" i="4"/>
  <c r="AA956" i="4" s="1"/>
  <c r="M968" i="4"/>
  <c r="N980" i="4"/>
  <c r="AA980" i="4" s="1"/>
  <c r="H992" i="4"/>
  <c r="K764" i="4"/>
  <c r="U764" i="4" s="1"/>
  <c r="B776" i="4"/>
  <c r="N800" i="4"/>
  <c r="AA800" i="4" s="1"/>
  <c r="K812" i="4"/>
  <c r="U812" i="4" s="1"/>
  <c r="C824" i="4"/>
  <c r="O848" i="4"/>
  <c r="AC848" i="4" s="1"/>
  <c r="L860" i="4"/>
  <c r="J872" i="4"/>
  <c r="T872" i="4" s="1"/>
  <c r="B884" i="4"/>
  <c r="M908" i="4"/>
  <c r="J920" i="4"/>
  <c r="T920" i="4" s="1"/>
  <c r="C932" i="4"/>
  <c r="O956" i="4"/>
  <c r="AC956" i="4" s="1"/>
  <c r="N968" i="4"/>
  <c r="AA968" i="4" s="1"/>
  <c r="O980" i="4"/>
  <c r="AC980" i="4" s="1"/>
  <c r="K991" i="4"/>
  <c r="I992" i="4"/>
  <c r="B368" i="4"/>
  <c r="L380" i="4"/>
  <c r="I404" i="4"/>
  <c r="S404" i="4" s="1"/>
  <c r="N416" i="4"/>
  <c r="AA416" i="4" s="1"/>
  <c r="M440" i="4"/>
  <c r="C452" i="4"/>
  <c r="O464" i="4"/>
  <c r="AC464" i="4" s="1"/>
  <c r="J476" i="4"/>
  <c r="T476" i="4" s="1"/>
  <c r="O500" i="4"/>
  <c r="AC500" i="4" s="1"/>
  <c r="J512" i="4"/>
  <c r="T512" i="4" s="1"/>
  <c r="N536" i="4"/>
  <c r="AA536" i="4" s="1"/>
  <c r="J548" i="4"/>
  <c r="T548" i="4" s="1"/>
  <c r="C560" i="4"/>
  <c r="O572" i="4"/>
  <c r="AC572" i="4" s="1"/>
  <c r="K584" i="4"/>
  <c r="U584" i="4" s="1"/>
  <c r="C596" i="4"/>
  <c r="M620" i="4"/>
  <c r="J632" i="4"/>
  <c r="T632" i="4" s="1"/>
  <c r="C644" i="4"/>
  <c r="M668" i="4"/>
  <c r="J680" i="4"/>
  <c r="T680" i="4" s="1"/>
  <c r="B692" i="4"/>
  <c r="O704" i="4"/>
  <c r="AC704" i="4" s="1"/>
  <c r="L716" i="4"/>
  <c r="J728" i="4"/>
  <c r="T728" i="4" s="1"/>
  <c r="O752" i="4"/>
  <c r="AC752" i="4" s="1"/>
  <c r="L764" i="4"/>
  <c r="C776" i="4"/>
  <c r="O800" i="4"/>
  <c r="AC800" i="4" s="1"/>
  <c r="L812" i="4"/>
  <c r="I824" i="4"/>
  <c r="S824" i="4" s="1"/>
  <c r="M860" i="4"/>
  <c r="K872" i="4"/>
  <c r="U872" i="4" s="1"/>
  <c r="C884" i="4"/>
  <c r="N908" i="4"/>
  <c r="AA908" i="4" s="1"/>
  <c r="K920" i="4"/>
  <c r="U920" i="4" s="1"/>
  <c r="I932" i="4"/>
  <c r="S932" i="4" s="1"/>
  <c r="L967" i="4"/>
  <c r="O968" i="4"/>
  <c r="AC968" i="4" s="1"/>
  <c r="M979" i="4"/>
  <c r="L991" i="4"/>
  <c r="J992" i="4"/>
  <c r="N440" i="4"/>
  <c r="AA440" i="4" s="1"/>
  <c r="I452" i="4"/>
  <c r="S452" i="4" s="1"/>
  <c r="K476" i="4"/>
  <c r="U476" i="4" s="1"/>
  <c r="B488" i="4"/>
  <c r="K512" i="4"/>
  <c r="U512" i="4" s="1"/>
  <c r="B524" i="4"/>
  <c r="O536" i="4"/>
  <c r="AC536" i="4" s="1"/>
  <c r="K548" i="4"/>
  <c r="U548" i="4" s="1"/>
  <c r="I560" i="4"/>
  <c r="S560" i="4" s="1"/>
  <c r="L584" i="4"/>
  <c r="I596" i="4"/>
  <c r="S596" i="4" s="1"/>
  <c r="N620" i="4"/>
  <c r="AA620" i="4" s="1"/>
  <c r="K632" i="4"/>
  <c r="U632" i="4" s="1"/>
  <c r="I644" i="4"/>
  <c r="S644" i="4" s="1"/>
  <c r="N668" i="4"/>
  <c r="AA668" i="4" s="1"/>
  <c r="K680" i="4"/>
  <c r="U680" i="4" s="1"/>
  <c r="C692" i="4"/>
  <c r="M716" i="4"/>
  <c r="K728" i="4"/>
  <c r="U728" i="4" s="1"/>
  <c r="B740" i="4"/>
  <c r="M764" i="4"/>
  <c r="I776" i="4"/>
  <c r="S776" i="4" s="1"/>
  <c r="B788" i="4"/>
  <c r="M812" i="4"/>
  <c r="J824" i="4"/>
  <c r="T824" i="4" s="1"/>
  <c r="B836" i="4"/>
  <c r="N860" i="4"/>
  <c r="AA860" i="4" s="1"/>
  <c r="L872" i="4"/>
  <c r="I884" i="4"/>
  <c r="S884" i="4" s="1"/>
  <c r="O908" i="4"/>
  <c r="AC908" i="4" s="1"/>
  <c r="L920" i="4"/>
  <c r="J932" i="4"/>
  <c r="T932" i="4" s="1"/>
  <c r="B944" i="4"/>
  <c r="M967" i="4"/>
  <c r="N979" i="4"/>
  <c r="AA979" i="4" s="1"/>
  <c r="M991" i="4"/>
  <c r="K992" i="4"/>
  <c r="B356" i="4"/>
  <c r="I368" i="4"/>
  <c r="S368" i="4" s="1"/>
  <c r="N380" i="4"/>
  <c r="AA380" i="4" s="1"/>
  <c r="K404" i="4"/>
  <c r="U404" i="4" s="1"/>
  <c r="C428" i="4"/>
  <c r="O440" i="4"/>
  <c r="AC440" i="4" s="1"/>
  <c r="J452" i="4"/>
  <c r="T452" i="4" s="1"/>
  <c r="L476" i="4"/>
  <c r="C488" i="4"/>
  <c r="L512" i="4"/>
  <c r="C524" i="4"/>
  <c r="L548" i="4"/>
  <c r="J560" i="4"/>
  <c r="T560" i="4" s="1"/>
  <c r="M584" i="4"/>
  <c r="J596" i="4"/>
  <c r="T596" i="4" s="1"/>
  <c r="O620" i="4"/>
  <c r="AC620" i="4" s="1"/>
  <c r="L632" i="4"/>
  <c r="J644" i="4"/>
  <c r="T644" i="4" s="1"/>
  <c r="B656" i="4"/>
  <c r="O668" i="4"/>
  <c r="AC668" i="4" s="1"/>
  <c r="L680" i="4"/>
  <c r="I692" i="4"/>
  <c r="S692" i="4" s="1"/>
  <c r="N716" i="4"/>
  <c r="AA716" i="4" s="1"/>
  <c r="L728" i="4"/>
  <c r="C740" i="4"/>
  <c r="N764" i="4"/>
  <c r="AA764" i="4" s="1"/>
  <c r="J776" i="4"/>
  <c r="T776" i="4" s="1"/>
  <c r="C788" i="4"/>
  <c r="N812" i="4"/>
  <c r="AA812" i="4" s="1"/>
  <c r="K824" i="4"/>
  <c r="U824" i="4" s="1"/>
  <c r="C836" i="4"/>
  <c r="O860" i="4"/>
  <c r="AC860" i="4" s="1"/>
  <c r="M872" i="4"/>
  <c r="J884" i="4"/>
  <c r="T884" i="4" s="1"/>
  <c r="B896" i="4"/>
  <c r="M920" i="4"/>
  <c r="K932" i="4"/>
  <c r="U932" i="4" s="1"/>
  <c r="C944" i="4"/>
  <c r="L992" i="4"/>
  <c r="R114" i="4"/>
  <c r="I428" i="4"/>
  <c r="S428" i="4" s="1"/>
  <c r="K452" i="4"/>
  <c r="U452" i="4" s="1"/>
  <c r="M476" i="4"/>
  <c r="I488" i="4"/>
  <c r="S488" i="4" s="1"/>
  <c r="M512" i="4"/>
  <c r="I524" i="4"/>
  <c r="S524" i="4" s="1"/>
  <c r="M548" i="4"/>
  <c r="K560" i="4"/>
  <c r="U560" i="4" s="1"/>
  <c r="N584" i="4"/>
  <c r="AA584" i="4" s="1"/>
  <c r="K596" i="4"/>
  <c r="U596" i="4" s="1"/>
  <c r="B608" i="4"/>
  <c r="M632" i="4"/>
  <c r="K644" i="4"/>
  <c r="U644" i="4" s="1"/>
  <c r="C656" i="4"/>
  <c r="M680" i="4"/>
  <c r="J692" i="4"/>
  <c r="T692" i="4" s="1"/>
  <c r="O716" i="4"/>
  <c r="AC716" i="4" s="1"/>
  <c r="M728" i="4"/>
  <c r="I740" i="4"/>
  <c r="S740" i="4" s="1"/>
  <c r="O764" i="4"/>
  <c r="AC764" i="4" s="1"/>
  <c r="K776" i="4"/>
  <c r="U776" i="4" s="1"/>
  <c r="I788" i="4"/>
  <c r="S788" i="4" s="1"/>
  <c r="O812" i="4"/>
  <c r="AC812" i="4" s="1"/>
  <c r="L824" i="4"/>
  <c r="I836" i="4"/>
  <c r="S836" i="4" s="1"/>
  <c r="B848" i="4"/>
  <c r="N872" i="4"/>
  <c r="AA872" i="4" s="1"/>
  <c r="K884" i="4"/>
  <c r="U884" i="4" s="1"/>
  <c r="C896" i="4"/>
  <c r="N920" i="4"/>
  <c r="AA920" i="4" s="1"/>
  <c r="L932" i="4"/>
  <c r="I944" i="4"/>
  <c r="S944" i="4" s="1"/>
  <c r="B956" i="4"/>
  <c r="O967" i="4"/>
  <c r="AC967" i="4" s="1"/>
  <c r="B980" i="4"/>
  <c r="C991" i="4"/>
  <c r="O991" i="4"/>
  <c r="M992" i="4"/>
  <c r="N512" i="4"/>
  <c r="AA512" i="4" s="1"/>
  <c r="J524" i="4"/>
  <c r="T524" i="4" s="1"/>
  <c r="N548" i="4"/>
  <c r="AA548" i="4" s="1"/>
  <c r="L560" i="4"/>
  <c r="B572" i="4"/>
  <c r="O584" i="4"/>
  <c r="AC584" i="4" s="1"/>
  <c r="L596" i="4"/>
  <c r="C608" i="4"/>
  <c r="N632" i="4"/>
  <c r="AA632" i="4" s="1"/>
  <c r="L644" i="4"/>
  <c r="I656" i="4"/>
  <c r="S656" i="4" s="1"/>
  <c r="N680" i="4"/>
  <c r="AA680" i="4" s="1"/>
  <c r="K692" i="4"/>
  <c r="U692" i="4" s="1"/>
  <c r="B704" i="4"/>
  <c r="N728" i="4"/>
  <c r="AA728" i="4" s="1"/>
  <c r="J740" i="4"/>
  <c r="T740" i="4" s="1"/>
  <c r="B752" i="4"/>
  <c r="L776" i="4"/>
  <c r="J788" i="4"/>
  <c r="T788" i="4" s="1"/>
  <c r="B800" i="4"/>
  <c r="M824" i="4"/>
  <c r="J836" i="4"/>
  <c r="T836" i="4" s="1"/>
  <c r="C848" i="4"/>
  <c r="O872" i="4"/>
  <c r="AC872" i="4" s="1"/>
  <c r="L884" i="4"/>
  <c r="I896" i="4"/>
  <c r="S896" i="4" s="1"/>
  <c r="O920" i="4"/>
  <c r="AC920" i="4" s="1"/>
  <c r="M932" i="4"/>
  <c r="J944" i="4"/>
  <c r="T944" i="4" s="1"/>
  <c r="C956" i="4"/>
  <c r="B968" i="4"/>
  <c r="C980" i="4"/>
  <c r="D991" i="4"/>
  <c r="B992" i="4"/>
  <c r="N992" i="4"/>
  <c r="J356" i="4"/>
  <c r="T356" i="4" s="1"/>
  <c r="L368" i="4"/>
  <c r="I392" i="4"/>
  <c r="S392" i="4" s="1"/>
  <c r="N404" i="4"/>
  <c r="AA404" i="4" s="1"/>
  <c r="B416" i="4"/>
  <c r="K428" i="4"/>
  <c r="U428" i="4" s="1"/>
  <c r="M452" i="4"/>
  <c r="C464" i="4"/>
  <c r="O476" i="4"/>
  <c r="AC476" i="4" s="1"/>
  <c r="K488" i="4"/>
  <c r="U488" i="4" s="1"/>
  <c r="C500" i="4"/>
  <c r="O512" i="4"/>
  <c r="AC512" i="4" s="1"/>
  <c r="K524" i="4"/>
  <c r="U524" i="4" s="1"/>
  <c r="B536" i="4"/>
  <c r="O548" i="4"/>
  <c r="AC548" i="4" s="1"/>
  <c r="M560" i="4"/>
  <c r="C572" i="4"/>
  <c r="M596" i="4"/>
  <c r="I608" i="4"/>
  <c r="S608" i="4" s="1"/>
  <c r="O632" i="4"/>
  <c r="AC632" i="4" s="1"/>
  <c r="M644" i="4"/>
  <c r="J656" i="4"/>
  <c r="T656" i="4" s="1"/>
  <c r="O680" i="4"/>
  <c r="AC680" i="4" s="1"/>
  <c r="L692" i="4"/>
  <c r="C704" i="4"/>
  <c r="O728" i="4"/>
  <c r="AC728" i="4" s="1"/>
  <c r="K740" i="4"/>
  <c r="U740" i="4" s="1"/>
  <c r="C752" i="4"/>
  <c r="M776" i="4"/>
  <c r="K788" i="4"/>
  <c r="U788" i="4" s="1"/>
  <c r="C800" i="4"/>
  <c r="N824" i="4"/>
  <c r="AA824" i="4" s="1"/>
  <c r="K836" i="4"/>
  <c r="U836" i="4" s="1"/>
  <c r="I848" i="4"/>
  <c r="S848" i="4" s="1"/>
  <c r="M884" i="4"/>
  <c r="J896" i="4"/>
  <c r="T896" i="4" s="1"/>
  <c r="B908" i="4"/>
  <c r="N932" i="4"/>
  <c r="AA932" i="4" s="1"/>
  <c r="K944" i="4"/>
  <c r="U944" i="4" s="1"/>
  <c r="I956" i="4"/>
  <c r="S956" i="4" s="1"/>
  <c r="C968" i="4"/>
  <c r="I980" i="4"/>
  <c r="S980" i="4" s="1"/>
  <c r="E991" i="4"/>
  <c r="C992" i="4"/>
  <c r="O992" i="4"/>
  <c r="C416" i="4"/>
  <c r="L428" i="4"/>
  <c r="B440" i="4"/>
  <c r="N452" i="4"/>
  <c r="AA452" i="4" s="1"/>
  <c r="I464" i="4"/>
  <c r="S464" i="4" s="1"/>
  <c r="L488" i="4"/>
  <c r="I500" i="4"/>
  <c r="S500" i="4" s="1"/>
  <c r="L524" i="4"/>
  <c r="C536" i="4"/>
  <c r="N560" i="4"/>
  <c r="AA560" i="4" s="1"/>
  <c r="I572" i="4"/>
  <c r="S572" i="4" s="1"/>
  <c r="N596" i="4"/>
  <c r="AA596" i="4" s="1"/>
  <c r="J608" i="4"/>
  <c r="T608" i="4" s="1"/>
  <c r="B620" i="4"/>
  <c r="N644" i="4"/>
  <c r="AA644" i="4" s="1"/>
  <c r="K656" i="4"/>
  <c r="U656" i="4" s="1"/>
  <c r="B668" i="4"/>
  <c r="M692" i="4"/>
  <c r="I704" i="4"/>
  <c r="S704" i="4" s="1"/>
  <c r="L740" i="4"/>
  <c r="I752" i="4"/>
  <c r="S752" i="4" s="1"/>
  <c r="N776" i="4"/>
  <c r="AA776" i="4" s="1"/>
  <c r="L788" i="4"/>
  <c r="I800" i="4"/>
  <c r="S800" i="4" s="1"/>
  <c r="O824" i="4"/>
  <c r="AC824" i="4" s="1"/>
  <c r="L836" i="4"/>
  <c r="J848" i="4"/>
  <c r="T848" i="4" s="1"/>
  <c r="B860" i="4"/>
  <c r="N884" i="4"/>
  <c r="AA884" i="4" s="1"/>
  <c r="K896" i="4"/>
  <c r="U896" i="4" s="1"/>
  <c r="C908" i="4"/>
  <c r="O932" i="4"/>
  <c r="AC932" i="4" s="1"/>
  <c r="L944" i="4"/>
  <c r="J956" i="4"/>
  <c r="T956" i="4" s="1"/>
  <c r="I968" i="4"/>
  <c r="S968" i="4" s="1"/>
  <c r="B979" i="4"/>
  <c r="J980" i="4"/>
  <c r="T980" i="4" s="1"/>
  <c r="O711" i="4"/>
  <c r="AC711" i="4" s="1"/>
  <c r="M747" i="4"/>
  <c r="C783" i="4"/>
  <c r="R978" i="4"/>
  <c r="R966" i="4"/>
  <c r="R954" i="4"/>
  <c r="R942" i="4"/>
  <c r="R930" i="4"/>
  <c r="R918" i="4"/>
  <c r="R906" i="4"/>
  <c r="R894" i="4"/>
  <c r="R882" i="4"/>
  <c r="R870" i="4"/>
  <c r="R858" i="4"/>
  <c r="R846" i="4"/>
  <c r="R711" i="4"/>
  <c r="R471" i="4"/>
  <c r="R423" i="4"/>
  <c r="R375" i="4"/>
  <c r="K615" i="4"/>
  <c r="U615" i="4" s="1"/>
  <c r="I651" i="4"/>
  <c r="S651" i="4" s="1"/>
  <c r="J783" i="4"/>
  <c r="T783" i="4" s="1"/>
  <c r="C819" i="4"/>
  <c r="R965" i="4"/>
  <c r="R953" i="4"/>
  <c r="R941" i="4"/>
  <c r="R905" i="4"/>
  <c r="R831" i="4"/>
  <c r="R627" i="4"/>
  <c r="R579" i="4"/>
  <c r="R543" i="4"/>
  <c r="R507" i="4"/>
  <c r="M615" i="4"/>
  <c r="K651" i="4"/>
  <c r="U651" i="4" s="1"/>
  <c r="N891" i="4"/>
  <c r="AA891" i="4" s="1"/>
  <c r="L994" i="4"/>
  <c r="L997" i="4"/>
  <c r="R976" i="4"/>
  <c r="R964" i="4"/>
  <c r="R843" i="4"/>
  <c r="R783" i="4"/>
  <c r="R687" i="4"/>
  <c r="N495" i="4"/>
  <c r="AA495" i="4" s="1"/>
  <c r="C555" i="4"/>
  <c r="C687" i="4"/>
  <c r="K927" i="4"/>
  <c r="U927" i="4" s="1"/>
  <c r="M997" i="4"/>
  <c r="R975" i="4"/>
  <c r="R963" i="4"/>
  <c r="R951" i="4"/>
  <c r="R939" i="4"/>
  <c r="R927" i="4"/>
  <c r="R915" i="4"/>
  <c r="R903" i="4"/>
  <c r="R891" i="4"/>
  <c r="R879" i="4"/>
  <c r="R867" i="4"/>
  <c r="R855" i="4"/>
  <c r="R747" i="4"/>
  <c r="R603" i="4"/>
  <c r="R459" i="4"/>
  <c r="R411" i="4"/>
  <c r="R363" i="4"/>
  <c r="M555" i="4"/>
  <c r="B591" i="4"/>
  <c r="N759" i="4"/>
  <c r="AA759" i="4" s="1"/>
  <c r="L795" i="4"/>
  <c r="M927" i="4"/>
  <c r="M822" i="4"/>
  <c r="R822" i="4"/>
  <c r="O810" i="4"/>
  <c r="AC810" i="4" s="1"/>
  <c r="R810" i="4"/>
  <c r="K798" i="4"/>
  <c r="U798" i="4" s="1"/>
  <c r="R798" i="4"/>
  <c r="O786" i="4"/>
  <c r="AC786" i="4" s="1"/>
  <c r="R786" i="4"/>
  <c r="I774" i="4"/>
  <c r="S774" i="4" s="1"/>
  <c r="R774" i="4"/>
  <c r="N762" i="4"/>
  <c r="AA762" i="4" s="1"/>
  <c r="R762" i="4"/>
  <c r="B750" i="4"/>
  <c r="R750" i="4"/>
  <c r="L738" i="4"/>
  <c r="R738" i="4"/>
  <c r="O726" i="4"/>
  <c r="AC726" i="4" s="1"/>
  <c r="R726" i="4"/>
  <c r="J714" i="4"/>
  <c r="T714" i="4" s="1"/>
  <c r="R714" i="4"/>
  <c r="O702" i="4"/>
  <c r="AC702" i="4" s="1"/>
  <c r="R702" i="4"/>
  <c r="C690" i="4"/>
  <c r="R690" i="4"/>
  <c r="M678" i="4"/>
  <c r="R678" i="4"/>
  <c r="O666" i="4"/>
  <c r="AC666" i="4" s="1"/>
  <c r="R666" i="4"/>
  <c r="K654" i="4"/>
  <c r="U654" i="4" s="1"/>
  <c r="R654" i="4"/>
  <c r="O642" i="4"/>
  <c r="AC642" i="4" s="1"/>
  <c r="R642" i="4"/>
  <c r="I630" i="4"/>
  <c r="S630" i="4" s="1"/>
  <c r="R630" i="4"/>
  <c r="N618" i="4"/>
  <c r="AA618" i="4" s="1"/>
  <c r="R618" i="4"/>
  <c r="B606" i="4"/>
  <c r="R606" i="4"/>
  <c r="L594" i="4"/>
  <c r="R594" i="4"/>
  <c r="O582" i="4"/>
  <c r="AC582" i="4" s="1"/>
  <c r="R582" i="4"/>
  <c r="J570" i="4"/>
  <c r="T570" i="4" s="1"/>
  <c r="R570" i="4"/>
  <c r="O558" i="4"/>
  <c r="AC558" i="4" s="1"/>
  <c r="R558" i="4"/>
  <c r="C546" i="4"/>
  <c r="R546" i="4"/>
  <c r="M534" i="4"/>
  <c r="R534" i="4"/>
  <c r="O522" i="4"/>
  <c r="AC522" i="4" s="1"/>
  <c r="R522" i="4"/>
  <c r="K510" i="4"/>
  <c r="U510" i="4" s="1"/>
  <c r="R510" i="4"/>
  <c r="O498" i="4"/>
  <c r="AC498" i="4" s="1"/>
  <c r="R498" i="4"/>
  <c r="I486" i="4"/>
  <c r="S486" i="4" s="1"/>
  <c r="R486" i="4"/>
  <c r="N474" i="4"/>
  <c r="AA474" i="4" s="1"/>
  <c r="R474" i="4"/>
  <c r="B462" i="4"/>
  <c r="R462" i="4"/>
  <c r="L450" i="4"/>
  <c r="R450" i="4"/>
  <c r="O438" i="4"/>
  <c r="AC438" i="4" s="1"/>
  <c r="R438" i="4"/>
  <c r="J426" i="4"/>
  <c r="T426" i="4" s="1"/>
  <c r="R426" i="4"/>
  <c r="O414" i="4"/>
  <c r="AC414" i="4" s="1"/>
  <c r="R414" i="4"/>
  <c r="C402" i="4"/>
  <c r="R402" i="4"/>
  <c r="M390" i="4"/>
  <c r="R390" i="4"/>
  <c r="O378" i="4"/>
  <c r="AC378" i="4" s="1"/>
  <c r="R378" i="4"/>
  <c r="K366" i="4"/>
  <c r="U366" i="4" s="1"/>
  <c r="R366" i="4"/>
  <c r="O354" i="4"/>
  <c r="AC354" i="4" s="1"/>
  <c r="R354" i="4"/>
  <c r="I342" i="4"/>
  <c r="S342" i="4" s="1"/>
  <c r="R342" i="4"/>
  <c r="N330" i="4"/>
  <c r="AA330" i="4" s="1"/>
  <c r="R330" i="4"/>
  <c r="B318" i="4"/>
  <c r="R318" i="4"/>
  <c r="L306" i="4"/>
  <c r="R306" i="4"/>
  <c r="N294" i="4"/>
  <c r="AA294" i="4" s="1"/>
  <c r="R294" i="4"/>
  <c r="J282" i="4"/>
  <c r="T282" i="4" s="1"/>
  <c r="R282" i="4"/>
  <c r="O270" i="4"/>
  <c r="AC270" i="4" s="1"/>
  <c r="R270" i="4"/>
  <c r="C258" i="4"/>
  <c r="R258" i="4"/>
  <c r="M246" i="4"/>
  <c r="R246" i="4"/>
  <c r="O234" i="4"/>
  <c r="AC234" i="4" s="1"/>
  <c r="R234" i="4"/>
  <c r="K222" i="4"/>
  <c r="U222" i="4" s="1"/>
  <c r="R222" i="4"/>
  <c r="O210" i="4"/>
  <c r="AC210" i="4" s="1"/>
  <c r="R210" i="4"/>
  <c r="I198" i="4"/>
  <c r="S198" i="4" s="1"/>
  <c r="R198" i="4"/>
  <c r="N186" i="4"/>
  <c r="AA186" i="4" s="1"/>
  <c r="R186" i="4"/>
  <c r="B174" i="4"/>
  <c r="R174" i="4"/>
  <c r="O150" i="4"/>
  <c r="AC150" i="4" s="1"/>
  <c r="R150" i="4"/>
  <c r="J138" i="4"/>
  <c r="T138" i="4" s="1"/>
  <c r="R138" i="4"/>
  <c r="O126" i="4"/>
  <c r="AC126" i="4" s="1"/>
  <c r="R126" i="4"/>
  <c r="M102" i="4"/>
  <c r="R102" i="4"/>
  <c r="O90" i="4"/>
  <c r="AC90" i="4" s="1"/>
  <c r="R90" i="4"/>
  <c r="K78" i="4"/>
  <c r="U78" i="4" s="1"/>
  <c r="R78" i="4"/>
  <c r="O66" i="4"/>
  <c r="AC66" i="4" s="1"/>
  <c r="R66" i="4"/>
  <c r="I54" i="4"/>
  <c r="S54" i="4" s="1"/>
  <c r="R54" i="4"/>
  <c r="N42" i="4"/>
  <c r="AA42" i="4" s="1"/>
  <c r="R42" i="4"/>
  <c r="B30" i="4"/>
  <c r="R30" i="4"/>
  <c r="L18" i="4"/>
  <c r="R18" i="4"/>
  <c r="R663" i="4"/>
  <c r="E24" i="4"/>
  <c r="O471" i="4"/>
  <c r="AC471" i="4" s="1"/>
  <c r="L531" i="4"/>
  <c r="N795" i="4"/>
  <c r="AA795" i="4" s="1"/>
  <c r="I831" i="4"/>
  <c r="S831" i="4" s="1"/>
  <c r="B867" i="4"/>
  <c r="I3" i="4"/>
  <c r="S3" i="4" s="1"/>
  <c r="R3" i="4"/>
  <c r="C845" i="4"/>
  <c r="R845" i="4"/>
  <c r="L821" i="4"/>
  <c r="R821" i="4"/>
  <c r="C797" i="4"/>
  <c r="R797" i="4"/>
  <c r="M773" i="4"/>
  <c r="R773" i="4"/>
  <c r="L725" i="4"/>
  <c r="R725" i="4"/>
  <c r="B713" i="4"/>
  <c r="R713" i="4"/>
  <c r="O701" i="4"/>
  <c r="AC701" i="4" s="1"/>
  <c r="R701" i="4"/>
  <c r="N689" i="4"/>
  <c r="AA689" i="4" s="1"/>
  <c r="R689" i="4"/>
  <c r="C665" i="4"/>
  <c r="R665" i="4"/>
  <c r="O653" i="4"/>
  <c r="AC653" i="4" s="1"/>
  <c r="R653" i="4"/>
  <c r="K641" i="4"/>
  <c r="U641" i="4" s="1"/>
  <c r="R641" i="4"/>
  <c r="B617" i="4"/>
  <c r="R617" i="4"/>
  <c r="N605" i="4"/>
  <c r="AA605" i="4" s="1"/>
  <c r="R605" i="4"/>
  <c r="M593" i="4"/>
  <c r="R593" i="4"/>
  <c r="B581" i="4"/>
  <c r="R581" i="4"/>
  <c r="I545" i="4"/>
  <c r="S545" i="4" s="1"/>
  <c r="R545" i="4"/>
  <c r="B509" i="4"/>
  <c r="R509" i="4"/>
  <c r="J497" i="4"/>
  <c r="T497" i="4" s="1"/>
  <c r="R497" i="4"/>
  <c r="L485" i="4"/>
  <c r="R485" i="4"/>
  <c r="I473" i="4"/>
  <c r="S473" i="4" s="1"/>
  <c r="R473" i="4"/>
  <c r="O449" i="4"/>
  <c r="AC449" i="4" s="1"/>
  <c r="R449" i="4"/>
  <c r="M425" i="4"/>
  <c r="R425" i="4"/>
  <c r="I413" i="4"/>
  <c r="S413" i="4" s="1"/>
  <c r="R413" i="4"/>
  <c r="K401" i="4"/>
  <c r="U401" i="4" s="1"/>
  <c r="R401" i="4"/>
  <c r="N389" i="4"/>
  <c r="AA389" i="4" s="1"/>
  <c r="R389" i="4"/>
  <c r="B377" i="4"/>
  <c r="R377" i="4"/>
  <c r="I365" i="4"/>
  <c r="S365" i="4" s="1"/>
  <c r="R365" i="4"/>
  <c r="L353" i="4"/>
  <c r="R353" i="4"/>
  <c r="N341" i="4"/>
  <c r="AA341" i="4" s="1"/>
  <c r="R341" i="4"/>
  <c r="J329" i="4"/>
  <c r="T329" i="4" s="1"/>
  <c r="R329" i="4"/>
  <c r="B317" i="4"/>
  <c r="R317" i="4"/>
  <c r="B305" i="4"/>
  <c r="R305" i="4"/>
  <c r="L293" i="4"/>
  <c r="R293" i="4"/>
  <c r="I281" i="4"/>
  <c r="S281" i="4" s="1"/>
  <c r="R281" i="4"/>
  <c r="I269" i="4"/>
  <c r="S269" i="4" s="1"/>
  <c r="R269" i="4"/>
  <c r="N257" i="4"/>
  <c r="AA257" i="4" s="1"/>
  <c r="R257" i="4"/>
  <c r="K245" i="4"/>
  <c r="U245" i="4" s="1"/>
  <c r="R245" i="4"/>
  <c r="C233" i="4"/>
  <c r="R233" i="4"/>
  <c r="I221" i="4"/>
  <c r="S221" i="4" s="1"/>
  <c r="R221" i="4"/>
  <c r="M209" i="4"/>
  <c r="R209" i="4"/>
  <c r="J197" i="4"/>
  <c r="T197" i="4" s="1"/>
  <c r="R197" i="4"/>
  <c r="B185" i="4"/>
  <c r="R185" i="4"/>
  <c r="O173" i="4"/>
  <c r="AC173" i="4" s="1"/>
  <c r="R173" i="4"/>
  <c r="M161" i="4"/>
  <c r="R161" i="4"/>
  <c r="I149" i="4"/>
  <c r="S149" i="4" s="1"/>
  <c r="R149" i="4"/>
  <c r="J137" i="4"/>
  <c r="T137" i="4" s="1"/>
  <c r="R137" i="4"/>
  <c r="N125" i="4"/>
  <c r="AA125" i="4" s="1"/>
  <c r="R125" i="4"/>
  <c r="K113" i="4"/>
  <c r="U113" i="4" s="1"/>
  <c r="R113" i="4"/>
  <c r="C101" i="4"/>
  <c r="R101" i="4"/>
  <c r="O89" i="4"/>
  <c r="AC89" i="4" s="1"/>
  <c r="R89" i="4"/>
  <c r="N77" i="4"/>
  <c r="AA77" i="4" s="1"/>
  <c r="R77" i="4"/>
  <c r="J65" i="4"/>
  <c r="T65" i="4" s="1"/>
  <c r="R65" i="4"/>
  <c r="B53" i="4"/>
  <c r="R53" i="4"/>
  <c r="N41" i="4"/>
  <c r="AA41" i="4" s="1"/>
  <c r="R41" i="4"/>
  <c r="M29" i="4"/>
  <c r="R29" i="4"/>
  <c r="M17" i="4"/>
  <c r="R17" i="4"/>
  <c r="R795" i="4"/>
  <c r="R723" i="4"/>
  <c r="R567" i="4"/>
  <c r="R531" i="4"/>
  <c r="R495" i="4"/>
  <c r="R162" i="4"/>
  <c r="N531" i="4"/>
  <c r="AA531" i="4" s="1"/>
  <c r="N627" i="4"/>
  <c r="AA627" i="4" s="1"/>
  <c r="L663" i="4"/>
  <c r="C735" i="4"/>
  <c r="K831" i="4"/>
  <c r="U831" i="4" s="1"/>
  <c r="I867" i="4"/>
  <c r="S867" i="4" s="1"/>
  <c r="B903" i="4"/>
  <c r="R639" i="4"/>
  <c r="R447" i="4"/>
  <c r="R399" i="4"/>
  <c r="R699" i="4"/>
  <c r="R807" i="4"/>
  <c r="R759" i="4"/>
  <c r="R615" i="4"/>
  <c r="R591" i="4"/>
  <c r="F69" i="4"/>
  <c r="H58" i="4"/>
  <c r="K483" i="4"/>
  <c r="U483" i="4" s="1"/>
  <c r="J603" i="4"/>
  <c r="T603" i="4" s="1"/>
  <c r="O807" i="4"/>
  <c r="AC807" i="4" s="1"/>
  <c r="K879" i="4"/>
  <c r="U879" i="4" s="1"/>
  <c r="R675" i="4"/>
  <c r="R555" i="4"/>
  <c r="R519" i="4"/>
  <c r="R483" i="4"/>
  <c r="R435" i="4"/>
  <c r="R387" i="4"/>
  <c r="B639" i="4"/>
  <c r="L843" i="4"/>
  <c r="M879" i="4"/>
  <c r="C915" i="4"/>
  <c r="C951" i="4"/>
  <c r="R735" i="4"/>
  <c r="I519" i="4"/>
  <c r="S519" i="4" s="1"/>
  <c r="O543" i="4"/>
  <c r="AC543" i="4" s="1"/>
  <c r="O675" i="4"/>
  <c r="AC675" i="4" s="1"/>
  <c r="M711" i="4"/>
  <c r="K747" i="4"/>
  <c r="U747" i="4" s="1"/>
  <c r="N843" i="4"/>
  <c r="AA843" i="4" s="1"/>
  <c r="J915" i="4"/>
  <c r="T915" i="4" s="1"/>
  <c r="R834" i="4"/>
  <c r="R819" i="4"/>
  <c r="R771" i="4"/>
  <c r="R651" i="4"/>
  <c r="H124" i="4"/>
  <c r="G9" i="4"/>
  <c r="I963" i="4"/>
  <c r="S963" i="4" s="1"/>
  <c r="K963" i="4"/>
  <c r="U963" i="4" s="1"/>
  <c r="F993" i="4"/>
  <c r="D994" i="4"/>
  <c r="G995" i="4"/>
  <c r="L996" i="4"/>
  <c r="N997" i="4"/>
  <c r="H280" i="4"/>
  <c r="L942" i="4"/>
  <c r="F988" i="4"/>
  <c r="E994" i="4"/>
  <c r="I995" i="4"/>
  <c r="M996" i="4"/>
  <c r="O997" i="4"/>
  <c r="D288" i="4"/>
  <c r="D157" i="4"/>
  <c r="F405" i="4"/>
  <c r="D173" i="4"/>
  <c r="I988" i="4"/>
  <c r="J988" i="4"/>
  <c r="E1000" i="4"/>
  <c r="F56" i="4"/>
  <c r="K988" i="4"/>
  <c r="G1000" i="4"/>
  <c r="L988" i="4"/>
  <c r="H1000" i="4"/>
  <c r="L987" i="4"/>
  <c r="M988" i="4"/>
  <c r="I1000" i="4"/>
  <c r="J976" i="4"/>
  <c r="T976" i="4" s="1"/>
  <c r="B988" i="4"/>
  <c r="N988" i="4"/>
  <c r="F994" i="4"/>
  <c r="F995" i="4"/>
  <c r="F996" i="4"/>
  <c r="F997" i="4"/>
  <c r="H998" i="4"/>
  <c r="K976" i="4"/>
  <c r="U976" i="4" s="1"/>
  <c r="C988" i="4"/>
  <c r="O988" i="4"/>
  <c r="I998" i="4"/>
  <c r="F469" i="4"/>
  <c r="H994" i="4"/>
  <c r="H995" i="4"/>
  <c r="H996" i="4"/>
  <c r="J997" i="4"/>
  <c r="J998" i="4"/>
  <c r="I17" i="4"/>
  <c r="S17" i="4" s="1"/>
  <c r="N17" i="4"/>
  <c r="AA17" i="4" s="1"/>
  <c r="G51" i="4"/>
  <c r="M245" i="4"/>
  <c r="K413" i="4"/>
  <c r="U413" i="4" s="1"/>
  <c r="E514" i="4"/>
  <c r="K3" i="4"/>
  <c r="U3" i="4" s="1"/>
  <c r="O29" i="4"/>
  <c r="AC29" i="4" s="1"/>
  <c r="G103" i="4"/>
  <c r="F121" i="4"/>
  <c r="N293" i="4"/>
  <c r="AA293" i="4" s="1"/>
  <c r="I317" i="4"/>
  <c r="S317" i="4" s="1"/>
  <c r="J401" i="4"/>
  <c r="T401" i="4" s="1"/>
  <c r="L329" i="4"/>
  <c r="L65" i="4"/>
  <c r="B89" i="4"/>
  <c r="J353" i="4"/>
  <c r="T353" i="4" s="1"/>
  <c r="J1000" i="4"/>
  <c r="B17" i="4"/>
  <c r="J101" i="4"/>
  <c r="T101" i="4" s="1"/>
  <c r="G183" i="4"/>
  <c r="K941" i="4"/>
  <c r="U941" i="4" s="1"/>
  <c r="K1000" i="4"/>
  <c r="C17" i="4"/>
  <c r="M113" i="4"/>
  <c r="C137" i="4"/>
  <c r="F227" i="4"/>
  <c r="M1000" i="4"/>
  <c r="K149" i="4"/>
  <c r="U149" i="4" s="1"/>
  <c r="C389" i="4"/>
  <c r="C449" i="4"/>
  <c r="L975" i="4"/>
  <c r="K999" i="4"/>
  <c r="N1000" i="4"/>
  <c r="J17" i="4"/>
  <c r="T17" i="4" s="1"/>
  <c r="I185" i="4"/>
  <c r="S185" i="4" s="1"/>
  <c r="O425" i="4"/>
  <c r="AC425" i="4" s="1"/>
  <c r="K593" i="4"/>
  <c r="U593" i="4" s="1"/>
  <c r="I713" i="4"/>
  <c r="S713" i="4" s="1"/>
  <c r="N975" i="4"/>
  <c r="AA975" i="4" s="1"/>
  <c r="M999" i="4"/>
  <c r="O1000" i="4"/>
  <c r="O161" i="4"/>
  <c r="AC161" i="4" s="1"/>
  <c r="K17" i="4"/>
  <c r="U17" i="4" s="1"/>
  <c r="L197" i="4"/>
  <c r="H240" i="4"/>
  <c r="N994" i="4"/>
  <c r="L995" i="4"/>
  <c r="J996" i="4"/>
  <c r="H997" i="4"/>
  <c r="F998" i="4"/>
  <c r="B1000" i="4"/>
  <c r="O209" i="4"/>
  <c r="AC209" i="4" s="1"/>
  <c r="B221" i="4"/>
  <c r="E384" i="4"/>
  <c r="K377" i="4"/>
  <c r="U377" i="4" s="1"/>
  <c r="C1000" i="4"/>
  <c r="L17" i="4"/>
  <c r="J233" i="4"/>
  <c r="T233" i="4" s="1"/>
  <c r="C893" i="4"/>
  <c r="J987" i="4"/>
  <c r="D1000" i="4"/>
  <c r="O929" i="4"/>
  <c r="AC929" i="4" s="1"/>
  <c r="N929" i="4"/>
  <c r="AA929" i="4" s="1"/>
  <c r="M929" i="4"/>
  <c r="L929" i="4"/>
  <c r="K929" i="4"/>
  <c r="U929" i="4" s="1"/>
  <c r="J929" i="4"/>
  <c r="T929" i="4" s="1"/>
  <c r="I929" i="4"/>
  <c r="S929" i="4" s="1"/>
  <c r="C929" i="4"/>
  <c r="B809" i="4"/>
  <c r="O809" i="4"/>
  <c r="AC809" i="4" s="1"/>
  <c r="N809" i="4"/>
  <c r="AA809" i="4" s="1"/>
  <c r="M809" i="4"/>
  <c r="L809" i="4"/>
  <c r="J809" i="4"/>
  <c r="T809" i="4" s="1"/>
  <c r="C809" i="4"/>
  <c r="J689" i="4"/>
  <c r="T689" i="4" s="1"/>
  <c r="I689" i="4"/>
  <c r="S689" i="4" s="1"/>
  <c r="C689" i="4"/>
  <c r="B689" i="4"/>
  <c r="O689" i="4"/>
  <c r="AC689" i="4" s="1"/>
  <c r="M689" i="4"/>
  <c r="K689" i="4"/>
  <c r="U689" i="4" s="1"/>
  <c r="N569" i="4"/>
  <c r="AA569" i="4" s="1"/>
  <c r="M569" i="4"/>
  <c r="L569" i="4"/>
  <c r="K569" i="4"/>
  <c r="U569" i="4" s="1"/>
  <c r="J569" i="4"/>
  <c r="T569" i="4" s="1"/>
  <c r="I569" i="4"/>
  <c r="S569" i="4" s="1"/>
  <c r="C569" i="4"/>
  <c r="B569" i="4"/>
  <c r="O569" i="4"/>
  <c r="AC569" i="4" s="1"/>
  <c r="O485" i="4"/>
  <c r="AC485" i="4" s="1"/>
  <c r="N485" i="4"/>
  <c r="AA485" i="4" s="1"/>
  <c r="M485" i="4"/>
  <c r="K485" i="4"/>
  <c r="U485" i="4" s="1"/>
  <c r="J485" i="4"/>
  <c r="T485" i="4" s="1"/>
  <c r="I485" i="4"/>
  <c r="S485" i="4" s="1"/>
  <c r="C485" i="4"/>
  <c r="B365" i="4"/>
  <c r="O365" i="4"/>
  <c r="AC365" i="4" s="1"/>
  <c r="L365" i="4"/>
  <c r="J365" i="4"/>
  <c r="T365" i="4" s="1"/>
  <c r="L377" i="4"/>
  <c r="M281" i="4"/>
  <c r="K317" i="4"/>
  <c r="U317" i="4" s="1"/>
  <c r="B65" i="4"/>
  <c r="C113" i="4"/>
  <c r="D6" i="4"/>
  <c r="B3" i="4"/>
  <c r="O41" i="4"/>
  <c r="AC41" i="4" s="1"/>
  <c r="J3" i="4"/>
  <c r="T3" i="4" s="1"/>
  <c r="E37" i="4"/>
  <c r="N29" i="4"/>
  <c r="AA29" i="4" s="1"/>
  <c r="C53" i="4"/>
  <c r="K65" i="4"/>
  <c r="U65" i="4" s="1"/>
  <c r="O77" i="4"/>
  <c r="AC77" i="4" s="1"/>
  <c r="I101" i="4"/>
  <c r="S101" i="4" s="1"/>
  <c r="L113" i="4"/>
  <c r="O125" i="4"/>
  <c r="AC125" i="4" s="1"/>
  <c r="B137" i="4"/>
  <c r="J149" i="4"/>
  <c r="T149" i="4" s="1"/>
  <c r="N161" i="4"/>
  <c r="AA161" i="4" s="1"/>
  <c r="C185" i="4"/>
  <c r="K197" i="4"/>
  <c r="U197" i="4" s="1"/>
  <c r="N209" i="4"/>
  <c r="AA209" i="4" s="1"/>
  <c r="I233" i="4"/>
  <c r="S233" i="4" s="1"/>
  <c r="L245" i="4"/>
  <c r="F264" i="4"/>
  <c r="O257" i="4"/>
  <c r="AC257" i="4" s="1"/>
  <c r="J281" i="4"/>
  <c r="T281" i="4" s="1"/>
  <c r="D291" i="4"/>
  <c r="M293" i="4"/>
  <c r="C317" i="4"/>
  <c r="K329" i="4"/>
  <c r="U329" i="4" s="1"/>
  <c r="I353" i="4"/>
  <c r="S353" i="4" s="1"/>
  <c r="C365" i="4"/>
  <c r="B389" i="4"/>
  <c r="C401" i="4"/>
  <c r="B485" i="4"/>
  <c r="L689" i="4"/>
  <c r="O977" i="4"/>
  <c r="AC977" i="4" s="1"/>
  <c r="N977" i="4"/>
  <c r="AA977" i="4" s="1"/>
  <c r="M977" i="4"/>
  <c r="L977" i="4"/>
  <c r="K977" i="4"/>
  <c r="U977" i="4" s="1"/>
  <c r="J977" i="4"/>
  <c r="T977" i="4" s="1"/>
  <c r="I977" i="4"/>
  <c r="S977" i="4" s="1"/>
  <c r="B977" i="4"/>
  <c r="K869" i="4"/>
  <c r="U869" i="4" s="1"/>
  <c r="J869" i="4"/>
  <c r="T869" i="4" s="1"/>
  <c r="I869" i="4"/>
  <c r="S869" i="4" s="1"/>
  <c r="C869" i="4"/>
  <c r="B869" i="4"/>
  <c r="N869" i="4"/>
  <c r="AA869" i="4" s="1"/>
  <c r="L869" i="4"/>
  <c r="L737" i="4"/>
  <c r="K737" i="4"/>
  <c r="U737" i="4" s="1"/>
  <c r="J737" i="4"/>
  <c r="T737" i="4" s="1"/>
  <c r="I737" i="4"/>
  <c r="S737" i="4" s="1"/>
  <c r="C737" i="4"/>
  <c r="B737" i="4"/>
  <c r="O737" i="4"/>
  <c r="AC737" i="4" s="1"/>
  <c r="M737" i="4"/>
  <c r="O629" i="4"/>
  <c r="AC629" i="4" s="1"/>
  <c r="N629" i="4"/>
  <c r="AA629" i="4" s="1"/>
  <c r="M629" i="4"/>
  <c r="L629" i="4"/>
  <c r="K629" i="4"/>
  <c r="U629" i="4" s="1"/>
  <c r="I629" i="4"/>
  <c r="S629" i="4" s="1"/>
  <c r="B629" i="4"/>
  <c r="O533" i="4"/>
  <c r="AC533" i="4" s="1"/>
  <c r="N533" i="4"/>
  <c r="AA533" i="4" s="1"/>
  <c r="L533" i="4"/>
  <c r="K533" i="4"/>
  <c r="U533" i="4" s="1"/>
  <c r="J533" i="4"/>
  <c r="T533" i="4" s="1"/>
  <c r="I533" i="4"/>
  <c r="S533" i="4" s="1"/>
  <c r="B533" i="4"/>
  <c r="B413" i="4"/>
  <c r="O413" i="4"/>
  <c r="AC413" i="4" s="1"/>
  <c r="L413" i="4"/>
  <c r="J413" i="4"/>
  <c r="T413" i="4" s="1"/>
  <c r="C413" i="4"/>
  <c r="B41" i="4"/>
  <c r="I137" i="4"/>
  <c r="S137" i="4" s="1"/>
  <c r="K233" i="4"/>
  <c r="U233" i="4" s="1"/>
  <c r="L281" i="4"/>
  <c r="K365" i="4"/>
  <c r="U365" i="4" s="1"/>
  <c r="C41" i="4"/>
  <c r="M149" i="4"/>
  <c r="C173" i="4"/>
  <c r="M365" i="4"/>
  <c r="I41" i="4"/>
  <c r="S41" i="4" s="1"/>
  <c r="L53" i="4"/>
  <c r="O65" i="4"/>
  <c r="AC65" i="4" s="1"/>
  <c r="B77" i="4"/>
  <c r="J89" i="4"/>
  <c r="T89" i="4" s="1"/>
  <c r="M101" i="4"/>
  <c r="G116" i="4"/>
  <c r="B125" i="4"/>
  <c r="K137" i="4"/>
  <c r="U137" i="4" s="1"/>
  <c r="N149" i="4"/>
  <c r="AA149" i="4" s="1"/>
  <c r="I173" i="4"/>
  <c r="S173" i="4" s="1"/>
  <c r="L185" i="4"/>
  <c r="F201" i="4"/>
  <c r="O197" i="4"/>
  <c r="AC197" i="4" s="1"/>
  <c r="J221" i="4"/>
  <c r="T221" i="4" s="1"/>
  <c r="M233" i="4"/>
  <c r="B257" i="4"/>
  <c r="J269" i="4"/>
  <c r="T269" i="4" s="1"/>
  <c r="N281" i="4"/>
  <c r="AA281" i="4" s="1"/>
  <c r="I305" i="4"/>
  <c r="S305" i="4" s="1"/>
  <c r="L317" i="4"/>
  <c r="O329" i="4"/>
  <c r="AC329" i="4" s="1"/>
  <c r="N365" i="4"/>
  <c r="AA365" i="4" s="1"/>
  <c r="O389" i="4"/>
  <c r="AC389" i="4" s="1"/>
  <c r="N509" i="4"/>
  <c r="AA509" i="4" s="1"/>
  <c r="K773" i="4"/>
  <c r="U773" i="4" s="1"/>
  <c r="N821" i="4"/>
  <c r="AA821" i="4" s="1"/>
  <c r="I989" i="4"/>
  <c r="K989" i="4"/>
  <c r="J989" i="4"/>
  <c r="O881" i="4"/>
  <c r="AC881" i="4" s="1"/>
  <c r="N881" i="4"/>
  <c r="AA881" i="4" s="1"/>
  <c r="M881" i="4"/>
  <c r="L881" i="4"/>
  <c r="K881" i="4"/>
  <c r="U881" i="4" s="1"/>
  <c r="J881" i="4"/>
  <c r="T881" i="4" s="1"/>
  <c r="I881" i="4"/>
  <c r="S881" i="4" s="1"/>
  <c r="C881" i="4"/>
  <c r="O749" i="4"/>
  <c r="AC749" i="4" s="1"/>
  <c r="N749" i="4"/>
  <c r="AA749" i="4" s="1"/>
  <c r="M749" i="4"/>
  <c r="L749" i="4"/>
  <c r="K749" i="4"/>
  <c r="U749" i="4" s="1"/>
  <c r="J749" i="4"/>
  <c r="T749" i="4" s="1"/>
  <c r="I749" i="4"/>
  <c r="S749" i="4" s="1"/>
  <c r="C749" i="4"/>
  <c r="I641" i="4"/>
  <c r="S641" i="4" s="1"/>
  <c r="C641" i="4"/>
  <c r="B641" i="4"/>
  <c r="O641" i="4"/>
  <c r="AC641" i="4" s="1"/>
  <c r="N641" i="4"/>
  <c r="AA641" i="4" s="1"/>
  <c r="L641" i="4"/>
  <c r="J641" i="4"/>
  <c r="T641" i="4" s="1"/>
  <c r="B545" i="4"/>
  <c r="O545" i="4"/>
  <c r="AC545" i="4" s="1"/>
  <c r="N545" i="4"/>
  <c r="AA545" i="4" s="1"/>
  <c r="M545" i="4"/>
  <c r="L545" i="4"/>
  <c r="J545" i="4"/>
  <c r="T545" i="4" s="1"/>
  <c r="C545" i="4"/>
  <c r="N437" i="4"/>
  <c r="AA437" i="4" s="1"/>
  <c r="M437" i="4"/>
  <c r="L437" i="4"/>
  <c r="J437" i="4"/>
  <c r="T437" i="4" s="1"/>
  <c r="I437" i="4"/>
  <c r="S437" i="4" s="1"/>
  <c r="C437" i="4"/>
  <c r="B437" i="4"/>
  <c r="O437" i="4"/>
  <c r="AC437" i="4" s="1"/>
  <c r="L149" i="4"/>
  <c r="C221" i="4"/>
  <c r="K545" i="4"/>
  <c r="U545" i="4" s="1"/>
  <c r="M641" i="4"/>
  <c r="K53" i="4"/>
  <c r="U53" i="4" s="1"/>
  <c r="N197" i="4"/>
  <c r="AA197" i="4" s="1"/>
  <c r="M401" i="4"/>
  <c r="N3" i="4"/>
  <c r="AA3" i="4" s="1"/>
  <c r="O3" i="4"/>
  <c r="AC3" i="4" s="1"/>
  <c r="B29" i="4"/>
  <c r="J41" i="4"/>
  <c r="T41" i="4" s="1"/>
  <c r="M53" i="4"/>
  <c r="C77" i="4"/>
  <c r="K89" i="4"/>
  <c r="U89" i="4" s="1"/>
  <c r="N101" i="4"/>
  <c r="AA101" i="4" s="1"/>
  <c r="C125" i="4"/>
  <c r="L137" i="4"/>
  <c r="O149" i="4"/>
  <c r="AC149" i="4" s="1"/>
  <c r="B161" i="4"/>
  <c r="J173" i="4"/>
  <c r="T173" i="4" s="1"/>
  <c r="D184" i="4"/>
  <c r="M185" i="4"/>
  <c r="G196" i="4"/>
  <c r="B209" i="4"/>
  <c r="K221" i="4"/>
  <c r="U221" i="4" s="1"/>
  <c r="E233" i="4"/>
  <c r="N233" i="4"/>
  <c r="AA233" i="4" s="1"/>
  <c r="H243" i="4"/>
  <c r="C257" i="4"/>
  <c r="K269" i="4"/>
  <c r="U269" i="4" s="1"/>
  <c r="O281" i="4"/>
  <c r="AC281" i="4" s="1"/>
  <c r="J305" i="4"/>
  <c r="T305" i="4" s="1"/>
  <c r="M317" i="4"/>
  <c r="B341" i="4"/>
  <c r="J725" i="4"/>
  <c r="T725" i="4" s="1"/>
  <c r="B749" i="4"/>
  <c r="C977" i="4"/>
  <c r="L917" i="4"/>
  <c r="K917" i="4"/>
  <c r="U917" i="4" s="1"/>
  <c r="J917" i="4"/>
  <c r="T917" i="4" s="1"/>
  <c r="I917" i="4"/>
  <c r="S917" i="4" s="1"/>
  <c r="C917" i="4"/>
  <c r="B917" i="4"/>
  <c r="O917" i="4"/>
  <c r="AC917" i="4" s="1"/>
  <c r="M917" i="4"/>
  <c r="C857" i="4"/>
  <c r="B857" i="4"/>
  <c r="O857" i="4"/>
  <c r="AC857" i="4" s="1"/>
  <c r="N857" i="4"/>
  <c r="AA857" i="4" s="1"/>
  <c r="M857" i="4"/>
  <c r="K857" i="4"/>
  <c r="U857" i="4" s="1"/>
  <c r="I857" i="4"/>
  <c r="S857" i="4" s="1"/>
  <c r="O797" i="4"/>
  <c r="AC797" i="4" s="1"/>
  <c r="N797" i="4"/>
  <c r="AA797" i="4" s="1"/>
  <c r="M797" i="4"/>
  <c r="L797" i="4"/>
  <c r="K797" i="4"/>
  <c r="U797" i="4" s="1"/>
  <c r="J797" i="4"/>
  <c r="T797" i="4" s="1"/>
  <c r="I797" i="4"/>
  <c r="S797" i="4" s="1"/>
  <c r="B797" i="4"/>
  <c r="O713" i="4"/>
  <c r="AC713" i="4" s="1"/>
  <c r="N713" i="4"/>
  <c r="AA713" i="4" s="1"/>
  <c r="M713" i="4"/>
  <c r="L713" i="4"/>
  <c r="K713" i="4"/>
  <c r="U713" i="4" s="1"/>
  <c r="J713" i="4"/>
  <c r="T713" i="4" s="1"/>
  <c r="C713" i="4"/>
  <c r="B677" i="4"/>
  <c r="O677" i="4"/>
  <c r="AC677" i="4" s="1"/>
  <c r="N677" i="4"/>
  <c r="AA677" i="4" s="1"/>
  <c r="M677" i="4"/>
  <c r="L677" i="4"/>
  <c r="J677" i="4"/>
  <c r="T677" i="4" s="1"/>
  <c r="C677" i="4"/>
  <c r="I593" i="4"/>
  <c r="S593" i="4" s="1"/>
  <c r="C593" i="4"/>
  <c r="B593" i="4"/>
  <c r="O593" i="4"/>
  <c r="AC593" i="4" s="1"/>
  <c r="N593" i="4"/>
  <c r="AA593" i="4" s="1"/>
  <c r="L593" i="4"/>
  <c r="J593" i="4"/>
  <c r="T593" i="4" s="1"/>
  <c r="M521" i="4"/>
  <c r="L521" i="4"/>
  <c r="K521" i="4"/>
  <c r="U521" i="4" s="1"/>
  <c r="I521" i="4"/>
  <c r="S521" i="4" s="1"/>
  <c r="C521" i="4"/>
  <c r="B521" i="4"/>
  <c r="N521" i="4"/>
  <c r="AA521" i="4" s="1"/>
  <c r="L473" i="4"/>
  <c r="K473" i="4"/>
  <c r="U473" i="4" s="1"/>
  <c r="J473" i="4"/>
  <c r="T473" i="4" s="1"/>
  <c r="C473" i="4"/>
  <c r="B473" i="4"/>
  <c r="O473" i="4"/>
  <c r="AC473" i="4" s="1"/>
  <c r="M473" i="4"/>
  <c r="J377" i="4"/>
  <c r="T377" i="4" s="1"/>
  <c r="I377" i="4"/>
  <c r="S377" i="4" s="1"/>
  <c r="C377" i="4"/>
  <c r="O377" i="4"/>
  <c r="AC377" i="4" s="1"/>
  <c r="M377" i="4"/>
  <c r="C89" i="4"/>
  <c r="J185" i="4"/>
  <c r="T185" i="4" s="1"/>
  <c r="J317" i="4"/>
  <c r="T317" i="4" s="1"/>
  <c r="O113" i="4"/>
  <c r="AC113" i="4" s="1"/>
  <c r="N329" i="4"/>
  <c r="AA329" i="4" s="1"/>
  <c r="C29" i="4"/>
  <c r="K41" i="4"/>
  <c r="U41" i="4" s="1"/>
  <c r="N53" i="4"/>
  <c r="AA53" i="4" s="1"/>
  <c r="I77" i="4"/>
  <c r="S77" i="4" s="1"/>
  <c r="L89" i="4"/>
  <c r="F108" i="4"/>
  <c r="O101" i="4"/>
  <c r="AC101" i="4" s="1"/>
  <c r="I125" i="4"/>
  <c r="S125" i="4" s="1"/>
  <c r="D142" i="4"/>
  <c r="M137" i="4"/>
  <c r="G151" i="4"/>
  <c r="C161" i="4"/>
  <c r="K173" i="4"/>
  <c r="U173" i="4" s="1"/>
  <c r="N185" i="4"/>
  <c r="AA185" i="4" s="1"/>
  <c r="H203" i="4"/>
  <c r="C209" i="4"/>
  <c r="L221" i="4"/>
  <c r="O233" i="4"/>
  <c r="AC233" i="4" s="1"/>
  <c r="I257" i="4"/>
  <c r="S257" i="4" s="1"/>
  <c r="L269" i="4"/>
  <c r="G287" i="4"/>
  <c r="B293" i="4"/>
  <c r="K305" i="4"/>
  <c r="U305" i="4" s="1"/>
  <c r="N317" i="4"/>
  <c r="AA317" i="4" s="1"/>
  <c r="I341" i="4"/>
  <c r="S341" i="4" s="1"/>
  <c r="N473" i="4"/>
  <c r="AA473" i="4" s="1"/>
  <c r="C533" i="4"/>
  <c r="I677" i="4"/>
  <c r="S677" i="4" s="1"/>
  <c r="L953" i="4"/>
  <c r="O893" i="4"/>
  <c r="AC893" i="4" s="1"/>
  <c r="N893" i="4"/>
  <c r="AA893" i="4" s="1"/>
  <c r="M893" i="4"/>
  <c r="L893" i="4"/>
  <c r="K893" i="4"/>
  <c r="U893" i="4" s="1"/>
  <c r="I893" i="4"/>
  <c r="S893" i="4" s="1"/>
  <c r="B893" i="4"/>
  <c r="O761" i="4"/>
  <c r="AC761" i="4" s="1"/>
  <c r="N761" i="4"/>
  <c r="AA761" i="4" s="1"/>
  <c r="M761" i="4"/>
  <c r="L761" i="4"/>
  <c r="K761" i="4"/>
  <c r="U761" i="4" s="1"/>
  <c r="I761" i="4"/>
  <c r="S761" i="4" s="1"/>
  <c r="B761" i="4"/>
  <c r="O665" i="4"/>
  <c r="AC665" i="4" s="1"/>
  <c r="N665" i="4"/>
  <c r="AA665" i="4" s="1"/>
  <c r="M665" i="4"/>
  <c r="L665" i="4"/>
  <c r="K665" i="4"/>
  <c r="U665" i="4" s="1"/>
  <c r="J665" i="4"/>
  <c r="T665" i="4" s="1"/>
  <c r="I665" i="4"/>
  <c r="S665" i="4" s="1"/>
  <c r="B665" i="4"/>
  <c r="J557" i="4"/>
  <c r="T557" i="4" s="1"/>
  <c r="I557" i="4"/>
  <c r="S557" i="4" s="1"/>
  <c r="C557" i="4"/>
  <c r="O557" i="4"/>
  <c r="AC557" i="4" s="1"/>
  <c r="M557" i="4"/>
  <c r="K557" i="4"/>
  <c r="U557" i="4" s="1"/>
  <c r="I461" i="4"/>
  <c r="S461" i="4" s="1"/>
  <c r="C461" i="4"/>
  <c r="B461" i="4"/>
  <c r="O461" i="4"/>
  <c r="AC461" i="4" s="1"/>
  <c r="N461" i="4"/>
  <c r="AA461" i="4" s="1"/>
  <c r="L461" i="4"/>
  <c r="J461" i="4"/>
  <c r="T461" i="4" s="1"/>
  <c r="O353" i="4"/>
  <c r="AC353" i="4" s="1"/>
  <c r="N353" i="4"/>
  <c r="AA353" i="4" s="1"/>
  <c r="M353" i="4"/>
  <c r="K353" i="4"/>
  <c r="U353" i="4" s="1"/>
  <c r="C353" i="4"/>
  <c r="J53" i="4"/>
  <c r="T53" i="4" s="1"/>
  <c r="M197" i="4"/>
  <c r="N245" i="4"/>
  <c r="AA245" i="4" s="1"/>
  <c r="O293" i="4"/>
  <c r="AC293" i="4" s="1"/>
  <c r="J389" i="4"/>
  <c r="T389" i="4" s="1"/>
  <c r="M413" i="4"/>
  <c r="N917" i="4"/>
  <c r="AA917" i="4" s="1"/>
  <c r="N65" i="4"/>
  <c r="AA65" i="4" s="1"/>
  <c r="L101" i="4"/>
  <c r="L233" i="4"/>
  <c r="N413" i="4"/>
  <c r="AA413" i="4" s="1"/>
  <c r="O869" i="4"/>
  <c r="AC869" i="4" s="1"/>
  <c r="I29" i="4"/>
  <c r="S29" i="4" s="1"/>
  <c r="L41" i="4"/>
  <c r="O53" i="4"/>
  <c r="AC53" i="4" s="1"/>
  <c r="J77" i="4"/>
  <c r="T77" i="4" s="1"/>
  <c r="M89" i="4"/>
  <c r="B113" i="4"/>
  <c r="J125" i="4"/>
  <c r="T125" i="4" s="1"/>
  <c r="N137" i="4"/>
  <c r="AA137" i="4" s="1"/>
  <c r="I161" i="4"/>
  <c r="S161" i="4" s="1"/>
  <c r="L173" i="4"/>
  <c r="O185" i="4"/>
  <c r="AC185" i="4" s="1"/>
  <c r="I209" i="4"/>
  <c r="S209" i="4" s="1"/>
  <c r="M221" i="4"/>
  <c r="B245" i="4"/>
  <c r="J257" i="4"/>
  <c r="T257" i="4" s="1"/>
  <c r="M269" i="4"/>
  <c r="C293" i="4"/>
  <c r="L305" i="4"/>
  <c r="O317" i="4"/>
  <c r="AC317" i="4" s="1"/>
  <c r="J341" i="4"/>
  <c r="T341" i="4" s="1"/>
  <c r="C497" i="4"/>
  <c r="M533" i="4"/>
  <c r="C629" i="4"/>
  <c r="K677" i="4"/>
  <c r="U677" i="4" s="1"/>
  <c r="J857" i="4"/>
  <c r="T857" i="4" s="1"/>
  <c r="K905" i="4"/>
  <c r="U905" i="4" s="1"/>
  <c r="I773" i="4"/>
  <c r="S773" i="4" s="1"/>
  <c r="C773" i="4"/>
  <c r="B773" i="4"/>
  <c r="O773" i="4"/>
  <c r="AC773" i="4" s="1"/>
  <c r="N773" i="4"/>
  <c r="AA773" i="4" s="1"/>
  <c r="L773" i="4"/>
  <c r="J773" i="4"/>
  <c r="T773" i="4" s="1"/>
  <c r="B173" i="4"/>
  <c r="C269" i="4"/>
  <c r="M3" i="4"/>
  <c r="I89" i="4"/>
  <c r="S89" i="4" s="1"/>
  <c r="C305" i="4"/>
  <c r="O137" i="4"/>
  <c r="AC137" i="4" s="1"/>
  <c r="J161" i="4"/>
  <c r="T161" i="4" s="1"/>
  <c r="M173" i="4"/>
  <c r="B197" i="4"/>
  <c r="J209" i="4"/>
  <c r="T209" i="4" s="1"/>
  <c r="N221" i="4"/>
  <c r="AA221" i="4" s="1"/>
  <c r="C245" i="4"/>
  <c r="K257" i="4"/>
  <c r="U257" i="4" s="1"/>
  <c r="N269" i="4"/>
  <c r="AA269" i="4" s="1"/>
  <c r="I293" i="4"/>
  <c r="S293" i="4" s="1"/>
  <c r="M305" i="4"/>
  <c r="B329" i="4"/>
  <c r="L341" i="4"/>
  <c r="K437" i="4"/>
  <c r="U437" i="4" s="1"/>
  <c r="B557" i="4"/>
  <c r="J629" i="4"/>
  <c r="T629" i="4" s="1"/>
  <c r="L857" i="4"/>
  <c r="B881" i="4"/>
  <c r="B929" i="4"/>
  <c r="M965" i="4"/>
  <c r="L965" i="4"/>
  <c r="K965" i="4"/>
  <c r="U965" i="4" s="1"/>
  <c r="J965" i="4"/>
  <c r="T965" i="4" s="1"/>
  <c r="I965" i="4"/>
  <c r="S965" i="4" s="1"/>
  <c r="C965" i="4"/>
  <c r="B965" i="4"/>
  <c r="N965" i="4"/>
  <c r="AA965" i="4" s="1"/>
  <c r="I905" i="4"/>
  <c r="S905" i="4" s="1"/>
  <c r="C905" i="4"/>
  <c r="B905" i="4"/>
  <c r="O905" i="4"/>
  <c r="AC905" i="4" s="1"/>
  <c r="N905" i="4"/>
  <c r="AA905" i="4" s="1"/>
  <c r="L905" i="4"/>
  <c r="J905" i="4"/>
  <c r="T905" i="4" s="1"/>
  <c r="M833" i="4"/>
  <c r="L833" i="4"/>
  <c r="K833" i="4"/>
  <c r="U833" i="4" s="1"/>
  <c r="J833" i="4"/>
  <c r="T833" i="4" s="1"/>
  <c r="I833" i="4"/>
  <c r="S833" i="4" s="1"/>
  <c r="C833" i="4"/>
  <c r="B833" i="4"/>
  <c r="N833" i="4"/>
  <c r="AA833" i="4" s="1"/>
  <c r="L785" i="4"/>
  <c r="K785" i="4"/>
  <c r="U785" i="4" s="1"/>
  <c r="J785" i="4"/>
  <c r="T785" i="4" s="1"/>
  <c r="I785" i="4"/>
  <c r="S785" i="4" s="1"/>
  <c r="C785" i="4"/>
  <c r="B785" i="4"/>
  <c r="O785" i="4"/>
  <c r="AC785" i="4" s="1"/>
  <c r="M785" i="4"/>
  <c r="M701" i="4"/>
  <c r="L701" i="4"/>
  <c r="K701" i="4"/>
  <c r="U701" i="4" s="1"/>
  <c r="J701" i="4"/>
  <c r="T701" i="4" s="1"/>
  <c r="I701" i="4"/>
  <c r="S701" i="4" s="1"/>
  <c r="C701" i="4"/>
  <c r="B701" i="4"/>
  <c r="N701" i="4"/>
  <c r="AA701" i="4" s="1"/>
  <c r="M653" i="4"/>
  <c r="L653" i="4"/>
  <c r="K653" i="4"/>
  <c r="U653" i="4" s="1"/>
  <c r="J653" i="4"/>
  <c r="T653" i="4" s="1"/>
  <c r="I653" i="4"/>
  <c r="S653" i="4" s="1"/>
  <c r="C653" i="4"/>
  <c r="B653" i="4"/>
  <c r="N653" i="4"/>
  <c r="AA653" i="4" s="1"/>
  <c r="O581" i="4"/>
  <c r="AC581" i="4" s="1"/>
  <c r="N581" i="4"/>
  <c r="AA581" i="4" s="1"/>
  <c r="M581" i="4"/>
  <c r="L581" i="4"/>
  <c r="K581" i="4"/>
  <c r="U581" i="4" s="1"/>
  <c r="J581" i="4"/>
  <c r="T581" i="4" s="1"/>
  <c r="C581" i="4"/>
  <c r="N497" i="4"/>
  <c r="AA497" i="4" s="1"/>
  <c r="M497" i="4"/>
  <c r="L497" i="4"/>
  <c r="K497" i="4"/>
  <c r="U497" i="4" s="1"/>
  <c r="I497" i="4"/>
  <c r="S497" i="4" s="1"/>
  <c r="B497" i="4"/>
  <c r="N449" i="4"/>
  <c r="AA449" i="4" s="1"/>
  <c r="M449" i="4"/>
  <c r="L449" i="4"/>
  <c r="K449" i="4"/>
  <c r="U449" i="4" s="1"/>
  <c r="I449" i="4"/>
  <c r="S449" i="4" s="1"/>
  <c r="B449" i="4"/>
  <c r="M389" i="4"/>
  <c r="L389" i="4"/>
  <c r="K389" i="4"/>
  <c r="U389" i="4" s="1"/>
  <c r="I389" i="4"/>
  <c r="S389" i="4" s="1"/>
  <c r="K101" i="4"/>
  <c r="U101" i="4" s="1"/>
  <c r="N113" i="4"/>
  <c r="AA113" i="4" s="1"/>
  <c r="M329" i="4"/>
  <c r="H376" i="4"/>
  <c r="N89" i="4"/>
  <c r="AA89" i="4" s="1"/>
  <c r="C65" i="4"/>
  <c r="L77" i="4"/>
  <c r="I113" i="4"/>
  <c r="S113" i="4" s="1"/>
  <c r="L125" i="4"/>
  <c r="B149" i="4"/>
  <c r="K161" i="4"/>
  <c r="U161" i="4" s="1"/>
  <c r="N173" i="4"/>
  <c r="AA173" i="4" s="1"/>
  <c r="C197" i="4"/>
  <c r="K209" i="4"/>
  <c r="U209" i="4" s="1"/>
  <c r="O221" i="4"/>
  <c r="AC221" i="4" s="1"/>
  <c r="I245" i="4"/>
  <c r="S245" i="4" s="1"/>
  <c r="L257" i="4"/>
  <c r="O269" i="4"/>
  <c r="AC269" i="4" s="1"/>
  <c r="B281" i="4"/>
  <c r="J293" i="4"/>
  <c r="T293" i="4" s="1"/>
  <c r="N305" i="4"/>
  <c r="AA305" i="4" s="1"/>
  <c r="C329" i="4"/>
  <c r="M341" i="4"/>
  <c r="K461" i="4"/>
  <c r="U461" i="4" s="1"/>
  <c r="O497" i="4"/>
  <c r="AC497" i="4" s="1"/>
  <c r="L557" i="4"/>
  <c r="I581" i="4"/>
  <c r="S581" i="4" s="1"/>
  <c r="I809" i="4"/>
  <c r="S809" i="4" s="1"/>
  <c r="J953" i="4"/>
  <c r="T953" i="4" s="1"/>
  <c r="I953" i="4"/>
  <c r="S953" i="4" s="1"/>
  <c r="C953" i="4"/>
  <c r="B953" i="4"/>
  <c r="O953" i="4"/>
  <c r="AC953" i="4" s="1"/>
  <c r="M953" i="4"/>
  <c r="K953" i="4"/>
  <c r="U953" i="4" s="1"/>
  <c r="J821" i="4"/>
  <c r="T821" i="4" s="1"/>
  <c r="I821" i="4"/>
  <c r="S821" i="4" s="1"/>
  <c r="C821" i="4"/>
  <c r="B821" i="4"/>
  <c r="O821" i="4"/>
  <c r="AC821" i="4" s="1"/>
  <c r="M821" i="4"/>
  <c r="K821" i="4"/>
  <c r="U821" i="4" s="1"/>
  <c r="L605" i="4"/>
  <c r="K605" i="4"/>
  <c r="U605" i="4" s="1"/>
  <c r="J605" i="4"/>
  <c r="T605" i="4" s="1"/>
  <c r="I605" i="4"/>
  <c r="S605" i="4" s="1"/>
  <c r="C605" i="4"/>
  <c r="B605" i="4"/>
  <c r="O605" i="4"/>
  <c r="AC605" i="4" s="1"/>
  <c r="M605" i="4"/>
  <c r="O401" i="4"/>
  <c r="AC401" i="4" s="1"/>
  <c r="N401" i="4"/>
  <c r="AA401" i="4" s="1"/>
  <c r="L401" i="4"/>
  <c r="I401" i="4"/>
  <c r="S401" i="4" s="1"/>
  <c r="B401" i="4"/>
  <c r="L3" i="4"/>
  <c r="J449" i="4"/>
  <c r="T449" i="4" s="1"/>
  <c r="K185" i="4"/>
  <c r="U185" i="4" s="1"/>
  <c r="J29" i="4"/>
  <c r="T29" i="4" s="1"/>
  <c r="M41" i="4"/>
  <c r="K77" i="4"/>
  <c r="U77" i="4" s="1"/>
  <c r="K29" i="4"/>
  <c r="U29" i="4" s="1"/>
  <c r="L29" i="4"/>
  <c r="I65" i="4"/>
  <c r="S65" i="4" s="1"/>
  <c r="M77" i="4"/>
  <c r="B101" i="4"/>
  <c r="J113" i="4"/>
  <c r="T113" i="4" s="1"/>
  <c r="M125" i="4"/>
  <c r="C149" i="4"/>
  <c r="L161" i="4"/>
  <c r="I197" i="4"/>
  <c r="S197" i="4" s="1"/>
  <c r="L209" i="4"/>
  <c r="B233" i="4"/>
  <c r="J245" i="4"/>
  <c r="T245" i="4" s="1"/>
  <c r="M257" i="4"/>
  <c r="C281" i="4"/>
  <c r="K293" i="4"/>
  <c r="U293" i="4" s="1"/>
  <c r="O305" i="4"/>
  <c r="AC305" i="4" s="1"/>
  <c r="I329" i="4"/>
  <c r="S329" i="4" s="1"/>
  <c r="M461" i="4"/>
  <c r="J521" i="4"/>
  <c r="T521" i="4" s="1"/>
  <c r="N557" i="4"/>
  <c r="AA557" i="4" s="1"/>
  <c r="C761" i="4"/>
  <c r="K809" i="4"/>
  <c r="U809" i="4" s="1"/>
  <c r="O833" i="4"/>
  <c r="AC833" i="4" s="1"/>
  <c r="B941" i="4"/>
  <c r="O941" i="4"/>
  <c r="AC941" i="4" s="1"/>
  <c r="N941" i="4"/>
  <c r="AA941" i="4" s="1"/>
  <c r="M941" i="4"/>
  <c r="L941" i="4"/>
  <c r="J941" i="4"/>
  <c r="T941" i="4" s="1"/>
  <c r="C941" i="4"/>
  <c r="O845" i="4"/>
  <c r="AC845" i="4" s="1"/>
  <c r="N845" i="4"/>
  <c r="AA845" i="4" s="1"/>
  <c r="M845" i="4"/>
  <c r="L845" i="4"/>
  <c r="K845" i="4"/>
  <c r="U845" i="4" s="1"/>
  <c r="J845" i="4"/>
  <c r="T845" i="4" s="1"/>
  <c r="I845" i="4"/>
  <c r="S845" i="4" s="1"/>
  <c r="B845" i="4"/>
  <c r="C725" i="4"/>
  <c r="B725" i="4"/>
  <c r="O725" i="4"/>
  <c r="AC725" i="4" s="1"/>
  <c r="N725" i="4"/>
  <c r="AA725" i="4" s="1"/>
  <c r="M725" i="4"/>
  <c r="K725" i="4"/>
  <c r="U725" i="4" s="1"/>
  <c r="I725" i="4"/>
  <c r="S725" i="4" s="1"/>
  <c r="O617" i="4"/>
  <c r="AC617" i="4" s="1"/>
  <c r="N617" i="4"/>
  <c r="AA617" i="4" s="1"/>
  <c r="M617" i="4"/>
  <c r="L617" i="4"/>
  <c r="K617" i="4"/>
  <c r="U617" i="4" s="1"/>
  <c r="J617" i="4"/>
  <c r="T617" i="4" s="1"/>
  <c r="I617" i="4"/>
  <c r="S617" i="4" s="1"/>
  <c r="C617" i="4"/>
  <c r="J509" i="4"/>
  <c r="T509" i="4" s="1"/>
  <c r="I509" i="4"/>
  <c r="S509" i="4" s="1"/>
  <c r="C509" i="4"/>
  <c r="O509" i="4"/>
  <c r="AC509" i="4" s="1"/>
  <c r="M509" i="4"/>
  <c r="K509" i="4"/>
  <c r="U509" i="4" s="1"/>
  <c r="K425" i="4"/>
  <c r="U425" i="4" s="1"/>
  <c r="J425" i="4"/>
  <c r="T425" i="4" s="1"/>
  <c r="I425" i="4"/>
  <c r="S425" i="4" s="1"/>
  <c r="B425" i="4"/>
  <c r="N425" i="4"/>
  <c r="AA425" i="4" s="1"/>
  <c r="L425" i="4"/>
  <c r="K341" i="4"/>
  <c r="U341" i="4" s="1"/>
  <c r="C341" i="4"/>
  <c r="O341" i="4"/>
  <c r="AC341" i="4" s="1"/>
  <c r="M65" i="4"/>
  <c r="M869" i="4"/>
  <c r="O245" i="4"/>
  <c r="AC245" i="4" s="1"/>
  <c r="N377" i="4"/>
  <c r="AA377" i="4" s="1"/>
  <c r="L509" i="4"/>
  <c r="K125" i="4"/>
  <c r="U125" i="4" s="1"/>
  <c r="C3" i="4"/>
  <c r="D32" i="4"/>
  <c r="G45" i="4"/>
  <c r="E75" i="4"/>
  <c r="H97" i="4"/>
  <c r="E127" i="4"/>
  <c r="H229" i="4"/>
  <c r="E259" i="4"/>
  <c r="G308" i="4"/>
  <c r="B353" i="4"/>
  <c r="C425" i="4"/>
  <c r="O521" i="4"/>
  <c r="AC521" i="4" s="1"/>
  <c r="N737" i="4"/>
  <c r="AA737" i="4" s="1"/>
  <c r="J761" i="4"/>
  <c r="T761" i="4" s="1"/>
  <c r="N785" i="4"/>
  <c r="AA785" i="4" s="1"/>
  <c r="I435" i="4"/>
  <c r="S435" i="4" s="1"/>
  <c r="M447" i="4"/>
  <c r="B471" i="4"/>
  <c r="J483" i="4"/>
  <c r="T483" i="4" s="1"/>
  <c r="M495" i="4"/>
  <c r="C519" i="4"/>
  <c r="K531" i="4"/>
  <c r="U531" i="4" s="1"/>
  <c r="N543" i="4"/>
  <c r="AA543" i="4" s="1"/>
  <c r="I567" i="4"/>
  <c r="S567" i="4" s="1"/>
  <c r="L579" i="4"/>
  <c r="B603" i="4"/>
  <c r="J615" i="4"/>
  <c r="T615" i="4" s="1"/>
  <c r="M627" i="4"/>
  <c r="C651" i="4"/>
  <c r="K663" i="4"/>
  <c r="U663" i="4" s="1"/>
  <c r="N675" i="4"/>
  <c r="AA675" i="4" s="1"/>
  <c r="C699" i="4"/>
  <c r="L711" i="4"/>
  <c r="O723" i="4"/>
  <c r="AC723" i="4" s="1"/>
  <c r="B735" i="4"/>
  <c r="J747" i="4"/>
  <c r="T747" i="4" s="1"/>
  <c r="M759" i="4"/>
  <c r="B783" i="4"/>
  <c r="K795" i="4"/>
  <c r="U795" i="4" s="1"/>
  <c r="N807" i="4"/>
  <c r="AA807" i="4" s="1"/>
  <c r="C831" i="4"/>
  <c r="K843" i="4"/>
  <c r="U843" i="4" s="1"/>
  <c r="O855" i="4"/>
  <c r="AC855" i="4" s="1"/>
  <c r="J879" i="4"/>
  <c r="T879" i="4" s="1"/>
  <c r="M891" i="4"/>
  <c r="B915" i="4"/>
  <c r="J927" i="4"/>
  <c r="T927" i="4" s="1"/>
  <c r="N939" i="4"/>
  <c r="AA939" i="4" s="1"/>
  <c r="C963" i="4"/>
  <c r="K975" i="4"/>
  <c r="U975" i="4" s="1"/>
  <c r="I987" i="4"/>
  <c r="J999" i="4"/>
  <c r="B375" i="4"/>
  <c r="J387" i="4"/>
  <c r="T387" i="4" s="1"/>
  <c r="M399" i="4"/>
  <c r="E433" i="4"/>
  <c r="C423" i="4"/>
  <c r="K435" i="4"/>
  <c r="U435" i="4" s="1"/>
  <c r="O447" i="4"/>
  <c r="AC447" i="4" s="1"/>
  <c r="I471" i="4"/>
  <c r="S471" i="4" s="1"/>
  <c r="L483" i="4"/>
  <c r="O495" i="4"/>
  <c r="AC495" i="4" s="1"/>
  <c r="B507" i="4"/>
  <c r="J519" i="4"/>
  <c r="T519" i="4" s="1"/>
  <c r="M531" i="4"/>
  <c r="B555" i="4"/>
  <c r="K567" i="4"/>
  <c r="U567" i="4" s="1"/>
  <c r="N579" i="4"/>
  <c r="AA579" i="4" s="1"/>
  <c r="I603" i="4"/>
  <c r="S603" i="4" s="1"/>
  <c r="L615" i="4"/>
  <c r="O627" i="4"/>
  <c r="AC627" i="4" s="1"/>
  <c r="J651" i="4"/>
  <c r="T651" i="4" s="1"/>
  <c r="M663" i="4"/>
  <c r="B687" i="4"/>
  <c r="J699" i="4"/>
  <c r="T699" i="4" s="1"/>
  <c r="N711" i="4"/>
  <c r="AA711" i="4" s="1"/>
  <c r="I735" i="4"/>
  <c r="S735" i="4" s="1"/>
  <c r="L747" i="4"/>
  <c r="O759" i="4"/>
  <c r="AC759" i="4" s="1"/>
  <c r="I783" i="4"/>
  <c r="S783" i="4" s="1"/>
  <c r="M795" i="4"/>
  <c r="B819" i="4"/>
  <c r="J831" i="4"/>
  <c r="T831" i="4" s="1"/>
  <c r="M843" i="4"/>
  <c r="C867" i="4"/>
  <c r="L879" i="4"/>
  <c r="O891" i="4"/>
  <c r="AC891" i="4" s="1"/>
  <c r="I915" i="4"/>
  <c r="S915" i="4" s="1"/>
  <c r="L927" i="4"/>
  <c r="B951" i="4"/>
  <c r="J963" i="4"/>
  <c r="T963" i="4" s="1"/>
  <c r="N966" i="4"/>
  <c r="AA966" i="4" s="1"/>
  <c r="M975" i="4"/>
  <c r="K987" i="4"/>
  <c r="L999" i="4"/>
  <c r="I375" i="4"/>
  <c r="S375" i="4" s="1"/>
  <c r="L387" i="4"/>
  <c r="O399" i="4"/>
  <c r="AC399" i="4" s="1"/>
  <c r="J423" i="4"/>
  <c r="T423" i="4" s="1"/>
  <c r="M435" i="4"/>
  <c r="C459" i="4"/>
  <c r="K471" i="4"/>
  <c r="U471" i="4" s="1"/>
  <c r="N483" i="4"/>
  <c r="AA483" i="4" s="1"/>
  <c r="I507" i="4"/>
  <c r="S507" i="4" s="1"/>
  <c r="L519" i="4"/>
  <c r="O531" i="4"/>
  <c r="AC531" i="4" s="1"/>
  <c r="I555" i="4"/>
  <c r="S555" i="4" s="1"/>
  <c r="M567" i="4"/>
  <c r="C591" i="4"/>
  <c r="K603" i="4"/>
  <c r="U603" i="4" s="1"/>
  <c r="N615" i="4"/>
  <c r="AA615" i="4" s="1"/>
  <c r="C639" i="4"/>
  <c r="L651" i="4"/>
  <c r="O663" i="4"/>
  <c r="AC663" i="4" s="1"/>
  <c r="I687" i="4"/>
  <c r="S687" i="4" s="1"/>
  <c r="L699" i="4"/>
  <c r="B723" i="4"/>
  <c r="K735" i="4"/>
  <c r="U735" i="4" s="1"/>
  <c r="N747" i="4"/>
  <c r="AA747" i="4" s="1"/>
  <c r="C771" i="4"/>
  <c r="K783" i="4"/>
  <c r="U783" i="4" s="1"/>
  <c r="O795" i="4"/>
  <c r="AC795" i="4" s="1"/>
  <c r="I819" i="4"/>
  <c r="S819" i="4" s="1"/>
  <c r="L831" i="4"/>
  <c r="O843" i="4"/>
  <c r="AC843" i="4" s="1"/>
  <c r="B855" i="4"/>
  <c r="J867" i="4"/>
  <c r="T867" i="4" s="1"/>
  <c r="N879" i="4"/>
  <c r="AA879" i="4" s="1"/>
  <c r="C903" i="4"/>
  <c r="K915" i="4"/>
  <c r="U915" i="4" s="1"/>
  <c r="N927" i="4"/>
  <c r="AA927" i="4" s="1"/>
  <c r="I951" i="4"/>
  <c r="S951" i="4" s="1"/>
  <c r="L963" i="4"/>
  <c r="O975" i="4"/>
  <c r="AC975" i="4" s="1"/>
  <c r="M987" i="4"/>
  <c r="B999" i="4"/>
  <c r="N999" i="4"/>
  <c r="L1000" i="4"/>
  <c r="N435" i="4"/>
  <c r="AA435" i="4" s="1"/>
  <c r="I459" i="4"/>
  <c r="S459" i="4" s="1"/>
  <c r="L471" i="4"/>
  <c r="O483" i="4"/>
  <c r="AC483" i="4" s="1"/>
  <c r="J507" i="4"/>
  <c r="T507" i="4" s="1"/>
  <c r="M519" i="4"/>
  <c r="B543" i="4"/>
  <c r="J555" i="4"/>
  <c r="T555" i="4" s="1"/>
  <c r="N567" i="4"/>
  <c r="AA567" i="4" s="1"/>
  <c r="I591" i="4"/>
  <c r="S591" i="4" s="1"/>
  <c r="L603" i="4"/>
  <c r="O615" i="4"/>
  <c r="AC615" i="4" s="1"/>
  <c r="I639" i="4"/>
  <c r="S639" i="4" s="1"/>
  <c r="M651" i="4"/>
  <c r="B675" i="4"/>
  <c r="J687" i="4"/>
  <c r="T687" i="4" s="1"/>
  <c r="M699" i="4"/>
  <c r="C723" i="4"/>
  <c r="L735" i="4"/>
  <c r="O747" i="4"/>
  <c r="AC747" i="4" s="1"/>
  <c r="I771" i="4"/>
  <c r="S771" i="4" s="1"/>
  <c r="L783" i="4"/>
  <c r="B807" i="4"/>
  <c r="J819" i="4"/>
  <c r="T819" i="4" s="1"/>
  <c r="M831" i="4"/>
  <c r="C855" i="4"/>
  <c r="K867" i="4"/>
  <c r="U867" i="4" s="1"/>
  <c r="O879" i="4"/>
  <c r="AC879" i="4" s="1"/>
  <c r="I903" i="4"/>
  <c r="S903" i="4" s="1"/>
  <c r="L915" i="4"/>
  <c r="O927" i="4"/>
  <c r="AC927" i="4" s="1"/>
  <c r="B939" i="4"/>
  <c r="J951" i="4"/>
  <c r="T951" i="4" s="1"/>
  <c r="B954" i="4"/>
  <c r="M963" i="4"/>
  <c r="B987" i="4"/>
  <c r="N987" i="4"/>
  <c r="C999" i="4"/>
  <c r="O999" i="4"/>
  <c r="B447" i="4"/>
  <c r="J459" i="4"/>
  <c r="T459" i="4" s="1"/>
  <c r="M471" i="4"/>
  <c r="B495" i="4"/>
  <c r="K507" i="4"/>
  <c r="U507" i="4" s="1"/>
  <c r="N519" i="4"/>
  <c r="AA519" i="4" s="1"/>
  <c r="C543" i="4"/>
  <c r="K555" i="4"/>
  <c r="U555" i="4" s="1"/>
  <c r="O567" i="4"/>
  <c r="AC567" i="4" s="1"/>
  <c r="J591" i="4"/>
  <c r="T591" i="4" s="1"/>
  <c r="M603" i="4"/>
  <c r="B627" i="4"/>
  <c r="J639" i="4"/>
  <c r="T639" i="4" s="1"/>
  <c r="N651" i="4"/>
  <c r="AA651" i="4" s="1"/>
  <c r="C675" i="4"/>
  <c r="K687" i="4"/>
  <c r="U687" i="4" s="1"/>
  <c r="N699" i="4"/>
  <c r="AA699" i="4" s="1"/>
  <c r="I723" i="4"/>
  <c r="S723" i="4" s="1"/>
  <c r="M735" i="4"/>
  <c r="B759" i="4"/>
  <c r="J771" i="4"/>
  <c r="T771" i="4" s="1"/>
  <c r="M783" i="4"/>
  <c r="C807" i="4"/>
  <c r="K819" i="4"/>
  <c r="U819" i="4" s="1"/>
  <c r="N831" i="4"/>
  <c r="AA831" i="4" s="1"/>
  <c r="I855" i="4"/>
  <c r="S855" i="4" s="1"/>
  <c r="L867" i="4"/>
  <c r="B891" i="4"/>
  <c r="J903" i="4"/>
  <c r="T903" i="4" s="1"/>
  <c r="M915" i="4"/>
  <c r="C939" i="4"/>
  <c r="K951" i="4"/>
  <c r="U951" i="4" s="1"/>
  <c r="N963" i="4"/>
  <c r="AA963" i="4" s="1"/>
  <c r="C987" i="4"/>
  <c r="O987" i="4"/>
  <c r="D999" i="4"/>
  <c r="I363" i="4"/>
  <c r="S363" i="4" s="1"/>
  <c r="L375" i="4"/>
  <c r="O387" i="4"/>
  <c r="AC387" i="4" s="1"/>
  <c r="I411" i="4"/>
  <c r="S411" i="4" s="1"/>
  <c r="M423" i="4"/>
  <c r="C447" i="4"/>
  <c r="K459" i="4"/>
  <c r="U459" i="4" s="1"/>
  <c r="C495" i="4"/>
  <c r="L507" i="4"/>
  <c r="O519" i="4"/>
  <c r="AC519" i="4" s="1"/>
  <c r="I543" i="4"/>
  <c r="S543" i="4" s="1"/>
  <c r="L555" i="4"/>
  <c r="B579" i="4"/>
  <c r="K591" i="4"/>
  <c r="U591" i="4" s="1"/>
  <c r="N603" i="4"/>
  <c r="AA603" i="4" s="1"/>
  <c r="C627" i="4"/>
  <c r="K639" i="4"/>
  <c r="U639" i="4" s="1"/>
  <c r="O651" i="4"/>
  <c r="AC651" i="4" s="1"/>
  <c r="I675" i="4"/>
  <c r="S675" i="4" s="1"/>
  <c r="L687" i="4"/>
  <c r="O699" i="4"/>
  <c r="AC699" i="4" s="1"/>
  <c r="B711" i="4"/>
  <c r="J723" i="4"/>
  <c r="T723" i="4" s="1"/>
  <c r="N735" i="4"/>
  <c r="AA735" i="4" s="1"/>
  <c r="C759" i="4"/>
  <c r="K771" i="4"/>
  <c r="U771" i="4" s="1"/>
  <c r="N783" i="4"/>
  <c r="AA783" i="4" s="1"/>
  <c r="I807" i="4"/>
  <c r="S807" i="4" s="1"/>
  <c r="L819" i="4"/>
  <c r="O831" i="4"/>
  <c r="AC831" i="4" s="1"/>
  <c r="J855" i="4"/>
  <c r="T855" i="4" s="1"/>
  <c r="M867" i="4"/>
  <c r="C891" i="4"/>
  <c r="K903" i="4"/>
  <c r="U903" i="4" s="1"/>
  <c r="N915" i="4"/>
  <c r="AA915" i="4" s="1"/>
  <c r="I939" i="4"/>
  <c r="S939" i="4" s="1"/>
  <c r="L951" i="4"/>
  <c r="O963" i="4"/>
  <c r="AC963" i="4" s="1"/>
  <c r="D987" i="4"/>
  <c r="E999" i="4"/>
  <c r="C579" i="4"/>
  <c r="L591" i="4"/>
  <c r="I627" i="4"/>
  <c r="S627" i="4" s="1"/>
  <c r="L639" i="4"/>
  <c r="B663" i="4"/>
  <c r="J675" i="4"/>
  <c r="T675" i="4" s="1"/>
  <c r="M687" i="4"/>
  <c r="C711" i="4"/>
  <c r="K723" i="4"/>
  <c r="U723" i="4" s="1"/>
  <c r="I759" i="4"/>
  <c r="S759" i="4" s="1"/>
  <c r="L771" i="4"/>
  <c r="B795" i="4"/>
  <c r="J807" i="4"/>
  <c r="T807" i="4" s="1"/>
  <c r="M819" i="4"/>
  <c r="B843" i="4"/>
  <c r="K855" i="4"/>
  <c r="U855" i="4" s="1"/>
  <c r="N867" i="4"/>
  <c r="AA867" i="4" s="1"/>
  <c r="I891" i="4"/>
  <c r="S891" i="4" s="1"/>
  <c r="L903" i="4"/>
  <c r="J939" i="4"/>
  <c r="T939" i="4" s="1"/>
  <c r="M951" i="4"/>
  <c r="B975" i="4"/>
  <c r="E987" i="4"/>
  <c r="F999" i="4"/>
  <c r="N375" i="4"/>
  <c r="AA375" i="4" s="1"/>
  <c r="C399" i="4"/>
  <c r="K411" i="4"/>
  <c r="U411" i="4" s="1"/>
  <c r="J447" i="4"/>
  <c r="T447" i="4" s="1"/>
  <c r="M459" i="4"/>
  <c r="D493" i="4"/>
  <c r="B483" i="4"/>
  <c r="J495" i="4"/>
  <c r="T495" i="4" s="1"/>
  <c r="N507" i="4"/>
  <c r="AA507" i="4" s="1"/>
  <c r="C531" i="4"/>
  <c r="K543" i="4"/>
  <c r="U543" i="4" s="1"/>
  <c r="N555" i="4"/>
  <c r="AA555" i="4" s="1"/>
  <c r="I579" i="4"/>
  <c r="S579" i="4" s="1"/>
  <c r="M591" i="4"/>
  <c r="B615" i="4"/>
  <c r="J627" i="4"/>
  <c r="T627" i="4" s="1"/>
  <c r="M639" i="4"/>
  <c r="C663" i="4"/>
  <c r="K675" i="4"/>
  <c r="U675" i="4" s="1"/>
  <c r="N687" i="4"/>
  <c r="AA687" i="4" s="1"/>
  <c r="I711" i="4"/>
  <c r="S711" i="4" s="1"/>
  <c r="L723" i="4"/>
  <c r="B747" i="4"/>
  <c r="J759" i="4"/>
  <c r="T759" i="4" s="1"/>
  <c r="M771" i="4"/>
  <c r="C795" i="4"/>
  <c r="K807" i="4"/>
  <c r="U807" i="4" s="1"/>
  <c r="N819" i="4"/>
  <c r="AA819" i="4" s="1"/>
  <c r="C843" i="4"/>
  <c r="L855" i="4"/>
  <c r="B879" i="4"/>
  <c r="J891" i="4"/>
  <c r="T891" i="4" s="1"/>
  <c r="M903" i="4"/>
  <c r="B927" i="4"/>
  <c r="K939" i="4"/>
  <c r="U939" i="4" s="1"/>
  <c r="N951" i="4"/>
  <c r="AA951" i="4" s="1"/>
  <c r="C975" i="4"/>
  <c r="F987" i="4"/>
  <c r="G999" i="4"/>
  <c r="I399" i="4"/>
  <c r="S399" i="4" s="1"/>
  <c r="L411" i="4"/>
  <c r="B435" i="4"/>
  <c r="K447" i="4"/>
  <c r="U447" i="4" s="1"/>
  <c r="N459" i="4"/>
  <c r="AA459" i="4" s="1"/>
  <c r="C483" i="4"/>
  <c r="K495" i="4"/>
  <c r="U495" i="4" s="1"/>
  <c r="I531" i="4"/>
  <c r="S531" i="4" s="1"/>
  <c r="L543" i="4"/>
  <c r="B567" i="4"/>
  <c r="G585" i="4"/>
  <c r="J579" i="4"/>
  <c r="T579" i="4" s="1"/>
  <c r="N591" i="4"/>
  <c r="AA591" i="4" s="1"/>
  <c r="C615" i="4"/>
  <c r="K627" i="4"/>
  <c r="U627" i="4" s="1"/>
  <c r="N639" i="4"/>
  <c r="AA639" i="4" s="1"/>
  <c r="I663" i="4"/>
  <c r="S663" i="4" s="1"/>
  <c r="L675" i="4"/>
  <c r="J711" i="4"/>
  <c r="T711" i="4" s="1"/>
  <c r="M723" i="4"/>
  <c r="C747" i="4"/>
  <c r="K759" i="4"/>
  <c r="U759" i="4" s="1"/>
  <c r="N771" i="4"/>
  <c r="AA771" i="4" s="1"/>
  <c r="I795" i="4"/>
  <c r="S795" i="4" s="1"/>
  <c r="L807" i="4"/>
  <c r="I843" i="4"/>
  <c r="S843" i="4" s="1"/>
  <c r="M855" i="4"/>
  <c r="C879" i="4"/>
  <c r="K891" i="4"/>
  <c r="U891" i="4" s="1"/>
  <c r="N903" i="4"/>
  <c r="AA903" i="4" s="1"/>
  <c r="C927" i="4"/>
  <c r="L939" i="4"/>
  <c r="I975" i="4"/>
  <c r="S975" i="4" s="1"/>
  <c r="G987" i="4"/>
  <c r="H999" i="4"/>
  <c r="G406" i="4"/>
  <c r="I978" i="4"/>
  <c r="S978" i="4" s="1"/>
  <c r="H990" i="4"/>
  <c r="B870" i="4"/>
  <c r="N882" i="4"/>
  <c r="AA882" i="4" s="1"/>
  <c r="I894" i="4"/>
  <c r="S894" i="4" s="1"/>
  <c r="K918" i="4"/>
  <c r="U918" i="4" s="1"/>
  <c r="M942" i="4"/>
  <c r="C954" i="4"/>
  <c r="O966" i="4"/>
  <c r="AC966" i="4" s="1"/>
  <c r="J978" i="4"/>
  <c r="T978" i="4" s="1"/>
  <c r="I990" i="4"/>
  <c r="L138" i="4"/>
  <c r="C234" i="4"/>
  <c r="N306" i="4"/>
  <c r="AA306" i="4" s="1"/>
  <c r="J402" i="4"/>
  <c r="T402" i="4" s="1"/>
  <c r="I606" i="4"/>
  <c r="S606" i="4" s="1"/>
  <c r="K630" i="4"/>
  <c r="U630" i="4" s="1"/>
  <c r="L714" i="4"/>
  <c r="N738" i="4"/>
  <c r="AA738" i="4" s="1"/>
  <c r="M798" i="4"/>
  <c r="O18" i="4"/>
  <c r="AC18" i="4" s="1"/>
  <c r="J30" i="4"/>
  <c r="T30" i="4" s="1"/>
  <c r="L54" i="4"/>
  <c r="B66" i="4"/>
  <c r="N78" i="4"/>
  <c r="AA78" i="4" s="1"/>
  <c r="I90" i="4"/>
  <c r="S90" i="4" s="1"/>
  <c r="K114" i="4"/>
  <c r="U114" i="4" s="1"/>
  <c r="M138" i="4"/>
  <c r="C150" i="4"/>
  <c r="O162" i="4"/>
  <c r="AC162" i="4" s="1"/>
  <c r="J174" i="4"/>
  <c r="T174" i="4" s="1"/>
  <c r="L198" i="4"/>
  <c r="B210" i="4"/>
  <c r="N222" i="4"/>
  <c r="AA222" i="4" s="1"/>
  <c r="I234" i="4"/>
  <c r="S234" i="4" s="1"/>
  <c r="K258" i="4"/>
  <c r="U258" i="4" s="1"/>
  <c r="M282" i="4"/>
  <c r="C294" i="4"/>
  <c r="O306" i="4"/>
  <c r="AC306" i="4" s="1"/>
  <c r="J318" i="4"/>
  <c r="T318" i="4" s="1"/>
  <c r="L342" i="4"/>
  <c r="B354" i="4"/>
  <c r="N366" i="4"/>
  <c r="AA366" i="4" s="1"/>
  <c r="I378" i="4"/>
  <c r="S378" i="4" s="1"/>
  <c r="K402" i="4"/>
  <c r="U402" i="4" s="1"/>
  <c r="M426" i="4"/>
  <c r="C438" i="4"/>
  <c r="O450" i="4"/>
  <c r="AC450" i="4" s="1"/>
  <c r="J462" i="4"/>
  <c r="T462" i="4" s="1"/>
  <c r="L486" i="4"/>
  <c r="B498" i="4"/>
  <c r="N510" i="4"/>
  <c r="AA510" i="4" s="1"/>
  <c r="I522" i="4"/>
  <c r="S522" i="4" s="1"/>
  <c r="K546" i="4"/>
  <c r="U546" i="4" s="1"/>
  <c r="M570" i="4"/>
  <c r="C582" i="4"/>
  <c r="O594" i="4"/>
  <c r="AC594" i="4" s="1"/>
  <c r="J606" i="4"/>
  <c r="T606" i="4" s="1"/>
  <c r="L630" i="4"/>
  <c r="B642" i="4"/>
  <c r="N654" i="4"/>
  <c r="AA654" i="4" s="1"/>
  <c r="I666" i="4"/>
  <c r="S666" i="4" s="1"/>
  <c r="K690" i="4"/>
  <c r="U690" i="4" s="1"/>
  <c r="M714" i="4"/>
  <c r="C726" i="4"/>
  <c r="O738" i="4"/>
  <c r="AC738" i="4" s="1"/>
  <c r="J750" i="4"/>
  <c r="T750" i="4" s="1"/>
  <c r="L774" i="4"/>
  <c r="B786" i="4"/>
  <c r="N798" i="4"/>
  <c r="AA798" i="4" s="1"/>
  <c r="I810" i="4"/>
  <c r="S810" i="4" s="1"/>
  <c r="K834" i="4"/>
  <c r="U834" i="4" s="1"/>
  <c r="M858" i="4"/>
  <c r="C870" i="4"/>
  <c r="O882" i="4"/>
  <c r="AC882" i="4" s="1"/>
  <c r="J894" i="4"/>
  <c r="T894" i="4" s="1"/>
  <c r="L918" i="4"/>
  <c r="B930" i="4"/>
  <c r="N942" i="4"/>
  <c r="AA942" i="4" s="1"/>
  <c r="I954" i="4"/>
  <c r="S954" i="4" s="1"/>
  <c r="K978" i="4"/>
  <c r="U978" i="4" s="1"/>
  <c r="L989" i="4"/>
  <c r="J990" i="4"/>
  <c r="K54" i="4"/>
  <c r="U54" i="4" s="1"/>
  <c r="O102" i="4"/>
  <c r="AC102" i="4" s="1"/>
  <c r="L282" i="4"/>
  <c r="B294" i="4"/>
  <c r="K342" i="4"/>
  <c r="U342" i="4" s="1"/>
  <c r="O534" i="4"/>
  <c r="AC534" i="4" s="1"/>
  <c r="L570" i="4"/>
  <c r="M654" i="4"/>
  <c r="O678" i="4"/>
  <c r="AC678" i="4" s="1"/>
  <c r="K774" i="4"/>
  <c r="U774" i="4" s="1"/>
  <c r="L858" i="4"/>
  <c r="K30" i="4"/>
  <c r="U30" i="4" s="1"/>
  <c r="M54" i="4"/>
  <c r="C66" i="4"/>
  <c r="O78" i="4"/>
  <c r="AC78" i="4" s="1"/>
  <c r="J90" i="4"/>
  <c r="T90" i="4" s="1"/>
  <c r="L114" i="4"/>
  <c r="B126" i="4"/>
  <c r="N138" i="4"/>
  <c r="AA138" i="4" s="1"/>
  <c r="I150" i="4"/>
  <c r="S150" i="4" s="1"/>
  <c r="K174" i="4"/>
  <c r="U174" i="4" s="1"/>
  <c r="M198" i="4"/>
  <c r="C210" i="4"/>
  <c r="O222" i="4"/>
  <c r="AC222" i="4" s="1"/>
  <c r="J234" i="4"/>
  <c r="T234" i="4" s="1"/>
  <c r="L258" i="4"/>
  <c r="B270" i="4"/>
  <c r="N282" i="4"/>
  <c r="AA282" i="4" s="1"/>
  <c r="I294" i="4"/>
  <c r="S294" i="4" s="1"/>
  <c r="K318" i="4"/>
  <c r="U318" i="4" s="1"/>
  <c r="M342" i="4"/>
  <c r="C354" i="4"/>
  <c r="O366" i="4"/>
  <c r="AC366" i="4" s="1"/>
  <c r="J378" i="4"/>
  <c r="T378" i="4" s="1"/>
  <c r="L402" i="4"/>
  <c r="B414" i="4"/>
  <c r="N426" i="4"/>
  <c r="AA426" i="4" s="1"/>
  <c r="I438" i="4"/>
  <c r="S438" i="4" s="1"/>
  <c r="K462" i="4"/>
  <c r="U462" i="4" s="1"/>
  <c r="M486" i="4"/>
  <c r="C498" i="4"/>
  <c r="O510" i="4"/>
  <c r="AC510" i="4" s="1"/>
  <c r="J522" i="4"/>
  <c r="T522" i="4" s="1"/>
  <c r="L546" i="4"/>
  <c r="B558" i="4"/>
  <c r="N570" i="4"/>
  <c r="AA570" i="4" s="1"/>
  <c r="I582" i="4"/>
  <c r="S582" i="4" s="1"/>
  <c r="K606" i="4"/>
  <c r="U606" i="4" s="1"/>
  <c r="M630" i="4"/>
  <c r="C642" i="4"/>
  <c r="O654" i="4"/>
  <c r="AC654" i="4" s="1"/>
  <c r="J666" i="4"/>
  <c r="T666" i="4" s="1"/>
  <c r="L690" i="4"/>
  <c r="B702" i="4"/>
  <c r="N714" i="4"/>
  <c r="AA714" i="4" s="1"/>
  <c r="I726" i="4"/>
  <c r="S726" i="4" s="1"/>
  <c r="K750" i="4"/>
  <c r="U750" i="4" s="1"/>
  <c r="M774" i="4"/>
  <c r="C786" i="4"/>
  <c r="O798" i="4"/>
  <c r="AC798" i="4" s="1"/>
  <c r="J810" i="4"/>
  <c r="T810" i="4" s="1"/>
  <c r="L834" i="4"/>
  <c r="B846" i="4"/>
  <c r="N858" i="4"/>
  <c r="AA858" i="4" s="1"/>
  <c r="I870" i="4"/>
  <c r="S870" i="4" s="1"/>
  <c r="K894" i="4"/>
  <c r="U894" i="4" s="1"/>
  <c r="M918" i="4"/>
  <c r="C930" i="4"/>
  <c r="O942" i="4"/>
  <c r="AC942" i="4" s="1"/>
  <c r="J954" i="4"/>
  <c r="T954" i="4" s="1"/>
  <c r="L978" i="4"/>
  <c r="M989" i="4"/>
  <c r="K990" i="4"/>
  <c r="I30" i="4"/>
  <c r="S30" i="4" s="1"/>
  <c r="M78" i="4"/>
  <c r="C90" i="4"/>
  <c r="N162" i="4"/>
  <c r="AA162" i="4" s="1"/>
  <c r="I174" i="4"/>
  <c r="S174" i="4" s="1"/>
  <c r="K198" i="4"/>
  <c r="U198" i="4" s="1"/>
  <c r="L426" i="4"/>
  <c r="J546" i="4"/>
  <c r="T546" i="4" s="1"/>
  <c r="C666" i="4"/>
  <c r="J690" i="4"/>
  <c r="T690" i="4" s="1"/>
  <c r="B726" i="4"/>
  <c r="I750" i="4"/>
  <c r="S750" i="4" s="1"/>
  <c r="C810" i="4"/>
  <c r="O822" i="4"/>
  <c r="AC822" i="4" s="1"/>
  <c r="J834" i="4"/>
  <c r="T834" i="4" s="1"/>
  <c r="L30" i="4"/>
  <c r="B42" i="4"/>
  <c r="N54" i="4"/>
  <c r="AA54" i="4" s="1"/>
  <c r="I66" i="4"/>
  <c r="S66" i="4" s="1"/>
  <c r="K90" i="4"/>
  <c r="U90" i="4" s="1"/>
  <c r="M114" i="4"/>
  <c r="C126" i="4"/>
  <c r="O138" i="4"/>
  <c r="AC138" i="4" s="1"/>
  <c r="J150" i="4"/>
  <c r="T150" i="4" s="1"/>
  <c r="L174" i="4"/>
  <c r="B186" i="4"/>
  <c r="N198" i="4"/>
  <c r="AA198" i="4" s="1"/>
  <c r="I210" i="4"/>
  <c r="S210" i="4" s="1"/>
  <c r="K234" i="4"/>
  <c r="U234" i="4" s="1"/>
  <c r="M258" i="4"/>
  <c r="C270" i="4"/>
  <c r="O282" i="4"/>
  <c r="AC282" i="4" s="1"/>
  <c r="J294" i="4"/>
  <c r="T294" i="4" s="1"/>
  <c r="L318" i="4"/>
  <c r="B330" i="4"/>
  <c r="N342" i="4"/>
  <c r="AA342" i="4" s="1"/>
  <c r="I354" i="4"/>
  <c r="S354" i="4" s="1"/>
  <c r="K378" i="4"/>
  <c r="U378" i="4" s="1"/>
  <c r="M402" i="4"/>
  <c r="C414" i="4"/>
  <c r="O426" i="4"/>
  <c r="AC426" i="4" s="1"/>
  <c r="J438" i="4"/>
  <c r="T438" i="4" s="1"/>
  <c r="L462" i="4"/>
  <c r="B474" i="4"/>
  <c r="N486" i="4"/>
  <c r="AA486" i="4" s="1"/>
  <c r="I498" i="4"/>
  <c r="S498" i="4" s="1"/>
  <c r="K522" i="4"/>
  <c r="U522" i="4" s="1"/>
  <c r="M546" i="4"/>
  <c r="C558" i="4"/>
  <c r="O570" i="4"/>
  <c r="AC570" i="4" s="1"/>
  <c r="J582" i="4"/>
  <c r="T582" i="4" s="1"/>
  <c r="L606" i="4"/>
  <c r="B618" i="4"/>
  <c r="N630" i="4"/>
  <c r="AA630" i="4" s="1"/>
  <c r="I642" i="4"/>
  <c r="S642" i="4" s="1"/>
  <c r="K666" i="4"/>
  <c r="U666" i="4" s="1"/>
  <c r="M690" i="4"/>
  <c r="C702" i="4"/>
  <c r="O714" i="4"/>
  <c r="AC714" i="4" s="1"/>
  <c r="J726" i="4"/>
  <c r="T726" i="4" s="1"/>
  <c r="L750" i="4"/>
  <c r="B762" i="4"/>
  <c r="N774" i="4"/>
  <c r="AA774" i="4" s="1"/>
  <c r="I786" i="4"/>
  <c r="S786" i="4" s="1"/>
  <c r="K810" i="4"/>
  <c r="U810" i="4" s="1"/>
  <c r="M834" i="4"/>
  <c r="C846" i="4"/>
  <c r="O858" i="4"/>
  <c r="AC858" i="4" s="1"/>
  <c r="J870" i="4"/>
  <c r="T870" i="4" s="1"/>
  <c r="L894" i="4"/>
  <c r="B906" i="4"/>
  <c r="N918" i="4"/>
  <c r="AA918" i="4" s="1"/>
  <c r="I930" i="4"/>
  <c r="S930" i="4" s="1"/>
  <c r="K954" i="4"/>
  <c r="U954" i="4" s="1"/>
  <c r="M978" i="4"/>
  <c r="B989" i="4"/>
  <c r="N989" i="4"/>
  <c r="L990" i="4"/>
  <c r="B150" i="4"/>
  <c r="I318" i="4"/>
  <c r="S318" i="4" s="1"/>
  <c r="B438" i="4"/>
  <c r="K486" i="4"/>
  <c r="U486" i="4" s="1"/>
  <c r="C522" i="4"/>
  <c r="N594" i="4"/>
  <c r="AA594" i="4" s="1"/>
  <c r="F17" i="4"/>
  <c r="M30" i="4"/>
  <c r="H45" i="4"/>
  <c r="C42" i="4"/>
  <c r="O54" i="4"/>
  <c r="AC54" i="4" s="1"/>
  <c r="J66" i="4"/>
  <c r="T66" i="4" s="1"/>
  <c r="L90" i="4"/>
  <c r="B102" i="4"/>
  <c r="N114" i="4"/>
  <c r="AA114" i="4" s="1"/>
  <c r="I126" i="4"/>
  <c r="S126" i="4" s="1"/>
  <c r="K150" i="4"/>
  <c r="U150" i="4" s="1"/>
  <c r="M174" i="4"/>
  <c r="C186" i="4"/>
  <c r="O198" i="4"/>
  <c r="AC198" i="4" s="1"/>
  <c r="J210" i="4"/>
  <c r="T210" i="4" s="1"/>
  <c r="L234" i="4"/>
  <c r="B246" i="4"/>
  <c r="N258" i="4"/>
  <c r="AA258" i="4" s="1"/>
  <c r="I270" i="4"/>
  <c r="S270" i="4" s="1"/>
  <c r="K294" i="4"/>
  <c r="U294" i="4" s="1"/>
  <c r="M318" i="4"/>
  <c r="C330" i="4"/>
  <c r="O342" i="4"/>
  <c r="AC342" i="4" s="1"/>
  <c r="J354" i="4"/>
  <c r="T354" i="4" s="1"/>
  <c r="L378" i="4"/>
  <c r="B390" i="4"/>
  <c r="N402" i="4"/>
  <c r="AA402" i="4" s="1"/>
  <c r="I414" i="4"/>
  <c r="S414" i="4" s="1"/>
  <c r="K438" i="4"/>
  <c r="U438" i="4" s="1"/>
  <c r="M462" i="4"/>
  <c r="C474" i="4"/>
  <c r="O486" i="4"/>
  <c r="AC486" i="4" s="1"/>
  <c r="J498" i="4"/>
  <c r="T498" i="4" s="1"/>
  <c r="L522" i="4"/>
  <c r="B534" i="4"/>
  <c r="N546" i="4"/>
  <c r="AA546" i="4" s="1"/>
  <c r="I558" i="4"/>
  <c r="S558" i="4" s="1"/>
  <c r="K582" i="4"/>
  <c r="U582" i="4" s="1"/>
  <c r="M606" i="4"/>
  <c r="C618" i="4"/>
  <c r="O630" i="4"/>
  <c r="AC630" i="4" s="1"/>
  <c r="J642" i="4"/>
  <c r="T642" i="4" s="1"/>
  <c r="L666" i="4"/>
  <c r="B678" i="4"/>
  <c r="N690" i="4"/>
  <c r="AA690" i="4" s="1"/>
  <c r="I702" i="4"/>
  <c r="S702" i="4" s="1"/>
  <c r="K726" i="4"/>
  <c r="U726" i="4" s="1"/>
  <c r="M750" i="4"/>
  <c r="C762" i="4"/>
  <c r="O774" i="4"/>
  <c r="AC774" i="4" s="1"/>
  <c r="J786" i="4"/>
  <c r="T786" i="4" s="1"/>
  <c r="L810" i="4"/>
  <c r="B822" i="4"/>
  <c r="N834" i="4"/>
  <c r="AA834" i="4" s="1"/>
  <c r="I846" i="4"/>
  <c r="S846" i="4" s="1"/>
  <c r="K870" i="4"/>
  <c r="U870" i="4" s="1"/>
  <c r="M894" i="4"/>
  <c r="C906" i="4"/>
  <c r="O918" i="4"/>
  <c r="AC918" i="4" s="1"/>
  <c r="J930" i="4"/>
  <c r="T930" i="4" s="1"/>
  <c r="L954" i="4"/>
  <c r="B966" i="4"/>
  <c r="N978" i="4"/>
  <c r="AA978" i="4" s="1"/>
  <c r="C989" i="4"/>
  <c r="O989" i="4"/>
  <c r="M990" i="4"/>
  <c r="M366" i="4"/>
  <c r="N450" i="4"/>
  <c r="AA450" i="4" s="1"/>
  <c r="I462" i="4"/>
  <c r="S462" i="4" s="1"/>
  <c r="M510" i="4"/>
  <c r="B582" i="4"/>
  <c r="B18" i="4"/>
  <c r="N30" i="4"/>
  <c r="AA30" i="4" s="1"/>
  <c r="I42" i="4"/>
  <c r="S42" i="4" s="1"/>
  <c r="K66" i="4"/>
  <c r="U66" i="4" s="1"/>
  <c r="M90" i="4"/>
  <c r="C102" i="4"/>
  <c r="O114" i="4"/>
  <c r="AC114" i="4" s="1"/>
  <c r="J126" i="4"/>
  <c r="T126" i="4" s="1"/>
  <c r="L150" i="4"/>
  <c r="B162" i="4"/>
  <c r="N174" i="4"/>
  <c r="AA174" i="4" s="1"/>
  <c r="I186" i="4"/>
  <c r="S186" i="4" s="1"/>
  <c r="K210" i="4"/>
  <c r="U210" i="4" s="1"/>
  <c r="M234" i="4"/>
  <c r="C246" i="4"/>
  <c r="O258" i="4"/>
  <c r="AC258" i="4" s="1"/>
  <c r="J270" i="4"/>
  <c r="T270" i="4" s="1"/>
  <c r="L294" i="4"/>
  <c r="B306" i="4"/>
  <c r="N318" i="4"/>
  <c r="AA318" i="4" s="1"/>
  <c r="I330" i="4"/>
  <c r="S330" i="4" s="1"/>
  <c r="K354" i="4"/>
  <c r="U354" i="4" s="1"/>
  <c r="M378" i="4"/>
  <c r="C390" i="4"/>
  <c r="O402" i="4"/>
  <c r="AC402" i="4" s="1"/>
  <c r="J414" i="4"/>
  <c r="T414" i="4" s="1"/>
  <c r="L438" i="4"/>
  <c r="B450" i="4"/>
  <c r="N462" i="4"/>
  <c r="AA462" i="4" s="1"/>
  <c r="I474" i="4"/>
  <c r="S474" i="4" s="1"/>
  <c r="K498" i="4"/>
  <c r="U498" i="4" s="1"/>
  <c r="M522" i="4"/>
  <c r="C534" i="4"/>
  <c r="O546" i="4"/>
  <c r="AC546" i="4" s="1"/>
  <c r="J558" i="4"/>
  <c r="T558" i="4" s="1"/>
  <c r="L582" i="4"/>
  <c r="B594" i="4"/>
  <c r="N606" i="4"/>
  <c r="AA606" i="4" s="1"/>
  <c r="I618" i="4"/>
  <c r="S618" i="4" s="1"/>
  <c r="K642" i="4"/>
  <c r="U642" i="4" s="1"/>
  <c r="M666" i="4"/>
  <c r="C678" i="4"/>
  <c r="O690" i="4"/>
  <c r="AC690" i="4" s="1"/>
  <c r="J702" i="4"/>
  <c r="T702" i="4" s="1"/>
  <c r="L726" i="4"/>
  <c r="B738" i="4"/>
  <c r="N750" i="4"/>
  <c r="AA750" i="4" s="1"/>
  <c r="I762" i="4"/>
  <c r="S762" i="4" s="1"/>
  <c r="K786" i="4"/>
  <c r="U786" i="4" s="1"/>
  <c r="M810" i="4"/>
  <c r="C822" i="4"/>
  <c r="O834" i="4"/>
  <c r="AC834" i="4" s="1"/>
  <c r="J846" i="4"/>
  <c r="T846" i="4" s="1"/>
  <c r="L870" i="4"/>
  <c r="B882" i="4"/>
  <c r="N894" i="4"/>
  <c r="AA894" i="4" s="1"/>
  <c r="I906" i="4"/>
  <c r="S906" i="4" s="1"/>
  <c r="K930" i="4"/>
  <c r="U930" i="4" s="1"/>
  <c r="M954" i="4"/>
  <c r="C966" i="4"/>
  <c r="O978" i="4"/>
  <c r="AC978" i="4" s="1"/>
  <c r="D989" i="4"/>
  <c r="B990" i="4"/>
  <c r="N990" i="4"/>
  <c r="N18" i="4"/>
  <c r="AA18" i="4" s="1"/>
  <c r="J114" i="4"/>
  <c r="T114" i="4" s="1"/>
  <c r="M222" i="4"/>
  <c r="O246" i="4"/>
  <c r="AC246" i="4" s="1"/>
  <c r="J258" i="4"/>
  <c r="T258" i="4" s="1"/>
  <c r="C378" i="4"/>
  <c r="O390" i="4"/>
  <c r="AC390" i="4" s="1"/>
  <c r="H15" i="4"/>
  <c r="C18" i="4"/>
  <c r="O30" i="4"/>
  <c r="AC30" i="4" s="1"/>
  <c r="J42" i="4"/>
  <c r="T42" i="4" s="1"/>
  <c r="E61" i="4"/>
  <c r="L66" i="4"/>
  <c r="G77" i="4"/>
  <c r="B78" i="4"/>
  <c r="N90" i="4"/>
  <c r="AA90" i="4" s="1"/>
  <c r="I102" i="4"/>
  <c r="S102" i="4" s="1"/>
  <c r="D119" i="4"/>
  <c r="K126" i="4"/>
  <c r="U126" i="4" s="1"/>
  <c r="F143" i="4"/>
  <c r="M150" i="4"/>
  <c r="H164" i="4"/>
  <c r="C162" i="4"/>
  <c r="O174" i="4"/>
  <c r="AC174" i="4" s="1"/>
  <c r="J186" i="4"/>
  <c r="T186" i="4" s="1"/>
  <c r="L210" i="4"/>
  <c r="B222" i="4"/>
  <c r="N234" i="4"/>
  <c r="AA234" i="4" s="1"/>
  <c r="I246" i="4"/>
  <c r="S246" i="4" s="1"/>
  <c r="D262" i="4"/>
  <c r="K270" i="4"/>
  <c r="U270" i="4" s="1"/>
  <c r="M294" i="4"/>
  <c r="H313" i="4"/>
  <c r="C306" i="4"/>
  <c r="O318" i="4"/>
  <c r="AC318" i="4" s="1"/>
  <c r="J330" i="4"/>
  <c r="T330" i="4" s="1"/>
  <c r="L354" i="4"/>
  <c r="G368" i="4"/>
  <c r="B366" i="4"/>
  <c r="N378" i="4"/>
  <c r="AA378" i="4" s="1"/>
  <c r="I390" i="4"/>
  <c r="S390" i="4" s="1"/>
  <c r="K414" i="4"/>
  <c r="U414" i="4" s="1"/>
  <c r="M438" i="4"/>
  <c r="C450" i="4"/>
  <c r="O462" i="4"/>
  <c r="AC462" i="4" s="1"/>
  <c r="J474" i="4"/>
  <c r="T474" i="4" s="1"/>
  <c r="L498" i="4"/>
  <c r="B510" i="4"/>
  <c r="N522" i="4"/>
  <c r="AA522" i="4" s="1"/>
  <c r="I534" i="4"/>
  <c r="S534" i="4" s="1"/>
  <c r="K558" i="4"/>
  <c r="U558" i="4" s="1"/>
  <c r="M582" i="4"/>
  <c r="C594" i="4"/>
  <c r="O606" i="4"/>
  <c r="AC606" i="4" s="1"/>
  <c r="J618" i="4"/>
  <c r="T618" i="4" s="1"/>
  <c r="L642" i="4"/>
  <c r="B654" i="4"/>
  <c r="N666" i="4"/>
  <c r="AA666" i="4" s="1"/>
  <c r="I678" i="4"/>
  <c r="S678" i="4" s="1"/>
  <c r="K702" i="4"/>
  <c r="U702" i="4" s="1"/>
  <c r="M726" i="4"/>
  <c r="C738" i="4"/>
  <c r="O750" i="4"/>
  <c r="AC750" i="4" s="1"/>
  <c r="J762" i="4"/>
  <c r="T762" i="4" s="1"/>
  <c r="L786" i="4"/>
  <c r="B798" i="4"/>
  <c r="N810" i="4"/>
  <c r="AA810" i="4" s="1"/>
  <c r="I822" i="4"/>
  <c r="S822" i="4" s="1"/>
  <c r="K846" i="4"/>
  <c r="U846" i="4" s="1"/>
  <c r="M870" i="4"/>
  <c r="C882" i="4"/>
  <c r="O894" i="4"/>
  <c r="AC894" i="4" s="1"/>
  <c r="J906" i="4"/>
  <c r="T906" i="4" s="1"/>
  <c r="L930" i="4"/>
  <c r="B942" i="4"/>
  <c r="N954" i="4"/>
  <c r="AA954" i="4" s="1"/>
  <c r="I966" i="4"/>
  <c r="S966" i="4" s="1"/>
  <c r="E989" i="4"/>
  <c r="C990" i="4"/>
  <c r="O990" i="4"/>
  <c r="M66" i="4"/>
  <c r="C78" i="4"/>
  <c r="N150" i="4"/>
  <c r="AA150" i="4" s="1"/>
  <c r="I162" i="4"/>
  <c r="S162" i="4" s="1"/>
  <c r="C222" i="4"/>
  <c r="C366" i="4"/>
  <c r="J390" i="4"/>
  <c r="T390" i="4" s="1"/>
  <c r="L414" i="4"/>
  <c r="N438" i="4"/>
  <c r="AA438" i="4" s="1"/>
  <c r="K474" i="4"/>
  <c r="U474" i="4" s="1"/>
  <c r="M498" i="4"/>
  <c r="J534" i="4"/>
  <c r="T534" i="4" s="1"/>
  <c r="L558" i="4"/>
  <c r="N582" i="4"/>
  <c r="AA582" i="4" s="1"/>
  <c r="J678" i="4"/>
  <c r="T678" i="4" s="1"/>
  <c r="L702" i="4"/>
  <c r="B714" i="4"/>
  <c r="N726" i="4"/>
  <c r="AA726" i="4" s="1"/>
  <c r="I738" i="4"/>
  <c r="S738" i="4" s="1"/>
  <c r="K762" i="4"/>
  <c r="U762" i="4" s="1"/>
  <c r="M786" i="4"/>
  <c r="C798" i="4"/>
  <c r="J822" i="4"/>
  <c r="T822" i="4" s="1"/>
  <c r="L846" i="4"/>
  <c r="B858" i="4"/>
  <c r="N870" i="4"/>
  <c r="AA870" i="4" s="1"/>
  <c r="I882" i="4"/>
  <c r="S882" i="4" s="1"/>
  <c r="K906" i="4"/>
  <c r="U906" i="4" s="1"/>
  <c r="M930" i="4"/>
  <c r="C942" i="4"/>
  <c r="J966" i="4"/>
  <c r="T966" i="4" s="1"/>
  <c r="F989" i="4"/>
  <c r="D990" i="4"/>
  <c r="I18" i="4"/>
  <c r="S18" i="4" s="1"/>
  <c r="J246" i="4"/>
  <c r="T246" i="4" s="1"/>
  <c r="B282" i="4"/>
  <c r="I306" i="4"/>
  <c r="S306" i="4" s="1"/>
  <c r="C510" i="4"/>
  <c r="B570" i="4"/>
  <c r="I594" i="4"/>
  <c r="S594" i="4" s="1"/>
  <c r="K618" i="4"/>
  <c r="U618" i="4" s="1"/>
  <c r="M642" i="4"/>
  <c r="C654" i="4"/>
  <c r="J18" i="4"/>
  <c r="T18" i="4" s="1"/>
  <c r="L42" i="4"/>
  <c r="B54" i="4"/>
  <c r="N66" i="4"/>
  <c r="AA66" i="4" s="1"/>
  <c r="I78" i="4"/>
  <c r="S78" i="4" s="1"/>
  <c r="K102" i="4"/>
  <c r="U102" i="4" s="1"/>
  <c r="M126" i="4"/>
  <c r="C138" i="4"/>
  <c r="J162" i="4"/>
  <c r="T162" i="4" s="1"/>
  <c r="L186" i="4"/>
  <c r="B198" i="4"/>
  <c r="N210" i="4"/>
  <c r="AA210" i="4" s="1"/>
  <c r="I222" i="4"/>
  <c r="S222" i="4" s="1"/>
  <c r="K246" i="4"/>
  <c r="U246" i="4" s="1"/>
  <c r="M270" i="4"/>
  <c r="C282" i="4"/>
  <c r="O294" i="4"/>
  <c r="AC294" i="4" s="1"/>
  <c r="J306" i="4"/>
  <c r="T306" i="4" s="1"/>
  <c r="L330" i="4"/>
  <c r="B342" i="4"/>
  <c r="N354" i="4"/>
  <c r="AA354" i="4" s="1"/>
  <c r="I366" i="4"/>
  <c r="S366" i="4" s="1"/>
  <c r="K390" i="4"/>
  <c r="U390" i="4" s="1"/>
  <c r="M414" i="4"/>
  <c r="C426" i="4"/>
  <c r="J450" i="4"/>
  <c r="T450" i="4" s="1"/>
  <c r="L474" i="4"/>
  <c r="B486" i="4"/>
  <c r="N498" i="4"/>
  <c r="AA498" i="4" s="1"/>
  <c r="I510" i="4"/>
  <c r="S510" i="4" s="1"/>
  <c r="K534" i="4"/>
  <c r="U534" i="4" s="1"/>
  <c r="M558" i="4"/>
  <c r="C570" i="4"/>
  <c r="J594" i="4"/>
  <c r="T594" i="4" s="1"/>
  <c r="L618" i="4"/>
  <c r="B630" i="4"/>
  <c r="N642" i="4"/>
  <c r="AA642" i="4" s="1"/>
  <c r="I654" i="4"/>
  <c r="S654" i="4" s="1"/>
  <c r="K678" i="4"/>
  <c r="U678" i="4" s="1"/>
  <c r="M702" i="4"/>
  <c r="C714" i="4"/>
  <c r="J738" i="4"/>
  <c r="T738" i="4" s="1"/>
  <c r="L762" i="4"/>
  <c r="B774" i="4"/>
  <c r="N786" i="4"/>
  <c r="AA786" i="4" s="1"/>
  <c r="I798" i="4"/>
  <c r="S798" i="4" s="1"/>
  <c r="K822" i="4"/>
  <c r="U822" i="4" s="1"/>
  <c r="M846" i="4"/>
  <c r="C858" i="4"/>
  <c r="J882" i="4"/>
  <c r="T882" i="4" s="1"/>
  <c r="L906" i="4"/>
  <c r="B918" i="4"/>
  <c r="N930" i="4"/>
  <c r="AA930" i="4" s="1"/>
  <c r="I942" i="4"/>
  <c r="S942" i="4" s="1"/>
  <c r="K966" i="4"/>
  <c r="U966" i="4" s="1"/>
  <c r="G989" i="4"/>
  <c r="E990" i="4"/>
  <c r="K42" i="4"/>
  <c r="U42" i="4" s="1"/>
  <c r="B138" i="4"/>
  <c r="K186" i="4"/>
  <c r="U186" i="4" s="1"/>
  <c r="M210" i="4"/>
  <c r="L270" i="4"/>
  <c r="K330" i="4"/>
  <c r="U330" i="4" s="1"/>
  <c r="M354" i="4"/>
  <c r="B426" i="4"/>
  <c r="I450" i="4"/>
  <c r="S450" i="4" s="1"/>
  <c r="K18" i="4"/>
  <c r="U18" i="4" s="1"/>
  <c r="M42" i="4"/>
  <c r="C54" i="4"/>
  <c r="J78" i="4"/>
  <c r="T78" i="4" s="1"/>
  <c r="L102" i="4"/>
  <c r="B114" i="4"/>
  <c r="N126" i="4"/>
  <c r="AA126" i="4" s="1"/>
  <c r="I138" i="4"/>
  <c r="S138" i="4" s="1"/>
  <c r="K162" i="4"/>
  <c r="U162" i="4" s="1"/>
  <c r="M186" i="4"/>
  <c r="C198" i="4"/>
  <c r="J222" i="4"/>
  <c r="T222" i="4" s="1"/>
  <c r="L246" i="4"/>
  <c r="B258" i="4"/>
  <c r="N270" i="4"/>
  <c r="AA270" i="4" s="1"/>
  <c r="I282" i="4"/>
  <c r="S282" i="4" s="1"/>
  <c r="K306" i="4"/>
  <c r="U306" i="4" s="1"/>
  <c r="M330" i="4"/>
  <c r="C342" i="4"/>
  <c r="J366" i="4"/>
  <c r="T366" i="4" s="1"/>
  <c r="L390" i="4"/>
  <c r="B402" i="4"/>
  <c r="N414" i="4"/>
  <c r="AA414" i="4" s="1"/>
  <c r="I426" i="4"/>
  <c r="S426" i="4" s="1"/>
  <c r="K450" i="4"/>
  <c r="U450" i="4" s="1"/>
  <c r="M474" i="4"/>
  <c r="C486" i="4"/>
  <c r="J510" i="4"/>
  <c r="T510" i="4" s="1"/>
  <c r="L534" i="4"/>
  <c r="B546" i="4"/>
  <c r="N558" i="4"/>
  <c r="AA558" i="4" s="1"/>
  <c r="I570" i="4"/>
  <c r="S570" i="4" s="1"/>
  <c r="K594" i="4"/>
  <c r="U594" i="4" s="1"/>
  <c r="M618" i="4"/>
  <c r="C630" i="4"/>
  <c r="J654" i="4"/>
  <c r="T654" i="4" s="1"/>
  <c r="L678" i="4"/>
  <c r="B690" i="4"/>
  <c r="N702" i="4"/>
  <c r="AA702" i="4" s="1"/>
  <c r="I714" i="4"/>
  <c r="S714" i="4" s="1"/>
  <c r="K738" i="4"/>
  <c r="U738" i="4" s="1"/>
  <c r="M762" i="4"/>
  <c r="C774" i="4"/>
  <c r="J798" i="4"/>
  <c r="T798" i="4" s="1"/>
  <c r="L822" i="4"/>
  <c r="B834" i="4"/>
  <c r="N846" i="4"/>
  <c r="AA846" i="4" s="1"/>
  <c r="I858" i="4"/>
  <c r="S858" i="4" s="1"/>
  <c r="K882" i="4"/>
  <c r="U882" i="4" s="1"/>
  <c r="M906" i="4"/>
  <c r="C918" i="4"/>
  <c r="J942" i="4"/>
  <c r="T942" i="4" s="1"/>
  <c r="L966" i="4"/>
  <c r="B978" i="4"/>
  <c r="H989" i="4"/>
  <c r="F990" i="4"/>
  <c r="J102" i="4"/>
  <c r="T102" i="4" s="1"/>
  <c r="L126" i="4"/>
  <c r="G22" i="4"/>
  <c r="D54" i="4"/>
  <c r="F82" i="4"/>
  <c r="H105" i="4"/>
  <c r="E139" i="4"/>
  <c r="G169" i="4"/>
  <c r="D199" i="4"/>
  <c r="D322" i="4"/>
  <c r="H511" i="4"/>
  <c r="E553" i="4"/>
  <c r="G577" i="4"/>
  <c r="E11" i="4"/>
  <c r="G35" i="4"/>
  <c r="D67" i="4"/>
  <c r="F95" i="4"/>
  <c r="H111" i="4"/>
  <c r="E152" i="4"/>
  <c r="D212" i="4"/>
  <c r="F240" i="4"/>
  <c r="H256" i="4"/>
  <c r="E298" i="4"/>
  <c r="D361" i="4"/>
  <c r="F385" i="4"/>
  <c r="F4" i="4"/>
  <c r="H28" i="4"/>
  <c r="E69" i="4"/>
  <c r="G90" i="4"/>
  <c r="D132" i="4"/>
  <c r="H9" i="4"/>
  <c r="E48" i="4"/>
  <c r="G64" i="4"/>
  <c r="D106" i="4"/>
  <c r="F129" i="4"/>
  <c r="E193" i="4"/>
  <c r="G209" i="4"/>
  <c r="D396" i="4"/>
  <c r="D19" i="4"/>
  <c r="F43" i="4"/>
  <c r="H71" i="4"/>
  <c r="E101" i="4"/>
  <c r="G129" i="4"/>
  <c r="D160" i="4"/>
  <c r="G272" i="4"/>
  <c r="H353" i="4"/>
  <c r="G172" i="4"/>
  <c r="G179" i="4"/>
  <c r="G174" i="4"/>
  <c r="G181" i="4"/>
  <c r="G176" i="4"/>
  <c r="G171" i="4"/>
  <c r="G173" i="4"/>
  <c r="G175" i="4"/>
  <c r="G177" i="4"/>
  <c r="F151" i="4"/>
  <c r="F153" i="4"/>
  <c r="F148" i="4"/>
  <c r="F155" i="4"/>
  <c r="F150" i="4"/>
  <c r="F154" i="4"/>
  <c r="H179" i="4"/>
  <c r="H174" i="4"/>
  <c r="H181" i="4"/>
  <c r="H176" i="4"/>
  <c r="H171" i="4"/>
  <c r="H178" i="4"/>
  <c r="H180" i="4"/>
  <c r="H172" i="4"/>
  <c r="E209" i="4"/>
  <c r="E216" i="4"/>
  <c r="E211" i="4"/>
  <c r="E213" i="4"/>
  <c r="E208" i="4"/>
  <c r="E215" i="4"/>
  <c r="E210" i="4"/>
  <c r="E212" i="4"/>
  <c r="E214" i="4"/>
  <c r="G237" i="4"/>
  <c r="G232" i="4"/>
  <c r="G239" i="4"/>
  <c r="G234" i="4"/>
  <c r="G241" i="4"/>
  <c r="G236" i="4"/>
  <c r="G231" i="4"/>
  <c r="G238" i="4"/>
  <c r="G240" i="4"/>
  <c r="D267" i="4"/>
  <c r="D274" i="4"/>
  <c r="D269" i="4"/>
  <c r="D276" i="4"/>
  <c r="D271" i="4"/>
  <c r="D273" i="4"/>
  <c r="D268" i="4"/>
  <c r="D270" i="4"/>
  <c r="D272" i="4"/>
  <c r="F301" i="4"/>
  <c r="F295" i="4"/>
  <c r="F300" i="4"/>
  <c r="F297" i="4"/>
  <c r="F292" i="4"/>
  <c r="F299" i="4"/>
  <c r="F294" i="4"/>
  <c r="F296" i="4"/>
  <c r="F298" i="4"/>
  <c r="H318" i="4"/>
  <c r="H325" i="4"/>
  <c r="H320" i="4"/>
  <c r="H315" i="4"/>
  <c r="H317" i="4"/>
  <c r="H324" i="4"/>
  <c r="H319" i="4"/>
  <c r="H321" i="4"/>
  <c r="H316" i="4"/>
  <c r="H323" i="4"/>
  <c r="H322" i="4"/>
  <c r="E360" i="4"/>
  <c r="E355" i="4"/>
  <c r="E357" i="4"/>
  <c r="E359" i="4"/>
  <c r="E354" i="4"/>
  <c r="E361" i="4"/>
  <c r="E351" i="4"/>
  <c r="E358" i="4"/>
  <c r="E356" i="4"/>
  <c r="E352" i="4"/>
  <c r="G376" i="4"/>
  <c r="G383" i="4"/>
  <c r="G378" i="4"/>
  <c r="G385" i="4"/>
  <c r="G375" i="4"/>
  <c r="G382" i="4"/>
  <c r="G377" i="4"/>
  <c r="G379" i="4"/>
  <c r="G381" i="4"/>
  <c r="G380" i="4"/>
  <c r="G384" i="4"/>
  <c r="D417" i="4"/>
  <c r="D419" i="4"/>
  <c r="D413" i="4"/>
  <c r="D418" i="4"/>
  <c r="D415" i="4"/>
  <c r="D421" i="4"/>
  <c r="D412" i="4"/>
  <c r="D411" i="4"/>
  <c r="D414" i="4"/>
  <c r="D420" i="4"/>
  <c r="F445" i="4"/>
  <c r="F440" i="4"/>
  <c r="F435" i="4"/>
  <c r="F442" i="4"/>
  <c r="F444" i="4"/>
  <c r="F437" i="4"/>
  <c r="F441" i="4"/>
  <c r="F439" i="4"/>
  <c r="F438" i="4"/>
  <c r="F443" i="4"/>
  <c r="H461" i="4"/>
  <c r="H468" i="4"/>
  <c r="H463" i="4"/>
  <c r="H460" i="4"/>
  <c r="H467" i="4"/>
  <c r="H459" i="4"/>
  <c r="H466" i="4"/>
  <c r="H465" i="4"/>
  <c r="H469" i="4"/>
  <c r="H464" i="4"/>
  <c r="H462" i="4"/>
  <c r="E503" i="4"/>
  <c r="E498" i="4"/>
  <c r="E505" i="4"/>
  <c r="E500" i="4"/>
  <c r="E502" i="4"/>
  <c r="E495" i="4"/>
  <c r="E504" i="4"/>
  <c r="E499" i="4"/>
  <c r="E497" i="4"/>
  <c r="E496" i="4"/>
  <c r="E501" i="4"/>
  <c r="G519" i="4"/>
  <c r="G526" i="4"/>
  <c r="G521" i="4"/>
  <c r="G528" i="4"/>
  <c r="G522" i="4"/>
  <c r="G525" i="4"/>
  <c r="G520" i="4"/>
  <c r="G524" i="4"/>
  <c r="G523" i="4"/>
  <c r="G527" i="4"/>
  <c r="G529" i="4"/>
  <c r="D561" i="4"/>
  <c r="D556" i="4"/>
  <c r="D563" i="4"/>
  <c r="D558" i="4"/>
  <c r="D565" i="4"/>
  <c r="D560" i="4"/>
  <c r="D564" i="4"/>
  <c r="D559" i="4"/>
  <c r="D562" i="4"/>
  <c r="D555" i="4"/>
  <c r="F582" i="4"/>
  <c r="F589" i="4"/>
  <c r="F584" i="4"/>
  <c r="F586" i="4"/>
  <c r="F588" i="4"/>
  <c r="F583" i="4"/>
  <c r="F585" i="4"/>
  <c r="F579" i="4"/>
  <c r="F587" i="4"/>
  <c r="F581" i="4"/>
  <c r="F580" i="4"/>
  <c r="H610" i="4"/>
  <c r="H605" i="4"/>
  <c r="H612" i="4"/>
  <c r="H607" i="4"/>
  <c r="H609" i="4"/>
  <c r="H604" i="4"/>
  <c r="H611" i="4"/>
  <c r="H608" i="4"/>
  <c r="H606" i="4"/>
  <c r="H613" i="4"/>
  <c r="H603" i="4"/>
  <c r="E640" i="4"/>
  <c r="E647" i="4"/>
  <c r="E642" i="4"/>
  <c r="E649" i="4"/>
  <c r="E644" i="4"/>
  <c r="E639" i="4"/>
  <c r="E646" i="4"/>
  <c r="E641" i="4"/>
  <c r="E645" i="4"/>
  <c r="E643" i="4"/>
  <c r="E648" i="4"/>
  <c r="G668" i="4"/>
  <c r="G663" i="4"/>
  <c r="G670" i="4"/>
  <c r="G665" i="4"/>
  <c r="G672" i="4"/>
  <c r="G667" i="4"/>
  <c r="G669" i="4"/>
  <c r="G673" i="4"/>
  <c r="G666" i="4"/>
  <c r="G664" i="4"/>
  <c r="G671" i="4"/>
  <c r="D705" i="4"/>
  <c r="D700" i="4"/>
  <c r="D707" i="4"/>
  <c r="D702" i="4"/>
  <c r="D709" i="4"/>
  <c r="D704" i="4"/>
  <c r="D699" i="4"/>
  <c r="D703" i="4"/>
  <c r="D708" i="4"/>
  <c r="D706" i="4"/>
  <c r="D701" i="4"/>
  <c r="F726" i="4"/>
  <c r="F733" i="4"/>
  <c r="F728" i="4"/>
  <c r="F723" i="4"/>
  <c r="F730" i="4"/>
  <c r="F725" i="4"/>
  <c r="F732" i="4"/>
  <c r="F727" i="4"/>
  <c r="F731" i="4"/>
  <c r="F729" i="4"/>
  <c r="F724" i="4"/>
  <c r="H754" i="4"/>
  <c r="H749" i="4"/>
  <c r="H756" i="4"/>
  <c r="H751" i="4"/>
  <c r="H753" i="4"/>
  <c r="H748" i="4"/>
  <c r="H755" i="4"/>
  <c r="H747" i="4"/>
  <c r="H757" i="4"/>
  <c r="H752" i="4"/>
  <c r="H750" i="4"/>
  <c r="E792" i="4"/>
  <c r="E789" i="4"/>
  <c r="E784" i="4"/>
  <c r="E791" i="4"/>
  <c r="E786" i="4"/>
  <c r="E793" i="4"/>
  <c r="E788" i="4"/>
  <c r="E783" i="4"/>
  <c r="E787" i="4"/>
  <c r="E790" i="4"/>
  <c r="E785" i="4"/>
  <c r="G808" i="4"/>
  <c r="G815" i="4"/>
  <c r="G810" i="4"/>
  <c r="G817" i="4"/>
  <c r="G812" i="4"/>
  <c r="G807" i="4"/>
  <c r="G814" i="4"/>
  <c r="G809" i="4"/>
  <c r="G816" i="4"/>
  <c r="G813" i="4"/>
  <c r="G811" i="4"/>
  <c r="D843" i="4"/>
  <c r="D850" i="4"/>
  <c r="D845" i="4"/>
  <c r="D852" i="4"/>
  <c r="D847" i="4"/>
  <c r="D849" i="4"/>
  <c r="D844" i="4"/>
  <c r="D851" i="4"/>
  <c r="D846" i="4"/>
  <c r="D848" i="4"/>
  <c r="D853" i="4"/>
  <c r="F871" i="4"/>
  <c r="F873" i="4"/>
  <c r="F868" i="4"/>
  <c r="F875" i="4"/>
  <c r="F870" i="4"/>
  <c r="F877" i="4"/>
  <c r="F872" i="4"/>
  <c r="F867" i="4"/>
  <c r="F874" i="4"/>
  <c r="F876" i="4"/>
  <c r="F869" i="4"/>
  <c r="H899" i="4"/>
  <c r="H894" i="4"/>
  <c r="H901" i="4"/>
  <c r="H896" i="4"/>
  <c r="H891" i="4"/>
  <c r="H898" i="4"/>
  <c r="H893" i="4"/>
  <c r="H900" i="4"/>
  <c r="H895" i="4"/>
  <c r="H892" i="4"/>
  <c r="H897" i="4"/>
  <c r="E929" i="4"/>
  <c r="E936" i="4"/>
  <c r="E931" i="4"/>
  <c r="E933" i="4"/>
  <c r="E928" i="4"/>
  <c r="E935" i="4"/>
  <c r="E930" i="4"/>
  <c r="E937" i="4"/>
  <c r="E932" i="4"/>
  <c r="E934" i="4"/>
  <c r="E927" i="4"/>
  <c r="G957" i="4"/>
  <c r="G952" i="4"/>
  <c r="G959" i="4"/>
  <c r="G954" i="4"/>
  <c r="G961" i="4"/>
  <c r="G956" i="4"/>
  <c r="G951" i="4"/>
  <c r="G958" i="4"/>
  <c r="G953" i="4"/>
  <c r="G960" i="4"/>
  <c r="G955" i="4"/>
  <c r="E4" i="4"/>
  <c r="H7" i="4"/>
  <c r="F9" i="4"/>
  <c r="D11" i="4"/>
  <c r="G15" i="4"/>
  <c r="E17" i="4"/>
  <c r="H20" i="4"/>
  <c r="F22" i="4"/>
  <c r="D24" i="4"/>
  <c r="G28" i="4"/>
  <c r="E30" i="4"/>
  <c r="H33" i="4"/>
  <c r="F35" i="4"/>
  <c r="D37" i="4"/>
  <c r="E41" i="4"/>
  <c r="G43" i="4"/>
  <c r="D46" i="4"/>
  <c r="F48" i="4"/>
  <c r="H51" i="4"/>
  <c r="E54" i="4"/>
  <c r="G56" i="4"/>
  <c r="D59" i="4"/>
  <c r="F61" i="4"/>
  <c r="H64" i="4"/>
  <c r="E67" i="4"/>
  <c r="G69" i="4"/>
  <c r="D72" i="4"/>
  <c r="F75" i="4"/>
  <c r="H77" i="4"/>
  <c r="E80" i="4"/>
  <c r="G82" i="4"/>
  <c r="D85" i="4"/>
  <c r="F88" i="4"/>
  <c r="H90" i="4"/>
  <c r="E93" i="4"/>
  <c r="G95" i="4"/>
  <c r="D99" i="4"/>
  <c r="F101" i="4"/>
  <c r="H103" i="4"/>
  <c r="E106" i="4"/>
  <c r="G108" i="4"/>
  <c r="D112" i="4"/>
  <c r="F114" i="4"/>
  <c r="H116" i="4"/>
  <c r="E119" i="4"/>
  <c r="G121" i="4"/>
  <c r="D125" i="4"/>
  <c r="F127" i="4"/>
  <c r="H129" i="4"/>
  <c r="E132" i="4"/>
  <c r="G135" i="4"/>
  <c r="D138" i="4"/>
  <c r="D141" i="4"/>
  <c r="F147" i="4"/>
  <c r="G152" i="4"/>
  <c r="E180" i="4"/>
  <c r="E191" i="4"/>
  <c r="G207" i="4"/>
  <c r="D223" i="4"/>
  <c r="F238" i="4"/>
  <c r="H253" i="4"/>
  <c r="E270" i="4"/>
  <c r="G285" i="4"/>
  <c r="H303" i="4"/>
  <c r="D4" i="4"/>
  <c r="G7" i="4"/>
  <c r="E9" i="4"/>
  <c r="H12" i="4"/>
  <c r="F15" i="4"/>
  <c r="D17" i="4"/>
  <c r="G20" i="4"/>
  <c r="E22" i="4"/>
  <c r="H25" i="4"/>
  <c r="F28" i="4"/>
  <c r="D30" i="4"/>
  <c r="G33" i="4"/>
  <c r="E35" i="4"/>
  <c r="D39" i="4"/>
  <c r="F41" i="4"/>
  <c r="H43" i="4"/>
  <c r="E46" i="4"/>
  <c r="G48" i="4"/>
  <c r="D52" i="4"/>
  <c r="F54" i="4"/>
  <c r="H56" i="4"/>
  <c r="E59" i="4"/>
  <c r="G61" i="4"/>
  <c r="D65" i="4"/>
  <c r="F67" i="4"/>
  <c r="H69" i="4"/>
  <c r="E72" i="4"/>
  <c r="G75" i="4"/>
  <c r="D78" i="4"/>
  <c r="F80" i="4"/>
  <c r="H82" i="4"/>
  <c r="E85" i="4"/>
  <c r="G88" i="4"/>
  <c r="D91" i="4"/>
  <c r="F93" i="4"/>
  <c r="H95" i="4"/>
  <c r="E99" i="4"/>
  <c r="G101" i="4"/>
  <c r="D104" i="4"/>
  <c r="F106" i="4"/>
  <c r="H108" i="4"/>
  <c r="E112" i="4"/>
  <c r="G114" i="4"/>
  <c r="D117" i="4"/>
  <c r="F119" i="4"/>
  <c r="H121" i="4"/>
  <c r="E125" i="4"/>
  <c r="G127" i="4"/>
  <c r="D130" i="4"/>
  <c r="F132" i="4"/>
  <c r="H135" i="4"/>
  <c r="E138" i="4"/>
  <c r="E141" i="4"/>
  <c r="G147" i="4"/>
  <c r="D154" i="4"/>
  <c r="F160" i="4"/>
  <c r="D171" i="4"/>
  <c r="G180" i="4"/>
  <c r="E353" i="4"/>
  <c r="F216" i="4"/>
  <c r="F211" i="4"/>
  <c r="F213" i="4"/>
  <c r="F208" i="4"/>
  <c r="F215" i="4"/>
  <c r="F210" i="4"/>
  <c r="F217" i="4"/>
  <c r="F207" i="4"/>
  <c r="F209" i="4"/>
  <c r="F355" i="4"/>
  <c r="F357" i="4"/>
  <c r="F352" i="4"/>
  <c r="F354" i="4"/>
  <c r="F361" i="4"/>
  <c r="F356" i="4"/>
  <c r="F358" i="4"/>
  <c r="F351" i="4"/>
  <c r="F353" i="4"/>
  <c r="F359" i="4"/>
  <c r="E850" i="4"/>
  <c r="E845" i="4"/>
  <c r="E852" i="4"/>
  <c r="E847" i="4"/>
  <c r="E849" i="4"/>
  <c r="E844" i="4"/>
  <c r="E851" i="4"/>
  <c r="E846" i="4"/>
  <c r="E853" i="4"/>
  <c r="E843" i="4"/>
  <c r="E848" i="4"/>
  <c r="H153" i="4"/>
  <c r="H148" i="4"/>
  <c r="H155" i="4"/>
  <c r="H150" i="4"/>
  <c r="H157" i="4"/>
  <c r="H152" i="4"/>
  <c r="H156" i="4"/>
  <c r="E183" i="4"/>
  <c r="E190" i="4"/>
  <c r="E185" i="4"/>
  <c r="E192" i="4"/>
  <c r="E187" i="4"/>
  <c r="E189" i="4"/>
  <c r="E184" i="4"/>
  <c r="E186" i="4"/>
  <c r="E188" i="4"/>
  <c r="G211" i="4"/>
  <c r="G213" i="4"/>
  <c r="G208" i="4"/>
  <c r="G215" i="4"/>
  <c r="G210" i="4"/>
  <c r="G217" i="4"/>
  <c r="G212" i="4"/>
  <c r="G214" i="4"/>
  <c r="G216" i="4"/>
  <c r="D253" i="4"/>
  <c r="D248" i="4"/>
  <c r="D243" i="4"/>
  <c r="D250" i="4"/>
  <c r="D245" i="4"/>
  <c r="D252" i="4"/>
  <c r="D247" i="4"/>
  <c r="D244" i="4"/>
  <c r="D246" i="4"/>
  <c r="F269" i="4"/>
  <c r="F276" i="4"/>
  <c r="F271" i="4"/>
  <c r="F273" i="4"/>
  <c r="F268" i="4"/>
  <c r="F275" i="4"/>
  <c r="F270" i="4"/>
  <c r="F272" i="4"/>
  <c r="F274" i="4"/>
  <c r="H299" i="4"/>
  <c r="H301" i="4"/>
  <c r="H297" i="4"/>
  <c r="H300" i="4"/>
  <c r="H292" i="4"/>
  <c r="H294" i="4"/>
  <c r="H296" i="4"/>
  <c r="H291" i="4"/>
  <c r="H298" i="4"/>
  <c r="E334" i="4"/>
  <c r="E329" i="4"/>
  <c r="E336" i="4"/>
  <c r="E331" i="4"/>
  <c r="E333" i="4"/>
  <c r="E328" i="4"/>
  <c r="E335" i="4"/>
  <c r="E337" i="4"/>
  <c r="E327" i="4"/>
  <c r="E332" i="4"/>
  <c r="G357" i="4"/>
  <c r="G352" i="4"/>
  <c r="G359" i="4"/>
  <c r="G361" i="4"/>
  <c r="G356" i="4"/>
  <c r="G351" i="4"/>
  <c r="G353" i="4"/>
  <c r="G358" i="4"/>
  <c r="G355" i="4"/>
  <c r="G354" i="4"/>
  <c r="G360" i="4"/>
  <c r="D392" i="4"/>
  <c r="D387" i="4"/>
  <c r="D394" i="4"/>
  <c r="D389" i="4"/>
  <c r="D391" i="4"/>
  <c r="D393" i="4"/>
  <c r="D395" i="4"/>
  <c r="D397" i="4"/>
  <c r="D390" i="4"/>
  <c r="D388" i="4"/>
  <c r="F419" i="4"/>
  <c r="F421" i="4"/>
  <c r="F418" i="4"/>
  <c r="F415" i="4"/>
  <c r="F417" i="4"/>
  <c r="F414" i="4"/>
  <c r="F411" i="4"/>
  <c r="F413" i="4"/>
  <c r="F412" i="4"/>
  <c r="F420" i="4"/>
  <c r="F416" i="4"/>
  <c r="H435" i="4"/>
  <c r="H442" i="4"/>
  <c r="H437" i="4"/>
  <c r="H444" i="4"/>
  <c r="H445" i="4"/>
  <c r="H436" i="4"/>
  <c r="H439" i="4"/>
  <c r="H443" i="4"/>
  <c r="H438" i="4"/>
  <c r="H441" i="4"/>
  <c r="H440" i="4"/>
  <c r="E477" i="4"/>
  <c r="E472" i="4"/>
  <c r="E479" i="4"/>
  <c r="E474" i="4"/>
  <c r="E476" i="4"/>
  <c r="E480" i="4"/>
  <c r="E478" i="4"/>
  <c r="E473" i="4"/>
  <c r="E481" i="4"/>
  <c r="E471" i="4"/>
  <c r="E475" i="4"/>
  <c r="G505" i="4"/>
  <c r="G500" i="4"/>
  <c r="G495" i="4"/>
  <c r="G502" i="4"/>
  <c r="G504" i="4"/>
  <c r="G496" i="4"/>
  <c r="G499" i="4"/>
  <c r="G498" i="4"/>
  <c r="G497" i="4"/>
  <c r="G501" i="4"/>
  <c r="G503" i="4"/>
  <c r="D535" i="4"/>
  <c r="D537" i="4"/>
  <c r="D532" i="4"/>
  <c r="D534" i="4"/>
  <c r="D538" i="4"/>
  <c r="D541" i="4"/>
  <c r="D536" i="4"/>
  <c r="D531" i="4"/>
  <c r="D540" i="4"/>
  <c r="D539" i="4"/>
  <c r="F563" i="4"/>
  <c r="F558" i="4"/>
  <c r="F565" i="4"/>
  <c r="F560" i="4"/>
  <c r="F555" i="4"/>
  <c r="F562" i="4"/>
  <c r="F564" i="4"/>
  <c r="F557" i="4"/>
  <c r="F556" i="4"/>
  <c r="F561" i="4"/>
  <c r="F559" i="4"/>
  <c r="H584" i="4"/>
  <c r="H579" i="4"/>
  <c r="H586" i="4"/>
  <c r="H581" i="4"/>
  <c r="H588" i="4"/>
  <c r="H585" i="4"/>
  <c r="H583" i="4"/>
  <c r="H589" i="4"/>
  <c r="H580" i="4"/>
  <c r="H587" i="4"/>
  <c r="H582" i="4"/>
  <c r="E621" i="4"/>
  <c r="E616" i="4"/>
  <c r="E623" i="4"/>
  <c r="E618" i="4"/>
  <c r="E625" i="4"/>
  <c r="E620" i="4"/>
  <c r="E615" i="4"/>
  <c r="E624" i="4"/>
  <c r="E622" i="4"/>
  <c r="E619" i="4"/>
  <c r="E617" i="4"/>
  <c r="G642" i="4"/>
  <c r="G649" i="4"/>
  <c r="G644" i="4"/>
  <c r="G639" i="4"/>
  <c r="G646" i="4"/>
  <c r="G641" i="4"/>
  <c r="G648" i="4"/>
  <c r="G643" i="4"/>
  <c r="G647" i="4"/>
  <c r="G645" i="4"/>
  <c r="G640" i="4"/>
  <c r="D684" i="4"/>
  <c r="D679" i="4"/>
  <c r="D681" i="4"/>
  <c r="D676" i="4"/>
  <c r="D683" i="4"/>
  <c r="D678" i="4"/>
  <c r="D685" i="4"/>
  <c r="D677" i="4"/>
  <c r="D675" i="4"/>
  <c r="D680" i="4"/>
  <c r="F700" i="4"/>
  <c r="F707" i="4"/>
  <c r="F702" i="4"/>
  <c r="F709" i="4"/>
  <c r="F704" i="4"/>
  <c r="F699" i="4"/>
  <c r="F706" i="4"/>
  <c r="F701" i="4"/>
  <c r="F705" i="4"/>
  <c r="F703" i="4"/>
  <c r="F708" i="4"/>
  <c r="H728" i="4"/>
  <c r="H723" i="4"/>
  <c r="H730" i="4"/>
  <c r="H725" i="4"/>
  <c r="H732" i="4"/>
  <c r="H727" i="4"/>
  <c r="H729" i="4"/>
  <c r="H733" i="4"/>
  <c r="H726" i="4"/>
  <c r="H724" i="4"/>
  <c r="H731" i="4"/>
  <c r="E766" i="4"/>
  <c r="E768" i="4"/>
  <c r="E769" i="4"/>
  <c r="E765" i="4"/>
  <c r="E760" i="4"/>
  <c r="E762" i="4"/>
  <c r="E764" i="4"/>
  <c r="E767" i="4"/>
  <c r="E759" i="4"/>
  <c r="E763" i="4"/>
  <c r="E761" i="4"/>
  <c r="G784" i="4"/>
  <c r="G791" i="4"/>
  <c r="G786" i="4"/>
  <c r="G793" i="4"/>
  <c r="G788" i="4"/>
  <c r="G783" i="4"/>
  <c r="G789" i="4"/>
  <c r="G787" i="4"/>
  <c r="G792" i="4"/>
  <c r="G790" i="4"/>
  <c r="G785" i="4"/>
  <c r="D824" i="4"/>
  <c r="D819" i="4"/>
  <c r="D826" i="4"/>
  <c r="D821" i="4"/>
  <c r="D828" i="4"/>
  <c r="D823" i="4"/>
  <c r="D825" i="4"/>
  <c r="D820" i="4"/>
  <c r="D822" i="4"/>
  <c r="D829" i="4"/>
  <c r="D827" i="4"/>
  <c r="F845" i="4"/>
  <c r="F852" i="4"/>
  <c r="F847" i="4"/>
  <c r="F849" i="4"/>
  <c r="F844" i="4"/>
  <c r="F851" i="4"/>
  <c r="F846" i="4"/>
  <c r="F853" i="4"/>
  <c r="F848" i="4"/>
  <c r="F850" i="4"/>
  <c r="F843" i="4"/>
  <c r="H873" i="4"/>
  <c r="H868" i="4"/>
  <c r="H875" i="4"/>
  <c r="H870" i="4"/>
  <c r="H877" i="4"/>
  <c r="H872" i="4"/>
  <c r="H867" i="4"/>
  <c r="H874" i="4"/>
  <c r="H869" i="4"/>
  <c r="H876" i="4"/>
  <c r="H871" i="4"/>
  <c r="E903" i="4"/>
  <c r="E910" i="4"/>
  <c r="E905" i="4"/>
  <c r="E912" i="4"/>
  <c r="E907" i="4"/>
  <c r="E909" i="4"/>
  <c r="E904" i="4"/>
  <c r="E911" i="4"/>
  <c r="E906" i="4"/>
  <c r="E908" i="4"/>
  <c r="E913" i="4"/>
  <c r="G931" i="4"/>
  <c r="G933" i="4"/>
  <c r="G928" i="4"/>
  <c r="G935" i="4"/>
  <c r="G930" i="4"/>
  <c r="G937" i="4"/>
  <c r="G932" i="4"/>
  <c r="G927" i="4"/>
  <c r="G934" i="4"/>
  <c r="G936" i="4"/>
  <c r="G929" i="4"/>
  <c r="D973" i="4"/>
  <c r="D968" i="4"/>
  <c r="D963" i="4"/>
  <c r="D970" i="4"/>
  <c r="D965" i="4"/>
  <c r="D972" i="4"/>
  <c r="D967" i="4"/>
  <c r="D969" i="4"/>
  <c r="D964" i="4"/>
  <c r="D966" i="4"/>
  <c r="D971" i="4"/>
  <c r="H5" i="4"/>
  <c r="F7" i="4"/>
  <c r="D9" i="4"/>
  <c r="G12" i="4"/>
  <c r="E15" i="4"/>
  <c r="H18" i="4"/>
  <c r="F20" i="4"/>
  <c r="D22" i="4"/>
  <c r="G25" i="4"/>
  <c r="E28" i="4"/>
  <c r="H31" i="4"/>
  <c r="F33" i="4"/>
  <c r="D35" i="4"/>
  <c r="E39" i="4"/>
  <c r="G41" i="4"/>
  <c r="D44" i="4"/>
  <c r="F46" i="4"/>
  <c r="H48" i="4"/>
  <c r="E52" i="4"/>
  <c r="G54" i="4"/>
  <c r="D57" i="4"/>
  <c r="F59" i="4"/>
  <c r="H61" i="4"/>
  <c r="E65" i="4"/>
  <c r="G67" i="4"/>
  <c r="D70" i="4"/>
  <c r="F72" i="4"/>
  <c r="H75" i="4"/>
  <c r="E78" i="4"/>
  <c r="G80" i="4"/>
  <c r="D83" i="4"/>
  <c r="F85" i="4"/>
  <c r="H88" i="4"/>
  <c r="E91" i="4"/>
  <c r="G93" i="4"/>
  <c r="D96" i="4"/>
  <c r="F99" i="4"/>
  <c r="H101" i="4"/>
  <c r="E104" i="4"/>
  <c r="G106" i="4"/>
  <c r="D109" i="4"/>
  <c r="F112" i="4"/>
  <c r="H114" i="4"/>
  <c r="E117" i="4"/>
  <c r="G119" i="4"/>
  <c r="D123" i="4"/>
  <c r="F125" i="4"/>
  <c r="H127" i="4"/>
  <c r="E130" i="4"/>
  <c r="G132" i="4"/>
  <c r="D136" i="4"/>
  <c r="F138" i="4"/>
  <c r="G141" i="4"/>
  <c r="H147" i="4"/>
  <c r="E154" i="4"/>
  <c r="H160" i="4"/>
  <c r="F171" i="4"/>
  <c r="D181" i="4"/>
  <c r="G193" i="4"/>
  <c r="D210" i="4"/>
  <c r="F225" i="4"/>
  <c r="E257" i="4"/>
  <c r="D162" i="4"/>
  <c r="D169" i="4"/>
  <c r="D164" i="4"/>
  <c r="D159" i="4"/>
  <c r="D166" i="4"/>
  <c r="D161" i="4"/>
  <c r="D163" i="4"/>
  <c r="D165" i="4"/>
  <c r="D167" i="4"/>
  <c r="F190" i="4"/>
  <c r="F185" i="4"/>
  <c r="F192" i="4"/>
  <c r="F187" i="4"/>
  <c r="F189" i="4"/>
  <c r="F191" i="4"/>
  <c r="F193" i="4"/>
  <c r="F183" i="4"/>
  <c r="H213" i="4"/>
  <c r="H208" i="4"/>
  <c r="H215" i="4"/>
  <c r="H210" i="4"/>
  <c r="H217" i="4"/>
  <c r="H212" i="4"/>
  <c r="H207" i="4"/>
  <c r="H209" i="4"/>
  <c r="H211" i="4"/>
  <c r="E248" i="4"/>
  <c r="E243" i="4"/>
  <c r="E250" i="4"/>
  <c r="E245" i="4"/>
  <c r="E252" i="4"/>
  <c r="E247" i="4"/>
  <c r="E249" i="4"/>
  <c r="E251" i="4"/>
  <c r="E253" i="4"/>
  <c r="G276" i="4"/>
  <c r="G271" i="4"/>
  <c r="G273" i="4"/>
  <c r="G268" i="4"/>
  <c r="G275" i="4"/>
  <c r="G270" i="4"/>
  <c r="G277" i="4"/>
  <c r="G267" i="4"/>
  <c r="G269" i="4"/>
  <c r="D313" i="4"/>
  <c r="D308" i="4"/>
  <c r="D303" i="4"/>
  <c r="D310" i="4"/>
  <c r="D312" i="4"/>
  <c r="D304" i="4"/>
  <c r="D311" i="4"/>
  <c r="D306" i="4"/>
  <c r="D305" i="4"/>
  <c r="D309" i="4"/>
  <c r="D307" i="4"/>
  <c r="F329" i="4"/>
  <c r="F336" i="4"/>
  <c r="F331" i="4"/>
  <c r="F328" i="4"/>
  <c r="F335" i="4"/>
  <c r="F330" i="4"/>
  <c r="F332" i="4"/>
  <c r="F327" i="4"/>
  <c r="F334" i="4"/>
  <c r="F333" i="4"/>
  <c r="H357" i="4"/>
  <c r="H352" i="4"/>
  <c r="H359" i="4"/>
  <c r="H354" i="4"/>
  <c r="H356" i="4"/>
  <c r="H351" i="4"/>
  <c r="H358" i="4"/>
  <c r="H360" i="4"/>
  <c r="H355" i="4"/>
  <c r="H361" i="4"/>
  <c r="E387" i="4"/>
  <c r="E394" i="4"/>
  <c r="E389" i="4"/>
  <c r="E396" i="4"/>
  <c r="E393" i="4"/>
  <c r="E388" i="4"/>
  <c r="E390" i="4"/>
  <c r="E392" i="4"/>
  <c r="E391" i="4"/>
  <c r="E397" i="4"/>
  <c r="E395" i="4"/>
  <c r="G421" i="4"/>
  <c r="G416" i="4"/>
  <c r="G419" i="4"/>
  <c r="G415" i="4"/>
  <c r="G418" i="4"/>
  <c r="G412" i="4"/>
  <c r="G417" i="4"/>
  <c r="G414" i="4"/>
  <c r="G420" i="4"/>
  <c r="G413" i="4"/>
  <c r="G411" i="4"/>
  <c r="D456" i="4"/>
  <c r="D451" i="4"/>
  <c r="D453" i="4"/>
  <c r="D455" i="4"/>
  <c r="D447" i="4"/>
  <c r="D450" i="4"/>
  <c r="D457" i="4"/>
  <c r="D449" i="4"/>
  <c r="D452" i="4"/>
  <c r="D448" i="4"/>
  <c r="F472" i="4"/>
  <c r="F479" i="4"/>
  <c r="F474" i="4"/>
  <c r="F481" i="4"/>
  <c r="F471" i="4"/>
  <c r="F475" i="4"/>
  <c r="F478" i="4"/>
  <c r="F473" i="4"/>
  <c r="F477" i="4"/>
  <c r="F476" i="4"/>
  <c r="F480" i="4"/>
  <c r="H500" i="4"/>
  <c r="H495" i="4"/>
  <c r="H502" i="4"/>
  <c r="H497" i="4"/>
  <c r="H499" i="4"/>
  <c r="H503" i="4"/>
  <c r="H504" i="4"/>
  <c r="H496" i="4"/>
  <c r="H505" i="4"/>
  <c r="H501" i="4"/>
  <c r="H498" i="4"/>
  <c r="E537" i="4"/>
  <c r="E532" i="4"/>
  <c r="E539" i="4"/>
  <c r="E541" i="4"/>
  <c r="E533" i="4"/>
  <c r="E536" i="4"/>
  <c r="E531" i="4"/>
  <c r="E535" i="4"/>
  <c r="E534" i="4"/>
  <c r="E538" i="4"/>
  <c r="E540" i="4"/>
  <c r="G558" i="4"/>
  <c r="G565" i="4"/>
  <c r="G560" i="4"/>
  <c r="G555" i="4"/>
  <c r="G562" i="4"/>
  <c r="G557" i="4"/>
  <c r="G561" i="4"/>
  <c r="G563" i="4"/>
  <c r="G556" i="4"/>
  <c r="G564" i="4"/>
  <c r="G559" i="4"/>
  <c r="D593" i="4"/>
  <c r="D600" i="4"/>
  <c r="D595" i="4"/>
  <c r="D597" i="4"/>
  <c r="D592" i="4"/>
  <c r="D599" i="4"/>
  <c r="D594" i="4"/>
  <c r="D591" i="4"/>
  <c r="D598" i="4"/>
  <c r="D601" i="4"/>
  <c r="D596" i="4"/>
  <c r="F621" i="4"/>
  <c r="F616" i="4"/>
  <c r="F623" i="4"/>
  <c r="F618" i="4"/>
  <c r="F625" i="4"/>
  <c r="F620" i="4"/>
  <c r="F615" i="4"/>
  <c r="F622" i="4"/>
  <c r="F624" i="4"/>
  <c r="F619" i="4"/>
  <c r="F617" i="4"/>
  <c r="H649" i="4"/>
  <c r="H644" i="4"/>
  <c r="H639" i="4"/>
  <c r="H646" i="4"/>
  <c r="H641" i="4"/>
  <c r="H648" i="4"/>
  <c r="H643" i="4"/>
  <c r="H642" i="4"/>
  <c r="H640" i="4"/>
  <c r="H647" i="4"/>
  <c r="H645" i="4"/>
  <c r="E679" i="4"/>
  <c r="E681" i="4"/>
  <c r="E676" i="4"/>
  <c r="E683" i="4"/>
  <c r="E678" i="4"/>
  <c r="E685" i="4"/>
  <c r="E680" i="4"/>
  <c r="E684" i="4"/>
  <c r="E677" i="4"/>
  <c r="E675" i="4"/>
  <c r="E682" i="4"/>
  <c r="G707" i="4"/>
  <c r="G702" i="4"/>
  <c r="G709" i="4"/>
  <c r="G704" i="4"/>
  <c r="G699" i="4"/>
  <c r="G706" i="4"/>
  <c r="G701" i="4"/>
  <c r="G708" i="4"/>
  <c r="G700" i="4"/>
  <c r="G705" i="4"/>
  <c r="G703" i="4"/>
  <c r="D737" i="4"/>
  <c r="D744" i="4"/>
  <c r="D739" i="4"/>
  <c r="D741" i="4"/>
  <c r="D736" i="4"/>
  <c r="D743" i="4"/>
  <c r="D738" i="4"/>
  <c r="D742" i="4"/>
  <c r="D745" i="4"/>
  <c r="D740" i="4"/>
  <c r="D735" i="4"/>
  <c r="F767" i="4"/>
  <c r="F769" i="4"/>
  <c r="F765" i="4"/>
  <c r="F760" i="4"/>
  <c r="F762" i="4"/>
  <c r="F768" i="4"/>
  <c r="F764" i="4"/>
  <c r="F759" i="4"/>
  <c r="F766" i="4"/>
  <c r="F763" i="4"/>
  <c r="F761" i="4"/>
  <c r="H789" i="4"/>
  <c r="H791" i="4"/>
  <c r="H786" i="4"/>
  <c r="H793" i="4"/>
  <c r="H788" i="4"/>
  <c r="H783" i="4"/>
  <c r="H790" i="4"/>
  <c r="H787" i="4"/>
  <c r="H792" i="4"/>
  <c r="H785" i="4"/>
  <c r="H784" i="4"/>
  <c r="E819" i="4"/>
  <c r="E826" i="4"/>
  <c r="E821" i="4"/>
  <c r="E828" i="4"/>
  <c r="E823" i="4"/>
  <c r="E825" i="4"/>
  <c r="E820" i="4"/>
  <c r="E827" i="4"/>
  <c r="E829" i="4"/>
  <c r="E824" i="4"/>
  <c r="E822" i="4"/>
  <c r="G852" i="4"/>
  <c r="G847" i="4"/>
  <c r="G849" i="4"/>
  <c r="G844" i="4"/>
  <c r="G851" i="4"/>
  <c r="G846" i="4"/>
  <c r="G853" i="4"/>
  <c r="G848" i="4"/>
  <c r="G843" i="4"/>
  <c r="G845" i="4"/>
  <c r="G850" i="4"/>
  <c r="D882" i="4"/>
  <c r="D889" i="4"/>
  <c r="D884" i="4"/>
  <c r="D879" i="4"/>
  <c r="D886" i="4"/>
  <c r="D881" i="4"/>
  <c r="D888" i="4"/>
  <c r="D883" i="4"/>
  <c r="D885" i="4"/>
  <c r="D887" i="4"/>
  <c r="D880" i="4"/>
  <c r="F910" i="4"/>
  <c r="F905" i="4"/>
  <c r="F912" i="4"/>
  <c r="F907" i="4"/>
  <c r="F909" i="4"/>
  <c r="F904" i="4"/>
  <c r="F911" i="4"/>
  <c r="F906" i="4"/>
  <c r="F913" i="4"/>
  <c r="F903" i="4"/>
  <c r="F908" i="4"/>
  <c r="H933" i="4"/>
  <c r="H928" i="4"/>
  <c r="H935" i="4"/>
  <c r="H930" i="4"/>
  <c r="H937" i="4"/>
  <c r="H932" i="4"/>
  <c r="H927" i="4"/>
  <c r="H934" i="4"/>
  <c r="H929" i="4"/>
  <c r="H931" i="4"/>
  <c r="H936" i="4"/>
  <c r="E968" i="4"/>
  <c r="E963" i="4"/>
  <c r="E970" i="4"/>
  <c r="E965" i="4"/>
  <c r="E972" i="4"/>
  <c r="E967" i="4"/>
  <c r="E969" i="4"/>
  <c r="E964" i="4"/>
  <c r="E971" i="4"/>
  <c r="E973" i="4"/>
  <c r="E966" i="4"/>
  <c r="G5" i="4"/>
  <c r="E7" i="4"/>
  <c r="H10" i="4"/>
  <c r="F12" i="4"/>
  <c r="D15" i="4"/>
  <c r="G18" i="4"/>
  <c r="E20" i="4"/>
  <c r="H23" i="4"/>
  <c r="F25" i="4"/>
  <c r="D28" i="4"/>
  <c r="G31" i="4"/>
  <c r="E33" i="4"/>
  <c r="H36" i="4"/>
  <c r="F39" i="4"/>
  <c r="H41" i="4"/>
  <c r="E44" i="4"/>
  <c r="G46" i="4"/>
  <c r="D49" i="4"/>
  <c r="F52" i="4"/>
  <c r="H54" i="4"/>
  <c r="E57" i="4"/>
  <c r="G59" i="4"/>
  <c r="D63" i="4"/>
  <c r="F65" i="4"/>
  <c r="H67" i="4"/>
  <c r="E70" i="4"/>
  <c r="G72" i="4"/>
  <c r="D76" i="4"/>
  <c r="F78" i="4"/>
  <c r="H80" i="4"/>
  <c r="E83" i="4"/>
  <c r="G85" i="4"/>
  <c r="D89" i="4"/>
  <c r="F91" i="4"/>
  <c r="H93" i="4"/>
  <c r="E96" i="4"/>
  <c r="G99" i="4"/>
  <c r="D102" i="4"/>
  <c r="F104" i="4"/>
  <c r="H106" i="4"/>
  <c r="E109" i="4"/>
  <c r="G112" i="4"/>
  <c r="D115" i="4"/>
  <c r="F117" i="4"/>
  <c r="H119" i="4"/>
  <c r="E123" i="4"/>
  <c r="G125" i="4"/>
  <c r="D128" i="4"/>
  <c r="F130" i="4"/>
  <c r="H132" i="4"/>
  <c r="E136" i="4"/>
  <c r="G138" i="4"/>
  <c r="H141" i="4"/>
  <c r="E149" i="4"/>
  <c r="G154" i="4"/>
  <c r="G274" i="4"/>
  <c r="F360" i="4"/>
  <c r="D416" i="4"/>
  <c r="D533" i="4"/>
  <c r="G299" i="4"/>
  <c r="G300" i="4"/>
  <c r="G297" i="4"/>
  <c r="G292" i="4"/>
  <c r="G294" i="4"/>
  <c r="G296" i="4"/>
  <c r="G291" i="4"/>
  <c r="G293" i="4"/>
  <c r="G295" i="4"/>
  <c r="E556" i="4"/>
  <c r="E563" i="4"/>
  <c r="E558" i="4"/>
  <c r="E565" i="4"/>
  <c r="E560" i="4"/>
  <c r="E555" i="4"/>
  <c r="E559" i="4"/>
  <c r="E564" i="4"/>
  <c r="E557" i="4"/>
  <c r="E562" i="4"/>
  <c r="E561" i="4"/>
  <c r="F647" i="4"/>
  <c r="F642" i="4"/>
  <c r="F649" i="4"/>
  <c r="F644" i="4"/>
  <c r="F639" i="4"/>
  <c r="F646" i="4"/>
  <c r="F641" i="4"/>
  <c r="F648" i="4"/>
  <c r="F640" i="4"/>
  <c r="F645" i="4"/>
  <c r="F643" i="4"/>
  <c r="E705" i="4"/>
  <c r="E700" i="4"/>
  <c r="E707" i="4"/>
  <c r="E702" i="4"/>
  <c r="E709" i="4"/>
  <c r="E704" i="4"/>
  <c r="E699" i="4"/>
  <c r="E706" i="4"/>
  <c r="E701" i="4"/>
  <c r="E708" i="4"/>
  <c r="E703" i="4"/>
  <c r="E169" i="4"/>
  <c r="E164" i="4"/>
  <c r="E159" i="4"/>
  <c r="E166" i="4"/>
  <c r="E161" i="4"/>
  <c r="E168" i="4"/>
  <c r="E160" i="4"/>
  <c r="E162" i="4"/>
  <c r="G185" i="4"/>
  <c r="G192" i="4"/>
  <c r="G187" i="4"/>
  <c r="G189" i="4"/>
  <c r="G184" i="4"/>
  <c r="G191" i="4"/>
  <c r="G186" i="4"/>
  <c r="G188" i="4"/>
  <c r="G190" i="4"/>
  <c r="D227" i="4"/>
  <c r="D222" i="4"/>
  <c r="D229" i="4"/>
  <c r="D224" i="4"/>
  <c r="D219" i="4"/>
  <c r="D226" i="4"/>
  <c r="D221" i="4"/>
  <c r="D228" i="4"/>
  <c r="D220" i="4"/>
  <c r="F243" i="4"/>
  <c r="F250" i="4"/>
  <c r="F245" i="4"/>
  <c r="F252" i="4"/>
  <c r="F247" i="4"/>
  <c r="F249" i="4"/>
  <c r="F244" i="4"/>
  <c r="F246" i="4"/>
  <c r="F248" i="4"/>
  <c r="H271" i="4"/>
  <c r="H273" i="4"/>
  <c r="H268" i="4"/>
  <c r="H275" i="4"/>
  <c r="H270" i="4"/>
  <c r="H277" i="4"/>
  <c r="H272" i="4"/>
  <c r="H274" i="4"/>
  <c r="H276" i="4"/>
  <c r="E308" i="4"/>
  <c r="E303" i="4"/>
  <c r="E310" i="4"/>
  <c r="E305" i="4"/>
  <c r="E307" i="4"/>
  <c r="E311" i="4"/>
  <c r="E306" i="4"/>
  <c r="E309" i="4"/>
  <c r="E304" i="4"/>
  <c r="E312" i="4"/>
  <c r="G336" i="4"/>
  <c r="G331" i="4"/>
  <c r="G333" i="4"/>
  <c r="G335" i="4"/>
  <c r="G330" i="4"/>
  <c r="G337" i="4"/>
  <c r="G327" i="4"/>
  <c r="G334" i="4"/>
  <c r="G332" i="4"/>
  <c r="G328" i="4"/>
  <c r="D366" i="4"/>
  <c r="D373" i="4"/>
  <c r="D368" i="4"/>
  <c r="D363" i="4"/>
  <c r="D365" i="4"/>
  <c r="D372" i="4"/>
  <c r="D367" i="4"/>
  <c r="D369" i="4"/>
  <c r="D364" i="4"/>
  <c r="D371" i="4"/>
  <c r="D370" i="4"/>
  <c r="F394" i="4"/>
  <c r="F389" i="4"/>
  <c r="F396" i="4"/>
  <c r="F391" i="4"/>
  <c r="F393" i="4"/>
  <c r="F388" i="4"/>
  <c r="F395" i="4"/>
  <c r="F397" i="4"/>
  <c r="F387" i="4"/>
  <c r="F392" i="4"/>
  <c r="F390" i="4"/>
  <c r="H421" i="4"/>
  <c r="H416" i="4"/>
  <c r="H418" i="4"/>
  <c r="H420" i="4"/>
  <c r="H412" i="4"/>
  <c r="H411" i="4"/>
  <c r="H413" i="4"/>
  <c r="H419" i="4"/>
  <c r="H415" i="4"/>
  <c r="H414" i="4"/>
  <c r="E451" i="4"/>
  <c r="E453" i="4"/>
  <c r="E448" i="4"/>
  <c r="E450" i="4"/>
  <c r="E454" i="4"/>
  <c r="E457" i="4"/>
  <c r="E449" i="4"/>
  <c r="E455" i="4"/>
  <c r="E447" i="4"/>
  <c r="E456" i="4"/>
  <c r="E452" i="4"/>
  <c r="G479" i="4"/>
  <c r="G474" i="4"/>
  <c r="G481" i="4"/>
  <c r="G476" i="4"/>
  <c r="G478" i="4"/>
  <c r="G473" i="4"/>
  <c r="G472" i="4"/>
  <c r="G471" i="4"/>
  <c r="G475" i="4"/>
  <c r="G480" i="4"/>
  <c r="G477" i="4"/>
  <c r="D509" i="4"/>
  <c r="D516" i="4"/>
  <c r="D511" i="4"/>
  <c r="D508" i="4"/>
  <c r="D512" i="4"/>
  <c r="D515" i="4"/>
  <c r="D510" i="4"/>
  <c r="D514" i="4"/>
  <c r="D513" i="4"/>
  <c r="D517" i="4"/>
  <c r="D507" i="4"/>
  <c r="F537" i="4"/>
  <c r="F532" i="4"/>
  <c r="F539" i="4"/>
  <c r="F534" i="4"/>
  <c r="F536" i="4"/>
  <c r="F540" i="4"/>
  <c r="F541" i="4"/>
  <c r="F531" i="4"/>
  <c r="F533" i="4"/>
  <c r="F538" i="4"/>
  <c r="H565" i="4"/>
  <c r="H560" i="4"/>
  <c r="H555" i="4"/>
  <c r="H562" i="4"/>
  <c r="H557" i="4"/>
  <c r="H564" i="4"/>
  <c r="H556" i="4"/>
  <c r="H558" i="4"/>
  <c r="H563" i="4"/>
  <c r="H561" i="4"/>
  <c r="H559" i="4"/>
  <c r="E600" i="4"/>
  <c r="E595" i="4"/>
  <c r="E597" i="4"/>
  <c r="E592" i="4"/>
  <c r="E599" i="4"/>
  <c r="E594" i="4"/>
  <c r="E601" i="4"/>
  <c r="E593" i="4"/>
  <c r="E591" i="4"/>
  <c r="E598" i="4"/>
  <c r="E596" i="4"/>
  <c r="G616" i="4"/>
  <c r="G623" i="4"/>
  <c r="G618" i="4"/>
  <c r="G625" i="4"/>
  <c r="G620" i="4"/>
  <c r="G615" i="4"/>
  <c r="G622" i="4"/>
  <c r="G617" i="4"/>
  <c r="G621" i="4"/>
  <c r="G624" i="4"/>
  <c r="G619" i="4"/>
  <c r="D658" i="4"/>
  <c r="D653" i="4"/>
  <c r="D660" i="4"/>
  <c r="D655" i="4"/>
  <c r="D657" i="4"/>
  <c r="D652" i="4"/>
  <c r="D659" i="4"/>
  <c r="D651" i="4"/>
  <c r="D656" i="4"/>
  <c r="D654" i="4"/>
  <c r="D661" i="4"/>
  <c r="F681" i="4"/>
  <c r="F676" i="4"/>
  <c r="F683" i="4"/>
  <c r="F678" i="4"/>
  <c r="F685" i="4"/>
  <c r="F680" i="4"/>
  <c r="F675" i="4"/>
  <c r="F679" i="4"/>
  <c r="F684" i="4"/>
  <c r="F682" i="4"/>
  <c r="F677" i="4"/>
  <c r="H702" i="4"/>
  <c r="H709" i="4"/>
  <c r="H704" i="4"/>
  <c r="H699" i="4"/>
  <c r="H706" i="4"/>
  <c r="H701" i="4"/>
  <c r="H708" i="4"/>
  <c r="H703" i="4"/>
  <c r="H707" i="4"/>
  <c r="H705" i="4"/>
  <c r="H700" i="4"/>
  <c r="E744" i="4"/>
  <c r="E739" i="4"/>
  <c r="E741" i="4"/>
  <c r="E736" i="4"/>
  <c r="E743" i="4"/>
  <c r="E738" i="4"/>
  <c r="E745" i="4"/>
  <c r="E737" i="4"/>
  <c r="E735" i="4"/>
  <c r="E742" i="4"/>
  <c r="E740" i="4"/>
  <c r="G768" i="4"/>
  <c r="G765" i="4"/>
  <c r="G760" i="4"/>
  <c r="G762" i="4"/>
  <c r="G764" i="4"/>
  <c r="G759" i="4"/>
  <c r="G767" i="4"/>
  <c r="G761" i="4"/>
  <c r="G769" i="4"/>
  <c r="G766" i="4"/>
  <c r="G763" i="4"/>
  <c r="D798" i="4"/>
  <c r="D805" i="4"/>
  <c r="D800" i="4"/>
  <c r="D795" i="4"/>
  <c r="D802" i="4"/>
  <c r="D797" i="4"/>
  <c r="D804" i="4"/>
  <c r="D799" i="4"/>
  <c r="D796" i="4"/>
  <c r="D803" i="4"/>
  <c r="D801" i="4"/>
  <c r="F826" i="4"/>
  <c r="F821" i="4"/>
  <c r="F828" i="4"/>
  <c r="F823" i="4"/>
  <c r="F825" i="4"/>
  <c r="F820" i="4"/>
  <c r="F827" i="4"/>
  <c r="F822" i="4"/>
  <c r="F824" i="4"/>
  <c r="F819" i="4"/>
  <c r="F829" i="4"/>
  <c r="H847" i="4"/>
  <c r="H849" i="4"/>
  <c r="H844" i="4"/>
  <c r="H851" i="4"/>
  <c r="H846" i="4"/>
  <c r="H853" i="4"/>
  <c r="H848" i="4"/>
  <c r="H843" i="4"/>
  <c r="H850" i="4"/>
  <c r="H852" i="4"/>
  <c r="H845" i="4"/>
  <c r="E889" i="4"/>
  <c r="E884" i="4"/>
  <c r="E879" i="4"/>
  <c r="E886" i="4"/>
  <c r="E881" i="4"/>
  <c r="E888" i="4"/>
  <c r="E883" i="4"/>
  <c r="E885" i="4"/>
  <c r="E880" i="4"/>
  <c r="E882" i="4"/>
  <c r="E887" i="4"/>
  <c r="G905" i="4"/>
  <c r="G912" i="4"/>
  <c r="G907" i="4"/>
  <c r="G909" i="4"/>
  <c r="G904" i="4"/>
  <c r="G911" i="4"/>
  <c r="G906" i="4"/>
  <c r="G913" i="4"/>
  <c r="G908" i="4"/>
  <c r="G910" i="4"/>
  <c r="G903" i="4"/>
  <c r="D947" i="4"/>
  <c r="D942" i="4"/>
  <c r="D949" i="4"/>
  <c r="D944" i="4"/>
  <c r="D939" i="4"/>
  <c r="D946" i="4"/>
  <c r="D941" i="4"/>
  <c r="D948" i="4"/>
  <c r="D943" i="4"/>
  <c r="D940" i="4"/>
  <c r="D945" i="4"/>
  <c r="F963" i="4"/>
  <c r="F970" i="4"/>
  <c r="F965" i="4"/>
  <c r="F972" i="4"/>
  <c r="F967" i="4"/>
  <c r="F969" i="4"/>
  <c r="F964" i="4"/>
  <c r="F971" i="4"/>
  <c r="F966" i="4"/>
  <c r="F968" i="4"/>
  <c r="F973" i="4"/>
  <c r="H3" i="4"/>
  <c r="F5" i="4"/>
  <c r="D7" i="4"/>
  <c r="G10" i="4"/>
  <c r="E12" i="4"/>
  <c r="H16" i="4"/>
  <c r="F18" i="4"/>
  <c r="D20" i="4"/>
  <c r="G23" i="4"/>
  <c r="E25" i="4"/>
  <c r="H29" i="4"/>
  <c r="F31" i="4"/>
  <c r="D33" i="4"/>
  <c r="G36" i="4"/>
  <c r="G39" i="4"/>
  <c r="D42" i="4"/>
  <c r="F44" i="4"/>
  <c r="H46" i="4"/>
  <c r="E49" i="4"/>
  <c r="G52" i="4"/>
  <c r="D55" i="4"/>
  <c r="F57" i="4"/>
  <c r="H59" i="4"/>
  <c r="E63" i="4"/>
  <c r="G65" i="4"/>
  <c r="D68" i="4"/>
  <c r="F70" i="4"/>
  <c r="H72" i="4"/>
  <c r="E76" i="4"/>
  <c r="G78" i="4"/>
  <c r="D81" i="4"/>
  <c r="F83" i="4"/>
  <c r="H85" i="4"/>
  <c r="E89" i="4"/>
  <c r="G91" i="4"/>
  <c r="D94" i="4"/>
  <c r="F96" i="4"/>
  <c r="H99" i="4"/>
  <c r="E102" i="4"/>
  <c r="G104" i="4"/>
  <c r="D107" i="4"/>
  <c r="F109" i="4"/>
  <c r="H112" i="4"/>
  <c r="E115" i="4"/>
  <c r="G117" i="4"/>
  <c r="D120" i="4"/>
  <c r="F123" i="4"/>
  <c r="H125" i="4"/>
  <c r="E128" i="4"/>
  <c r="G130" i="4"/>
  <c r="D133" i="4"/>
  <c r="F136" i="4"/>
  <c r="H138" i="4"/>
  <c r="F149" i="4"/>
  <c r="H154" i="4"/>
  <c r="H162" i="4"/>
  <c r="F173" i="4"/>
  <c r="D197" i="4"/>
  <c r="F212" i="4"/>
  <c r="H227" i="4"/>
  <c r="E244" i="4"/>
  <c r="G259" i="4"/>
  <c r="D275" i="4"/>
  <c r="F291" i="4"/>
  <c r="H417" i="4"/>
  <c r="F535" i="4"/>
  <c r="D188" i="4"/>
  <c r="D183" i="4"/>
  <c r="D190" i="4"/>
  <c r="D185" i="4"/>
  <c r="D192" i="4"/>
  <c r="D187" i="4"/>
  <c r="D189" i="4"/>
  <c r="D191" i="4"/>
  <c r="D193" i="4"/>
  <c r="E274" i="4"/>
  <c r="E269" i="4"/>
  <c r="E276" i="4"/>
  <c r="E271" i="4"/>
  <c r="E273" i="4"/>
  <c r="E268" i="4"/>
  <c r="E275" i="4"/>
  <c r="E277" i="4"/>
  <c r="E267" i="4"/>
  <c r="H526" i="4"/>
  <c r="H521" i="4"/>
  <c r="H528" i="4"/>
  <c r="H523" i="4"/>
  <c r="H525" i="4"/>
  <c r="H529" i="4"/>
  <c r="H520" i="4"/>
  <c r="H519" i="4"/>
  <c r="H522" i="4"/>
  <c r="H527" i="4"/>
  <c r="H524" i="4"/>
  <c r="H952" i="4"/>
  <c r="H959" i="4"/>
  <c r="H954" i="4"/>
  <c r="H961" i="4"/>
  <c r="H956" i="4"/>
  <c r="H951" i="4"/>
  <c r="H958" i="4"/>
  <c r="H953" i="4"/>
  <c r="H960" i="4"/>
  <c r="H955" i="4"/>
  <c r="H957" i="4"/>
  <c r="D143" i="4"/>
  <c r="D145" i="4"/>
  <c r="F164" i="4"/>
  <c r="F159" i="4"/>
  <c r="F166" i="4"/>
  <c r="F161" i="4"/>
  <c r="F168" i="4"/>
  <c r="F163" i="4"/>
  <c r="F165" i="4"/>
  <c r="F167" i="4"/>
  <c r="F169" i="4"/>
  <c r="H192" i="4"/>
  <c r="H187" i="4"/>
  <c r="H189" i="4"/>
  <c r="H184" i="4"/>
  <c r="H191" i="4"/>
  <c r="H193" i="4"/>
  <c r="H183" i="4"/>
  <c r="H185" i="4"/>
  <c r="E222" i="4"/>
  <c r="E229" i="4"/>
  <c r="E224" i="4"/>
  <c r="E219" i="4"/>
  <c r="E226" i="4"/>
  <c r="E221" i="4"/>
  <c r="E228" i="4"/>
  <c r="E223" i="4"/>
  <c r="E225" i="4"/>
  <c r="E227" i="4"/>
  <c r="G250" i="4"/>
  <c r="G245" i="4"/>
  <c r="G252" i="4"/>
  <c r="G247" i="4"/>
  <c r="G249" i="4"/>
  <c r="G244" i="4"/>
  <c r="G251" i="4"/>
  <c r="G253" i="4"/>
  <c r="G243" i="4"/>
  <c r="D280" i="4"/>
  <c r="D287" i="4"/>
  <c r="D282" i="4"/>
  <c r="D289" i="4"/>
  <c r="D284" i="4"/>
  <c r="D279" i="4"/>
  <c r="D286" i="4"/>
  <c r="D281" i="4"/>
  <c r="D283" i="4"/>
  <c r="D285" i="4"/>
  <c r="F303" i="4"/>
  <c r="F310" i="4"/>
  <c r="F305" i="4"/>
  <c r="F312" i="4"/>
  <c r="F306" i="4"/>
  <c r="F311" i="4"/>
  <c r="F309" i="4"/>
  <c r="F304" i="4"/>
  <c r="F313" i="4"/>
  <c r="F308" i="4"/>
  <c r="H331" i="4"/>
  <c r="H333" i="4"/>
  <c r="H328" i="4"/>
  <c r="H330" i="4"/>
  <c r="H337" i="4"/>
  <c r="H332" i="4"/>
  <c r="H334" i="4"/>
  <c r="H327" i="4"/>
  <c r="H329" i="4"/>
  <c r="H335" i="4"/>
  <c r="E373" i="4"/>
  <c r="E368" i="4"/>
  <c r="E363" i="4"/>
  <c r="E370" i="4"/>
  <c r="E372" i="4"/>
  <c r="E367" i="4"/>
  <c r="E364" i="4"/>
  <c r="E366" i="4"/>
  <c r="E365" i="4"/>
  <c r="E371" i="4"/>
  <c r="G389" i="4"/>
  <c r="G396" i="4"/>
  <c r="G391" i="4"/>
  <c r="G388" i="4"/>
  <c r="G395" i="4"/>
  <c r="G390" i="4"/>
  <c r="G392" i="4"/>
  <c r="G394" i="4"/>
  <c r="G397" i="4"/>
  <c r="G387" i="4"/>
  <c r="G393" i="4"/>
  <c r="D430" i="4"/>
  <c r="D425" i="4"/>
  <c r="D432" i="4"/>
  <c r="D427" i="4"/>
  <c r="D429" i="4"/>
  <c r="D424" i="4"/>
  <c r="D428" i="4"/>
  <c r="D423" i="4"/>
  <c r="D426" i="4"/>
  <c r="D433" i="4"/>
  <c r="D431" i="4"/>
  <c r="F453" i="4"/>
  <c r="F448" i="4"/>
  <c r="F455" i="4"/>
  <c r="F457" i="4"/>
  <c r="F451" i="4"/>
  <c r="F450" i="4"/>
  <c r="F454" i="4"/>
  <c r="F449" i="4"/>
  <c r="F452" i="4"/>
  <c r="F456" i="4"/>
  <c r="F447" i="4"/>
  <c r="H474" i="4"/>
  <c r="H481" i="4"/>
  <c r="H476" i="4"/>
  <c r="H471" i="4"/>
  <c r="H473" i="4"/>
  <c r="H477" i="4"/>
  <c r="H478" i="4"/>
  <c r="H480" i="4"/>
  <c r="H479" i="4"/>
  <c r="H475" i="4"/>
  <c r="E516" i="4"/>
  <c r="E511" i="4"/>
  <c r="E513" i="4"/>
  <c r="E515" i="4"/>
  <c r="E507" i="4"/>
  <c r="E510" i="4"/>
  <c r="E509" i="4"/>
  <c r="E508" i="4"/>
  <c r="E512" i="4"/>
  <c r="E517" i="4"/>
  <c r="G532" i="4"/>
  <c r="G539" i="4"/>
  <c r="G534" i="4"/>
  <c r="G541" i="4"/>
  <c r="G531" i="4"/>
  <c r="G535" i="4"/>
  <c r="G536" i="4"/>
  <c r="G540" i="4"/>
  <c r="G538" i="4"/>
  <c r="G537" i="4"/>
  <c r="G533" i="4"/>
  <c r="D574" i="4"/>
  <c r="D569" i="4"/>
  <c r="D576" i="4"/>
  <c r="D571" i="4"/>
  <c r="D573" i="4"/>
  <c r="D577" i="4"/>
  <c r="D570" i="4"/>
  <c r="D568" i="4"/>
  <c r="D572" i="4"/>
  <c r="D567" i="4"/>
  <c r="D575" i="4"/>
  <c r="F595" i="4"/>
  <c r="F597" i="4"/>
  <c r="F592" i="4"/>
  <c r="F599" i="4"/>
  <c r="F594" i="4"/>
  <c r="F601" i="4"/>
  <c r="F596" i="4"/>
  <c r="F593" i="4"/>
  <c r="F600" i="4"/>
  <c r="F591" i="4"/>
  <c r="F598" i="4"/>
  <c r="H623" i="4"/>
  <c r="H618" i="4"/>
  <c r="H625" i="4"/>
  <c r="H620" i="4"/>
  <c r="H615" i="4"/>
  <c r="H622" i="4"/>
  <c r="H617" i="4"/>
  <c r="H624" i="4"/>
  <c r="H616" i="4"/>
  <c r="H621" i="4"/>
  <c r="H619" i="4"/>
  <c r="E653" i="4"/>
  <c r="E660" i="4"/>
  <c r="E655" i="4"/>
  <c r="E657" i="4"/>
  <c r="E652" i="4"/>
  <c r="E659" i="4"/>
  <c r="E654" i="4"/>
  <c r="E658" i="4"/>
  <c r="E661" i="4"/>
  <c r="E656" i="4"/>
  <c r="E651" i="4"/>
  <c r="G681" i="4"/>
  <c r="G676" i="4"/>
  <c r="G683" i="4"/>
  <c r="G678" i="4"/>
  <c r="G685" i="4"/>
  <c r="G680" i="4"/>
  <c r="G675" i="4"/>
  <c r="G682" i="4"/>
  <c r="G684" i="4"/>
  <c r="G679" i="4"/>
  <c r="G677" i="4"/>
  <c r="D711" i="4"/>
  <c r="D718" i="4"/>
  <c r="D713" i="4"/>
  <c r="D720" i="4"/>
  <c r="D715" i="4"/>
  <c r="D717" i="4"/>
  <c r="D712" i="4"/>
  <c r="D716" i="4"/>
  <c r="D714" i="4"/>
  <c r="D721" i="4"/>
  <c r="D719" i="4"/>
  <c r="F739" i="4"/>
  <c r="F741" i="4"/>
  <c r="F736" i="4"/>
  <c r="F743" i="4"/>
  <c r="F738" i="4"/>
  <c r="F745" i="4"/>
  <c r="F740" i="4"/>
  <c r="F744" i="4"/>
  <c r="F737" i="4"/>
  <c r="F735" i="4"/>
  <c r="F742" i="4"/>
  <c r="H765" i="4"/>
  <c r="H769" i="4"/>
  <c r="H762" i="4"/>
  <c r="H768" i="4"/>
  <c r="H764" i="4"/>
  <c r="H759" i="4"/>
  <c r="H767" i="4"/>
  <c r="H761" i="4"/>
  <c r="H760" i="4"/>
  <c r="H766" i="4"/>
  <c r="H763" i="4"/>
  <c r="E805" i="4"/>
  <c r="E800" i="4"/>
  <c r="E795" i="4"/>
  <c r="E802" i="4"/>
  <c r="E797" i="4"/>
  <c r="E804" i="4"/>
  <c r="E799" i="4"/>
  <c r="E803" i="4"/>
  <c r="E796" i="4"/>
  <c r="E801" i="4"/>
  <c r="E798" i="4"/>
  <c r="G821" i="4"/>
  <c r="G828" i="4"/>
  <c r="G823" i="4"/>
  <c r="G825" i="4"/>
  <c r="G820" i="4"/>
  <c r="G827" i="4"/>
  <c r="G822" i="4"/>
  <c r="G829" i="4"/>
  <c r="G819" i="4"/>
  <c r="G826" i="4"/>
  <c r="G824" i="4"/>
  <c r="D856" i="4"/>
  <c r="D863" i="4"/>
  <c r="D858" i="4"/>
  <c r="D865" i="4"/>
  <c r="D860" i="4"/>
  <c r="D855" i="4"/>
  <c r="D862" i="4"/>
  <c r="D857" i="4"/>
  <c r="D864" i="4"/>
  <c r="D859" i="4"/>
  <c r="D861" i="4"/>
  <c r="F884" i="4"/>
  <c r="F879" i="4"/>
  <c r="F886" i="4"/>
  <c r="F881" i="4"/>
  <c r="F888" i="4"/>
  <c r="F883" i="4"/>
  <c r="F885" i="4"/>
  <c r="F880" i="4"/>
  <c r="F887" i="4"/>
  <c r="F889" i="4"/>
  <c r="F882" i="4"/>
  <c r="H912" i="4"/>
  <c r="H907" i="4"/>
  <c r="H909" i="4"/>
  <c r="H904" i="4"/>
  <c r="H911" i="4"/>
  <c r="H906" i="4"/>
  <c r="H913" i="4"/>
  <c r="H908" i="4"/>
  <c r="H903" i="4"/>
  <c r="H905" i="4"/>
  <c r="H910" i="4"/>
  <c r="E942" i="4"/>
  <c r="E949" i="4"/>
  <c r="E944" i="4"/>
  <c r="E939" i="4"/>
  <c r="E946" i="4"/>
  <c r="E941" i="4"/>
  <c r="E948" i="4"/>
  <c r="E943" i="4"/>
  <c r="E945" i="4"/>
  <c r="E947" i="4"/>
  <c r="E940" i="4"/>
  <c r="G970" i="4"/>
  <c r="G965" i="4"/>
  <c r="G972" i="4"/>
  <c r="G967" i="4"/>
  <c r="G969" i="4"/>
  <c r="G964" i="4"/>
  <c r="G971" i="4"/>
  <c r="G966" i="4"/>
  <c r="G973" i="4"/>
  <c r="G963" i="4"/>
  <c r="G968" i="4"/>
  <c r="G3" i="4"/>
  <c r="E5" i="4"/>
  <c r="H8" i="4"/>
  <c r="F10" i="4"/>
  <c r="D12" i="4"/>
  <c r="G16" i="4"/>
  <c r="E18" i="4"/>
  <c r="H21" i="4"/>
  <c r="F23" i="4"/>
  <c r="D25" i="4"/>
  <c r="G29" i="4"/>
  <c r="E31" i="4"/>
  <c r="H34" i="4"/>
  <c r="F36" i="4"/>
  <c r="H39" i="4"/>
  <c r="E42" i="4"/>
  <c r="G44" i="4"/>
  <c r="D47" i="4"/>
  <c r="F49" i="4"/>
  <c r="H52" i="4"/>
  <c r="E55" i="4"/>
  <c r="G57" i="4"/>
  <c r="D60" i="4"/>
  <c r="F63" i="4"/>
  <c r="H65" i="4"/>
  <c r="E68" i="4"/>
  <c r="G70" i="4"/>
  <c r="D73" i="4"/>
  <c r="F76" i="4"/>
  <c r="H78" i="4"/>
  <c r="E81" i="4"/>
  <c r="G83" i="4"/>
  <c r="D87" i="4"/>
  <c r="F89" i="4"/>
  <c r="H91" i="4"/>
  <c r="E94" i="4"/>
  <c r="G96" i="4"/>
  <c r="D100" i="4"/>
  <c r="F102" i="4"/>
  <c r="H104" i="4"/>
  <c r="E107" i="4"/>
  <c r="G109" i="4"/>
  <c r="D113" i="4"/>
  <c r="F115" i="4"/>
  <c r="H117" i="4"/>
  <c r="E120" i="4"/>
  <c r="G123" i="4"/>
  <c r="D126" i="4"/>
  <c r="F128" i="4"/>
  <c r="H130" i="4"/>
  <c r="E133" i="4"/>
  <c r="G136" i="4"/>
  <c r="D139" i="4"/>
  <c r="H149" i="4"/>
  <c r="D155" i="4"/>
  <c r="E163" i="4"/>
  <c r="H173" i="4"/>
  <c r="F184" i="4"/>
  <c r="F214" i="4"/>
  <c r="E246" i="4"/>
  <c r="D277" i="4"/>
  <c r="F293" i="4"/>
  <c r="H232" i="4"/>
  <c r="H239" i="4"/>
  <c r="H234" i="4"/>
  <c r="H241" i="4"/>
  <c r="H236" i="4"/>
  <c r="H231" i="4"/>
  <c r="H238" i="4"/>
  <c r="H233" i="4"/>
  <c r="H235" i="4"/>
  <c r="H237" i="4"/>
  <c r="F936" i="4"/>
  <c r="F931" i="4"/>
  <c r="F933" i="4"/>
  <c r="F928" i="4"/>
  <c r="F935" i="4"/>
  <c r="F930" i="4"/>
  <c r="F937" i="4"/>
  <c r="F932" i="4"/>
  <c r="F927" i="4"/>
  <c r="F929" i="4"/>
  <c r="F934" i="4"/>
  <c r="G159" i="4"/>
  <c r="G166" i="4"/>
  <c r="G161" i="4"/>
  <c r="G168" i="4"/>
  <c r="G163" i="4"/>
  <c r="G160" i="4"/>
  <c r="G162" i="4"/>
  <c r="G164" i="4"/>
  <c r="D201" i="4"/>
  <c r="D196" i="4"/>
  <c r="D203" i="4"/>
  <c r="D198" i="4"/>
  <c r="D205" i="4"/>
  <c r="D200" i="4"/>
  <c r="D195" i="4"/>
  <c r="D202" i="4"/>
  <c r="D204" i="4"/>
  <c r="F229" i="4"/>
  <c r="F224" i="4"/>
  <c r="F219" i="4"/>
  <c r="F226" i="4"/>
  <c r="F221" i="4"/>
  <c r="F228" i="4"/>
  <c r="F223" i="4"/>
  <c r="F220" i="4"/>
  <c r="F222" i="4"/>
  <c r="H245" i="4"/>
  <c r="H252" i="4"/>
  <c r="H247" i="4"/>
  <c r="H249" i="4"/>
  <c r="H244" i="4"/>
  <c r="H251" i="4"/>
  <c r="H246" i="4"/>
  <c r="H248" i="4"/>
  <c r="H250" i="4"/>
  <c r="E287" i="4"/>
  <c r="E282" i="4"/>
  <c r="E289" i="4"/>
  <c r="E284" i="4"/>
  <c r="E279" i="4"/>
  <c r="E286" i="4"/>
  <c r="E281" i="4"/>
  <c r="E288" i="4"/>
  <c r="E280" i="4"/>
  <c r="G310" i="4"/>
  <c r="G305" i="4"/>
  <c r="G312" i="4"/>
  <c r="G307" i="4"/>
  <c r="G309" i="4"/>
  <c r="G313" i="4"/>
  <c r="G311" i="4"/>
  <c r="G306" i="4"/>
  <c r="G304" i="4"/>
  <c r="G303" i="4"/>
  <c r="D340" i="4"/>
  <c r="D347" i="4"/>
  <c r="D342" i="4"/>
  <c r="D349" i="4"/>
  <c r="D339" i="4"/>
  <c r="D346" i="4"/>
  <c r="D341" i="4"/>
  <c r="D343" i="4"/>
  <c r="D348" i="4"/>
  <c r="D344" i="4"/>
  <c r="F368" i="4"/>
  <c r="F363" i="4"/>
  <c r="F370" i="4"/>
  <c r="F365" i="4"/>
  <c r="F367" i="4"/>
  <c r="F369" i="4"/>
  <c r="F371" i="4"/>
  <c r="F366" i="4"/>
  <c r="F373" i="4"/>
  <c r="F372" i="4"/>
  <c r="F364" i="4"/>
  <c r="H396" i="4"/>
  <c r="H391" i="4"/>
  <c r="H393" i="4"/>
  <c r="H395" i="4"/>
  <c r="H390" i="4"/>
  <c r="H397" i="4"/>
  <c r="H387" i="4"/>
  <c r="H389" i="4"/>
  <c r="H392" i="4"/>
  <c r="H388" i="4"/>
  <c r="E425" i="4"/>
  <c r="E432" i="4"/>
  <c r="E427" i="4"/>
  <c r="E424" i="4"/>
  <c r="E428" i="4"/>
  <c r="E431" i="4"/>
  <c r="E426" i="4"/>
  <c r="E429" i="4"/>
  <c r="E430" i="4"/>
  <c r="E423" i="4"/>
  <c r="G453" i="4"/>
  <c r="G448" i="4"/>
  <c r="G455" i="4"/>
  <c r="G450" i="4"/>
  <c r="G452" i="4"/>
  <c r="G454" i="4"/>
  <c r="G447" i="4"/>
  <c r="G451" i="4"/>
  <c r="G457" i="4"/>
  <c r="G456" i="4"/>
  <c r="G449" i="4"/>
  <c r="D483" i="4"/>
  <c r="D490" i="4"/>
  <c r="D485" i="4"/>
  <c r="D492" i="4"/>
  <c r="D486" i="4"/>
  <c r="D489" i="4"/>
  <c r="D484" i="4"/>
  <c r="D488" i="4"/>
  <c r="D487" i="4"/>
  <c r="D491" i="4"/>
  <c r="F511" i="4"/>
  <c r="F513" i="4"/>
  <c r="F508" i="4"/>
  <c r="F510" i="4"/>
  <c r="F514" i="4"/>
  <c r="F515" i="4"/>
  <c r="F517" i="4"/>
  <c r="F507" i="4"/>
  <c r="F516" i="4"/>
  <c r="F512" i="4"/>
  <c r="F509" i="4"/>
  <c r="H539" i="4"/>
  <c r="H534" i="4"/>
  <c r="H541" i="4"/>
  <c r="H536" i="4"/>
  <c r="H538" i="4"/>
  <c r="H531" i="4"/>
  <c r="H540" i="4"/>
  <c r="H535" i="4"/>
  <c r="H533" i="4"/>
  <c r="H532" i="4"/>
  <c r="H537" i="4"/>
  <c r="E569" i="4"/>
  <c r="E576" i="4"/>
  <c r="E571" i="4"/>
  <c r="E573" i="4"/>
  <c r="E568" i="4"/>
  <c r="E572" i="4"/>
  <c r="E577" i="4"/>
  <c r="E570" i="4"/>
  <c r="E575" i="4"/>
  <c r="E574" i="4"/>
  <c r="E567" i="4"/>
  <c r="G597" i="4"/>
  <c r="G592" i="4"/>
  <c r="G599" i="4"/>
  <c r="G594" i="4"/>
  <c r="G601" i="4"/>
  <c r="G596" i="4"/>
  <c r="G591" i="4"/>
  <c r="G600" i="4"/>
  <c r="G598" i="4"/>
  <c r="G595" i="4"/>
  <c r="G593" i="4"/>
  <c r="D632" i="4"/>
  <c r="D627" i="4"/>
  <c r="D634" i="4"/>
  <c r="D629" i="4"/>
  <c r="D636" i="4"/>
  <c r="D631" i="4"/>
  <c r="D633" i="4"/>
  <c r="D637" i="4"/>
  <c r="D628" i="4"/>
  <c r="D630" i="4"/>
  <c r="D635" i="4"/>
  <c r="F660" i="4"/>
  <c r="F655" i="4"/>
  <c r="F657" i="4"/>
  <c r="F652" i="4"/>
  <c r="F659" i="4"/>
  <c r="F654" i="4"/>
  <c r="F661" i="4"/>
  <c r="F653" i="4"/>
  <c r="F651" i="4"/>
  <c r="F658" i="4"/>
  <c r="F656" i="4"/>
  <c r="H676" i="4"/>
  <c r="H683" i="4"/>
  <c r="H678" i="4"/>
  <c r="H685" i="4"/>
  <c r="H680" i="4"/>
  <c r="H675" i="4"/>
  <c r="H682" i="4"/>
  <c r="H677" i="4"/>
  <c r="H681" i="4"/>
  <c r="H684" i="4"/>
  <c r="H679" i="4"/>
  <c r="E718" i="4"/>
  <c r="E713" i="4"/>
  <c r="E720" i="4"/>
  <c r="E715" i="4"/>
  <c r="E717" i="4"/>
  <c r="E712" i="4"/>
  <c r="E719" i="4"/>
  <c r="E711" i="4"/>
  <c r="E716" i="4"/>
  <c r="E714" i="4"/>
  <c r="E721" i="4"/>
  <c r="G741" i="4"/>
  <c r="G736" i="4"/>
  <c r="G743" i="4"/>
  <c r="G738" i="4"/>
  <c r="G745" i="4"/>
  <c r="G740" i="4"/>
  <c r="G735" i="4"/>
  <c r="G739" i="4"/>
  <c r="G737" i="4"/>
  <c r="G742" i="4"/>
  <c r="G744" i="4"/>
  <c r="D772" i="4"/>
  <c r="D774" i="4"/>
  <c r="D781" i="4"/>
  <c r="D776" i="4"/>
  <c r="D778" i="4"/>
  <c r="D773" i="4"/>
  <c r="D777" i="4"/>
  <c r="D780" i="4"/>
  <c r="D779" i="4"/>
  <c r="D775" i="4"/>
  <c r="D771" i="4"/>
  <c r="F800" i="4"/>
  <c r="F795" i="4"/>
  <c r="F802" i="4"/>
  <c r="F797" i="4"/>
  <c r="F804" i="4"/>
  <c r="F799" i="4"/>
  <c r="F801" i="4"/>
  <c r="F805" i="4"/>
  <c r="F796" i="4"/>
  <c r="F803" i="4"/>
  <c r="F798" i="4"/>
  <c r="H828" i="4"/>
  <c r="H823" i="4"/>
  <c r="H825" i="4"/>
  <c r="H820" i="4"/>
  <c r="H827" i="4"/>
  <c r="H822" i="4"/>
  <c r="H829" i="4"/>
  <c r="H824" i="4"/>
  <c r="H826" i="4"/>
  <c r="H819" i="4"/>
  <c r="H821" i="4"/>
  <c r="E863" i="4"/>
  <c r="E858" i="4"/>
  <c r="E865" i="4"/>
  <c r="E860" i="4"/>
  <c r="E855" i="4"/>
  <c r="E862" i="4"/>
  <c r="E857" i="4"/>
  <c r="E864" i="4"/>
  <c r="E859" i="4"/>
  <c r="E856" i="4"/>
  <c r="E861" i="4"/>
  <c r="G879" i="4"/>
  <c r="G886" i="4"/>
  <c r="G881" i="4"/>
  <c r="G888" i="4"/>
  <c r="G883" i="4"/>
  <c r="G885" i="4"/>
  <c r="G880" i="4"/>
  <c r="G887" i="4"/>
  <c r="G882" i="4"/>
  <c r="G884" i="4"/>
  <c r="G889" i="4"/>
  <c r="D921" i="4"/>
  <c r="D916" i="4"/>
  <c r="D923" i="4"/>
  <c r="D918" i="4"/>
  <c r="D925" i="4"/>
  <c r="D920" i="4"/>
  <c r="D915" i="4"/>
  <c r="D922" i="4"/>
  <c r="D917" i="4"/>
  <c r="D924" i="4"/>
  <c r="D919" i="4"/>
  <c r="F949" i="4"/>
  <c r="F944" i="4"/>
  <c r="F939" i="4"/>
  <c r="F946" i="4"/>
  <c r="F941" i="4"/>
  <c r="F948" i="4"/>
  <c r="F943" i="4"/>
  <c r="F945" i="4"/>
  <c r="F940" i="4"/>
  <c r="F942" i="4"/>
  <c r="F947" i="4"/>
  <c r="H965" i="4"/>
  <c r="H972" i="4"/>
  <c r="H967" i="4"/>
  <c r="H969" i="4"/>
  <c r="H964" i="4"/>
  <c r="H971" i="4"/>
  <c r="H966" i="4"/>
  <c r="H973" i="4"/>
  <c r="H968" i="4"/>
  <c r="H970" i="4"/>
  <c r="H963" i="4"/>
  <c r="F3" i="4"/>
  <c r="D5" i="4"/>
  <c r="G8" i="4"/>
  <c r="E10" i="4"/>
  <c r="H13" i="4"/>
  <c r="F16" i="4"/>
  <c r="D18" i="4"/>
  <c r="G21" i="4"/>
  <c r="E23" i="4"/>
  <c r="H27" i="4"/>
  <c r="F29" i="4"/>
  <c r="D31" i="4"/>
  <c r="G34" i="4"/>
  <c r="E36" i="4"/>
  <c r="D40" i="4"/>
  <c r="F42" i="4"/>
  <c r="H44" i="4"/>
  <c r="E47" i="4"/>
  <c r="G49" i="4"/>
  <c r="D53" i="4"/>
  <c r="F55" i="4"/>
  <c r="H57" i="4"/>
  <c r="E60" i="4"/>
  <c r="G63" i="4"/>
  <c r="D66" i="4"/>
  <c r="F68" i="4"/>
  <c r="H70" i="4"/>
  <c r="E73" i="4"/>
  <c r="G76" i="4"/>
  <c r="D79" i="4"/>
  <c r="F81" i="4"/>
  <c r="H83" i="4"/>
  <c r="E87" i="4"/>
  <c r="G89" i="4"/>
  <c r="D92" i="4"/>
  <c r="F94" i="4"/>
  <c r="H96" i="4"/>
  <c r="E100" i="4"/>
  <c r="G102" i="4"/>
  <c r="D105" i="4"/>
  <c r="F107" i="4"/>
  <c r="H109" i="4"/>
  <c r="E113" i="4"/>
  <c r="G115" i="4"/>
  <c r="D118" i="4"/>
  <c r="F120" i="4"/>
  <c r="H123" i="4"/>
  <c r="E126" i="4"/>
  <c r="G128" i="4"/>
  <c r="D131" i="4"/>
  <c r="F133" i="4"/>
  <c r="D150" i="4"/>
  <c r="F156" i="4"/>
  <c r="D186" i="4"/>
  <c r="F199" i="4"/>
  <c r="H214" i="4"/>
  <c r="E231" i="4"/>
  <c r="G246" i="4"/>
  <c r="F277" i="4"/>
  <c r="H293" i="4"/>
  <c r="E369" i="4"/>
  <c r="F436" i="4"/>
  <c r="D557" i="4"/>
  <c r="D327" i="4"/>
  <c r="D334" i="4"/>
  <c r="D329" i="4"/>
  <c r="D336" i="4"/>
  <c r="D333" i="4"/>
  <c r="D328" i="4"/>
  <c r="D330" i="4"/>
  <c r="D335" i="4"/>
  <c r="D332" i="4"/>
  <c r="D331" i="4"/>
  <c r="D337" i="4"/>
  <c r="E419" i="4"/>
  <c r="E421" i="4"/>
  <c r="E413" i="4"/>
  <c r="E418" i="4"/>
  <c r="E415" i="4"/>
  <c r="E412" i="4"/>
  <c r="E417" i="4"/>
  <c r="E414" i="4"/>
  <c r="E420" i="4"/>
  <c r="E416" i="4"/>
  <c r="E411" i="4"/>
  <c r="D768" i="4"/>
  <c r="D765" i="4"/>
  <c r="D766" i="4"/>
  <c r="D763" i="4"/>
  <c r="D769" i="4"/>
  <c r="D760" i="4"/>
  <c r="D762" i="4"/>
  <c r="D764" i="4"/>
  <c r="D761" i="4"/>
  <c r="D759" i="4"/>
  <c r="D767" i="4"/>
  <c r="F145" i="4"/>
  <c r="F142" i="4"/>
  <c r="F141" i="4"/>
  <c r="H166" i="4"/>
  <c r="H161" i="4"/>
  <c r="H168" i="4"/>
  <c r="H163" i="4"/>
  <c r="H165" i="4"/>
  <c r="H167" i="4"/>
  <c r="H169" i="4"/>
  <c r="E196" i="4"/>
  <c r="E203" i="4"/>
  <c r="E198" i="4"/>
  <c r="E205" i="4"/>
  <c r="E200" i="4"/>
  <c r="E195" i="4"/>
  <c r="E202" i="4"/>
  <c r="E197" i="4"/>
  <c r="E199" i="4"/>
  <c r="E201" i="4"/>
  <c r="G224" i="4"/>
  <c r="G219" i="4"/>
  <c r="G226" i="4"/>
  <c r="G221" i="4"/>
  <c r="G228" i="4"/>
  <c r="G223" i="4"/>
  <c r="G225" i="4"/>
  <c r="G227" i="4"/>
  <c r="G229" i="4"/>
  <c r="D261" i="4"/>
  <c r="D256" i="4"/>
  <c r="D263" i="4"/>
  <c r="D258" i="4"/>
  <c r="D265" i="4"/>
  <c r="D260" i="4"/>
  <c r="D255" i="4"/>
  <c r="D257" i="4"/>
  <c r="D259" i="4"/>
  <c r="F282" i="4"/>
  <c r="F289" i="4"/>
  <c r="F284" i="4"/>
  <c r="F279" i="4"/>
  <c r="F286" i="4"/>
  <c r="F281" i="4"/>
  <c r="F288" i="4"/>
  <c r="F283" i="4"/>
  <c r="F285" i="4"/>
  <c r="F287" i="4"/>
  <c r="H305" i="4"/>
  <c r="H312" i="4"/>
  <c r="H307" i="4"/>
  <c r="H304" i="4"/>
  <c r="H311" i="4"/>
  <c r="H308" i="4"/>
  <c r="H306" i="4"/>
  <c r="H310" i="4"/>
  <c r="H309" i="4"/>
  <c r="E347" i="4"/>
  <c r="E342" i="4"/>
  <c r="E349" i="4"/>
  <c r="E344" i="4"/>
  <c r="E346" i="4"/>
  <c r="E341" i="4"/>
  <c r="E348" i="4"/>
  <c r="E343" i="4"/>
  <c r="E340" i="4"/>
  <c r="E339" i="4"/>
  <c r="E345" i="4"/>
  <c r="G363" i="4"/>
  <c r="G370" i="4"/>
  <c r="G365" i="4"/>
  <c r="G372" i="4"/>
  <c r="G369" i="4"/>
  <c r="G364" i="4"/>
  <c r="G366" i="4"/>
  <c r="G373" i="4"/>
  <c r="G371" i="4"/>
  <c r="G367" i="4"/>
  <c r="D405" i="4"/>
  <c r="D400" i="4"/>
  <c r="D407" i="4"/>
  <c r="D402" i="4"/>
  <c r="D404" i="4"/>
  <c r="D399" i="4"/>
  <c r="D406" i="4"/>
  <c r="D408" i="4"/>
  <c r="D403" i="4"/>
  <c r="D401" i="4"/>
  <c r="D409" i="4"/>
  <c r="F432" i="4"/>
  <c r="F427" i="4"/>
  <c r="F429" i="4"/>
  <c r="F431" i="4"/>
  <c r="F428" i="4"/>
  <c r="F423" i="4"/>
  <c r="F426" i="4"/>
  <c r="F430" i="4"/>
  <c r="F433" i="4"/>
  <c r="F424" i="4"/>
  <c r="F425" i="4"/>
  <c r="H448" i="4"/>
  <c r="H455" i="4"/>
  <c r="H450" i="4"/>
  <c r="H457" i="4"/>
  <c r="H447" i="4"/>
  <c r="H454" i="4"/>
  <c r="H449" i="4"/>
  <c r="H453" i="4"/>
  <c r="H452" i="4"/>
  <c r="H456" i="4"/>
  <c r="E490" i="4"/>
  <c r="E485" i="4"/>
  <c r="E492" i="4"/>
  <c r="E487" i="4"/>
  <c r="E489" i="4"/>
  <c r="E493" i="4"/>
  <c r="E484" i="4"/>
  <c r="E483" i="4"/>
  <c r="E486" i="4"/>
  <c r="E491" i="4"/>
  <c r="E488" i="4"/>
  <c r="G513" i="4"/>
  <c r="G508" i="4"/>
  <c r="G515" i="4"/>
  <c r="G517" i="4"/>
  <c r="G509" i="4"/>
  <c r="G510" i="4"/>
  <c r="G514" i="4"/>
  <c r="G512" i="4"/>
  <c r="G511" i="4"/>
  <c r="G507" i="4"/>
  <c r="G516" i="4"/>
  <c r="D548" i="4"/>
  <c r="D543" i="4"/>
  <c r="D550" i="4"/>
  <c r="D545" i="4"/>
  <c r="D547" i="4"/>
  <c r="D551" i="4"/>
  <c r="D552" i="4"/>
  <c r="D544" i="4"/>
  <c r="D553" i="4"/>
  <c r="D549" i="4"/>
  <c r="D546" i="4"/>
  <c r="F576" i="4"/>
  <c r="F571" i="4"/>
  <c r="F573" i="4"/>
  <c r="F568" i="4"/>
  <c r="F575" i="4"/>
  <c r="F567" i="4"/>
  <c r="F570" i="4"/>
  <c r="F569" i="4"/>
  <c r="F574" i="4"/>
  <c r="F577" i="4"/>
  <c r="F572" i="4"/>
  <c r="H597" i="4"/>
  <c r="H592" i="4"/>
  <c r="H599" i="4"/>
  <c r="H594" i="4"/>
  <c r="H601" i="4"/>
  <c r="H596" i="4"/>
  <c r="H591" i="4"/>
  <c r="H598" i="4"/>
  <c r="H600" i="4"/>
  <c r="H595" i="4"/>
  <c r="H593" i="4"/>
  <c r="E627" i="4"/>
  <c r="E634" i="4"/>
  <c r="E629" i="4"/>
  <c r="E636" i="4"/>
  <c r="E631" i="4"/>
  <c r="E633" i="4"/>
  <c r="E628" i="4"/>
  <c r="E632" i="4"/>
  <c r="E630" i="4"/>
  <c r="E637" i="4"/>
  <c r="E635" i="4"/>
  <c r="G655" i="4"/>
  <c r="G657" i="4"/>
  <c r="G652" i="4"/>
  <c r="G659" i="4"/>
  <c r="G654" i="4"/>
  <c r="G661" i="4"/>
  <c r="G656" i="4"/>
  <c r="G660" i="4"/>
  <c r="G653" i="4"/>
  <c r="G651" i="4"/>
  <c r="D697" i="4"/>
  <c r="D692" i="4"/>
  <c r="D687" i="4"/>
  <c r="D694" i="4"/>
  <c r="D689" i="4"/>
  <c r="D696" i="4"/>
  <c r="D691" i="4"/>
  <c r="D690" i="4"/>
  <c r="D695" i="4"/>
  <c r="D693" i="4"/>
  <c r="D688" i="4"/>
  <c r="F713" i="4"/>
  <c r="F720" i="4"/>
  <c r="F715" i="4"/>
  <c r="F717" i="4"/>
  <c r="F712" i="4"/>
  <c r="F719" i="4"/>
  <c r="F714" i="4"/>
  <c r="F718" i="4"/>
  <c r="F716" i="4"/>
  <c r="F721" i="4"/>
  <c r="F711" i="4"/>
  <c r="H741" i="4"/>
  <c r="H736" i="4"/>
  <c r="H743" i="4"/>
  <c r="H738" i="4"/>
  <c r="H745" i="4"/>
  <c r="H740" i="4"/>
  <c r="H735" i="4"/>
  <c r="H742" i="4"/>
  <c r="H739" i="4"/>
  <c r="H737" i="4"/>
  <c r="H744" i="4"/>
  <c r="E779" i="4"/>
  <c r="E781" i="4"/>
  <c r="E776" i="4"/>
  <c r="E773" i="4"/>
  <c r="E780" i="4"/>
  <c r="E778" i="4"/>
  <c r="E774" i="4"/>
  <c r="E777" i="4"/>
  <c r="E772" i="4"/>
  <c r="E771" i="4"/>
  <c r="E775" i="4"/>
  <c r="G795" i="4"/>
  <c r="G802" i="4"/>
  <c r="G797" i="4"/>
  <c r="G804" i="4"/>
  <c r="G799" i="4"/>
  <c r="G801" i="4"/>
  <c r="G796" i="4"/>
  <c r="G805" i="4"/>
  <c r="G803" i="4"/>
  <c r="G800" i="4"/>
  <c r="G798" i="4"/>
  <c r="D837" i="4"/>
  <c r="D832" i="4"/>
  <c r="D839" i="4"/>
  <c r="D834" i="4"/>
  <c r="D841" i="4"/>
  <c r="D836" i="4"/>
  <c r="D831" i="4"/>
  <c r="D838" i="4"/>
  <c r="D833" i="4"/>
  <c r="D835" i="4"/>
  <c r="D840" i="4"/>
  <c r="F858" i="4"/>
  <c r="F865" i="4"/>
  <c r="F860" i="4"/>
  <c r="F855" i="4"/>
  <c r="F862" i="4"/>
  <c r="F857" i="4"/>
  <c r="F864" i="4"/>
  <c r="F859" i="4"/>
  <c r="F861" i="4"/>
  <c r="F863" i="4"/>
  <c r="F856" i="4"/>
  <c r="H886" i="4"/>
  <c r="H881" i="4"/>
  <c r="H888" i="4"/>
  <c r="H883" i="4"/>
  <c r="H885" i="4"/>
  <c r="H880" i="4"/>
  <c r="H887" i="4"/>
  <c r="H882" i="4"/>
  <c r="H889" i="4"/>
  <c r="H879" i="4"/>
  <c r="H884" i="4"/>
  <c r="E916" i="4"/>
  <c r="E923" i="4"/>
  <c r="E918" i="4"/>
  <c r="E925" i="4"/>
  <c r="E920" i="4"/>
  <c r="E915" i="4"/>
  <c r="E922" i="4"/>
  <c r="E917" i="4"/>
  <c r="E924" i="4"/>
  <c r="E919" i="4"/>
  <c r="E921" i="4"/>
  <c r="G944" i="4"/>
  <c r="G939" i="4"/>
  <c r="G946" i="4"/>
  <c r="G941" i="4"/>
  <c r="G948" i="4"/>
  <c r="G943" i="4"/>
  <c r="G945" i="4"/>
  <c r="G940" i="4"/>
  <c r="G947" i="4"/>
  <c r="G949" i="4"/>
  <c r="G942" i="4"/>
  <c r="D981" i="4"/>
  <c r="D976" i="4"/>
  <c r="D983" i="4"/>
  <c r="D978" i="4"/>
  <c r="D985" i="4"/>
  <c r="D980" i="4"/>
  <c r="D975" i="4"/>
  <c r="D982" i="4"/>
  <c r="D977" i="4"/>
  <c r="D979" i="4"/>
  <c r="D984" i="4"/>
  <c r="E3" i="4"/>
  <c r="H6" i="4"/>
  <c r="F8" i="4"/>
  <c r="D10" i="4"/>
  <c r="G13" i="4"/>
  <c r="E16" i="4"/>
  <c r="H19" i="4"/>
  <c r="F21" i="4"/>
  <c r="D23" i="4"/>
  <c r="G27" i="4"/>
  <c r="E29" i="4"/>
  <c r="H32" i="4"/>
  <c r="F34" i="4"/>
  <c r="D36" i="4"/>
  <c r="E40" i="4"/>
  <c r="G42" i="4"/>
  <c r="D45" i="4"/>
  <c r="F47" i="4"/>
  <c r="H49" i="4"/>
  <c r="E53" i="4"/>
  <c r="G55" i="4"/>
  <c r="D58" i="4"/>
  <c r="F60" i="4"/>
  <c r="H63" i="4"/>
  <c r="E66" i="4"/>
  <c r="G68" i="4"/>
  <c r="D71" i="4"/>
  <c r="F73" i="4"/>
  <c r="H76" i="4"/>
  <c r="E79" i="4"/>
  <c r="G81" i="4"/>
  <c r="D84" i="4"/>
  <c r="F87" i="4"/>
  <c r="H89" i="4"/>
  <c r="E92" i="4"/>
  <c r="G94" i="4"/>
  <c r="D97" i="4"/>
  <c r="F100" i="4"/>
  <c r="H102" i="4"/>
  <c r="E105" i="4"/>
  <c r="G107" i="4"/>
  <c r="D111" i="4"/>
  <c r="F113" i="4"/>
  <c r="H115" i="4"/>
  <c r="E118" i="4"/>
  <c r="G120" i="4"/>
  <c r="D124" i="4"/>
  <c r="F126" i="4"/>
  <c r="H128" i="4"/>
  <c r="E131" i="4"/>
  <c r="G133" i="4"/>
  <c r="D137" i="4"/>
  <c r="F139" i="4"/>
  <c r="D144" i="4"/>
  <c r="E150" i="4"/>
  <c r="G156" i="4"/>
  <c r="E165" i="4"/>
  <c r="H175" i="4"/>
  <c r="F186" i="4"/>
  <c r="H216" i="4"/>
  <c r="G248" i="4"/>
  <c r="D264" i="4"/>
  <c r="F280" i="4"/>
  <c r="H295" i="4"/>
  <c r="G329" i="4"/>
  <c r="H451" i="4"/>
  <c r="H383" i="4"/>
  <c r="H378" i="4"/>
  <c r="H385" i="4"/>
  <c r="H380" i="4"/>
  <c r="H382" i="4"/>
  <c r="H377" i="4"/>
  <c r="H384" i="4"/>
  <c r="H381" i="4"/>
  <c r="H379" i="4"/>
  <c r="H375" i="4"/>
  <c r="G733" i="4"/>
  <c r="G728" i="4"/>
  <c r="G723" i="4"/>
  <c r="G730" i="4"/>
  <c r="G725" i="4"/>
  <c r="G732" i="4"/>
  <c r="G727" i="4"/>
  <c r="G726" i="4"/>
  <c r="G724" i="4"/>
  <c r="G731" i="4"/>
  <c r="G729" i="4"/>
  <c r="E143" i="4"/>
  <c r="E145" i="4"/>
  <c r="E140" i="4"/>
  <c r="E142" i="4"/>
  <c r="G145" i="4"/>
  <c r="G140" i="4"/>
  <c r="G142" i="4"/>
  <c r="G144" i="4"/>
  <c r="D175" i="4"/>
  <c r="D177" i="4"/>
  <c r="D172" i="4"/>
  <c r="D179" i="4"/>
  <c r="D174" i="4"/>
  <c r="D176" i="4"/>
  <c r="D178" i="4"/>
  <c r="D180" i="4"/>
  <c r="F203" i="4"/>
  <c r="F198" i="4"/>
  <c r="F205" i="4"/>
  <c r="F200" i="4"/>
  <c r="F195" i="4"/>
  <c r="F202" i="4"/>
  <c r="F197" i="4"/>
  <c r="F204" i="4"/>
  <c r="F196" i="4"/>
  <c r="H219" i="4"/>
  <c r="H226" i="4"/>
  <c r="H221" i="4"/>
  <c r="H228" i="4"/>
  <c r="H223" i="4"/>
  <c r="H225" i="4"/>
  <c r="H220" i="4"/>
  <c r="H222" i="4"/>
  <c r="H224" i="4"/>
  <c r="E261" i="4"/>
  <c r="E256" i="4"/>
  <c r="E263" i="4"/>
  <c r="E258" i="4"/>
  <c r="E265" i="4"/>
  <c r="E260" i="4"/>
  <c r="E255" i="4"/>
  <c r="E262" i="4"/>
  <c r="E264" i="4"/>
  <c r="G289" i="4"/>
  <c r="G284" i="4"/>
  <c r="G279" i="4"/>
  <c r="G286" i="4"/>
  <c r="G281" i="4"/>
  <c r="G288" i="4"/>
  <c r="G283" i="4"/>
  <c r="G280" i="4"/>
  <c r="G282" i="4"/>
  <c r="D321" i="4"/>
  <c r="D316" i="4"/>
  <c r="D323" i="4"/>
  <c r="D325" i="4"/>
  <c r="D320" i="4"/>
  <c r="D315" i="4"/>
  <c r="D317" i="4"/>
  <c r="D319" i="4"/>
  <c r="D318" i="4"/>
  <c r="D324" i="4"/>
  <c r="F342" i="4"/>
  <c r="F349" i="4"/>
  <c r="F344" i="4"/>
  <c r="F339" i="4"/>
  <c r="F341" i="4"/>
  <c r="F348" i="4"/>
  <c r="F343" i="4"/>
  <c r="F345" i="4"/>
  <c r="F340" i="4"/>
  <c r="F347" i="4"/>
  <c r="F346" i="4"/>
  <c r="H370" i="4"/>
  <c r="H365" i="4"/>
  <c r="H372" i="4"/>
  <c r="H367" i="4"/>
  <c r="H369" i="4"/>
  <c r="H364" i="4"/>
  <c r="H371" i="4"/>
  <c r="H373" i="4"/>
  <c r="H366" i="4"/>
  <c r="H363" i="4"/>
  <c r="H368" i="4"/>
  <c r="E400" i="4"/>
  <c r="E407" i="4"/>
  <c r="E402" i="4"/>
  <c r="E409" i="4"/>
  <c r="E399" i="4"/>
  <c r="E406" i="4"/>
  <c r="E401" i="4"/>
  <c r="E403" i="4"/>
  <c r="E405" i="4"/>
  <c r="E408" i="4"/>
  <c r="E404" i="4"/>
  <c r="G427" i="4"/>
  <c r="G429" i="4"/>
  <c r="G424" i="4"/>
  <c r="G426" i="4"/>
  <c r="G432" i="4"/>
  <c r="G431" i="4"/>
  <c r="G423" i="4"/>
  <c r="G430" i="4"/>
  <c r="G425" i="4"/>
  <c r="G428" i="4"/>
  <c r="G433" i="4"/>
  <c r="D469" i="4"/>
  <c r="D464" i="4"/>
  <c r="D459" i="4"/>
  <c r="D466" i="4"/>
  <c r="D468" i="4"/>
  <c r="D460" i="4"/>
  <c r="D463" i="4"/>
  <c r="D467" i="4"/>
  <c r="D461" i="4"/>
  <c r="D465" i="4"/>
  <c r="D462" i="4"/>
  <c r="F485" i="4"/>
  <c r="F492" i="4"/>
  <c r="F487" i="4"/>
  <c r="F484" i="4"/>
  <c r="F488" i="4"/>
  <c r="F489" i="4"/>
  <c r="F493" i="4"/>
  <c r="F491" i="4"/>
  <c r="F490" i="4"/>
  <c r="F486" i="4"/>
  <c r="F483" i="4"/>
  <c r="H513" i="4"/>
  <c r="H508" i="4"/>
  <c r="H515" i="4"/>
  <c r="H510" i="4"/>
  <c r="H512" i="4"/>
  <c r="H516" i="4"/>
  <c r="H514" i="4"/>
  <c r="H509" i="4"/>
  <c r="H517" i="4"/>
  <c r="H507" i="4"/>
  <c r="E543" i="4"/>
  <c r="E550" i="4"/>
  <c r="E545" i="4"/>
  <c r="E552" i="4"/>
  <c r="E546" i="4"/>
  <c r="E547" i="4"/>
  <c r="E551" i="4"/>
  <c r="E549" i="4"/>
  <c r="E548" i="4"/>
  <c r="E544" i="4"/>
  <c r="G571" i="4"/>
  <c r="G573" i="4"/>
  <c r="G568" i="4"/>
  <c r="G575" i="4"/>
  <c r="G570" i="4"/>
  <c r="G574" i="4"/>
  <c r="G576" i="4"/>
  <c r="G572" i="4"/>
  <c r="G569" i="4"/>
  <c r="G567" i="4"/>
  <c r="D606" i="4"/>
  <c r="D613" i="4"/>
  <c r="D608" i="4"/>
  <c r="D603" i="4"/>
  <c r="D610" i="4"/>
  <c r="D605" i="4"/>
  <c r="D612" i="4"/>
  <c r="D607" i="4"/>
  <c r="D611" i="4"/>
  <c r="D609" i="4"/>
  <c r="D604" i="4"/>
  <c r="F634" i="4"/>
  <c r="F629" i="4"/>
  <c r="F636" i="4"/>
  <c r="F631" i="4"/>
  <c r="F633" i="4"/>
  <c r="F628" i="4"/>
  <c r="F635" i="4"/>
  <c r="F627" i="4"/>
  <c r="F632" i="4"/>
  <c r="F630" i="4"/>
  <c r="F637" i="4"/>
  <c r="H657" i="4"/>
  <c r="H652" i="4"/>
  <c r="H659" i="4"/>
  <c r="H654" i="4"/>
  <c r="H661" i="4"/>
  <c r="H656" i="4"/>
  <c r="H651" i="4"/>
  <c r="H655" i="4"/>
  <c r="H653" i="4"/>
  <c r="H658" i="4"/>
  <c r="H660" i="4"/>
  <c r="E692" i="4"/>
  <c r="E687" i="4"/>
  <c r="E694" i="4"/>
  <c r="E689" i="4"/>
  <c r="E696" i="4"/>
  <c r="E691" i="4"/>
  <c r="E693" i="4"/>
  <c r="E697" i="4"/>
  <c r="E695" i="4"/>
  <c r="E690" i="4"/>
  <c r="E688" i="4"/>
  <c r="G720" i="4"/>
  <c r="G715" i="4"/>
  <c r="G717" i="4"/>
  <c r="G712" i="4"/>
  <c r="G719" i="4"/>
  <c r="G714" i="4"/>
  <c r="G721" i="4"/>
  <c r="G713" i="4"/>
  <c r="G718" i="4"/>
  <c r="G716" i="4"/>
  <c r="G711" i="4"/>
  <c r="D750" i="4"/>
  <c r="D757" i="4"/>
  <c r="D752" i="4"/>
  <c r="D747" i="4"/>
  <c r="D754" i="4"/>
  <c r="D749" i="4"/>
  <c r="D756" i="4"/>
  <c r="D751" i="4"/>
  <c r="D755" i="4"/>
  <c r="D748" i="4"/>
  <c r="D753" i="4"/>
  <c r="F774" i="4"/>
  <c r="F776" i="4"/>
  <c r="F771" i="4"/>
  <c r="F778" i="4"/>
  <c r="F780" i="4"/>
  <c r="F773" i="4"/>
  <c r="F777" i="4"/>
  <c r="F781" i="4"/>
  <c r="F772" i="4"/>
  <c r="F779" i="4"/>
  <c r="F775" i="4"/>
  <c r="H802" i="4"/>
  <c r="H797" i="4"/>
  <c r="H804" i="4"/>
  <c r="H799" i="4"/>
  <c r="H801" i="4"/>
  <c r="H796" i="4"/>
  <c r="H803" i="4"/>
  <c r="H795" i="4"/>
  <c r="H800" i="4"/>
  <c r="H805" i="4"/>
  <c r="H798" i="4"/>
  <c r="E832" i="4"/>
  <c r="E839" i="4"/>
  <c r="E834" i="4"/>
  <c r="E841" i="4"/>
  <c r="E836" i="4"/>
  <c r="E831" i="4"/>
  <c r="E838" i="4"/>
  <c r="E833" i="4"/>
  <c r="E840" i="4"/>
  <c r="E835" i="4"/>
  <c r="E837" i="4"/>
  <c r="G865" i="4"/>
  <c r="G860" i="4"/>
  <c r="G855" i="4"/>
  <c r="G862" i="4"/>
  <c r="G857" i="4"/>
  <c r="G864" i="4"/>
  <c r="G859" i="4"/>
  <c r="G861" i="4"/>
  <c r="G856" i="4"/>
  <c r="G858" i="4"/>
  <c r="G863" i="4"/>
  <c r="D895" i="4"/>
  <c r="D897" i="4"/>
  <c r="D892" i="4"/>
  <c r="D899" i="4"/>
  <c r="D894" i="4"/>
  <c r="D901" i="4"/>
  <c r="D896" i="4"/>
  <c r="D891" i="4"/>
  <c r="D898" i="4"/>
  <c r="D900" i="4"/>
  <c r="D893" i="4"/>
  <c r="F923" i="4"/>
  <c r="F918" i="4"/>
  <c r="F925" i="4"/>
  <c r="F920" i="4"/>
  <c r="F915" i="4"/>
  <c r="F922" i="4"/>
  <c r="F917" i="4"/>
  <c r="F924" i="4"/>
  <c r="F919" i="4"/>
  <c r="F916" i="4"/>
  <c r="F921" i="4"/>
  <c r="H939" i="4"/>
  <c r="H946" i="4"/>
  <c r="H941" i="4"/>
  <c r="H948" i="4"/>
  <c r="H943" i="4"/>
  <c r="H945" i="4"/>
  <c r="H940" i="4"/>
  <c r="H947" i="4"/>
  <c r="H942" i="4"/>
  <c r="H944" i="4"/>
  <c r="H949" i="4"/>
  <c r="E981" i="4"/>
  <c r="E976" i="4"/>
  <c r="E983" i="4"/>
  <c r="E978" i="4"/>
  <c r="E985" i="4"/>
  <c r="E980" i="4"/>
  <c r="E975" i="4"/>
  <c r="E982" i="4"/>
  <c r="E977" i="4"/>
  <c r="E984" i="4"/>
  <c r="E979" i="4"/>
  <c r="D3" i="4"/>
  <c r="G6" i="4"/>
  <c r="E8" i="4"/>
  <c r="H11" i="4"/>
  <c r="F13" i="4"/>
  <c r="D16" i="4"/>
  <c r="G19" i="4"/>
  <c r="E21" i="4"/>
  <c r="H24" i="4"/>
  <c r="F27" i="4"/>
  <c r="D29" i="4"/>
  <c r="G32" i="4"/>
  <c r="E34" i="4"/>
  <c r="H37" i="4"/>
  <c r="F40" i="4"/>
  <c r="H42" i="4"/>
  <c r="E45" i="4"/>
  <c r="G47" i="4"/>
  <c r="D51" i="4"/>
  <c r="F53" i="4"/>
  <c r="H55" i="4"/>
  <c r="E58" i="4"/>
  <c r="G60" i="4"/>
  <c r="D64" i="4"/>
  <c r="F66" i="4"/>
  <c r="H68" i="4"/>
  <c r="E71" i="4"/>
  <c r="G73" i="4"/>
  <c r="D77" i="4"/>
  <c r="F79" i="4"/>
  <c r="H81" i="4"/>
  <c r="E84" i="4"/>
  <c r="G87" i="4"/>
  <c r="D90" i="4"/>
  <c r="F92" i="4"/>
  <c r="H94" i="4"/>
  <c r="E97" i="4"/>
  <c r="G100" i="4"/>
  <c r="D103" i="4"/>
  <c r="F105" i="4"/>
  <c r="H107" i="4"/>
  <c r="E111" i="4"/>
  <c r="G113" i="4"/>
  <c r="D116" i="4"/>
  <c r="F118" i="4"/>
  <c r="H120" i="4"/>
  <c r="E124" i="4"/>
  <c r="G126" i="4"/>
  <c r="D129" i="4"/>
  <c r="F131" i="4"/>
  <c r="H133" i="4"/>
  <c r="E137" i="4"/>
  <c r="G139" i="4"/>
  <c r="E144" i="4"/>
  <c r="G165" i="4"/>
  <c r="H186" i="4"/>
  <c r="H201" i="4"/>
  <c r="E217" i="4"/>
  <c r="G233" i="4"/>
  <c r="D249" i="4"/>
  <c r="E296" i="4"/>
  <c r="E330" i="4"/>
  <c r="F377" i="4"/>
  <c r="D454" i="4"/>
  <c r="G440" i="4"/>
  <c r="G435" i="4"/>
  <c r="G442" i="4"/>
  <c r="G437" i="4"/>
  <c r="G439" i="4"/>
  <c r="G441" i="4"/>
  <c r="G445" i="4"/>
  <c r="G444" i="4"/>
  <c r="G436" i="4"/>
  <c r="G443" i="4"/>
  <c r="G438" i="4"/>
  <c r="D477" i="4"/>
  <c r="D472" i="4"/>
  <c r="D479" i="4"/>
  <c r="D481" i="4"/>
  <c r="D473" i="4"/>
  <c r="D474" i="4"/>
  <c r="D478" i="4"/>
  <c r="D476" i="4"/>
  <c r="D475" i="4"/>
  <c r="D480" i="4"/>
  <c r="D471" i="4"/>
  <c r="D619" i="4"/>
  <c r="D621" i="4"/>
  <c r="D616" i="4"/>
  <c r="D623" i="4"/>
  <c r="D618" i="4"/>
  <c r="D625" i="4"/>
  <c r="D620" i="4"/>
  <c r="D617" i="4"/>
  <c r="D624" i="4"/>
  <c r="D615" i="4"/>
  <c r="D622" i="4"/>
  <c r="H815" i="4"/>
  <c r="H810" i="4"/>
  <c r="H817" i="4"/>
  <c r="H812" i="4"/>
  <c r="H807" i="4"/>
  <c r="H814" i="4"/>
  <c r="H809" i="4"/>
  <c r="H816" i="4"/>
  <c r="H811" i="4"/>
  <c r="H813" i="4"/>
  <c r="H808" i="4"/>
  <c r="H140" i="4"/>
  <c r="H142" i="4"/>
  <c r="H144" i="4"/>
  <c r="H143" i="4"/>
  <c r="E177" i="4"/>
  <c r="E172" i="4"/>
  <c r="E179" i="4"/>
  <c r="E174" i="4"/>
  <c r="E181" i="4"/>
  <c r="E171" i="4"/>
  <c r="E173" i="4"/>
  <c r="E175" i="4"/>
  <c r="G198" i="4"/>
  <c r="G205" i="4"/>
  <c r="G200" i="4"/>
  <c r="G195" i="4"/>
  <c r="G202" i="4"/>
  <c r="G197" i="4"/>
  <c r="G204" i="4"/>
  <c r="G199" i="4"/>
  <c r="G201" i="4"/>
  <c r="G203" i="4"/>
  <c r="D240" i="4"/>
  <c r="D235" i="4"/>
  <c r="D237" i="4"/>
  <c r="D232" i="4"/>
  <c r="D239" i="4"/>
  <c r="D234" i="4"/>
  <c r="D241" i="4"/>
  <c r="D231" i="4"/>
  <c r="D233" i="4"/>
  <c r="F256" i="4"/>
  <c r="F263" i="4"/>
  <c r="F258" i="4"/>
  <c r="F265" i="4"/>
  <c r="F260" i="4"/>
  <c r="F255" i="4"/>
  <c r="F262" i="4"/>
  <c r="F257" i="4"/>
  <c r="F259" i="4"/>
  <c r="F261" i="4"/>
  <c r="H284" i="4"/>
  <c r="H279" i="4"/>
  <c r="H286" i="4"/>
  <c r="H281" i="4"/>
  <c r="H288" i="4"/>
  <c r="H283" i="4"/>
  <c r="H285" i="4"/>
  <c r="H287" i="4"/>
  <c r="H289" i="4"/>
  <c r="E321" i="4"/>
  <c r="E316" i="4"/>
  <c r="E323" i="4"/>
  <c r="E318" i="4"/>
  <c r="E320" i="4"/>
  <c r="E315" i="4"/>
  <c r="E322" i="4"/>
  <c r="E324" i="4"/>
  <c r="E319" i="4"/>
  <c r="E325" i="4"/>
  <c r="E317" i="4"/>
  <c r="G349" i="4"/>
  <c r="G344" i="4"/>
  <c r="G339" i="4"/>
  <c r="G346" i="4"/>
  <c r="G348" i="4"/>
  <c r="G343" i="4"/>
  <c r="G340" i="4"/>
  <c r="G342" i="4"/>
  <c r="G341" i="4"/>
  <c r="G347" i="4"/>
  <c r="D379" i="4"/>
  <c r="D381" i="4"/>
  <c r="D376" i="4"/>
  <c r="D378" i="4"/>
  <c r="D385" i="4"/>
  <c r="D380" i="4"/>
  <c r="D382" i="4"/>
  <c r="D384" i="4"/>
  <c r="D375" i="4"/>
  <c r="D377" i="4"/>
  <c r="D383" i="4"/>
  <c r="F407" i="4"/>
  <c r="F402" i="4"/>
  <c r="F409" i="4"/>
  <c r="F404" i="4"/>
  <c r="F406" i="4"/>
  <c r="F401" i="4"/>
  <c r="F408" i="4"/>
  <c r="F400" i="4"/>
  <c r="F403" i="4"/>
  <c r="F399" i="4"/>
  <c r="H429" i="4"/>
  <c r="H424" i="4"/>
  <c r="H431" i="4"/>
  <c r="H433" i="4"/>
  <c r="H432" i="4"/>
  <c r="H423" i="4"/>
  <c r="H427" i="4"/>
  <c r="H430" i="4"/>
  <c r="H428" i="4"/>
  <c r="H426" i="4"/>
  <c r="H425" i="4"/>
  <c r="E464" i="4"/>
  <c r="E459" i="4"/>
  <c r="E466" i="4"/>
  <c r="E461" i="4"/>
  <c r="E463" i="4"/>
  <c r="E468" i="4"/>
  <c r="E460" i="4"/>
  <c r="E462" i="4"/>
  <c r="E465" i="4"/>
  <c r="E469" i="4"/>
  <c r="E467" i="4"/>
  <c r="G492" i="4"/>
  <c r="G487" i="4"/>
  <c r="G489" i="4"/>
  <c r="G491" i="4"/>
  <c r="G483" i="4"/>
  <c r="G484" i="4"/>
  <c r="G493" i="4"/>
  <c r="G488" i="4"/>
  <c r="G486" i="4"/>
  <c r="G485" i="4"/>
  <c r="D522" i="4"/>
  <c r="D529" i="4"/>
  <c r="D524" i="4"/>
  <c r="D519" i="4"/>
  <c r="D521" i="4"/>
  <c r="D525" i="4"/>
  <c r="D526" i="4"/>
  <c r="D528" i="4"/>
  <c r="D527" i="4"/>
  <c r="D523" i="4"/>
  <c r="D520" i="4"/>
  <c r="F550" i="4"/>
  <c r="F545" i="4"/>
  <c r="F552" i="4"/>
  <c r="F547" i="4"/>
  <c r="F549" i="4"/>
  <c r="F553" i="4"/>
  <c r="F551" i="4"/>
  <c r="F546" i="4"/>
  <c r="F544" i="4"/>
  <c r="F543" i="4"/>
  <c r="F548" i="4"/>
  <c r="H573" i="4"/>
  <c r="H568" i="4"/>
  <c r="H575" i="4"/>
  <c r="H570" i="4"/>
  <c r="H577" i="4"/>
  <c r="H569" i="4"/>
  <c r="H571" i="4"/>
  <c r="H576" i="4"/>
  <c r="H574" i="4"/>
  <c r="H567" i="4"/>
  <c r="H572" i="4"/>
  <c r="E613" i="4"/>
  <c r="E608" i="4"/>
  <c r="E603" i="4"/>
  <c r="E610" i="4"/>
  <c r="E605" i="4"/>
  <c r="E612" i="4"/>
  <c r="E607" i="4"/>
  <c r="E606" i="4"/>
  <c r="E609" i="4"/>
  <c r="E604" i="4"/>
  <c r="E611" i="4"/>
  <c r="G629" i="4"/>
  <c r="G636" i="4"/>
  <c r="G631" i="4"/>
  <c r="G633" i="4"/>
  <c r="G628" i="4"/>
  <c r="G635" i="4"/>
  <c r="G630" i="4"/>
  <c r="G634" i="4"/>
  <c r="G632" i="4"/>
  <c r="G627" i="4"/>
  <c r="G637" i="4"/>
  <c r="D671" i="4"/>
  <c r="D666" i="4"/>
  <c r="D673" i="4"/>
  <c r="D668" i="4"/>
  <c r="D663" i="4"/>
  <c r="D670" i="4"/>
  <c r="D665" i="4"/>
  <c r="D672" i="4"/>
  <c r="D664" i="4"/>
  <c r="D669" i="4"/>
  <c r="D667" i="4"/>
  <c r="F687" i="4"/>
  <c r="F694" i="4"/>
  <c r="F689" i="4"/>
  <c r="F696" i="4"/>
  <c r="F691" i="4"/>
  <c r="F693" i="4"/>
  <c r="F688" i="4"/>
  <c r="F692" i="4"/>
  <c r="F697" i="4"/>
  <c r="F695" i="4"/>
  <c r="F690" i="4"/>
  <c r="H715" i="4"/>
  <c r="H717" i="4"/>
  <c r="H712" i="4"/>
  <c r="H719" i="4"/>
  <c r="H714" i="4"/>
  <c r="H721" i="4"/>
  <c r="H716" i="4"/>
  <c r="H720" i="4"/>
  <c r="H711" i="4"/>
  <c r="H713" i="4"/>
  <c r="H718" i="4"/>
  <c r="E757" i="4"/>
  <c r="E752" i="4"/>
  <c r="E747" i="4"/>
  <c r="E754" i="4"/>
  <c r="E749" i="4"/>
  <c r="E756" i="4"/>
  <c r="E751" i="4"/>
  <c r="E750" i="4"/>
  <c r="E748" i="4"/>
  <c r="E753" i="4"/>
  <c r="E755" i="4"/>
  <c r="G781" i="4"/>
  <c r="G771" i="4"/>
  <c r="G778" i="4"/>
  <c r="G773" i="4"/>
  <c r="G775" i="4"/>
  <c r="G774" i="4"/>
  <c r="G777" i="4"/>
  <c r="G772" i="4"/>
  <c r="G780" i="4"/>
  <c r="G776" i="4"/>
  <c r="G779" i="4"/>
  <c r="D811" i="4"/>
  <c r="D813" i="4"/>
  <c r="D808" i="4"/>
  <c r="D815" i="4"/>
  <c r="D810" i="4"/>
  <c r="D817" i="4"/>
  <c r="D812" i="4"/>
  <c r="D809" i="4"/>
  <c r="D816" i="4"/>
  <c r="D814" i="4"/>
  <c r="D807" i="4"/>
  <c r="F839" i="4"/>
  <c r="F834" i="4"/>
  <c r="F841" i="4"/>
  <c r="F836" i="4"/>
  <c r="F831" i="4"/>
  <c r="F838" i="4"/>
  <c r="F833" i="4"/>
  <c r="F840" i="4"/>
  <c r="F835" i="4"/>
  <c r="F837" i="4"/>
  <c r="F832" i="4"/>
  <c r="H860" i="4"/>
  <c r="H855" i="4"/>
  <c r="H862" i="4"/>
  <c r="H857" i="4"/>
  <c r="H864" i="4"/>
  <c r="H859" i="4"/>
  <c r="H861" i="4"/>
  <c r="H856" i="4"/>
  <c r="H863" i="4"/>
  <c r="H865" i="4"/>
  <c r="H858" i="4"/>
  <c r="E897" i="4"/>
  <c r="E892" i="4"/>
  <c r="E899" i="4"/>
  <c r="E894" i="4"/>
  <c r="E901" i="4"/>
  <c r="E896" i="4"/>
  <c r="E891" i="4"/>
  <c r="E898" i="4"/>
  <c r="E893" i="4"/>
  <c r="E895" i="4"/>
  <c r="E900" i="4"/>
  <c r="G918" i="4"/>
  <c r="G925" i="4"/>
  <c r="G920" i="4"/>
  <c r="G915" i="4"/>
  <c r="G922" i="4"/>
  <c r="G917" i="4"/>
  <c r="G924" i="4"/>
  <c r="G919" i="4"/>
  <c r="G921" i="4"/>
  <c r="G923" i="4"/>
  <c r="G916" i="4"/>
  <c r="D960" i="4"/>
  <c r="D955" i="4"/>
  <c r="D957" i="4"/>
  <c r="D952" i="4"/>
  <c r="D959" i="4"/>
  <c r="D954" i="4"/>
  <c r="D961" i="4"/>
  <c r="D956" i="4"/>
  <c r="D951" i="4"/>
  <c r="D953" i="4"/>
  <c r="D958" i="4"/>
  <c r="F976" i="4"/>
  <c r="F983" i="4"/>
  <c r="F978" i="4"/>
  <c r="F985" i="4"/>
  <c r="F980" i="4"/>
  <c r="F975" i="4"/>
  <c r="F982" i="4"/>
  <c r="F977" i="4"/>
  <c r="F984" i="4"/>
  <c r="F979" i="4"/>
  <c r="F981" i="4"/>
  <c r="H4" i="4"/>
  <c r="F6" i="4"/>
  <c r="D8" i="4"/>
  <c r="G11" i="4"/>
  <c r="E13" i="4"/>
  <c r="H17" i="4"/>
  <c r="F19" i="4"/>
  <c r="D21" i="4"/>
  <c r="G24" i="4"/>
  <c r="E27" i="4"/>
  <c r="H30" i="4"/>
  <c r="F32" i="4"/>
  <c r="D34" i="4"/>
  <c r="G37" i="4"/>
  <c r="G40" i="4"/>
  <c r="D43" i="4"/>
  <c r="F45" i="4"/>
  <c r="H47" i="4"/>
  <c r="E51" i="4"/>
  <c r="G53" i="4"/>
  <c r="D56" i="4"/>
  <c r="F58" i="4"/>
  <c r="H60" i="4"/>
  <c r="E64" i="4"/>
  <c r="G66" i="4"/>
  <c r="D69" i="4"/>
  <c r="F71" i="4"/>
  <c r="H73" i="4"/>
  <c r="E77" i="4"/>
  <c r="G79" i="4"/>
  <c r="D82" i="4"/>
  <c r="F84" i="4"/>
  <c r="H87" i="4"/>
  <c r="E90" i="4"/>
  <c r="G92" i="4"/>
  <c r="D95" i="4"/>
  <c r="F97" i="4"/>
  <c r="H100" i="4"/>
  <c r="E103" i="4"/>
  <c r="G105" i="4"/>
  <c r="D108" i="4"/>
  <c r="F111" i="4"/>
  <c r="H113" i="4"/>
  <c r="E116" i="4"/>
  <c r="G118" i="4"/>
  <c r="D121" i="4"/>
  <c r="F124" i="4"/>
  <c r="H126" i="4"/>
  <c r="E129" i="4"/>
  <c r="G131" i="4"/>
  <c r="D135" i="4"/>
  <c r="F137" i="4"/>
  <c r="H139" i="4"/>
  <c r="F144" i="4"/>
  <c r="H151" i="4"/>
  <c r="E157" i="4"/>
  <c r="E167" i="4"/>
  <c r="H177" i="4"/>
  <c r="F188" i="4"/>
  <c r="E220" i="4"/>
  <c r="G235" i="4"/>
  <c r="D251" i="4"/>
  <c r="F267" i="4"/>
  <c r="H282" i="4"/>
  <c r="H336" i="4"/>
  <c r="G658" i="4"/>
  <c r="G153" i="4"/>
  <c r="G148" i="4"/>
  <c r="G155" i="4"/>
  <c r="G150" i="4"/>
  <c r="G157" i="4"/>
  <c r="G149" i="4"/>
  <c r="F498" i="4"/>
  <c r="F505" i="4"/>
  <c r="F500" i="4"/>
  <c r="F495" i="4"/>
  <c r="F497" i="4"/>
  <c r="F501" i="4"/>
  <c r="F504" i="4"/>
  <c r="F499" i="4"/>
  <c r="F503" i="4"/>
  <c r="F502" i="4"/>
  <c r="F496" i="4"/>
  <c r="G589" i="4"/>
  <c r="G584" i="4"/>
  <c r="G586" i="4"/>
  <c r="G581" i="4"/>
  <c r="G588" i="4"/>
  <c r="G583" i="4"/>
  <c r="G579" i="4"/>
  <c r="G587" i="4"/>
  <c r="G582" i="4"/>
  <c r="G580" i="4"/>
  <c r="H663" i="4"/>
  <c r="H670" i="4"/>
  <c r="H665" i="4"/>
  <c r="H672" i="4"/>
  <c r="H667" i="4"/>
  <c r="H669" i="4"/>
  <c r="H664" i="4"/>
  <c r="H668" i="4"/>
  <c r="H673" i="4"/>
  <c r="H671" i="4"/>
  <c r="H666" i="4"/>
  <c r="F787" i="4"/>
  <c r="F789" i="4"/>
  <c r="F784" i="4"/>
  <c r="F791" i="4"/>
  <c r="F786" i="4"/>
  <c r="F793" i="4"/>
  <c r="F788" i="4"/>
  <c r="F783" i="4"/>
  <c r="F792" i="4"/>
  <c r="F790" i="4"/>
  <c r="F785" i="4"/>
  <c r="G873" i="4"/>
  <c r="G868" i="4"/>
  <c r="G875" i="4"/>
  <c r="G870" i="4"/>
  <c r="G877" i="4"/>
  <c r="G872" i="4"/>
  <c r="G867" i="4"/>
  <c r="G874" i="4"/>
  <c r="G869" i="4"/>
  <c r="G871" i="4"/>
  <c r="G876" i="4"/>
  <c r="D908" i="4"/>
  <c r="D903" i="4"/>
  <c r="D910" i="4"/>
  <c r="D905" i="4"/>
  <c r="D912" i="4"/>
  <c r="D907" i="4"/>
  <c r="D909" i="4"/>
  <c r="D904" i="4"/>
  <c r="D911" i="4"/>
  <c r="D913" i="4"/>
  <c r="D906" i="4"/>
  <c r="D149" i="4"/>
  <c r="D156" i="4"/>
  <c r="D151" i="4"/>
  <c r="D153" i="4"/>
  <c r="D148" i="4"/>
  <c r="D152" i="4"/>
  <c r="F177" i="4"/>
  <c r="F172" i="4"/>
  <c r="F179" i="4"/>
  <c r="F174" i="4"/>
  <c r="F181" i="4"/>
  <c r="F176" i="4"/>
  <c r="F178" i="4"/>
  <c r="F180" i="4"/>
  <c r="H205" i="4"/>
  <c r="H200" i="4"/>
  <c r="H195" i="4"/>
  <c r="H202" i="4"/>
  <c r="H197" i="4"/>
  <c r="H204" i="4"/>
  <c r="H199" i="4"/>
  <c r="H196" i="4"/>
  <c r="H198" i="4"/>
  <c r="E235" i="4"/>
  <c r="E237" i="4"/>
  <c r="E232" i="4"/>
  <c r="E239" i="4"/>
  <c r="E234" i="4"/>
  <c r="E241" i="4"/>
  <c r="E236" i="4"/>
  <c r="E238" i="4"/>
  <c r="E240" i="4"/>
  <c r="G263" i="4"/>
  <c r="G258" i="4"/>
  <c r="G265" i="4"/>
  <c r="G260" i="4"/>
  <c r="G255" i="4"/>
  <c r="G262" i="4"/>
  <c r="G257" i="4"/>
  <c r="G264" i="4"/>
  <c r="G256" i="4"/>
  <c r="D300" i="4"/>
  <c r="D301" i="4"/>
  <c r="D293" i="4"/>
  <c r="D295" i="4"/>
  <c r="D297" i="4"/>
  <c r="D292" i="4"/>
  <c r="D299" i="4"/>
  <c r="D294" i="4"/>
  <c r="D296" i="4"/>
  <c r="D298" i="4"/>
  <c r="F316" i="4"/>
  <c r="F323" i="4"/>
  <c r="F318" i="4"/>
  <c r="F325" i="4"/>
  <c r="F315" i="4"/>
  <c r="F322" i="4"/>
  <c r="F317" i="4"/>
  <c r="F319" i="4"/>
  <c r="F324" i="4"/>
  <c r="F320" i="4"/>
  <c r="H344" i="4"/>
  <c r="H339" i="4"/>
  <c r="H346" i="4"/>
  <c r="H341" i="4"/>
  <c r="H343" i="4"/>
  <c r="H345" i="4"/>
  <c r="H347" i="4"/>
  <c r="H342" i="4"/>
  <c r="H349" i="4"/>
  <c r="H348" i="4"/>
  <c r="H340" i="4"/>
  <c r="E381" i="4"/>
  <c r="E376" i="4"/>
  <c r="E383" i="4"/>
  <c r="E385" i="4"/>
  <c r="E380" i="4"/>
  <c r="E375" i="4"/>
  <c r="E377" i="4"/>
  <c r="E382" i="4"/>
  <c r="E379" i="4"/>
  <c r="E378" i="4"/>
  <c r="G402" i="4"/>
  <c r="G409" i="4"/>
  <c r="G404" i="4"/>
  <c r="G399" i="4"/>
  <c r="G401" i="4"/>
  <c r="G408" i="4"/>
  <c r="G403" i="4"/>
  <c r="G405" i="4"/>
  <c r="G407" i="4"/>
  <c r="G400" i="4"/>
  <c r="D443" i="4"/>
  <c r="D438" i="4"/>
  <c r="D445" i="4"/>
  <c r="D440" i="4"/>
  <c r="D442" i="4"/>
  <c r="D437" i="4"/>
  <c r="D441" i="4"/>
  <c r="D444" i="4"/>
  <c r="D436" i="4"/>
  <c r="D435" i="4"/>
  <c r="D439" i="4"/>
  <c r="F459" i="4"/>
  <c r="F466" i="4"/>
  <c r="F461" i="4"/>
  <c r="F468" i="4"/>
  <c r="F464" i="4"/>
  <c r="F463" i="4"/>
  <c r="F467" i="4"/>
  <c r="F462" i="4"/>
  <c r="F460" i="4"/>
  <c r="F465" i="4"/>
  <c r="H487" i="4"/>
  <c r="H489" i="4"/>
  <c r="H484" i="4"/>
  <c r="H486" i="4"/>
  <c r="H490" i="4"/>
  <c r="H493" i="4"/>
  <c r="H488" i="4"/>
  <c r="H483" i="4"/>
  <c r="H492" i="4"/>
  <c r="H491" i="4"/>
  <c r="H485" i="4"/>
  <c r="E529" i="4"/>
  <c r="E524" i="4"/>
  <c r="E519" i="4"/>
  <c r="E526" i="4"/>
  <c r="E528" i="4"/>
  <c r="E520" i="4"/>
  <c r="E521" i="4"/>
  <c r="E525" i="4"/>
  <c r="E523" i="4"/>
  <c r="E522" i="4"/>
  <c r="E527" i="4"/>
  <c r="G545" i="4"/>
  <c r="G552" i="4"/>
  <c r="G547" i="4"/>
  <c r="G544" i="4"/>
  <c r="G548" i="4"/>
  <c r="G551" i="4"/>
  <c r="G546" i="4"/>
  <c r="G550" i="4"/>
  <c r="G549" i="4"/>
  <c r="G553" i="4"/>
  <c r="G543" i="4"/>
  <c r="D580" i="4"/>
  <c r="D587" i="4"/>
  <c r="D582" i="4"/>
  <c r="D589" i="4"/>
  <c r="D584" i="4"/>
  <c r="D586" i="4"/>
  <c r="D581" i="4"/>
  <c r="D585" i="4"/>
  <c r="D579" i="4"/>
  <c r="D583" i="4"/>
  <c r="D588" i="4"/>
  <c r="F608" i="4"/>
  <c r="F603" i="4"/>
  <c r="F610" i="4"/>
  <c r="F605" i="4"/>
  <c r="F612" i="4"/>
  <c r="F607" i="4"/>
  <c r="F609" i="4"/>
  <c r="F606" i="4"/>
  <c r="F613" i="4"/>
  <c r="F604" i="4"/>
  <c r="F611" i="4"/>
  <c r="H636" i="4"/>
  <c r="H631" i="4"/>
  <c r="H633" i="4"/>
  <c r="H628" i="4"/>
  <c r="H635" i="4"/>
  <c r="H630" i="4"/>
  <c r="H637" i="4"/>
  <c r="H629" i="4"/>
  <c r="H634" i="4"/>
  <c r="H632" i="4"/>
  <c r="H627" i="4"/>
  <c r="E666" i="4"/>
  <c r="E673" i="4"/>
  <c r="E668" i="4"/>
  <c r="E663" i="4"/>
  <c r="E670" i="4"/>
  <c r="E665" i="4"/>
  <c r="E672" i="4"/>
  <c r="E667" i="4"/>
  <c r="E671" i="4"/>
  <c r="E664" i="4"/>
  <c r="E669" i="4"/>
  <c r="G694" i="4"/>
  <c r="G689" i="4"/>
  <c r="G696" i="4"/>
  <c r="G691" i="4"/>
  <c r="G693" i="4"/>
  <c r="G688" i="4"/>
  <c r="G695" i="4"/>
  <c r="G687" i="4"/>
  <c r="G697" i="4"/>
  <c r="G692" i="4"/>
  <c r="G690" i="4"/>
  <c r="D724" i="4"/>
  <c r="D731" i="4"/>
  <c r="D726" i="4"/>
  <c r="D733" i="4"/>
  <c r="D728" i="4"/>
  <c r="D723" i="4"/>
  <c r="D730" i="4"/>
  <c r="D725" i="4"/>
  <c r="D729" i="4"/>
  <c r="D727" i="4"/>
  <c r="D732" i="4"/>
  <c r="F752" i="4"/>
  <c r="F747" i="4"/>
  <c r="F754" i="4"/>
  <c r="F749" i="4"/>
  <c r="F756" i="4"/>
  <c r="F751" i="4"/>
  <c r="F753" i="4"/>
  <c r="F757" i="4"/>
  <c r="F750" i="4"/>
  <c r="F748" i="4"/>
  <c r="F755" i="4"/>
  <c r="H776" i="4"/>
  <c r="H778" i="4"/>
  <c r="H773" i="4"/>
  <c r="H780" i="4"/>
  <c r="H777" i="4"/>
  <c r="H781" i="4"/>
  <c r="H772" i="4"/>
  <c r="H775" i="4"/>
  <c r="H774" i="4"/>
  <c r="H771" i="4"/>
  <c r="H779" i="4"/>
  <c r="E813" i="4"/>
  <c r="E808" i="4"/>
  <c r="E815" i="4"/>
  <c r="E810" i="4"/>
  <c r="E817" i="4"/>
  <c r="E812" i="4"/>
  <c r="E807" i="4"/>
  <c r="E814" i="4"/>
  <c r="E816" i="4"/>
  <c r="E811" i="4"/>
  <c r="E809" i="4"/>
  <c r="G834" i="4"/>
  <c r="G841" i="4"/>
  <c r="G836" i="4"/>
  <c r="G831" i="4"/>
  <c r="G838" i="4"/>
  <c r="G833" i="4"/>
  <c r="G840" i="4"/>
  <c r="G835" i="4"/>
  <c r="G832" i="4"/>
  <c r="G839" i="4"/>
  <c r="G837" i="4"/>
  <c r="D869" i="4"/>
  <c r="D876" i="4"/>
  <c r="D871" i="4"/>
  <c r="D873" i="4"/>
  <c r="D868" i="4"/>
  <c r="D875" i="4"/>
  <c r="D870" i="4"/>
  <c r="D877" i="4"/>
  <c r="D872" i="4"/>
  <c r="D874" i="4"/>
  <c r="D867" i="4"/>
  <c r="F897" i="4"/>
  <c r="F892" i="4"/>
  <c r="F899" i="4"/>
  <c r="F894" i="4"/>
  <c r="F901" i="4"/>
  <c r="F896" i="4"/>
  <c r="F891" i="4"/>
  <c r="F898" i="4"/>
  <c r="F893" i="4"/>
  <c r="F900" i="4"/>
  <c r="F895" i="4"/>
  <c r="H925" i="4"/>
  <c r="H920" i="4"/>
  <c r="H915" i="4"/>
  <c r="H922" i="4"/>
  <c r="H917" i="4"/>
  <c r="H924" i="4"/>
  <c r="H919" i="4"/>
  <c r="H921" i="4"/>
  <c r="H916" i="4"/>
  <c r="H918" i="4"/>
  <c r="H923" i="4"/>
  <c r="E955" i="4"/>
  <c r="E957" i="4"/>
  <c r="E952" i="4"/>
  <c r="E959" i="4"/>
  <c r="E954" i="4"/>
  <c r="E961" i="4"/>
  <c r="E956" i="4"/>
  <c r="E951" i="4"/>
  <c r="E958" i="4"/>
  <c r="E960" i="4"/>
  <c r="E953" i="4"/>
  <c r="G983" i="4"/>
  <c r="G978" i="4"/>
  <c r="G985" i="4"/>
  <c r="G980" i="4"/>
  <c r="G975" i="4"/>
  <c r="G982" i="4"/>
  <c r="G977" i="4"/>
  <c r="G984" i="4"/>
  <c r="G979" i="4"/>
  <c r="G976" i="4"/>
  <c r="G981" i="4"/>
  <c r="G4" i="4"/>
  <c r="E6" i="4"/>
  <c r="F11" i="4"/>
  <c r="D13" i="4"/>
  <c r="G17" i="4"/>
  <c r="E19" i="4"/>
  <c r="H22" i="4"/>
  <c r="F24" i="4"/>
  <c r="D27" i="4"/>
  <c r="G30" i="4"/>
  <c r="E32" i="4"/>
  <c r="H35" i="4"/>
  <c r="F37" i="4"/>
  <c r="H40" i="4"/>
  <c r="E43" i="4"/>
  <c r="D48" i="4"/>
  <c r="F51" i="4"/>
  <c r="H53" i="4"/>
  <c r="E56" i="4"/>
  <c r="G58" i="4"/>
  <c r="D61" i="4"/>
  <c r="F64" i="4"/>
  <c r="H66" i="4"/>
  <c r="G71" i="4"/>
  <c r="D75" i="4"/>
  <c r="F77" i="4"/>
  <c r="H79" i="4"/>
  <c r="E82" i="4"/>
  <c r="G84" i="4"/>
  <c r="D88" i="4"/>
  <c r="F90" i="4"/>
  <c r="H92" i="4"/>
  <c r="E95" i="4"/>
  <c r="G97" i="4"/>
  <c r="D101" i="4"/>
  <c r="F103" i="4"/>
  <c r="E108" i="4"/>
  <c r="G111" i="4"/>
  <c r="D114" i="4"/>
  <c r="F116" i="4"/>
  <c r="H118" i="4"/>
  <c r="E121" i="4"/>
  <c r="G124" i="4"/>
  <c r="D127" i="4"/>
  <c r="H131" i="4"/>
  <c r="E135" i="4"/>
  <c r="G137" i="4"/>
  <c r="D140" i="4"/>
  <c r="H145" i="4"/>
  <c r="F157" i="4"/>
  <c r="G167" i="4"/>
  <c r="E178" i="4"/>
  <c r="H188" i="4"/>
  <c r="E204" i="4"/>
  <c r="G220" i="4"/>
  <c r="D236" i="4"/>
  <c r="F251" i="4"/>
  <c r="H267" i="4"/>
  <c r="E283" i="4"/>
  <c r="G298" i="4"/>
  <c r="F337" i="4"/>
  <c r="H472" i="4"/>
  <c r="D682" i="4"/>
  <c r="E156" i="4"/>
  <c r="E151" i="4"/>
  <c r="E153" i="4"/>
  <c r="E148" i="4"/>
  <c r="E155" i="4"/>
  <c r="E147" i="4"/>
  <c r="D214" i="4"/>
  <c r="D209" i="4"/>
  <c r="D216" i="4"/>
  <c r="D211" i="4"/>
  <c r="D213" i="4"/>
  <c r="D208" i="4"/>
  <c r="D215" i="4"/>
  <c r="D217" i="4"/>
  <c r="D207" i="4"/>
  <c r="F237" i="4"/>
  <c r="F232" i="4"/>
  <c r="F239" i="4"/>
  <c r="F234" i="4"/>
  <c r="F241" i="4"/>
  <c r="F236" i="4"/>
  <c r="F231" i="4"/>
  <c r="F233" i="4"/>
  <c r="F235" i="4"/>
  <c r="H258" i="4"/>
  <c r="H265" i="4"/>
  <c r="H260" i="4"/>
  <c r="H255" i="4"/>
  <c r="H262" i="4"/>
  <c r="H257" i="4"/>
  <c r="H264" i="4"/>
  <c r="H259" i="4"/>
  <c r="H261" i="4"/>
  <c r="H263" i="4"/>
  <c r="E295" i="4"/>
  <c r="E300" i="4"/>
  <c r="E297" i="4"/>
  <c r="E292" i="4"/>
  <c r="E299" i="4"/>
  <c r="E294" i="4"/>
  <c r="E291" i="4"/>
  <c r="E301" i="4"/>
  <c r="E293" i="4"/>
  <c r="G323" i="4"/>
  <c r="G318" i="4"/>
  <c r="G325" i="4"/>
  <c r="G320" i="4"/>
  <c r="G322" i="4"/>
  <c r="G317" i="4"/>
  <c r="G324" i="4"/>
  <c r="G319" i="4"/>
  <c r="G316" i="4"/>
  <c r="G315" i="4"/>
  <c r="G321" i="4"/>
  <c r="D353" i="4"/>
  <c r="D360" i="4"/>
  <c r="D355" i="4"/>
  <c r="D352" i="4"/>
  <c r="D359" i="4"/>
  <c r="D354" i="4"/>
  <c r="D356" i="4"/>
  <c r="D351" i="4"/>
  <c r="D358" i="4"/>
  <c r="D357" i="4"/>
  <c r="F381" i="4"/>
  <c r="F376" i="4"/>
  <c r="F383" i="4"/>
  <c r="F378" i="4"/>
  <c r="F380" i="4"/>
  <c r="F375" i="4"/>
  <c r="F382" i="4"/>
  <c r="F384" i="4"/>
  <c r="F379" i="4"/>
  <c r="H409" i="4"/>
  <c r="H404" i="4"/>
  <c r="H399" i="4"/>
  <c r="H406" i="4"/>
  <c r="H408" i="4"/>
  <c r="H403" i="4"/>
  <c r="H400" i="4"/>
  <c r="H402" i="4"/>
  <c r="H401" i="4"/>
  <c r="H407" i="4"/>
  <c r="H405" i="4"/>
  <c r="E438" i="4"/>
  <c r="E445" i="4"/>
  <c r="E440" i="4"/>
  <c r="E435" i="4"/>
  <c r="E437" i="4"/>
  <c r="E441" i="4"/>
  <c r="E436" i="4"/>
  <c r="E439" i="4"/>
  <c r="E443" i="4"/>
  <c r="E444" i="4"/>
  <c r="E442" i="4"/>
  <c r="G466" i="4"/>
  <c r="G461" i="4"/>
  <c r="G468" i="4"/>
  <c r="G463" i="4"/>
  <c r="G465" i="4"/>
  <c r="G469" i="4"/>
  <c r="G464" i="4"/>
  <c r="G467" i="4"/>
  <c r="G459" i="4"/>
  <c r="G462" i="4"/>
  <c r="G460" i="4"/>
  <c r="D496" i="4"/>
  <c r="D503" i="4"/>
  <c r="D498" i="4"/>
  <c r="D505" i="4"/>
  <c r="D495" i="4"/>
  <c r="D499" i="4"/>
  <c r="D500" i="4"/>
  <c r="D504" i="4"/>
  <c r="D502" i="4"/>
  <c r="D501" i="4"/>
  <c r="D497" i="4"/>
  <c r="F524" i="4"/>
  <c r="F519" i="4"/>
  <c r="F526" i="4"/>
  <c r="F521" i="4"/>
  <c r="F523" i="4"/>
  <c r="F527" i="4"/>
  <c r="F525" i="4"/>
  <c r="F520" i="4"/>
  <c r="F529" i="4"/>
  <c r="F528" i="4"/>
  <c r="F522" i="4"/>
  <c r="H552" i="4"/>
  <c r="H547" i="4"/>
  <c r="H549" i="4"/>
  <c r="H551" i="4"/>
  <c r="H543" i="4"/>
  <c r="H546" i="4"/>
  <c r="H545" i="4"/>
  <c r="H544" i="4"/>
  <c r="H548" i="4"/>
  <c r="H553" i="4"/>
  <c r="H550" i="4"/>
  <c r="E587" i="4"/>
  <c r="E582" i="4"/>
  <c r="E589" i="4"/>
  <c r="E584" i="4"/>
  <c r="E581" i="4"/>
  <c r="E588" i="4"/>
  <c r="E580" i="4"/>
  <c r="E585" i="4"/>
  <c r="E579" i="4"/>
  <c r="E583" i="4"/>
  <c r="E586" i="4"/>
  <c r="G603" i="4"/>
  <c r="G610" i="4"/>
  <c r="G605" i="4"/>
  <c r="G612" i="4"/>
  <c r="G607" i="4"/>
  <c r="G609" i="4"/>
  <c r="G604" i="4"/>
  <c r="G608" i="4"/>
  <c r="G606" i="4"/>
  <c r="G613" i="4"/>
  <c r="G611" i="4"/>
  <c r="D645" i="4"/>
  <c r="D640" i="4"/>
  <c r="D647" i="4"/>
  <c r="D642" i="4"/>
  <c r="D649" i="4"/>
  <c r="D644" i="4"/>
  <c r="D639" i="4"/>
  <c r="D646" i="4"/>
  <c r="D643" i="4"/>
  <c r="D641" i="4"/>
  <c r="D648" i="4"/>
  <c r="F673" i="4"/>
  <c r="F668" i="4"/>
  <c r="F663" i="4"/>
  <c r="F670" i="4"/>
  <c r="F665" i="4"/>
  <c r="F672" i="4"/>
  <c r="F667" i="4"/>
  <c r="F666" i="4"/>
  <c r="F664" i="4"/>
  <c r="F671" i="4"/>
  <c r="F669" i="4"/>
  <c r="H689" i="4"/>
  <c r="H696" i="4"/>
  <c r="H691" i="4"/>
  <c r="H693" i="4"/>
  <c r="H688" i="4"/>
  <c r="H695" i="4"/>
  <c r="H690" i="4"/>
  <c r="H694" i="4"/>
  <c r="H687" i="4"/>
  <c r="H692" i="4"/>
  <c r="H697" i="4"/>
  <c r="E731" i="4"/>
  <c r="E726" i="4"/>
  <c r="E733" i="4"/>
  <c r="E728" i="4"/>
  <c r="E723" i="4"/>
  <c r="E730" i="4"/>
  <c r="E725" i="4"/>
  <c r="E732" i="4"/>
  <c r="E724" i="4"/>
  <c r="E729" i="4"/>
  <c r="E727" i="4"/>
  <c r="G747" i="4"/>
  <c r="G754" i="4"/>
  <c r="G749" i="4"/>
  <c r="G756" i="4"/>
  <c r="G751" i="4"/>
  <c r="G753" i="4"/>
  <c r="G748" i="4"/>
  <c r="G752" i="4"/>
  <c r="G757" i="4"/>
  <c r="G755" i="4"/>
  <c r="G750" i="4"/>
  <c r="D785" i="4"/>
  <c r="D787" i="4"/>
  <c r="D789" i="4"/>
  <c r="D791" i="4"/>
  <c r="D786" i="4"/>
  <c r="D790" i="4"/>
  <c r="D784" i="4"/>
  <c r="D788" i="4"/>
  <c r="D783" i="4"/>
  <c r="D793" i="4"/>
  <c r="D792" i="4"/>
  <c r="F813" i="4"/>
  <c r="F808" i="4"/>
  <c r="F815" i="4"/>
  <c r="F810" i="4"/>
  <c r="F817" i="4"/>
  <c r="F812" i="4"/>
  <c r="F807" i="4"/>
  <c r="F814" i="4"/>
  <c r="F809" i="4"/>
  <c r="F811" i="4"/>
  <c r="F816" i="4"/>
  <c r="H841" i="4"/>
  <c r="H836" i="4"/>
  <c r="H831" i="4"/>
  <c r="H838" i="4"/>
  <c r="H833" i="4"/>
  <c r="H840" i="4"/>
  <c r="H835" i="4"/>
  <c r="H837" i="4"/>
  <c r="H839" i="4"/>
  <c r="H834" i="4"/>
  <c r="H832" i="4"/>
  <c r="E876" i="4"/>
  <c r="E871" i="4"/>
  <c r="E873" i="4"/>
  <c r="E868" i="4"/>
  <c r="E875" i="4"/>
  <c r="E870" i="4"/>
  <c r="E877" i="4"/>
  <c r="E872" i="4"/>
  <c r="E867" i="4"/>
  <c r="E869" i="4"/>
  <c r="E874" i="4"/>
  <c r="G892" i="4"/>
  <c r="G899" i="4"/>
  <c r="G894" i="4"/>
  <c r="G901" i="4"/>
  <c r="G896" i="4"/>
  <c r="G891" i="4"/>
  <c r="G898" i="4"/>
  <c r="G893" i="4"/>
  <c r="G900" i="4"/>
  <c r="G895" i="4"/>
  <c r="G897" i="4"/>
  <c r="D934" i="4"/>
  <c r="D929" i="4"/>
  <c r="D936" i="4"/>
  <c r="D931" i="4"/>
  <c r="D933" i="4"/>
  <c r="D928" i="4"/>
  <c r="D935" i="4"/>
  <c r="D930" i="4"/>
  <c r="D937" i="4"/>
  <c r="D927" i="4"/>
  <c r="D932" i="4"/>
  <c r="F957" i="4"/>
  <c r="F952" i="4"/>
  <c r="F959" i="4"/>
  <c r="F954" i="4"/>
  <c r="F961" i="4"/>
  <c r="F956" i="4"/>
  <c r="F951" i="4"/>
  <c r="F958" i="4"/>
  <c r="F953" i="4"/>
  <c r="F955" i="4"/>
  <c r="F960" i="4"/>
  <c r="H978" i="4"/>
  <c r="H985" i="4"/>
  <c r="H980" i="4"/>
  <c r="H975" i="4"/>
  <c r="H982" i="4"/>
  <c r="H977" i="4"/>
  <c r="H984" i="4"/>
  <c r="H979" i="4"/>
  <c r="H981" i="4"/>
  <c r="H983" i="4"/>
  <c r="H976" i="4"/>
  <c r="F135" i="4"/>
  <c r="H137" i="4"/>
  <c r="F140" i="4"/>
  <c r="D147" i="4"/>
  <c r="F152" i="4"/>
  <c r="H159" i="4"/>
  <c r="D168" i="4"/>
  <c r="G178" i="4"/>
  <c r="H190" i="4"/>
  <c r="E207" i="4"/>
  <c r="G222" i="4"/>
  <c r="D238" i="4"/>
  <c r="F253" i="4"/>
  <c r="H269" i="4"/>
  <c r="E285" i="4"/>
  <c r="G301" i="4"/>
  <c r="D345" i="4"/>
  <c r="H394" i="4"/>
  <c r="G490" i="4"/>
</calcChain>
</file>

<file path=xl/sharedStrings.xml><?xml version="1.0" encoding="utf-8"?>
<sst xmlns="http://schemas.openxmlformats.org/spreadsheetml/2006/main" count="4071" uniqueCount="28">
  <si>
    <t>XAUUSD</t>
  </si>
  <si>
    <t>H1</t>
  </si>
  <si>
    <t>M5</t>
  </si>
  <si>
    <t>timestamp_h1</t>
  </si>
  <si>
    <t>symbol_h1</t>
  </si>
  <si>
    <t>timeframe_h1</t>
  </si>
  <si>
    <t>close_h1</t>
  </si>
  <si>
    <t>ssa_h1</t>
  </si>
  <si>
    <t>ema_ssa_h1</t>
  </si>
  <si>
    <t>ssa_high_h1</t>
  </si>
  <si>
    <t>ssa_low_h1</t>
  </si>
  <si>
    <t>timestamp_m5</t>
  </si>
  <si>
    <t>symbol_m5</t>
  </si>
  <si>
    <t>timeframe_m5</t>
  </si>
  <si>
    <t>close_m5</t>
  </si>
  <si>
    <t>ssa_m5</t>
  </si>
  <si>
    <t>ema_ssa_m5</t>
  </si>
  <si>
    <t>ssa_high_m5</t>
  </si>
  <si>
    <t>ssa_low_m5</t>
  </si>
  <si>
    <t>timestamp</t>
  </si>
  <si>
    <t/>
  </si>
  <si>
    <t>symbol</t>
  </si>
  <si>
    <t>timeframe</t>
  </si>
  <si>
    <t>close</t>
  </si>
  <si>
    <t>ssa_m5_interpolation</t>
  </si>
  <si>
    <t>ema_ssa_m5_interpolation</t>
  </si>
  <si>
    <t>ssa_high_m5_interpolation</t>
  </si>
  <si>
    <t>ssa_low_m5_interpolation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</si>
</sst>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0" fillId="35" borderId="0" xfId="0" applyFont="1" applyFill="1"/>
    <xf numFmtId="0" fontId="19" fillId="36" borderId="0" xfId="0" applyFont="1" applyFill="1"/>
    <xf numFmtId="164" fontId="0" fillId="0" borderId="0" xfId="0" applyNumberFormat="1"/>
    <xf numFmtId="0" fontId="13" fillId="37" borderId="0" xfId="0" applyFont="1" applyFill="1"/>
    <xf numFmtId="0" fontId="13" fillId="37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Mapped_H1_M5_Interporate!$AF$1</c:f>
              <c:strCache>
                <c:ptCount val="1"/>
                <c:pt idx="0">
                  <c:v>ssa_m5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Mapped_H1_M5_Interporate!$AF$2:$AF$986</c:f>
              <c:numCache>
                <c:formatCode>General</c:formatCode>
                <c:ptCount val="985"/>
                <c:pt idx="0">
                  <c:v>4627.2148999999999</c:v>
                </c:pt>
                <c:pt idx="1">
                  <c:v>4627.1535899999999</c:v>
                </c:pt>
                <c:pt idx="2">
                  <c:v>4626.4943400000002</c:v>
                </c:pt>
                <c:pt idx="3">
                  <c:v>4624.5197399999997</c:v>
                </c:pt>
                <c:pt idx="4">
                  <c:v>4621.2593299999999</c:v>
                </c:pt>
                <c:pt idx="5">
                  <c:v>4616.8744900000002</c:v>
                </c:pt>
                <c:pt idx="6">
                  <c:v>4612.3584099999998</c:v>
                </c:pt>
                <c:pt idx="7">
                  <c:v>4608.0569599999999</c:v>
                </c:pt>
                <c:pt idx="8">
                  <c:v>4604.4892600000003</c:v>
                </c:pt>
                <c:pt idx="9">
                  <c:v>4602.3008300000001</c:v>
                </c:pt>
                <c:pt idx="10">
                  <c:v>4601.4458100000002</c:v>
                </c:pt>
                <c:pt idx="11">
                  <c:v>4602.1149599999999</c:v>
                </c:pt>
                <c:pt idx="12">
                  <c:v>4604.3494899999996</c:v>
                </c:pt>
                <c:pt idx="13">
                  <c:v>4607.7338399999999</c:v>
                </c:pt>
                <c:pt idx="14">
                  <c:v>4611.9904299999998</c:v>
                </c:pt>
                <c:pt idx="15">
                  <c:v>4616.4376300000004</c:v>
                </c:pt>
                <c:pt idx="16">
                  <c:v>4620.5756499999998</c:v>
                </c:pt>
                <c:pt idx="17">
                  <c:v>4623.53748</c:v>
                </c:pt>
                <c:pt idx="18">
                  <c:v>4624.9415399999998</c:v>
                </c:pt>
                <c:pt idx="19">
                  <c:v>4624.5640899999999</c:v>
                </c:pt>
                <c:pt idx="20">
                  <c:v>4622.27567</c:v>
                </c:pt>
                <c:pt idx="21">
                  <c:v>4618.1843399999998</c:v>
                </c:pt>
                <c:pt idx="22">
                  <c:v>4612.5639000000001</c:v>
                </c:pt>
                <c:pt idx="23">
                  <c:v>4605.9618600000003</c:v>
                </c:pt>
                <c:pt idx="24">
                  <c:v>4599.3973800000003</c:v>
                </c:pt>
                <c:pt idx="25">
                  <c:v>4593.7296200000001</c:v>
                </c:pt>
                <c:pt idx="26">
                  <c:v>4589.5883400000002</c:v>
                </c:pt>
                <c:pt idx="27">
                  <c:v>4587.7102100000002</c:v>
                </c:pt>
                <c:pt idx="28">
                  <c:v>4588.3168400000004</c:v>
                </c:pt>
                <c:pt idx="29">
                  <c:v>4591.47102</c:v>
                </c:pt>
                <c:pt idx="30">
                  <c:v>4596.8587500000003</c:v>
                </c:pt>
                <c:pt idx="31">
                  <c:v>4603.9754400000002</c:v>
                </c:pt>
                <c:pt idx="32">
                  <c:v>4612.5609199999999</c:v>
                </c:pt>
                <c:pt idx="33">
                  <c:v>4621.7490299999999</c:v>
                </c:pt>
                <c:pt idx="34">
                  <c:v>4630.2641400000002</c:v>
                </c:pt>
                <c:pt idx="35">
                  <c:v>4637.8590899999999</c:v>
                </c:pt>
                <c:pt idx="36">
                  <c:v>4644.39779</c:v>
                </c:pt>
                <c:pt idx="37">
                  <c:v>4650.2838199999997</c:v>
                </c:pt>
                <c:pt idx="38">
                  <c:v>4655.8185400000002</c:v>
                </c:pt>
                <c:pt idx="39">
                  <c:v>4661.4185500000003</c:v>
                </c:pt>
                <c:pt idx="40">
                  <c:v>4666.97858</c:v>
                </c:pt>
                <c:pt idx="41">
                  <c:v>4672.1593700000003</c:v>
                </c:pt>
                <c:pt idx="42">
                  <c:v>4677.0682500000003</c:v>
                </c:pt>
                <c:pt idx="43">
                  <c:v>4681.2691500000001</c:v>
                </c:pt>
                <c:pt idx="44">
                  <c:v>4683.9654399999999</c:v>
                </c:pt>
                <c:pt idx="45">
                  <c:v>4684.7864799999998</c:v>
                </c:pt>
                <c:pt idx="46">
                  <c:v>4684.08518</c:v>
                </c:pt>
                <c:pt idx="47">
                  <c:v>4682.0227100000002</c:v>
                </c:pt>
                <c:pt idx="48">
                  <c:v>4679.1108100000001</c:v>
                </c:pt>
                <c:pt idx="49">
                  <c:v>4675.8693700000003</c:v>
                </c:pt>
                <c:pt idx="50">
                  <c:v>4673.0270499999997</c:v>
                </c:pt>
                <c:pt idx="51">
                  <c:v>4670.8543600000003</c:v>
                </c:pt>
                <c:pt idx="52">
                  <c:v>4669.4333800000004</c:v>
                </c:pt>
                <c:pt idx="53">
                  <c:v>4668.8660399999999</c:v>
                </c:pt>
                <c:pt idx="54">
                  <c:v>4668.5552200000002</c:v>
                </c:pt>
                <c:pt idx="55">
                  <c:v>4668.0051899999999</c:v>
                </c:pt>
                <c:pt idx="56">
                  <c:v>4666.9658200000003</c:v>
                </c:pt>
                <c:pt idx="57">
                  <c:v>4665.3455999999996</c:v>
                </c:pt>
                <c:pt idx="58">
                  <c:v>4663.26865</c:v>
                </c:pt>
                <c:pt idx="59">
                  <c:v>4660.7842199999996</c:v>
                </c:pt>
                <c:pt idx="60">
                  <c:v>4658.1377499999999</c:v>
                </c:pt>
                <c:pt idx="61">
                  <c:v>4655.6156799999999</c:v>
                </c:pt>
                <c:pt idx="62">
                  <c:v>4653.6525600000004</c:v>
                </c:pt>
                <c:pt idx="63">
                  <c:v>4652.5617700000003</c:v>
                </c:pt>
                <c:pt idx="64">
                  <c:v>4652.6239599999999</c:v>
                </c:pt>
                <c:pt idx="65">
                  <c:v>4653.6658200000002</c:v>
                </c:pt>
                <c:pt idx="66">
                  <c:v>4655.5101000000004</c:v>
                </c:pt>
                <c:pt idx="67">
                  <c:v>4657.6951799999997</c:v>
                </c:pt>
                <c:pt idx="68">
                  <c:v>4659.7843700000003</c:v>
                </c:pt>
                <c:pt idx="69">
                  <c:v>4661.6768700000002</c:v>
                </c:pt>
                <c:pt idx="70">
                  <c:v>4663.1294099999996</c:v>
                </c:pt>
                <c:pt idx="71">
                  <c:v>4663.89066</c:v>
                </c:pt>
                <c:pt idx="72">
                  <c:v>4664.0563400000001</c:v>
                </c:pt>
                <c:pt idx="73">
                  <c:v>4663.5222599999997</c:v>
                </c:pt>
                <c:pt idx="74">
                  <c:v>4662.3518000000004</c:v>
                </c:pt>
                <c:pt idx="75">
                  <c:v>4660.6304799999998</c:v>
                </c:pt>
                <c:pt idx="76">
                  <c:v>4658.5893999999998</c:v>
                </c:pt>
                <c:pt idx="77">
                  <c:v>4656.3872799999999</c:v>
                </c:pt>
                <c:pt idx="78">
                  <c:v>4654.5321800000002</c:v>
                </c:pt>
                <c:pt idx="79">
                  <c:v>4653.1576500000001</c:v>
                </c:pt>
                <c:pt idx="80">
                  <c:v>4652.2639600000002</c:v>
                </c:pt>
                <c:pt idx="81">
                  <c:v>4651.6855699999996</c:v>
                </c:pt>
                <c:pt idx="82">
                  <c:v>4651.5974399999996</c:v>
                </c:pt>
                <c:pt idx="83">
                  <c:v>4651.78503</c:v>
                </c:pt>
                <c:pt idx="84">
                  <c:v>4652.1148599999997</c:v>
                </c:pt>
                <c:pt idx="85">
                  <c:v>4652.3671299999996</c:v>
                </c:pt>
                <c:pt idx="86">
                  <c:v>4652.4976800000004</c:v>
                </c:pt>
                <c:pt idx="87">
                  <c:v>4652.7302499999996</c:v>
                </c:pt>
                <c:pt idx="88">
                  <c:v>4653.2952100000002</c:v>
                </c:pt>
                <c:pt idx="89">
                  <c:v>4654.4870199999996</c:v>
                </c:pt>
                <c:pt idx="90">
                  <c:v>4656.4993599999998</c:v>
                </c:pt>
                <c:pt idx="91">
                  <c:v>4659.2308300000004</c:v>
                </c:pt>
                <c:pt idx="92">
                  <c:v>4662.6220999999996</c:v>
                </c:pt>
                <c:pt idx="93">
                  <c:v>4666.2030999999997</c:v>
                </c:pt>
                <c:pt idx="94">
                  <c:v>4669.4146300000002</c:v>
                </c:pt>
                <c:pt idx="95">
                  <c:v>4671.8973100000003</c:v>
                </c:pt>
                <c:pt idx="96">
                  <c:v>4673.3915900000002</c:v>
                </c:pt>
                <c:pt idx="97">
                  <c:v>4673.7091399999999</c:v>
                </c:pt>
                <c:pt idx="98">
                  <c:v>4672.7949099999996</c:v>
                </c:pt>
                <c:pt idx="99">
                  <c:v>4671.1528900000003</c:v>
                </c:pt>
                <c:pt idx="100">
                  <c:v>4669.3785699999999</c:v>
                </c:pt>
                <c:pt idx="101">
                  <c:v>4667.8582800000004</c:v>
                </c:pt>
                <c:pt idx="102">
                  <c:v>4667.0895899999996</c:v>
                </c:pt>
                <c:pt idx="103">
                  <c:v>4667.2079199999998</c:v>
                </c:pt>
                <c:pt idx="104">
                  <c:v>4668.07942</c:v>
                </c:pt>
                <c:pt idx="105">
                  <c:v>4669.36355</c:v>
                </c:pt>
                <c:pt idx="106">
                  <c:v>4670.64185</c:v>
                </c:pt>
                <c:pt idx="107">
                  <c:v>4671.4776499999998</c:v>
                </c:pt>
                <c:pt idx="108">
                  <c:v>4671.8812099999996</c:v>
                </c:pt>
                <c:pt idx="109">
                  <c:v>4671.8416699999998</c:v>
                </c:pt>
                <c:pt idx="110">
                  <c:v>4671.58878</c:v>
                </c:pt>
                <c:pt idx="111">
                  <c:v>4671.3736200000003</c:v>
                </c:pt>
                <c:pt idx="112">
                  <c:v>4671.4971699999996</c:v>
                </c:pt>
                <c:pt idx="113">
                  <c:v>4671.9441500000003</c:v>
                </c:pt>
                <c:pt idx="114">
                  <c:v>4672.3939399999999</c:v>
                </c:pt>
                <c:pt idx="115">
                  <c:v>4672.23027</c:v>
                </c:pt>
                <c:pt idx="116">
                  <c:v>4670.94895</c:v>
                </c:pt>
                <c:pt idx="117">
                  <c:v>4668.19722</c:v>
                </c:pt>
                <c:pt idx="118">
                  <c:v>4663.7628100000002</c:v>
                </c:pt>
                <c:pt idx="119">
                  <c:v>4657.7479999999996</c:v>
                </c:pt>
                <c:pt idx="120">
                  <c:v>4650.5617499999998</c:v>
                </c:pt>
                <c:pt idx="121">
                  <c:v>4643.8998199999996</c:v>
                </c:pt>
                <c:pt idx="122">
                  <c:v>4638.5802299999996</c:v>
                </c:pt>
                <c:pt idx="123">
                  <c:v>4635.1809899999998</c:v>
                </c:pt>
                <c:pt idx="124">
                  <c:v>4633.7358199999999</c:v>
                </c:pt>
                <c:pt idx="125">
                  <c:v>4633.9632600000004</c:v>
                </c:pt>
                <c:pt idx="126">
                  <c:v>4635.5799699999998</c:v>
                </c:pt>
                <c:pt idx="127">
                  <c:v>4637.9731099999999</c:v>
                </c:pt>
                <c:pt idx="128">
                  <c:v>4640.2075999999997</c:v>
                </c:pt>
                <c:pt idx="129">
                  <c:v>4641.5893400000004</c:v>
                </c:pt>
                <c:pt idx="130">
                  <c:v>4641.6517299999996</c:v>
                </c:pt>
                <c:pt idx="131">
                  <c:v>4640.4489199999998</c:v>
                </c:pt>
                <c:pt idx="132">
                  <c:v>4637.5130099999997</c:v>
                </c:pt>
                <c:pt idx="133">
                  <c:v>4633.2935900000002</c:v>
                </c:pt>
                <c:pt idx="134">
                  <c:v>4628.3430799999996</c:v>
                </c:pt>
                <c:pt idx="135">
                  <c:v>4623.1102499999997</c:v>
                </c:pt>
                <c:pt idx="136">
                  <c:v>4618.3136800000002</c:v>
                </c:pt>
                <c:pt idx="137">
                  <c:v>4614.5224099999996</c:v>
                </c:pt>
                <c:pt idx="138">
                  <c:v>4612.2961999999998</c:v>
                </c:pt>
                <c:pt idx="139">
                  <c:v>4611.5436499999996</c:v>
                </c:pt>
                <c:pt idx="140">
                  <c:v>4612.1248800000003</c:v>
                </c:pt>
                <c:pt idx="141">
                  <c:v>4613.8474200000001</c:v>
                </c:pt>
                <c:pt idx="142">
                  <c:v>4616.0218000000004</c:v>
                </c:pt>
                <c:pt idx="143">
                  <c:v>4618.0248499999998</c:v>
                </c:pt>
                <c:pt idx="144">
                  <c:v>4619.5503399999998</c:v>
                </c:pt>
                <c:pt idx="145">
                  <c:v>4619.9449699999996</c:v>
                </c:pt>
                <c:pt idx="146">
                  <c:v>4619.1158100000002</c:v>
                </c:pt>
                <c:pt idx="147">
                  <c:v>4617.1842200000001</c:v>
                </c:pt>
                <c:pt idx="148">
                  <c:v>4614.8605200000002</c:v>
                </c:pt>
                <c:pt idx="149">
                  <c:v>4612.6509699999997</c:v>
                </c:pt>
                <c:pt idx="150">
                  <c:v>4611.4684500000003</c:v>
                </c:pt>
                <c:pt idx="151">
                  <c:v>4611.6755800000001</c:v>
                </c:pt>
                <c:pt idx="152">
                  <c:v>4613.46515</c:v>
                </c:pt>
                <c:pt idx="153">
                  <c:v>4616.5817100000004</c:v>
                </c:pt>
                <c:pt idx="154">
                  <c:v>4620.7816700000003</c:v>
                </c:pt>
                <c:pt idx="155">
                  <c:v>4625.5099200000004</c:v>
                </c:pt>
                <c:pt idx="156">
                  <c:v>4630.1856200000002</c:v>
                </c:pt>
                <c:pt idx="157">
                  <c:v>4634.0378199999996</c:v>
                </c:pt>
                <c:pt idx="158">
                  <c:v>4636.4624100000001</c:v>
                </c:pt>
                <c:pt idx="159">
                  <c:v>4637.13555</c:v>
                </c:pt>
                <c:pt idx="160">
                  <c:v>4636.5198600000003</c:v>
                </c:pt>
                <c:pt idx="161">
                  <c:v>4634.6832100000001</c:v>
                </c:pt>
                <c:pt idx="162">
                  <c:v>4631.8258999999998</c:v>
                </c:pt>
                <c:pt idx="163">
                  <c:v>4628.8602799999999</c:v>
                </c:pt>
                <c:pt idx="164">
                  <c:v>4626.3064599999998</c:v>
                </c:pt>
                <c:pt idx="165">
                  <c:v>4624.9736000000003</c:v>
                </c:pt>
                <c:pt idx="166">
                  <c:v>4625.4562400000004</c:v>
                </c:pt>
                <c:pt idx="167">
                  <c:v>4627.8990000000003</c:v>
                </c:pt>
                <c:pt idx="168">
                  <c:v>4632.2258899999997</c:v>
                </c:pt>
                <c:pt idx="169">
                  <c:v>4637.9561000000003</c:v>
                </c:pt>
                <c:pt idx="170">
                  <c:v>4644.42148</c:v>
                </c:pt>
                <c:pt idx="171">
                  <c:v>4650.7967399999998</c:v>
                </c:pt>
                <c:pt idx="172">
                  <c:v>4655.6768199999997</c:v>
                </c:pt>
                <c:pt idx="173">
                  <c:v>4658.5065999999997</c:v>
                </c:pt>
                <c:pt idx="174">
                  <c:v>4659.2057599999998</c:v>
                </c:pt>
                <c:pt idx="175">
                  <c:v>4658.01415</c:v>
                </c:pt>
                <c:pt idx="176">
                  <c:v>4655.2921100000003</c:v>
                </c:pt>
                <c:pt idx="177">
                  <c:v>4651.4528499999997</c:v>
                </c:pt>
                <c:pt idx="178">
                  <c:v>4646.9288800000004</c:v>
                </c:pt>
                <c:pt idx="179">
                  <c:v>4642.1920200000004</c:v>
                </c:pt>
                <c:pt idx="180">
                  <c:v>4637.6893399999999</c:v>
                </c:pt>
                <c:pt idx="181">
                  <c:v>4634.0024899999999</c:v>
                </c:pt>
                <c:pt idx="182">
                  <c:v>4631.3245500000003</c:v>
                </c:pt>
                <c:pt idx="183">
                  <c:v>4629.6078399999997</c:v>
                </c:pt>
                <c:pt idx="184">
                  <c:v>4628.9139699999996</c:v>
                </c:pt>
                <c:pt idx="185">
                  <c:v>4629.0318500000003</c:v>
                </c:pt>
                <c:pt idx="186">
                  <c:v>4629.9035999999996</c:v>
                </c:pt>
                <c:pt idx="187">
                  <c:v>4631.4120599999997</c:v>
                </c:pt>
                <c:pt idx="188">
                  <c:v>4633.491</c:v>
                </c:pt>
                <c:pt idx="189">
                  <c:v>4635.9068399999996</c:v>
                </c:pt>
                <c:pt idx="190">
                  <c:v>4638.4679800000004</c:v>
                </c:pt>
                <c:pt idx="191">
                  <c:v>4640.9539800000002</c:v>
                </c:pt>
                <c:pt idx="192">
                  <c:v>4643.0348299999996</c:v>
                </c:pt>
                <c:pt idx="193">
                  <c:v>4644.3952799999997</c:v>
                </c:pt>
                <c:pt idx="194">
                  <c:v>4645.0585899999996</c:v>
                </c:pt>
                <c:pt idx="195">
                  <c:v>4645.2500600000003</c:v>
                </c:pt>
                <c:pt idx="196">
                  <c:v>4645.2378600000002</c:v>
                </c:pt>
                <c:pt idx="197">
                  <c:v>4645.3946699999997</c:v>
                </c:pt>
                <c:pt idx="198">
                  <c:v>4645.9677099999999</c:v>
                </c:pt>
                <c:pt idx="199">
                  <c:v>4647.2563200000004</c:v>
                </c:pt>
                <c:pt idx="200">
                  <c:v>4649.5038400000003</c:v>
                </c:pt>
                <c:pt idx="201">
                  <c:v>4652.7633599999999</c:v>
                </c:pt>
                <c:pt idx="202">
                  <c:v>4656.80195</c:v>
                </c:pt>
                <c:pt idx="203">
                  <c:v>4661.2241800000002</c:v>
                </c:pt>
                <c:pt idx="204">
                  <c:v>4665.5538399999996</c:v>
                </c:pt>
                <c:pt idx="205">
                  <c:v>4669.2755800000004</c:v>
                </c:pt>
                <c:pt idx="206">
                  <c:v>4671.83583</c:v>
                </c:pt>
                <c:pt idx="207">
                  <c:v>4672.9606700000004</c:v>
                </c:pt>
                <c:pt idx="208">
                  <c:v>4672.5544099999997</c:v>
                </c:pt>
                <c:pt idx="209">
                  <c:v>4670.9160599999996</c:v>
                </c:pt>
                <c:pt idx="210">
                  <c:v>4668.5599499999998</c:v>
                </c:pt>
                <c:pt idx="211">
                  <c:v>4665.8797699999996</c:v>
                </c:pt>
                <c:pt idx="212">
                  <c:v>4663.2718400000003</c:v>
                </c:pt>
                <c:pt idx="213">
                  <c:v>4661.0600400000003</c:v>
                </c:pt>
                <c:pt idx="214">
                  <c:v>4659.3645399999996</c:v>
                </c:pt>
                <c:pt idx="215">
                  <c:v>4657.9566500000001</c:v>
                </c:pt>
                <c:pt idx="216">
                  <c:v>4657.1085499999999</c:v>
                </c:pt>
                <c:pt idx="217">
                  <c:v>4656.6921899999998</c:v>
                </c:pt>
                <c:pt idx="218">
                  <c:v>4656.4790400000002</c:v>
                </c:pt>
                <c:pt idx="219">
                  <c:v>4656.3561799999998</c:v>
                </c:pt>
                <c:pt idx="220">
                  <c:v>4656.4112100000002</c:v>
                </c:pt>
                <c:pt idx="221">
                  <c:v>4656.8074699999997</c:v>
                </c:pt>
                <c:pt idx="222">
                  <c:v>4657.4952800000001</c:v>
                </c:pt>
                <c:pt idx="223">
                  <c:v>4658.3523100000002</c:v>
                </c:pt>
                <c:pt idx="224">
                  <c:v>4659.268</c:v>
                </c:pt>
                <c:pt idx="225">
                  <c:v>4659.9482699999999</c:v>
                </c:pt>
                <c:pt idx="226">
                  <c:v>4660.0743899999998</c:v>
                </c:pt>
                <c:pt idx="227">
                  <c:v>4659.2762700000003</c:v>
                </c:pt>
                <c:pt idx="228">
                  <c:v>4657.4237199999998</c:v>
                </c:pt>
                <c:pt idx="229">
                  <c:v>4654.92598</c:v>
                </c:pt>
                <c:pt idx="230">
                  <c:v>4652.32143</c:v>
                </c:pt>
                <c:pt idx="231">
                  <c:v>4650.32557</c:v>
                </c:pt>
                <c:pt idx="232">
                  <c:v>4649.6109999999999</c:v>
                </c:pt>
                <c:pt idx="233">
                  <c:v>4650.7550899999997</c:v>
                </c:pt>
                <c:pt idx="234">
                  <c:v>4653.8248599999997</c:v>
                </c:pt>
                <c:pt idx="235">
                  <c:v>4658.6531999999997</c:v>
                </c:pt>
                <c:pt idx="236">
                  <c:v>4664.7699199999997</c:v>
                </c:pt>
                <c:pt idx="237">
                  <c:v>4671.4318000000003</c:v>
                </c:pt>
                <c:pt idx="238">
                  <c:v>4677.8278200000004</c:v>
                </c:pt>
                <c:pt idx="239">
                  <c:v>4683.2451199999996</c:v>
                </c:pt>
                <c:pt idx="240">
                  <c:v>4687.2897899999998</c:v>
                </c:pt>
                <c:pt idx="241">
                  <c:v>4689.7232199999999</c:v>
                </c:pt>
                <c:pt idx="242">
                  <c:v>4691.0088100000003</c:v>
                </c:pt>
                <c:pt idx="243">
                  <c:v>4691.4169899999997</c:v>
                </c:pt>
                <c:pt idx="244">
                  <c:v>4691.4688999999998</c:v>
                </c:pt>
                <c:pt idx="245">
                  <c:v>4691.3987800000004</c:v>
                </c:pt>
                <c:pt idx="246">
                  <c:v>4691.55789</c:v>
                </c:pt>
                <c:pt idx="247">
                  <c:v>4692.0177100000001</c:v>
                </c:pt>
                <c:pt idx="248">
                  <c:v>4692.9095699999998</c:v>
                </c:pt>
                <c:pt idx="249">
                  <c:v>4694.0968300000004</c:v>
                </c:pt>
                <c:pt idx="250">
                  <c:v>4695.3877300000004</c:v>
                </c:pt>
                <c:pt idx="251">
                  <c:v>4696.7752499999997</c:v>
                </c:pt>
                <c:pt idx="252">
                  <c:v>4698.1577200000002</c:v>
                </c:pt>
                <c:pt idx="253">
                  <c:v>4699.4322700000002</c:v>
                </c:pt>
                <c:pt idx="254">
                  <c:v>4700.5935300000001</c:v>
                </c:pt>
                <c:pt idx="255">
                  <c:v>4701.5826100000004</c:v>
                </c:pt>
                <c:pt idx="256">
                  <c:v>4702.3832499999999</c:v>
                </c:pt>
                <c:pt idx="257">
                  <c:v>4702.8756899999998</c:v>
                </c:pt>
                <c:pt idx="258">
                  <c:v>4702.9218099999998</c:v>
                </c:pt>
                <c:pt idx="259">
                  <c:v>4702.4012199999997</c:v>
                </c:pt>
                <c:pt idx="260">
                  <c:v>4701.2940399999998</c:v>
                </c:pt>
                <c:pt idx="261">
                  <c:v>4699.6202300000004</c:v>
                </c:pt>
                <c:pt idx="262">
                  <c:v>4697.5598900000005</c:v>
                </c:pt>
                <c:pt idx="263">
                  <c:v>4695.4690799999998</c:v>
                </c:pt>
                <c:pt idx="264">
                  <c:v>4693.5226499999999</c:v>
                </c:pt>
                <c:pt idx="265">
                  <c:v>4691.77819</c:v>
                </c:pt>
                <c:pt idx="266">
                  <c:v>4690.4735499999997</c:v>
                </c:pt>
                <c:pt idx="267">
                  <c:v>4689.8444</c:v>
                </c:pt>
                <c:pt idx="268">
                  <c:v>4689.76793</c:v>
                </c:pt>
                <c:pt idx="269">
                  <c:v>4690.1644800000004</c:v>
                </c:pt>
                <c:pt idx="270">
                  <c:v>4690.8590899999999</c:v>
                </c:pt>
                <c:pt idx="271">
                  <c:v>4691.6565099999998</c:v>
                </c:pt>
                <c:pt idx="272">
                  <c:v>4692.3330800000003</c:v>
                </c:pt>
                <c:pt idx="273">
                  <c:v>4692.6537500000004</c:v>
                </c:pt>
                <c:pt idx="274">
                  <c:v>4692.6391199999998</c:v>
                </c:pt>
                <c:pt idx="275">
                  <c:v>4692.3270899999998</c:v>
                </c:pt>
                <c:pt idx="276">
                  <c:v>4691.82917</c:v>
                </c:pt>
                <c:pt idx="277">
                  <c:v>4691.16428</c:v>
                </c:pt>
                <c:pt idx="278">
                  <c:v>4690.4626799999996</c:v>
                </c:pt>
                <c:pt idx="279">
                  <c:v>4689.89275</c:v>
                </c:pt>
                <c:pt idx="280">
                  <c:v>4689.4188199999999</c:v>
                </c:pt>
                <c:pt idx="281">
                  <c:v>4689.0505300000004</c:v>
                </c:pt>
                <c:pt idx="282">
                  <c:v>4688.6322899999996</c:v>
                </c:pt>
                <c:pt idx="283">
                  <c:v>4687.9613200000003</c:v>
                </c:pt>
                <c:pt idx="284">
                  <c:v>4686.8371299999999</c:v>
                </c:pt>
                <c:pt idx="285">
                  <c:v>4685.2211399999997</c:v>
                </c:pt>
                <c:pt idx="286">
                  <c:v>4683.1106499999996</c:v>
                </c:pt>
                <c:pt idx="287">
                  <c:v>4680.5565699999997</c:v>
                </c:pt>
                <c:pt idx="288">
                  <c:v>4677.86985</c:v>
                </c:pt>
                <c:pt idx="289">
                  <c:v>4675.1975300000004</c:v>
                </c:pt>
                <c:pt idx="290">
                  <c:v>4672.9005999999999</c:v>
                </c:pt>
                <c:pt idx="291">
                  <c:v>4671.3973900000001</c:v>
                </c:pt>
                <c:pt idx="292">
                  <c:v>4670.8042100000002</c:v>
                </c:pt>
                <c:pt idx="293">
                  <c:v>4671.2931500000004</c:v>
                </c:pt>
                <c:pt idx="294">
                  <c:v>4672.5688499999997</c:v>
                </c:pt>
                <c:pt idx="295">
                  <c:v>4674.0585099999998</c:v>
                </c:pt>
                <c:pt idx="296">
                  <c:v>4675.2919300000003</c:v>
                </c:pt>
                <c:pt idx="297">
                  <c:v>4675.9373800000003</c:v>
                </c:pt>
                <c:pt idx="298">
                  <c:v>4675.7582000000002</c:v>
                </c:pt>
                <c:pt idx="299">
                  <c:v>4674.8075500000004</c:v>
                </c:pt>
                <c:pt idx="300">
                  <c:v>4673.2965899999999</c:v>
                </c:pt>
                <c:pt idx="301">
                  <c:v>4671.61852</c:v>
                </c:pt>
                <c:pt idx="302">
                  <c:v>4670.1296000000002</c:v>
                </c:pt>
                <c:pt idx="303">
                  <c:v>4669.0914700000003</c:v>
                </c:pt>
                <c:pt idx="304">
                  <c:v>4668.7197800000004</c:v>
                </c:pt>
                <c:pt idx="305">
                  <c:v>4668.7543999999998</c:v>
                </c:pt>
                <c:pt idx="306">
                  <c:v>4669.1678099999999</c:v>
                </c:pt>
                <c:pt idx="307">
                  <c:v>4669.7300500000001</c:v>
                </c:pt>
                <c:pt idx="308">
                  <c:v>4670.2642699999997</c:v>
                </c:pt>
                <c:pt idx="309">
                  <c:v>4670.9603299999999</c:v>
                </c:pt>
                <c:pt idx="310">
                  <c:v>4671.9072800000004</c:v>
                </c:pt>
                <c:pt idx="311">
                  <c:v>4672.8588900000004</c:v>
                </c:pt>
                <c:pt idx="312">
                  <c:v>4673.9619700000003</c:v>
                </c:pt>
                <c:pt idx="313">
                  <c:v>4675.6383599999999</c:v>
                </c:pt>
                <c:pt idx="314">
                  <c:v>4677.9144399999996</c:v>
                </c:pt>
                <c:pt idx="315">
                  <c:v>4680.6353399999998</c:v>
                </c:pt>
                <c:pt idx="316">
                  <c:v>4683.2819399999998</c:v>
                </c:pt>
                <c:pt idx="317">
                  <c:v>4685.4453400000002</c:v>
                </c:pt>
                <c:pt idx="318">
                  <c:v>4686.7866000000004</c:v>
                </c:pt>
                <c:pt idx="319">
                  <c:v>4686.9125599999998</c:v>
                </c:pt>
                <c:pt idx="320">
                  <c:v>4685.9123</c:v>
                </c:pt>
                <c:pt idx="321">
                  <c:v>4683.8444</c:v>
                </c:pt>
                <c:pt idx="322">
                  <c:v>4681.0257099999999</c:v>
                </c:pt>
                <c:pt idx="323">
                  <c:v>4677.5671899999998</c:v>
                </c:pt>
                <c:pt idx="324">
                  <c:v>4673.8274300000003</c:v>
                </c:pt>
                <c:pt idx="325">
                  <c:v>4670.3488299999999</c:v>
                </c:pt>
                <c:pt idx="326">
                  <c:v>4667.4575800000002</c:v>
                </c:pt>
                <c:pt idx="327">
                  <c:v>4665.3791499999998</c:v>
                </c:pt>
                <c:pt idx="328">
                  <c:v>4663.9809999999998</c:v>
                </c:pt>
                <c:pt idx="329">
                  <c:v>4663.1682199999996</c:v>
                </c:pt>
                <c:pt idx="330">
                  <c:v>4662.7752700000001</c:v>
                </c:pt>
                <c:pt idx="331">
                  <c:v>4662.6941699999998</c:v>
                </c:pt>
                <c:pt idx="332">
                  <c:v>4663.1391000000003</c:v>
                </c:pt>
                <c:pt idx="333">
                  <c:v>4663.8846999999996</c:v>
                </c:pt>
                <c:pt idx="334">
                  <c:v>4664.7646800000002</c:v>
                </c:pt>
                <c:pt idx="335">
                  <c:v>4665.6655700000001</c:v>
                </c:pt>
                <c:pt idx="336">
                  <c:v>4666.48045</c:v>
                </c:pt>
                <c:pt idx="337">
                  <c:v>4667.1881000000003</c:v>
                </c:pt>
                <c:pt idx="338">
                  <c:v>4667.8014400000002</c:v>
                </c:pt>
                <c:pt idx="339">
                  <c:v>4668.0696699999999</c:v>
                </c:pt>
                <c:pt idx="340">
                  <c:v>4667.95784</c:v>
                </c:pt>
                <c:pt idx="341">
                  <c:v>4667.4089899999999</c:v>
                </c:pt>
                <c:pt idx="342">
                  <c:v>4666.4958999999999</c:v>
                </c:pt>
                <c:pt idx="343">
                  <c:v>4665.2749199999998</c:v>
                </c:pt>
                <c:pt idx="344">
                  <c:v>4663.9276300000001</c:v>
                </c:pt>
                <c:pt idx="345">
                  <c:v>4662.60653</c:v>
                </c:pt>
                <c:pt idx="346">
                  <c:v>4661.3651499999996</c:v>
                </c:pt>
                <c:pt idx="347">
                  <c:v>4660.32521</c:v>
                </c:pt>
                <c:pt idx="348">
                  <c:v>4659.5567600000004</c:v>
                </c:pt>
                <c:pt idx="349">
                  <c:v>4659.0348000000004</c:v>
                </c:pt>
                <c:pt idx="350">
                  <c:v>4658.6833999999999</c:v>
                </c:pt>
                <c:pt idx="351">
                  <c:v>4658.4777599999998</c:v>
                </c:pt>
                <c:pt idx="352">
                  <c:v>4658.1496299999999</c:v>
                </c:pt>
                <c:pt idx="353">
                  <c:v>4657.6184599999997</c:v>
                </c:pt>
                <c:pt idx="354">
                  <c:v>4656.98398</c:v>
                </c:pt>
                <c:pt idx="355">
                  <c:v>4656.2706200000002</c:v>
                </c:pt>
                <c:pt idx="356">
                  <c:v>4655.6137799999997</c:v>
                </c:pt>
                <c:pt idx="357">
                  <c:v>4655.2493400000003</c:v>
                </c:pt>
                <c:pt idx="358">
                  <c:v>4655.3725999999997</c:v>
                </c:pt>
                <c:pt idx="359">
                  <c:v>4655.9016499999998</c:v>
                </c:pt>
                <c:pt idx="360">
                  <c:v>4656.7877600000002</c:v>
                </c:pt>
                <c:pt idx="361">
                  <c:v>4657.85905</c:v>
                </c:pt>
                <c:pt idx="362">
                  <c:v>4658.7716499999997</c:v>
                </c:pt>
                <c:pt idx="363">
                  <c:v>4659.28035</c:v>
                </c:pt>
                <c:pt idx="364">
                  <c:v>4659.1694699999998</c:v>
                </c:pt>
                <c:pt idx="365">
                  <c:v>4658.4362899999996</c:v>
                </c:pt>
                <c:pt idx="366">
                  <c:v>4657.2427900000002</c:v>
                </c:pt>
                <c:pt idx="367">
                  <c:v>4655.7980200000002</c:v>
                </c:pt>
                <c:pt idx="368">
                  <c:v>4654.5413500000004</c:v>
                </c:pt>
                <c:pt idx="369">
                  <c:v>4653.5935099999997</c:v>
                </c:pt>
                <c:pt idx="370">
                  <c:v>4652.9905500000004</c:v>
                </c:pt>
                <c:pt idx="371">
                  <c:v>4652.6651300000003</c:v>
                </c:pt>
                <c:pt idx="372">
                  <c:v>4652.32287</c:v>
                </c:pt>
                <c:pt idx="373">
                  <c:v>4651.8481899999997</c:v>
                </c:pt>
                <c:pt idx="374">
                  <c:v>4651.3575199999996</c:v>
                </c:pt>
                <c:pt idx="375">
                  <c:v>4650.8649599999999</c:v>
                </c:pt>
                <c:pt idx="376">
                  <c:v>4650.4910600000003</c:v>
                </c:pt>
                <c:pt idx="377">
                  <c:v>4650.3474399999996</c:v>
                </c:pt>
                <c:pt idx="378">
                  <c:v>4650.4634400000004</c:v>
                </c:pt>
                <c:pt idx="379">
                  <c:v>4650.8965699999999</c:v>
                </c:pt>
                <c:pt idx="380">
                  <c:v>4651.7039000000004</c:v>
                </c:pt>
                <c:pt idx="381">
                  <c:v>4652.8321299999998</c:v>
                </c:pt>
                <c:pt idx="382">
                  <c:v>4654.0720600000004</c:v>
                </c:pt>
                <c:pt idx="383">
                  <c:v>4655.2972399999999</c:v>
                </c:pt>
                <c:pt idx="384">
                  <c:v>4656.2939100000003</c:v>
                </c:pt>
                <c:pt idx="385">
                  <c:v>4656.8952099999997</c:v>
                </c:pt>
                <c:pt idx="386">
                  <c:v>4657.0463300000001</c:v>
                </c:pt>
                <c:pt idx="387">
                  <c:v>4656.6307399999996</c:v>
                </c:pt>
                <c:pt idx="388">
                  <c:v>4655.7565500000001</c:v>
                </c:pt>
                <c:pt idx="389">
                  <c:v>4654.62889</c:v>
                </c:pt>
                <c:pt idx="390">
                  <c:v>4653.5383400000001</c:v>
                </c:pt>
                <c:pt idx="391">
                  <c:v>4652.7583400000003</c:v>
                </c:pt>
                <c:pt idx="392">
                  <c:v>4652.6294200000002</c:v>
                </c:pt>
                <c:pt idx="393">
                  <c:v>4653.2496000000001</c:v>
                </c:pt>
                <c:pt idx="394">
                  <c:v>4654.6657100000002</c:v>
                </c:pt>
                <c:pt idx="395">
                  <c:v>4656.67058</c:v>
                </c:pt>
                <c:pt idx="396">
                  <c:v>4659.0190899999998</c:v>
                </c:pt>
                <c:pt idx="397">
                  <c:v>4661.1002900000003</c:v>
                </c:pt>
                <c:pt idx="398">
                  <c:v>4662.5143399999997</c:v>
                </c:pt>
                <c:pt idx="399">
                  <c:v>4663.2135399999997</c:v>
                </c:pt>
                <c:pt idx="400">
                  <c:v>4663.1814299999996</c:v>
                </c:pt>
                <c:pt idx="401">
                  <c:v>4662.6431599999996</c:v>
                </c:pt>
                <c:pt idx="402">
                  <c:v>4661.7600400000001</c:v>
                </c:pt>
                <c:pt idx="403">
                  <c:v>4660.7992999999997</c:v>
                </c:pt>
                <c:pt idx="404">
                  <c:v>4659.96389</c:v>
                </c:pt>
                <c:pt idx="405">
                  <c:v>4659.38328</c:v>
                </c:pt>
                <c:pt idx="406">
                  <c:v>4658.9925899999998</c:v>
                </c:pt>
                <c:pt idx="407">
                  <c:v>4658.7952100000002</c:v>
                </c:pt>
                <c:pt idx="408">
                  <c:v>4658.6447900000003</c:v>
                </c:pt>
                <c:pt idx="409">
                  <c:v>4658.3919100000003</c:v>
                </c:pt>
                <c:pt idx="410">
                  <c:v>4657.9663700000001</c:v>
                </c:pt>
                <c:pt idx="411">
                  <c:v>4657.36301</c:v>
                </c:pt>
                <c:pt idx="412">
                  <c:v>4656.6836199999998</c:v>
                </c:pt>
                <c:pt idx="413">
                  <c:v>4656.1345799999999</c:v>
                </c:pt>
                <c:pt idx="414">
                  <c:v>4655.7560400000002</c:v>
                </c:pt>
                <c:pt idx="415">
                  <c:v>4655.5821599999999</c:v>
                </c:pt>
                <c:pt idx="416">
                  <c:v>4655.57521</c:v>
                </c:pt>
                <c:pt idx="417">
                  <c:v>4655.7082499999997</c:v>
                </c:pt>
                <c:pt idx="418">
                  <c:v>4655.9291800000001</c:v>
                </c:pt>
                <c:pt idx="419">
                  <c:v>4656.1626999999999</c:v>
                </c:pt>
                <c:pt idx="420">
                  <c:v>4656.4670699999997</c:v>
                </c:pt>
                <c:pt idx="421">
                  <c:v>4656.9921100000001</c:v>
                </c:pt>
                <c:pt idx="422">
                  <c:v>4657.78586</c:v>
                </c:pt>
                <c:pt idx="423">
                  <c:v>4658.6952600000004</c:v>
                </c:pt>
                <c:pt idx="424">
                  <c:v>4659.5822799999996</c:v>
                </c:pt>
                <c:pt idx="425">
                  <c:v>4660.2746299999999</c:v>
                </c:pt>
                <c:pt idx="426">
                  <c:v>4660.6069500000003</c:v>
                </c:pt>
                <c:pt idx="427">
                  <c:v>4660.3906399999996</c:v>
                </c:pt>
                <c:pt idx="428">
                  <c:v>4659.5775700000004</c:v>
                </c:pt>
                <c:pt idx="429">
                  <c:v>4658.2193299999999</c:v>
                </c:pt>
                <c:pt idx="430">
                  <c:v>4656.5333700000001</c:v>
                </c:pt>
                <c:pt idx="431">
                  <c:v>4654.7712300000003</c:v>
                </c:pt>
                <c:pt idx="432">
                  <c:v>4653.1870900000004</c:v>
                </c:pt>
                <c:pt idx="433">
                  <c:v>4651.7572300000002</c:v>
                </c:pt>
                <c:pt idx="434">
                  <c:v>4650.9205899999997</c:v>
                </c:pt>
                <c:pt idx="435">
                  <c:v>4650.5928400000003</c:v>
                </c:pt>
                <c:pt idx="436">
                  <c:v>4650.17796</c:v>
                </c:pt>
                <c:pt idx="437">
                  <c:v>4649.3176100000001</c:v>
                </c:pt>
                <c:pt idx="438">
                  <c:v>4647.53989</c:v>
                </c:pt>
                <c:pt idx="439">
                  <c:v>4644.5977000000003</c:v>
                </c:pt>
                <c:pt idx="440">
                  <c:v>4640.9912400000003</c:v>
                </c:pt>
                <c:pt idx="441">
                  <c:v>4636.89426</c:v>
                </c:pt>
                <c:pt idx="442">
                  <c:v>4632.8778499999999</c:v>
                </c:pt>
                <c:pt idx="443">
                  <c:v>4629.5489500000003</c:v>
                </c:pt>
                <c:pt idx="444">
                  <c:v>4627.3237099999997</c:v>
                </c:pt>
                <c:pt idx="445">
                  <c:v>4626.4400599999999</c:v>
                </c:pt>
                <c:pt idx="446">
                  <c:v>4626.9356100000005</c:v>
                </c:pt>
                <c:pt idx="447">
                  <c:v>4628.8801899999999</c:v>
                </c:pt>
                <c:pt idx="448">
                  <c:v>4631.9551099999999</c:v>
                </c:pt>
                <c:pt idx="449">
                  <c:v>4635.81639</c:v>
                </c:pt>
                <c:pt idx="450">
                  <c:v>4639.9252399999996</c:v>
                </c:pt>
                <c:pt idx="451">
                  <c:v>4643.7705100000003</c:v>
                </c:pt>
                <c:pt idx="452">
                  <c:v>4646.8734299999996</c:v>
                </c:pt>
                <c:pt idx="453">
                  <c:v>4648.8921899999996</c:v>
                </c:pt>
                <c:pt idx="454">
                  <c:v>4649.6400899999999</c:v>
                </c:pt>
                <c:pt idx="455">
                  <c:v>4649.2686400000002</c:v>
                </c:pt>
                <c:pt idx="456">
                  <c:v>4648.0839299999998</c:v>
                </c:pt>
                <c:pt idx="457">
                  <c:v>4646.51566</c:v>
                </c:pt>
                <c:pt idx="458">
                  <c:v>4644.9843499999997</c:v>
                </c:pt>
                <c:pt idx="459">
                  <c:v>4643.8481899999997</c:v>
                </c:pt>
                <c:pt idx="460">
                  <c:v>4643.3868599999996</c:v>
                </c:pt>
                <c:pt idx="461">
                  <c:v>4643.6322200000004</c:v>
                </c:pt>
                <c:pt idx="462">
                  <c:v>4644.4570299999996</c:v>
                </c:pt>
                <c:pt idx="463">
                  <c:v>4645.5632400000004</c:v>
                </c:pt>
                <c:pt idx="464">
                  <c:v>4646.7434400000002</c:v>
                </c:pt>
                <c:pt idx="465">
                  <c:v>4647.7143999999998</c:v>
                </c:pt>
                <c:pt idx="466">
                  <c:v>4648.3485499999997</c:v>
                </c:pt>
                <c:pt idx="467">
                  <c:v>4648.6243199999999</c:v>
                </c:pt>
                <c:pt idx="468">
                  <c:v>4648.5993799999997</c:v>
                </c:pt>
                <c:pt idx="469">
                  <c:v>4648.4868699999997</c:v>
                </c:pt>
                <c:pt idx="470">
                  <c:v>4648.5910299999996</c:v>
                </c:pt>
                <c:pt idx="471">
                  <c:v>4649.2227400000002</c:v>
                </c:pt>
                <c:pt idx="472">
                  <c:v>4650.4913500000002</c:v>
                </c:pt>
                <c:pt idx="473">
                  <c:v>4652.4430300000004</c:v>
                </c:pt>
                <c:pt idx="474">
                  <c:v>4654.9628700000003</c:v>
                </c:pt>
                <c:pt idx="475">
                  <c:v>4657.5779499999999</c:v>
                </c:pt>
                <c:pt idx="476">
                  <c:v>4659.9480299999996</c:v>
                </c:pt>
                <c:pt idx="477">
                  <c:v>4661.6254600000002</c:v>
                </c:pt>
                <c:pt idx="478">
                  <c:v>4662.29007</c:v>
                </c:pt>
                <c:pt idx="479">
                  <c:v>4661.68433</c:v>
                </c:pt>
                <c:pt idx="480">
                  <c:v>4659.77477</c:v>
                </c:pt>
                <c:pt idx="481">
                  <c:v>4656.6874100000005</c:v>
                </c:pt>
                <c:pt idx="482">
                  <c:v>4652.6714700000002</c:v>
                </c:pt>
                <c:pt idx="483">
                  <c:v>4648.0995999999996</c:v>
                </c:pt>
                <c:pt idx="484">
                  <c:v>4643.4617099999996</c:v>
                </c:pt>
                <c:pt idx="485">
                  <c:v>4639.43181</c:v>
                </c:pt>
                <c:pt idx="486">
                  <c:v>4636.7388600000004</c:v>
                </c:pt>
                <c:pt idx="487">
                  <c:v>4635.5851000000002</c:v>
                </c:pt>
                <c:pt idx="488">
                  <c:v>4635.7014799999997</c:v>
                </c:pt>
                <c:pt idx="489">
                  <c:v>4637.0112200000003</c:v>
                </c:pt>
                <c:pt idx="490">
                  <c:v>4639.0051899999999</c:v>
                </c:pt>
                <c:pt idx="491">
                  <c:v>4641.1146900000003</c:v>
                </c:pt>
                <c:pt idx="492">
                  <c:v>4642.8723099999997</c:v>
                </c:pt>
                <c:pt idx="493">
                  <c:v>4643.9902599999996</c:v>
                </c:pt>
                <c:pt idx="494">
                  <c:v>4644.5057900000002</c:v>
                </c:pt>
                <c:pt idx="495">
                  <c:v>4644.5200000000004</c:v>
                </c:pt>
                <c:pt idx="496">
                  <c:v>4644.44211</c:v>
                </c:pt>
                <c:pt idx="497">
                  <c:v>4644.6211999999996</c:v>
                </c:pt>
                <c:pt idx="498">
                  <c:v>4645.3357900000001</c:v>
                </c:pt>
                <c:pt idx="499">
                  <c:v>4646.6381099999999</c:v>
                </c:pt>
                <c:pt idx="500">
                  <c:v>4648.3979399999998</c:v>
                </c:pt>
                <c:pt idx="501">
                  <c:v>4650.2602999999999</c:v>
                </c:pt>
                <c:pt idx="502">
                  <c:v>4651.9858199999999</c:v>
                </c:pt>
                <c:pt idx="503">
                  <c:v>4653.2307300000002</c:v>
                </c:pt>
                <c:pt idx="504">
                  <c:v>4653.7868500000004</c:v>
                </c:pt>
                <c:pt idx="505">
                  <c:v>4653.5519000000004</c:v>
                </c:pt>
                <c:pt idx="506">
                  <c:v>4652.4474700000001</c:v>
                </c:pt>
                <c:pt idx="507">
                  <c:v>4650.6280800000004</c:v>
                </c:pt>
                <c:pt idx="508">
                  <c:v>4648.2619100000002</c:v>
                </c:pt>
                <c:pt idx="509">
                  <c:v>4645.69614</c:v>
                </c:pt>
                <c:pt idx="510">
                  <c:v>4643.4455900000003</c:v>
                </c:pt>
                <c:pt idx="511">
                  <c:v>4641.7407700000003</c:v>
                </c:pt>
                <c:pt idx="512">
                  <c:v>4640.8253599999998</c:v>
                </c:pt>
                <c:pt idx="513">
                  <c:v>4641.0659699999997</c:v>
                </c:pt>
                <c:pt idx="514">
                  <c:v>4642.7150099999999</c:v>
                </c:pt>
                <c:pt idx="515">
                  <c:v>4645.9839700000002</c:v>
                </c:pt>
                <c:pt idx="516">
                  <c:v>4650.6610199999996</c:v>
                </c:pt>
                <c:pt idx="517">
                  <c:v>4656.3765899999999</c:v>
                </c:pt>
                <c:pt idx="518">
                  <c:v>4662.6843200000003</c:v>
                </c:pt>
                <c:pt idx="519">
                  <c:v>4668.8171400000001</c:v>
                </c:pt>
                <c:pt idx="520">
                  <c:v>4674.3835399999998</c:v>
                </c:pt>
                <c:pt idx="521">
                  <c:v>4678.49539</c:v>
                </c:pt>
                <c:pt idx="522">
                  <c:v>4681.25882</c:v>
                </c:pt>
                <c:pt idx="523">
                  <c:v>4682.7228400000004</c:v>
                </c:pt>
                <c:pt idx="524">
                  <c:v>4683.3863099999999</c:v>
                </c:pt>
                <c:pt idx="525">
                  <c:v>4683.7238799999996</c:v>
                </c:pt>
                <c:pt idx="526">
                  <c:v>4684.1785499999996</c:v>
                </c:pt>
                <c:pt idx="527">
                  <c:v>4684.9126800000004</c:v>
                </c:pt>
                <c:pt idx="528">
                  <c:v>4685.9762600000004</c:v>
                </c:pt>
                <c:pt idx="529">
                  <c:v>4687.1313499999997</c:v>
                </c:pt>
                <c:pt idx="530">
                  <c:v>4687.9198800000004</c:v>
                </c:pt>
                <c:pt idx="531">
                  <c:v>4687.9494999999997</c:v>
                </c:pt>
                <c:pt idx="532">
                  <c:v>4686.8208299999997</c:v>
                </c:pt>
                <c:pt idx="533">
                  <c:v>4684.4017299999996</c:v>
                </c:pt>
                <c:pt idx="534">
                  <c:v>4681.0976600000004</c:v>
                </c:pt>
                <c:pt idx="535">
                  <c:v>4677.4494199999999</c:v>
                </c:pt>
                <c:pt idx="536">
                  <c:v>4674.1346199999998</c:v>
                </c:pt>
                <c:pt idx="537">
                  <c:v>4671.8441300000004</c:v>
                </c:pt>
                <c:pt idx="538">
                  <c:v>4670.8110299999998</c:v>
                </c:pt>
                <c:pt idx="539">
                  <c:v>4670.8940899999998</c:v>
                </c:pt>
                <c:pt idx="540">
                  <c:v>4671.8048500000004</c:v>
                </c:pt>
                <c:pt idx="541">
                  <c:v>4672.9896099999996</c:v>
                </c:pt>
                <c:pt idx="542">
                  <c:v>4673.9242199999999</c:v>
                </c:pt>
                <c:pt idx="543">
                  <c:v>4674.1193700000003</c:v>
                </c:pt>
                <c:pt idx="544">
                  <c:v>4673.2681300000004</c:v>
                </c:pt>
                <c:pt idx="545">
                  <c:v>4671.3645299999998</c:v>
                </c:pt>
                <c:pt idx="546">
                  <c:v>4668.54601</c:v>
                </c:pt>
                <c:pt idx="547">
                  <c:v>4664.9771700000001</c:v>
                </c:pt>
                <c:pt idx="548">
                  <c:v>4660.9828600000001</c:v>
                </c:pt>
                <c:pt idx="549">
                  <c:v>4656.8412099999996</c:v>
                </c:pt>
                <c:pt idx="550">
                  <c:v>4653.1121800000001</c:v>
                </c:pt>
                <c:pt idx="551">
                  <c:v>4649.8206300000002</c:v>
                </c:pt>
                <c:pt idx="552">
                  <c:v>4647.2282800000003</c:v>
                </c:pt>
                <c:pt idx="553">
                  <c:v>4645.4040400000004</c:v>
                </c:pt>
                <c:pt idx="554">
                  <c:v>4644.5082400000001</c:v>
                </c:pt>
                <c:pt idx="555">
                  <c:v>4644.9469900000004</c:v>
                </c:pt>
                <c:pt idx="556">
                  <c:v>4646.4829099999997</c:v>
                </c:pt>
                <c:pt idx="557">
                  <c:v>4648.7297399999998</c:v>
                </c:pt>
                <c:pt idx="558">
                  <c:v>4651.3382700000002</c:v>
                </c:pt>
                <c:pt idx="559">
                  <c:v>4653.9975199999999</c:v>
                </c:pt>
                <c:pt idx="560">
                  <c:v>4656.3387899999998</c:v>
                </c:pt>
                <c:pt idx="561">
                  <c:v>4657.9901399999999</c:v>
                </c:pt>
                <c:pt idx="562">
                  <c:v>4659.0090200000004</c:v>
                </c:pt>
                <c:pt idx="563">
                  <c:v>4659.5374000000002</c:v>
                </c:pt>
                <c:pt idx="564">
                  <c:v>4659.7477799999997</c:v>
                </c:pt>
                <c:pt idx="565">
                  <c:v>4659.8872199999996</c:v>
                </c:pt>
                <c:pt idx="566">
                  <c:v>4660.1567999999997</c:v>
                </c:pt>
                <c:pt idx="567">
                  <c:v>4660.6289800000004</c:v>
                </c:pt>
                <c:pt idx="568">
                  <c:v>4661.1045999999997</c:v>
                </c:pt>
                <c:pt idx="569">
                  <c:v>4661.1839200000004</c:v>
                </c:pt>
                <c:pt idx="570">
                  <c:v>4660.7092199999997</c:v>
                </c:pt>
                <c:pt idx="571">
                  <c:v>4659.69092</c:v>
                </c:pt>
                <c:pt idx="572">
                  <c:v>4658.0845600000002</c:v>
                </c:pt>
                <c:pt idx="573">
                  <c:v>4656.2162500000004</c:v>
                </c:pt>
                <c:pt idx="574">
                  <c:v>4654.5732099999996</c:v>
                </c:pt>
                <c:pt idx="575">
                  <c:v>4653.3357100000003</c:v>
                </c:pt>
                <c:pt idx="576">
                  <c:v>4652.82395</c:v>
                </c:pt>
                <c:pt idx="577">
                  <c:v>4653.0368500000004</c:v>
                </c:pt>
                <c:pt idx="578">
                  <c:v>4653.8663999999999</c:v>
                </c:pt>
                <c:pt idx="579">
                  <c:v>4654.9570100000001</c:v>
                </c:pt>
                <c:pt idx="580">
                  <c:v>4655.9483499999997</c:v>
                </c:pt>
                <c:pt idx="581">
                  <c:v>4656.0307199999997</c:v>
                </c:pt>
                <c:pt idx="582">
                  <c:v>4654.7152100000003</c:v>
                </c:pt>
                <c:pt idx="583">
                  <c:v>4651.9553400000004</c:v>
                </c:pt>
                <c:pt idx="584">
                  <c:v>4647.7865700000002</c:v>
                </c:pt>
                <c:pt idx="585">
                  <c:v>4642.7575699999998</c:v>
                </c:pt>
                <c:pt idx="586">
                  <c:v>4637.2780599999996</c:v>
                </c:pt>
                <c:pt idx="587">
                  <c:v>4631.9842200000003</c:v>
                </c:pt>
                <c:pt idx="588">
                  <c:v>4627.8861900000002</c:v>
                </c:pt>
                <c:pt idx="589">
                  <c:v>4626.1169300000001</c:v>
                </c:pt>
                <c:pt idx="590">
                  <c:v>4627.21515</c:v>
                </c:pt>
                <c:pt idx="591">
                  <c:v>4630.6109999999999</c:v>
                </c:pt>
                <c:pt idx="592">
                  <c:v>4635.7302499999996</c:v>
                </c:pt>
                <c:pt idx="593">
                  <c:v>4640.9054299999998</c:v>
                </c:pt>
                <c:pt idx="594">
                  <c:v>4645.0864300000003</c:v>
                </c:pt>
                <c:pt idx="595">
                  <c:v>4647.3753500000003</c:v>
                </c:pt>
                <c:pt idx="596">
                  <c:v>4647.4974400000001</c:v>
                </c:pt>
                <c:pt idx="597">
                  <c:v>4645.9023999999999</c:v>
                </c:pt>
                <c:pt idx="598">
                  <c:v>4643.17724</c:v>
                </c:pt>
                <c:pt idx="599">
                  <c:v>4640.3444799999997</c:v>
                </c:pt>
                <c:pt idx="600">
                  <c:v>4638.3317999999999</c:v>
                </c:pt>
                <c:pt idx="601">
                  <c:v>4637.7793499999998</c:v>
                </c:pt>
                <c:pt idx="602">
                  <c:v>4638.7025800000001</c:v>
                </c:pt>
                <c:pt idx="603">
                  <c:v>4640.6878500000003</c:v>
                </c:pt>
                <c:pt idx="604">
                  <c:v>4643.1728300000004</c:v>
                </c:pt>
                <c:pt idx="605">
                  <c:v>4645.8290900000002</c:v>
                </c:pt>
                <c:pt idx="606">
                  <c:v>4648.1236399999998</c:v>
                </c:pt>
                <c:pt idx="607">
                  <c:v>4650.0257700000002</c:v>
                </c:pt>
                <c:pt idx="608">
                  <c:v>4651.5772999999999</c:v>
                </c:pt>
                <c:pt idx="609">
                  <c:v>4652.8547600000002</c:v>
                </c:pt>
                <c:pt idx="610">
                  <c:v>4653.9044700000004</c:v>
                </c:pt>
                <c:pt idx="611">
                  <c:v>4654.8581599999998</c:v>
                </c:pt>
                <c:pt idx="612">
                  <c:v>4655.8066200000003</c:v>
                </c:pt>
                <c:pt idx="613">
                  <c:v>4656.6411099999996</c:v>
                </c:pt>
                <c:pt idx="614">
                  <c:v>4657.58619</c:v>
                </c:pt>
                <c:pt idx="615">
                  <c:v>4658.4680799999996</c:v>
                </c:pt>
                <c:pt idx="616">
                  <c:v>4659.2297600000002</c:v>
                </c:pt>
                <c:pt idx="617">
                  <c:v>4659.8106900000002</c:v>
                </c:pt>
                <c:pt idx="618">
                  <c:v>4660.0757599999997</c:v>
                </c:pt>
                <c:pt idx="619">
                  <c:v>4660.1733800000002</c:v>
                </c:pt>
                <c:pt idx="620">
                  <c:v>4660.2554399999999</c:v>
                </c:pt>
                <c:pt idx="621">
                  <c:v>4660.3146999999999</c:v>
                </c:pt>
                <c:pt idx="622">
                  <c:v>4660.4756900000002</c:v>
                </c:pt>
                <c:pt idx="623">
                  <c:v>4660.7457899999999</c:v>
                </c:pt>
                <c:pt idx="624">
                  <c:v>4661.2761200000004</c:v>
                </c:pt>
                <c:pt idx="625">
                  <c:v>4661.8976400000001</c:v>
                </c:pt>
                <c:pt idx="626">
                  <c:v>4662.6219099999998</c:v>
                </c:pt>
                <c:pt idx="627">
                  <c:v>4663.5224099999996</c:v>
                </c:pt>
                <c:pt idx="628">
                  <c:v>4664.9327000000003</c:v>
                </c:pt>
                <c:pt idx="629">
                  <c:v>4666.8221100000001</c:v>
                </c:pt>
                <c:pt idx="630">
                  <c:v>4669.0796099999998</c:v>
                </c:pt>
                <c:pt idx="631">
                  <c:v>4671.3076600000004</c:v>
                </c:pt>
                <c:pt idx="632">
                  <c:v>4673.2431800000004</c:v>
                </c:pt>
                <c:pt idx="633">
                  <c:v>4675.0579600000001</c:v>
                </c:pt>
                <c:pt idx="634">
                  <c:v>4676.6551300000001</c:v>
                </c:pt>
                <c:pt idx="635">
                  <c:v>4678.1570199999996</c:v>
                </c:pt>
                <c:pt idx="636">
                  <c:v>4679.63501</c:v>
                </c:pt>
                <c:pt idx="637">
                  <c:v>4681.0319099999997</c:v>
                </c:pt>
                <c:pt idx="638">
                  <c:v>4682.2346500000003</c:v>
                </c:pt>
                <c:pt idx="639">
                  <c:v>4682.9119499999997</c:v>
                </c:pt>
                <c:pt idx="640">
                  <c:v>4682.8161700000001</c:v>
                </c:pt>
                <c:pt idx="641">
                  <c:v>4681.9488600000004</c:v>
                </c:pt>
                <c:pt idx="642">
                  <c:v>4680.1815900000001</c:v>
                </c:pt>
                <c:pt idx="643">
                  <c:v>4677.48801</c:v>
                </c:pt>
                <c:pt idx="644">
                  <c:v>4674.26865</c:v>
                </c:pt>
                <c:pt idx="645">
                  <c:v>4671.0107900000003</c:v>
                </c:pt>
                <c:pt idx="646">
                  <c:v>4668.38724</c:v>
                </c:pt>
                <c:pt idx="647">
                  <c:v>4667.0990599999996</c:v>
                </c:pt>
                <c:pt idx="648">
                  <c:v>4667.4702500000003</c:v>
                </c:pt>
                <c:pt idx="649">
                  <c:v>4669.42101</c:v>
                </c:pt>
                <c:pt idx="650">
                  <c:v>4672.8161300000002</c:v>
                </c:pt>
                <c:pt idx="651">
                  <c:v>4677.1425200000003</c:v>
                </c:pt>
                <c:pt idx="652">
                  <c:v>4681.4152400000003</c:v>
                </c:pt>
                <c:pt idx="653">
                  <c:v>4685.3245500000003</c:v>
                </c:pt>
                <c:pt idx="654">
                  <c:v>4688.8095400000002</c:v>
                </c:pt>
                <c:pt idx="655">
                  <c:v>4691.9794400000001</c:v>
                </c:pt>
                <c:pt idx="656">
                  <c:v>4694.9994699999997</c:v>
                </c:pt>
                <c:pt idx="657">
                  <c:v>4697.9796100000003</c:v>
                </c:pt>
                <c:pt idx="658">
                  <c:v>4700.5512600000002</c:v>
                </c:pt>
                <c:pt idx="659">
                  <c:v>4702.9057000000003</c:v>
                </c:pt>
                <c:pt idx="660">
                  <c:v>4704.9904999999999</c:v>
                </c:pt>
                <c:pt idx="661">
                  <c:v>4706.5714099999996</c:v>
                </c:pt>
                <c:pt idx="662">
                  <c:v>4707.5403900000001</c:v>
                </c:pt>
                <c:pt idx="663">
                  <c:v>4707.9208600000002</c:v>
                </c:pt>
                <c:pt idx="664">
                  <c:v>4707.9197899999999</c:v>
                </c:pt>
                <c:pt idx="665">
                  <c:v>4707.8692199999996</c:v>
                </c:pt>
                <c:pt idx="666">
                  <c:v>4708.0686100000003</c:v>
                </c:pt>
                <c:pt idx="667">
                  <c:v>4708.8566799999999</c:v>
                </c:pt>
                <c:pt idx="668">
                  <c:v>4710.5613999999996</c:v>
                </c:pt>
                <c:pt idx="669">
                  <c:v>4713.2545899999996</c:v>
                </c:pt>
                <c:pt idx="670">
                  <c:v>4716.7078099999999</c:v>
                </c:pt>
                <c:pt idx="671">
                  <c:v>4720.7801499999996</c:v>
                </c:pt>
                <c:pt idx="672">
                  <c:v>4725.2583500000001</c:v>
                </c:pt>
                <c:pt idx="673">
                  <c:v>4728.9632799999999</c:v>
                </c:pt>
                <c:pt idx="674">
                  <c:v>4732.0035500000004</c:v>
                </c:pt>
                <c:pt idx="675">
                  <c:v>4735.1721100000004</c:v>
                </c:pt>
                <c:pt idx="676">
                  <c:v>4739.2167099999997</c:v>
                </c:pt>
                <c:pt idx="677">
                  <c:v>4744.9528300000002</c:v>
                </c:pt>
                <c:pt idx="678">
                  <c:v>4752.7552100000003</c:v>
                </c:pt>
                <c:pt idx="679">
                  <c:v>4762.2261900000003</c:v>
                </c:pt>
                <c:pt idx="680">
                  <c:v>4772.8776099999995</c:v>
                </c:pt>
                <c:pt idx="681">
                  <c:v>4784.3898799999997</c:v>
                </c:pt>
                <c:pt idx="682">
                  <c:v>4795.9622900000004</c:v>
                </c:pt>
                <c:pt idx="683">
                  <c:v>4806.1314400000001</c:v>
                </c:pt>
                <c:pt idx="684">
                  <c:v>4813.5291500000003</c:v>
                </c:pt>
                <c:pt idx="685">
                  <c:v>4817.9768199999999</c:v>
                </c:pt>
                <c:pt idx="686">
                  <c:v>4819.4851500000004</c:v>
                </c:pt>
                <c:pt idx="687">
                  <c:v>4818.5700699999998</c:v>
                </c:pt>
                <c:pt idx="688">
                  <c:v>4816.0297300000002</c:v>
                </c:pt>
                <c:pt idx="689">
                  <c:v>4813.2276000000002</c:v>
                </c:pt>
                <c:pt idx="690">
                  <c:v>4811.4182199999996</c:v>
                </c:pt>
                <c:pt idx="691">
                  <c:v>4811.5980900000004</c:v>
                </c:pt>
                <c:pt idx="692">
                  <c:v>4814.0496599999997</c:v>
                </c:pt>
                <c:pt idx="693">
                  <c:v>4818.4620800000002</c:v>
                </c:pt>
                <c:pt idx="694">
                  <c:v>4824.1435499999998</c:v>
                </c:pt>
                <c:pt idx="695">
                  <c:v>4829.9040000000005</c:v>
                </c:pt>
                <c:pt idx="696">
                  <c:v>4834.3347800000001</c:v>
                </c:pt>
                <c:pt idx="697">
                  <c:v>4836.3614200000002</c:v>
                </c:pt>
                <c:pt idx="698">
                  <c:v>4835.8945800000001</c:v>
                </c:pt>
                <c:pt idx="699">
                  <c:v>4833.31844</c:v>
                </c:pt>
                <c:pt idx="700">
                  <c:v>4829.2949799999997</c:v>
                </c:pt>
                <c:pt idx="701">
                  <c:v>4824.8139000000001</c:v>
                </c:pt>
                <c:pt idx="702">
                  <c:v>4820.8296</c:v>
                </c:pt>
                <c:pt idx="703">
                  <c:v>4818.0239300000003</c:v>
                </c:pt>
                <c:pt idx="704">
                  <c:v>4816.4297200000001</c:v>
                </c:pt>
                <c:pt idx="705">
                  <c:v>4816.0033299999996</c:v>
                </c:pt>
                <c:pt idx="706">
                  <c:v>4816.1689699999997</c:v>
                </c:pt>
                <c:pt idx="707">
                  <c:v>4816.1000199999999</c:v>
                </c:pt>
                <c:pt idx="708">
                  <c:v>4815.3050899999998</c:v>
                </c:pt>
                <c:pt idx="709">
                  <c:v>4813.6760000000004</c:v>
                </c:pt>
                <c:pt idx="710">
                  <c:v>4810.8639400000002</c:v>
                </c:pt>
                <c:pt idx="711">
                  <c:v>4807.1683999999996</c:v>
                </c:pt>
                <c:pt idx="712">
                  <c:v>4803.6057600000004</c:v>
                </c:pt>
                <c:pt idx="713">
                  <c:v>4800.83907</c:v>
                </c:pt>
                <c:pt idx="714">
                  <c:v>4799.5351899999996</c:v>
                </c:pt>
                <c:pt idx="715">
                  <c:v>4799.8130899999996</c:v>
                </c:pt>
                <c:pt idx="716">
                  <c:v>4801.6087399999997</c:v>
                </c:pt>
                <c:pt idx="717">
                  <c:v>4804.5413500000004</c:v>
                </c:pt>
                <c:pt idx="718">
                  <c:v>4807.8756100000001</c:v>
                </c:pt>
                <c:pt idx="719">
                  <c:v>4811.0448100000003</c:v>
                </c:pt>
                <c:pt idx="720">
                  <c:v>4813.5753999999997</c:v>
                </c:pt>
                <c:pt idx="721">
                  <c:v>4815.0469999999996</c:v>
                </c:pt>
                <c:pt idx="722">
                  <c:v>4815.44416</c:v>
                </c:pt>
                <c:pt idx="723">
                  <c:v>4814.9813299999996</c:v>
                </c:pt>
                <c:pt idx="724">
                  <c:v>4813.9600300000002</c:v>
                </c:pt>
                <c:pt idx="725">
                  <c:v>4812.6883200000002</c:v>
                </c:pt>
                <c:pt idx="726">
                  <c:v>4811.2784000000001</c:v>
                </c:pt>
                <c:pt idx="727">
                  <c:v>4809.7232700000004</c:v>
                </c:pt>
                <c:pt idx="728">
                  <c:v>4808.0833499999999</c:v>
                </c:pt>
                <c:pt idx="729">
                  <c:v>4806.5458799999997</c:v>
                </c:pt>
                <c:pt idx="730">
                  <c:v>4805.10005</c:v>
                </c:pt>
                <c:pt idx="731">
                  <c:v>4803.7942599999997</c:v>
                </c:pt>
                <c:pt idx="732">
                  <c:v>4802.62392</c:v>
                </c:pt>
                <c:pt idx="733">
                  <c:v>4801.6266100000003</c:v>
                </c:pt>
                <c:pt idx="734">
                  <c:v>4800.8669</c:v>
                </c:pt>
                <c:pt idx="735">
                  <c:v>4800.4547000000002</c:v>
                </c:pt>
                <c:pt idx="736">
                  <c:v>4800.35646</c:v>
                </c:pt>
                <c:pt idx="737">
                  <c:v>4800.38879</c:v>
                </c:pt>
                <c:pt idx="738">
                  <c:v>4800.3683700000001</c:v>
                </c:pt>
                <c:pt idx="739">
                  <c:v>4800.2489999999998</c:v>
                </c:pt>
                <c:pt idx="740">
                  <c:v>4799.9806900000003</c:v>
                </c:pt>
                <c:pt idx="741">
                  <c:v>4799.4230399999997</c:v>
                </c:pt>
                <c:pt idx="742">
                  <c:v>4798.64959</c:v>
                </c:pt>
                <c:pt idx="743">
                  <c:v>4797.7255699999996</c:v>
                </c:pt>
                <c:pt idx="744">
                  <c:v>4796.8847800000003</c:v>
                </c:pt>
                <c:pt idx="745">
                  <c:v>4796.2961100000002</c:v>
                </c:pt>
                <c:pt idx="746">
                  <c:v>4796.1778899999999</c:v>
                </c:pt>
                <c:pt idx="747">
                  <c:v>4796.5104099999999</c:v>
                </c:pt>
                <c:pt idx="748">
                  <c:v>4797.33248</c:v>
                </c:pt>
                <c:pt idx="749">
                  <c:v>4798.63375</c:v>
                </c:pt>
                <c:pt idx="750">
                  <c:v>4799.9516899999999</c:v>
                </c:pt>
                <c:pt idx="751">
                  <c:v>4801.1401400000004</c:v>
                </c:pt>
                <c:pt idx="752">
                  <c:v>4802.0152699999999</c:v>
                </c:pt>
                <c:pt idx="753">
                  <c:v>4802.6245900000004</c:v>
                </c:pt>
                <c:pt idx="754">
                  <c:v>4803.1890800000001</c:v>
                </c:pt>
                <c:pt idx="755">
                  <c:v>4803.8664699999999</c:v>
                </c:pt>
                <c:pt idx="756">
                  <c:v>4804.78899</c:v>
                </c:pt>
                <c:pt idx="757">
                  <c:v>4806.1404400000001</c:v>
                </c:pt>
                <c:pt idx="758">
                  <c:v>4808.0367699999997</c:v>
                </c:pt>
                <c:pt idx="759">
                  <c:v>4810.5339599999998</c:v>
                </c:pt>
                <c:pt idx="760">
                  <c:v>4813.5767299999998</c:v>
                </c:pt>
                <c:pt idx="761">
                  <c:v>4816.9647500000001</c:v>
                </c:pt>
                <c:pt idx="762">
                  <c:v>4820.3513800000001</c:v>
                </c:pt>
                <c:pt idx="763">
                  <c:v>4823.3327399999998</c:v>
                </c:pt>
                <c:pt idx="764">
                  <c:v>4825.7961400000004</c:v>
                </c:pt>
                <c:pt idx="765">
                  <c:v>4827.6361399999996</c:v>
                </c:pt>
                <c:pt idx="766">
                  <c:v>4828.7056400000001</c:v>
                </c:pt>
                <c:pt idx="767">
                  <c:v>4829.1012899999996</c:v>
                </c:pt>
                <c:pt idx="768">
                  <c:v>4829.33968</c:v>
                </c:pt>
                <c:pt idx="769">
                  <c:v>4829.6446599999999</c:v>
                </c:pt>
                <c:pt idx="770">
                  <c:v>4830.3548799999999</c:v>
                </c:pt>
                <c:pt idx="771">
                  <c:v>4831.4295099999999</c:v>
                </c:pt>
                <c:pt idx="772">
                  <c:v>4832.5776699999997</c:v>
                </c:pt>
                <c:pt idx="773">
                  <c:v>4833.4215199999999</c:v>
                </c:pt>
                <c:pt idx="774">
                  <c:v>4833.5772800000004</c:v>
                </c:pt>
                <c:pt idx="775">
                  <c:v>4832.8882299999996</c:v>
                </c:pt>
                <c:pt idx="776">
                  <c:v>4831.2693900000004</c:v>
                </c:pt>
                <c:pt idx="777">
                  <c:v>4828.6390199999996</c:v>
                </c:pt>
                <c:pt idx="778">
                  <c:v>4825.2918300000001</c:v>
                </c:pt>
                <c:pt idx="779">
                  <c:v>4821.7609000000002</c:v>
                </c:pt>
                <c:pt idx="780">
                  <c:v>4818.4298399999998</c:v>
                </c:pt>
                <c:pt idx="781">
                  <c:v>4815.7449100000003</c:v>
                </c:pt>
                <c:pt idx="782">
                  <c:v>4813.7617300000002</c:v>
                </c:pt>
                <c:pt idx="783">
                  <c:v>4812.5634399999999</c:v>
                </c:pt>
                <c:pt idx="784">
                  <c:v>4812.0464199999997</c:v>
                </c:pt>
                <c:pt idx="785">
                  <c:v>4811.9641199999996</c:v>
                </c:pt>
                <c:pt idx="786">
                  <c:v>4812.1102499999997</c:v>
                </c:pt>
                <c:pt idx="787">
                  <c:v>4812.6038600000002</c:v>
                </c:pt>
                <c:pt idx="788">
                  <c:v>4813.3757400000004</c:v>
                </c:pt>
                <c:pt idx="789">
                  <c:v>4814.4063900000001</c:v>
                </c:pt>
                <c:pt idx="790">
                  <c:v>4815.4571999999998</c:v>
                </c:pt>
                <c:pt idx="791">
                  <c:v>4816.2579599999999</c:v>
                </c:pt>
                <c:pt idx="792">
                  <c:v>4816.7461700000003</c:v>
                </c:pt>
                <c:pt idx="793">
                  <c:v>4816.6120899999996</c:v>
                </c:pt>
                <c:pt idx="794">
                  <c:v>4815.6529899999996</c:v>
                </c:pt>
                <c:pt idx="795">
                  <c:v>4813.7653700000001</c:v>
                </c:pt>
                <c:pt idx="796">
                  <c:v>4810.86276</c:v>
                </c:pt>
                <c:pt idx="797">
                  <c:v>4807.4014900000002</c:v>
                </c:pt>
                <c:pt idx="798">
                  <c:v>4803.7107299999998</c:v>
                </c:pt>
                <c:pt idx="799">
                  <c:v>4800.3065200000001</c:v>
                </c:pt>
                <c:pt idx="800">
                  <c:v>4797.5393800000002</c:v>
                </c:pt>
                <c:pt idx="801">
                  <c:v>4795.88454</c:v>
                </c:pt>
                <c:pt idx="802">
                  <c:v>4795.3485600000004</c:v>
                </c:pt>
                <c:pt idx="803">
                  <c:v>4795.7423399999998</c:v>
                </c:pt>
                <c:pt idx="804">
                  <c:v>4796.8155800000004</c:v>
                </c:pt>
                <c:pt idx="805">
                  <c:v>4798.1026700000002</c:v>
                </c:pt>
                <c:pt idx="806">
                  <c:v>4799.1698800000004</c:v>
                </c:pt>
                <c:pt idx="807">
                  <c:v>4799.5533599999999</c:v>
                </c:pt>
                <c:pt idx="808">
                  <c:v>4799.1197300000003</c:v>
                </c:pt>
                <c:pt idx="809">
                  <c:v>4797.7077399999998</c:v>
                </c:pt>
                <c:pt idx="810">
                  <c:v>4795.5254599999998</c:v>
                </c:pt>
                <c:pt idx="811">
                  <c:v>4792.8177999999998</c:v>
                </c:pt>
                <c:pt idx="812">
                  <c:v>4789.9170199999999</c:v>
                </c:pt>
                <c:pt idx="813">
                  <c:v>4787.3928500000002</c:v>
                </c:pt>
                <c:pt idx="814">
                  <c:v>4785.3259099999996</c:v>
                </c:pt>
                <c:pt idx="815">
                  <c:v>4783.80555</c:v>
                </c:pt>
                <c:pt idx="816">
                  <c:v>4782.8072099999999</c:v>
                </c:pt>
                <c:pt idx="817">
                  <c:v>4782.1177299999999</c:v>
                </c:pt>
                <c:pt idx="818">
                  <c:v>4781.7229200000002</c:v>
                </c:pt>
                <c:pt idx="819">
                  <c:v>4781.7722000000003</c:v>
                </c:pt>
                <c:pt idx="820">
                  <c:v>4782.4230299999999</c:v>
                </c:pt>
                <c:pt idx="821">
                  <c:v>4783.58</c:v>
                </c:pt>
                <c:pt idx="822">
                  <c:v>4785.06376</c:v>
                </c:pt>
                <c:pt idx="823">
                  <c:v>4786.7003800000002</c:v>
                </c:pt>
                <c:pt idx="824">
                  <c:v>4788.16518</c:v>
                </c:pt>
                <c:pt idx="825">
                  <c:v>4789.1305499999999</c:v>
                </c:pt>
                <c:pt idx="826">
                  <c:v>4789.3741499999996</c:v>
                </c:pt>
                <c:pt idx="827">
                  <c:v>4788.9123799999998</c:v>
                </c:pt>
                <c:pt idx="828">
                  <c:v>4788.0402999999997</c:v>
                </c:pt>
                <c:pt idx="829">
                  <c:v>4786.9718000000003</c:v>
                </c:pt>
                <c:pt idx="830">
                  <c:v>4785.7827399999996</c:v>
                </c:pt>
                <c:pt idx="831">
                  <c:v>4784.9205300000003</c:v>
                </c:pt>
                <c:pt idx="832">
                  <c:v>4784.7706200000002</c:v>
                </c:pt>
                <c:pt idx="833">
                  <c:v>4785.5623900000001</c:v>
                </c:pt>
                <c:pt idx="834">
                  <c:v>4787.25342</c:v>
                </c:pt>
                <c:pt idx="835">
                  <c:v>4789.7402099999999</c:v>
                </c:pt>
                <c:pt idx="836">
                  <c:v>4792.8085600000004</c:v>
                </c:pt>
                <c:pt idx="837">
                  <c:v>4795.8128500000003</c:v>
                </c:pt>
                <c:pt idx="838">
                  <c:v>4798.1142200000004</c:v>
                </c:pt>
                <c:pt idx="839">
                  <c:v>4799.2850500000004</c:v>
                </c:pt>
                <c:pt idx="840">
                  <c:v>4799.1078699999998</c:v>
                </c:pt>
                <c:pt idx="841">
                  <c:v>4797.5413500000004</c:v>
                </c:pt>
                <c:pt idx="842">
                  <c:v>4795.0170399999997</c:v>
                </c:pt>
                <c:pt idx="843">
                  <c:v>4791.9939599999998</c:v>
                </c:pt>
                <c:pt idx="844">
                  <c:v>4789.4608799999996</c:v>
                </c:pt>
                <c:pt idx="845">
                  <c:v>4788.54835</c:v>
                </c:pt>
                <c:pt idx="846">
                  <c:v>4789.1780600000002</c:v>
                </c:pt>
                <c:pt idx="847">
                  <c:v>4791.0257199999996</c:v>
                </c:pt>
                <c:pt idx="848">
                  <c:v>4793.6753699999999</c:v>
                </c:pt>
                <c:pt idx="849">
                  <c:v>4796.6705199999997</c:v>
                </c:pt>
                <c:pt idx="850">
                  <c:v>4799.3508300000003</c:v>
                </c:pt>
                <c:pt idx="851">
                  <c:v>4801.0618700000005</c:v>
                </c:pt>
                <c:pt idx="852">
                  <c:v>4801.4664199999997</c:v>
                </c:pt>
                <c:pt idx="853">
                  <c:v>4800.3369599999996</c:v>
                </c:pt>
                <c:pt idx="854">
                  <c:v>4797.8869299999997</c:v>
                </c:pt>
                <c:pt idx="855">
                  <c:v>4794.5430100000003</c:v>
                </c:pt>
                <c:pt idx="856">
                  <c:v>4790.7268000000004</c:v>
                </c:pt>
                <c:pt idx="857">
                  <c:v>4786.7902800000002</c:v>
                </c:pt>
                <c:pt idx="858">
                  <c:v>4783.3597900000004</c:v>
                </c:pt>
                <c:pt idx="859">
                  <c:v>4780.9129300000004</c:v>
                </c:pt>
                <c:pt idx="860">
                  <c:v>4779.6740099999997</c:v>
                </c:pt>
                <c:pt idx="861">
                  <c:v>4779.5494200000003</c:v>
                </c:pt>
                <c:pt idx="862">
                  <c:v>4779.8642</c:v>
                </c:pt>
                <c:pt idx="863">
                  <c:v>4780.5861000000004</c:v>
                </c:pt>
                <c:pt idx="864">
                  <c:v>4781.0780699999996</c:v>
                </c:pt>
                <c:pt idx="865">
                  <c:v>4780.7162799999996</c:v>
                </c:pt>
                <c:pt idx="866">
                  <c:v>4779.1966400000001</c:v>
                </c:pt>
                <c:pt idx="867">
                  <c:v>4776.5552900000002</c:v>
                </c:pt>
                <c:pt idx="868">
                  <c:v>4773.0015000000003</c:v>
                </c:pt>
                <c:pt idx="869">
                  <c:v>4768.6520200000004</c:v>
                </c:pt>
                <c:pt idx="870">
                  <c:v>4763.91338</c:v>
                </c:pt>
                <c:pt idx="871">
                  <c:v>4759.3684499999999</c:v>
                </c:pt>
                <c:pt idx="872">
                  <c:v>4755.0691999999999</c:v>
                </c:pt>
                <c:pt idx="873">
                  <c:v>4751.2044999999998</c:v>
                </c:pt>
                <c:pt idx="874">
                  <c:v>4748.0845799999997</c:v>
                </c:pt>
                <c:pt idx="875">
                  <c:v>4745.9402200000004</c:v>
                </c:pt>
                <c:pt idx="876">
                  <c:v>4745.2252900000003</c:v>
                </c:pt>
                <c:pt idx="877">
                  <c:v>4745.6107099999999</c:v>
                </c:pt>
                <c:pt idx="878">
                  <c:v>4747.0558099999998</c:v>
                </c:pt>
                <c:pt idx="879">
                  <c:v>4749.3001599999998</c:v>
                </c:pt>
                <c:pt idx="880">
                  <c:v>4751.7798199999997</c:v>
                </c:pt>
                <c:pt idx="881">
                  <c:v>4754.1936599999999</c:v>
                </c:pt>
                <c:pt idx="882">
                  <c:v>4756.3999400000002</c:v>
                </c:pt>
                <c:pt idx="883">
                  <c:v>4758.02477</c:v>
                </c:pt>
                <c:pt idx="884">
                  <c:v>4758.8605299999999</c:v>
                </c:pt>
                <c:pt idx="885">
                  <c:v>4758.9981699999998</c:v>
                </c:pt>
                <c:pt idx="886">
                  <c:v>4758.4406799999997</c:v>
                </c:pt>
                <c:pt idx="887">
                  <c:v>4757.3560399999997</c:v>
                </c:pt>
                <c:pt idx="888">
                  <c:v>4755.9663099999998</c:v>
                </c:pt>
                <c:pt idx="889">
                  <c:v>4754.4944400000004</c:v>
                </c:pt>
                <c:pt idx="890">
                  <c:v>4753.1947700000001</c:v>
                </c:pt>
                <c:pt idx="891">
                  <c:v>4752.3955699999997</c:v>
                </c:pt>
                <c:pt idx="892">
                  <c:v>4752.3754099999996</c:v>
                </c:pt>
                <c:pt idx="893">
                  <c:v>4753.0935099999997</c:v>
                </c:pt>
                <c:pt idx="894">
                  <c:v>4754.5471799999996</c:v>
                </c:pt>
                <c:pt idx="895">
                  <c:v>4756.4169700000002</c:v>
                </c:pt>
                <c:pt idx="896">
                  <c:v>4758.3676800000003</c:v>
                </c:pt>
                <c:pt idx="897">
                  <c:v>4760.1383400000004</c:v>
                </c:pt>
                <c:pt idx="898">
                  <c:v>4761.4058999999997</c:v>
                </c:pt>
                <c:pt idx="899">
                  <c:v>4761.9163799999997</c:v>
                </c:pt>
                <c:pt idx="900">
                  <c:v>4761.4969899999996</c:v>
                </c:pt>
                <c:pt idx="901">
                  <c:v>4760.0564899999999</c:v>
                </c:pt>
                <c:pt idx="902">
                  <c:v>4757.6555799999996</c:v>
                </c:pt>
                <c:pt idx="903">
                  <c:v>4754.3743899999999</c:v>
                </c:pt>
                <c:pt idx="904">
                  <c:v>4750.6161700000002</c:v>
                </c:pt>
                <c:pt idx="905">
                  <c:v>4746.9087099999997</c:v>
                </c:pt>
                <c:pt idx="906">
                  <c:v>4743.5295599999999</c:v>
                </c:pt>
                <c:pt idx="907">
                  <c:v>4740.8916200000003</c:v>
                </c:pt>
                <c:pt idx="908">
                  <c:v>4739.3208299999997</c:v>
                </c:pt>
                <c:pt idx="909">
                  <c:v>4738.6278899999998</c:v>
                </c:pt>
                <c:pt idx="910">
                  <c:v>4738.5807599999998</c:v>
                </c:pt>
                <c:pt idx="911">
                  <c:v>4738.7985200000003</c:v>
                </c:pt>
                <c:pt idx="912">
                  <c:v>4738.8696799999998</c:v>
                </c:pt>
                <c:pt idx="913">
                  <c:v>4738.1550500000003</c:v>
                </c:pt>
                <c:pt idx="914">
                  <c:v>4736.2323699999997</c:v>
                </c:pt>
                <c:pt idx="915">
                  <c:v>4732.9853400000002</c:v>
                </c:pt>
                <c:pt idx="916">
                  <c:v>4728.8832300000004</c:v>
                </c:pt>
                <c:pt idx="917">
                  <c:v>4724.3404399999999</c:v>
                </c:pt>
                <c:pt idx="918">
                  <c:v>4719.7089100000003</c:v>
                </c:pt>
                <c:pt idx="919">
                  <c:v>4715.2878799999999</c:v>
                </c:pt>
                <c:pt idx="920">
                  <c:v>4711.5570799999996</c:v>
                </c:pt>
                <c:pt idx="921">
                  <c:v>4708.8234300000004</c:v>
                </c:pt>
                <c:pt idx="922">
                  <c:v>4707.0847999999996</c:v>
                </c:pt>
                <c:pt idx="923">
                  <c:v>4706.30584</c:v>
                </c:pt>
                <c:pt idx="924">
                  <c:v>4706.4017899999999</c:v>
                </c:pt>
                <c:pt idx="925">
                  <c:v>4707.2879199999998</c:v>
                </c:pt>
                <c:pt idx="926">
                  <c:v>4708.6880899999996</c:v>
                </c:pt>
                <c:pt idx="927">
                  <c:v>4710.3393400000004</c:v>
                </c:pt>
                <c:pt idx="928">
                  <c:v>4712.35862</c:v>
                </c:pt>
                <c:pt idx="929">
                  <c:v>4714.8035</c:v>
                </c:pt>
                <c:pt idx="930">
                  <c:v>4717.7282100000002</c:v>
                </c:pt>
                <c:pt idx="931">
                  <c:v>4720.8406599999998</c:v>
                </c:pt>
                <c:pt idx="932">
                  <c:v>4723.7988400000004</c:v>
                </c:pt>
                <c:pt idx="933">
                  <c:v>4726.4465300000002</c:v>
                </c:pt>
                <c:pt idx="934">
                  <c:v>4728.4731000000002</c:v>
                </c:pt>
                <c:pt idx="935">
                  <c:v>4729.6244900000002</c:v>
                </c:pt>
                <c:pt idx="936">
                  <c:v>4729.8218299999999</c:v>
                </c:pt>
                <c:pt idx="937">
                  <c:v>4729.1377599999996</c:v>
                </c:pt>
                <c:pt idx="938">
                  <c:v>4727.8953099999999</c:v>
                </c:pt>
                <c:pt idx="939">
                  <c:v>4726.3604400000004</c:v>
                </c:pt>
                <c:pt idx="940">
                  <c:v>4724.8950800000002</c:v>
                </c:pt>
                <c:pt idx="941">
                  <c:v>4723.69877</c:v>
                </c:pt>
                <c:pt idx="942">
                  <c:v>4722.9103100000002</c:v>
                </c:pt>
                <c:pt idx="943">
                  <c:v>4722.4712600000003</c:v>
                </c:pt>
                <c:pt idx="944">
                  <c:v>4722.2353499999999</c:v>
                </c:pt>
                <c:pt idx="945">
                  <c:v>4721.9773100000002</c:v>
                </c:pt>
                <c:pt idx="946">
                  <c:v>4721.5456000000004</c:v>
                </c:pt>
                <c:pt idx="947">
                  <c:v>4720.80843</c:v>
                </c:pt>
                <c:pt idx="948">
                  <c:v>4719.7038499999999</c:v>
                </c:pt>
                <c:pt idx="949">
                  <c:v>4718.08518</c:v>
                </c:pt>
                <c:pt idx="950">
                  <c:v>4716.2950099999998</c:v>
                </c:pt>
                <c:pt idx="951">
                  <c:v>4714.8555699999997</c:v>
                </c:pt>
                <c:pt idx="952">
                  <c:v>4713.9761200000003</c:v>
                </c:pt>
                <c:pt idx="953">
                  <c:v>4713.7100899999996</c:v>
                </c:pt>
                <c:pt idx="954">
                  <c:v>4713.95046</c:v>
                </c:pt>
                <c:pt idx="955">
                  <c:v>4714.3981999999996</c:v>
                </c:pt>
                <c:pt idx="956">
                  <c:v>4714.8585199999998</c:v>
                </c:pt>
                <c:pt idx="957">
                  <c:v>4715.0875999999998</c:v>
                </c:pt>
                <c:pt idx="958">
                  <c:v>4714.8722500000003</c:v>
                </c:pt>
                <c:pt idx="959">
                  <c:v>4714.1823199999999</c:v>
                </c:pt>
                <c:pt idx="960">
                  <c:v>4713.1441599999998</c:v>
                </c:pt>
                <c:pt idx="961">
                  <c:v>4712.04666</c:v>
                </c:pt>
                <c:pt idx="962">
                  <c:v>4711.3429699999997</c:v>
                </c:pt>
                <c:pt idx="963">
                  <c:v>4711.1959900000002</c:v>
                </c:pt>
                <c:pt idx="964">
                  <c:v>4711.5189300000002</c:v>
                </c:pt>
                <c:pt idx="965">
                  <c:v>4712.1841000000004</c:v>
                </c:pt>
                <c:pt idx="966">
                  <c:v>4713.0355799999998</c:v>
                </c:pt>
                <c:pt idx="967">
                  <c:v>4713.7610000000004</c:v>
                </c:pt>
                <c:pt idx="968">
                  <c:v>4714.0163899999998</c:v>
                </c:pt>
                <c:pt idx="969">
                  <c:v>4713.5798299999997</c:v>
                </c:pt>
                <c:pt idx="970">
                  <c:v>4712.3145299999996</c:v>
                </c:pt>
                <c:pt idx="971">
                  <c:v>4710.5830800000003</c:v>
                </c:pt>
                <c:pt idx="972">
                  <c:v>4708.5802599999997</c:v>
                </c:pt>
                <c:pt idx="973">
                  <c:v>4706.8173699999998</c:v>
                </c:pt>
                <c:pt idx="974">
                  <c:v>4705.7225200000003</c:v>
                </c:pt>
                <c:pt idx="975">
                  <c:v>4705.51944</c:v>
                </c:pt>
                <c:pt idx="976">
                  <c:v>4706.2543400000004</c:v>
                </c:pt>
                <c:pt idx="977">
                  <c:v>4707.7115899999999</c:v>
                </c:pt>
                <c:pt idx="978">
                  <c:v>4709.6893</c:v>
                </c:pt>
                <c:pt idx="979">
                  <c:v>4711.7185300000001</c:v>
                </c:pt>
                <c:pt idx="980">
                  <c:v>4713.4407600000004</c:v>
                </c:pt>
                <c:pt idx="981">
                  <c:v>4714.5217199999997</c:v>
                </c:pt>
                <c:pt idx="982">
                  <c:v>4714.9207299999998</c:v>
                </c:pt>
                <c:pt idx="983">
                  <c:v>4714.8494300000002</c:v>
                </c:pt>
                <c:pt idx="984">
                  <c:v>4714.57791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6-48C5-AB0E-FDB2DDDCABAE}"/>
            </c:ext>
          </c:extLst>
        </c:ser>
        <c:ser>
          <c:idx val="1"/>
          <c:order val="1"/>
          <c:tx>
            <c:strRef>
              <c:f>Mapped_H1_M5_Interporate!$AG$1</c:f>
              <c:strCache>
                <c:ptCount val="1"/>
                <c:pt idx="0">
                  <c:v>ssa_high_m5_interpolation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Mapped_H1_M5_Interporate!$AG$2:$AG$986</c:f>
              <c:numCache>
                <c:formatCode>General</c:formatCode>
                <c:ptCount val="985"/>
                <c:pt idx="0">
                  <c:v>4639.0441199999996</c:v>
                </c:pt>
                <c:pt idx="1">
                  <c:v>4639.8648808333328</c:v>
                </c:pt>
                <c:pt idx="2">
                  <c:v>4640.685641666666</c:v>
                </c:pt>
                <c:pt idx="3">
                  <c:v>4641.5064024999992</c:v>
                </c:pt>
                <c:pt idx="4">
                  <c:v>4642.3271633333334</c:v>
                </c:pt>
                <c:pt idx="5">
                  <c:v>4643.1479241666666</c:v>
                </c:pt>
                <c:pt idx="6">
                  <c:v>4643.9686849999998</c:v>
                </c:pt>
                <c:pt idx="7">
                  <c:v>4644.789445833333</c:v>
                </c:pt>
                <c:pt idx="8">
                  <c:v>4645.6102066666663</c:v>
                </c:pt>
                <c:pt idx="9">
                  <c:v>4646.4309675000004</c:v>
                </c:pt>
                <c:pt idx="10">
                  <c:v>4647.2517283333336</c:v>
                </c:pt>
                <c:pt idx="11">
                  <c:v>4648.0724891666669</c:v>
                </c:pt>
                <c:pt idx="12">
                  <c:v>4648.8932500000001</c:v>
                </c:pt>
                <c:pt idx="13">
                  <c:v>4649.8081050000001</c:v>
                </c:pt>
                <c:pt idx="14">
                  <c:v>4650.7229600000001</c:v>
                </c:pt>
                <c:pt idx="15">
                  <c:v>4651.637815</c:v>
                </c:pt>
                <c:pt idx="16">
                  <c:v>4652.55267</c:v>
                </c:pt>
                <c:pt idx="17">
                  <c:v>4653.467525</c:v>
                </c:pt>
                <c:pt idx="18">
                  <c:v>4654.38238</c:v>
                </c:pt>
                <c:pt idx="19">
                  <c:v>4655.297235</c:v>
                </c:pt>
                <c:pt idx="20">
                  <c:v>4656.21209</c:v>
                </c:pt>
                <c:pt idx="21">
                  <c:v>4657.126945</c:v>
                </c:pt>
                <c:pt idx="22">
                  <c:v>4658.0418</c:v>
                </c:pt>
                <c:pt idx="23">
                  <c:v>4658.956655</c:v>
                </c:pt>
                <c:pt idx="24">
                  <c:v>4659.8715099999999</c:v>
                </c:pt>
                <c:pt idx="25">
                  <c:v>4660.7139649999999</c:v>
                </c:pt>
                <c:pt idx="26">
                  <c:v>4661.5564199999999</c:v>
                </c:pt>
                <c:pt idx="27">
                  <c:v>4662.3988749999999</c:v>
                </c:pt>
                <c:pt idx="28">
                  <c:v>4663.2413299999998</c:v>
                </c:pt>
                <c:pt idx="29">
                  <c:v>4664.0837849999998</c:v>
                </c:pt>
                <c:pt idx="30">
                  <c:v>4664.9262399999998</c:v>
                </c:pt>
                <c:pt idx="31">
                  <c:v>4665.7686949999998</c:v>
                </c:pt>
                <c:pt idx="32">
                  <c:v>4666.6111499999997</c:v>
                </c:pt>
                <c:pt idx="33">
                  <c:v>4667.4536049999997</c:v>
                </c:pt>
                <c:pt idx="34">
                  <c:v>4668.2960599999997</c:v>
                </c:pt>
                <c:pt idx="35">
                  <c:v>4669.1385149999996</c:v>
                </c:pt>
                <c:pt idx="36">
                  <c:v>4669.9809699999996</c:v>
                </c:pt>
                <c:pt idx="37">
                  <c:v>4670.550704166666</c:v>
                </c:pt>
                <c:pt idx="38">
                  <c:v>4671.1204383333334</c:v>
                </c:pt>
                <c:pt idx="39">
                  <c:v>4671.6901724999998</c:v>
                </c:pt>
                <c:pt idx="40">
                  <c:v>4672.2599066666662</c:v>
                </c:pt>
                <c:pt idx="41">
                  <c:v>4672.8296408333335</c:v>
                </c:pt>
                <c:pt idx="42">
                  <c:v>4673.399375</c:v>
                </c:pt>
                <c:pt idx="43">
                  <c:v>4673.9691091666664</c:v>
                </c:pt>
                <c:pt idx="44">
                  <c:v>4674.5388433333337</c:v>
                </c:pt>
                <c:pt idx="45">
                  <c:v>4675.1085775000001</c:v>
                </c:pt>
                <c:pt idx="46">
                  <c:v>4675.6783116666666</c:v>
                </c:pt>
                <c:pt idx="47">
                  <c:v>4676.2480458333339</c:v>
                </c:pt>
                <c:pt idx="48">
                  <c:v>4676.8177800000003</c:v>
                </c:pt>
                <c:pt idx="49">
                  <c:v>4677.0994774999999</c:v>
                </c:pt>
                <c:pt idx="50">
                  <c:v>4677.3811750000004</c:v>
                </c:pt>
                <c:pt idx="51">
                  <c:v>4677.6628725</c:v>
                </c:pt>
                <c:pt idx="52">
                  <c:v>4677.9445700000006</c:v>
                </c:pt>
                <c:pt idx="53">
                  <c:v>4678.2262675000002</c:v>
                </c:pt>
                <c:pt idx="54">
                  <c:v>4678.5079650000007</c:v>
                </c:pt>
                <c:pt idx="55">
                  <c:v>4678.7896625000003</c:v>
                </c:pt>
                <c:pt idx="56">
                  <c:v>4679.0713599999999</c:v>
                </c:pt>
                <c:pt idx="57">
                  <c:v>4679.3530575000004</c:v>
                </c:pt>
                <c:pt idx="58">
                  <c:v>4679.634755</c:v>
                </c:pt>
                <c:pt idx="59">
                  <c:v>4679.9164525000006</c:v>
                </c:pt>
                <c:pt idx="60">
                  <c:v>4680.1981500000002</c:v>
                </c:pt>
                <c:pt idx="61">
                  <c:v>4680.2177033333337</c:v>
                </c:pt>
                <c:pt idx="62">
                  <c:v>4680.2372566666672</c:v>
                </c:pt>
                <c:pt idx="63">
                  <c:v>4680.2568099999999</c:v>
                </c:pt>
                <c:pt idx="64">
                  <c:v>4680.2763633333334</c:v>
                </c:pt>
                <c:pt idx="65">
                  <c:v>4680.2959166666669</c:v>
                </c:pt>
                <c:pt idx="66">
                  <c:v>4680.3154699999996</c:v>
                </c:pt>
                <c:pt idx="67">
                  <c:v>4680.3350233333331</c:v>
                </c:pt>
                <c:pt idx="68">
                  <c:v>4680.3545766666666</c:v>
                </c:pt>
                <c:pt idx="69">
                  <c:v>4680.3741300000002</c:v>
                </c:pt>
                <c:pt idx="70">
                  <c:v>4680.3936833333337</c:v>
                </c:pt>
                <c:pt idx="71">
                  <c:v>4680.4132366666663</c:v>
                </c:pt>
                <c:pt idx="72">
                  <c:v>4680.4327899999998</c:v>
                </c:pt>
                <c:pt idx="73">
                  <c:v>4680.2212675000001</c:v>
                </c:pt>
                <c:pt idx="74">
                  <c:v>4680.0097449999994</c:v>
                </c:pt>
                <c:pt idx="75">
                  <c:v>4679.7982224999996</c:v>
                </c:pt>
                <c:pt idx="76">
                  <c:v>4679.5866999999998</c:v>
                </c:pt>
                <c:pt idx="77">
                  <c:v>4679.3751775000001</c:v>
                </c:pt>
                <c:pt idx="78">
                  <c:v>4679.1636550000003</c:v>
                </c:pt>
                <c:pt idx="79">
                  <c:v>4678.9521324999996</c:v>
                </c:pt>
                <c:pt idx="80">
                  <c:v>4678.7406099999998</c:v>
                </c:pt>
                <c:pt idx="81">
                  <c:v>4678.5290875000001</c:v>
                </c:pt>
                <c:pt idx="82">
                  <c:v>4678.3175649999994</c:v>
                </c:pt>
                <c:pt idx="83">
                  <c:v>4678.1060424999996</c:v>
                </c:pt>
                <c:pt idx="84">
                  <c:v>4677.8945199999998</c:v>
                </c:pt>
                <c:pt idx="85">
                  <c:v>4677.4944483333329</c:v>
                </c:pt>
                <c:pt idx="86">
                  <c:v>4677.0943766666669</c:v>
                </c:pt>
                <c:pt idx="87">
                  <c:v>4676.694305</c:v>
                </c:pt>
                <c:pt idx="88">
                  <c:v>4676.2942333333331</c:v>
                </c:pt>
                <c:pt idx="89">
                  <c:v>4675.8941616666671</c:v>
                </c:pt>
                <c:pt idx="90">
                  <c:v>4675.4940900000001</c:v>
                </c:pt>
                <c:pt idx="91">
                  <c:v>4675.0940183333332</c:v>
                </c:pt>
                <c:pt idx="92">
                  <c:v>4674.6939466666672</c:v>
                </c:pt>
                <c:pt idx="93">
                  <c:v>4674.2938750000003</c:v>
                </c:pt>
                <c:pt idx="94">
                  <c:v>4673.8938033333334</c:v>
                </c:pt>
                <c:pt idx="95">
                  <c:v>4673.4937316666674</c:v>
                </c:pt>
                <c:pt idx="96">
                  <c:v>4673.0936600000005</c:v>
                </c:pt>
                <c:pt idx="97">
                  <c:v>4672.5560350000005</c:v>
                </c:pt>
                <c:pt idx="98">
                  <c:v>4672.0184100000006</c:v>
                </c:pt>
                <c:pt idx="99">
                  <c:v>4671.4807850000007</c:v>
                </c:pt>
                <c:pt idx="100">
                  <c:v>4670.9431600000007</c:v>
                </c:pt>
                <c:pt idx="101">
                  <c:v>4670.4055350000008</c:v>
                </c:pt>
                <c:pt idx="102">
                  <c:v>4669.8679100000008</c:v>
                </c:pt>
                <c:pt idx="103">
                  <c:v>4669.330285</c:v>
                </c:pt>
                <c:pt idx="104">
                  <c:v>4668.7926600000001</c:v>
                </c:pt>
                <c:pt idx="105">
                  <c:v>4668.2550350000001</c:v>
                </c:pt>
                <c:pt idx="106">
                  <c:v>4667.7174100000002</c:v>
                </c:pt>
                <c:pt idx="107">
                  <c:v>4667.1797850000003</c:v>
                </c:pt>
                <c:pt idx="108">
                  <c:v>4666.6421600000003</c:v>
                </c:pt>
                <c:pt idx="109">
                  <c:v>4666.0568533333335</c:v>
                </c:pt>
                <c:pt idx="110">
                  <c:v>4665.4715466666667</c:v>
                </c:pt>
                <c:pt idx="111">
                  <c:v>4664.8862399999998</c:v>
                </c:pt>
                <c:pt idx="112">
                  <c:v>4664.3009333333339</c:v>
                </c:pt>
                <c:pt idx="113">
                  <c:v>4663.715626666667</c:v>
                </c:pt>
                <c:pt idx="114">
                  <c:v>4663.1303200000002</c:v>
                </c:pt>
                <c:pt idx="115">
                  <c:v>4662.5450133333334</c:v>
                </c:pt>
                <c:pt idx="116">
                  <c:v>4661.9597066666665</c:v>
                </c:pt>
                <c:pt idx="117">
                  <c:v>4661.3744000000006</c:v>
                </c:pt>
                <c:pt idx="118">
                  <c:v>4660.7890933333338</c:v>
                </c:pt>
                <c:pt idx="119">
                  <c:v>4660.2037866666669</c:v>
                </c:pt>
                <c:pt idx="120">
                  <c:v>4659.6184800000001</c:v>
                </c:pt>
                <c:pt idx="121">
                  <c:v>4659.095430833333</c:v>
                </c:pt>
                <c:pt idx="122">
                  <c:v>4658.5723816666668</c:v>
                </c:pt>
                <c:pt idx="123">
                  <c:v>4658.0493324999998</c:v>
                </c:pt>
                <c:pt idx="124">
                  <c:v>4657.5262833333336</c:v>
                </c:pt>
                <c:pt idx="125">
                  <c:v>4657.0032341666665</c:v>
                </c:pt>
                <c:pt idx="126">
                  <c:v>4656.4801850000003</c:v>
                </c:pt>
                <c:pt idx="127">
                  <c:v>4655.9571358333333</c:v>
                </c:pt>
                <c:pt idx="128">
                  <c:v>4655.4340866666662</c:v>
                </c:pt>
                <c:pt idx="129">
                  <c:v>4654.9110375</c:v>
                </c:pt>
                <c:pt idx="130">
                  <c:v>4654.3879883333329</c:v>
                </c:pt>
                <c:pt idx="131">
                  <c:v>4653.8649391666668</c:v>
                </c:pt>
                <c:pt idx="132">
                  <c:v>4653.3418899999997</c:v>
                </c:pt>
                <c:pt idx="133">
                  <c:v>4652.9881925</c:v>
                </c:pt>
                <c:pt idx="134">
                  <c:v>4652.6344950000002</c:v>
                </c:pt>
                <c:pt idx="135">
                  <c:v>4652.2807974999996</c:v>
                </c:pt>
                <c:pt idx="136">
                  <c:v>4651.9270999999999</c:v>
                </c:pt>
                <c:pt idx="137">
                  <c:v>4651.5734025000002</c:v>
                </c:pt>
                <c:pt idx="138">
                  <c:v>4651.2197049999995</c:v>
                </c:pt>
                <c:pt idx="139">
                  <c:v>4650.8660074999998</c:v>
                </c:pt>
                <c:pt idx="140">
                  <c:v>4650.5123100000001</c:v>
                </c:pt>
                <c:pt idx="141">
                  <c:v>4650.1586125000003</c:v>
                </c:pt>
                <c:pt idx="142">
                  <c:v>4649.8049150000006</c:v>
                </c:pt>
                <c:pt idx="143">
                  <c:v>4649.4512175</c:v>
                </c:pt>
                <c:pt idx="144">
                  <c:v>4649.0975200000003</c:v>
                </c:pt>
                <c:pt idx="145">
                  <c:v>4649.0164166666673</c:v>
                </c:pt>
                <c:pt idx="146">
                  <c:v>4648.9353133333334</c:v>
                </c:pt>
                <c:pt idx="147">
                  <c:v>4648.8542100000004</c:v>
                </c:pt>
                <c:pt idx="148">
                  <c:v>4648.7731066666665</c:v>
                </c:pt>
                <c:pt idx="149">
                  <c:v>4648.6920033333336</c:v>
                </c:pt>
                <c:pt idx="150">
                  <c:v>4648.6108999999997</c:v>
                </c:pt>
                <c:pt idx="151">
                  <c:v>4648.5297966666667</c:v>
                </c:pt>
                <c:pt idx="152">
                  <c:v>4648.4486933333337</c:v>
                </c:pt>
                <c:pt idx="153">
                  <c:v>4648.3675899999998</c:v>
                </c:pt>
                <c:pt idx="154">
                  <c:v>4648.2864866666669</c:v>
                </c:pt>
                <c:pt idx="155">
                  <c:v>4648.205383333333</c:v>
                </c:pt>
                <c:pt idx="156">
                  <c:v>4648.12428</c:v>
                </c:pt>
                <c:pt idx="157">
                  <c:v>4648.3035374999999</c:v>
                </c:pt>
                <c:pt idx="158">
                  <c:v>4648.4827949999999</c:v>
                </c:pt>
                <c:pt idx="159">
                  <c:v>4648.6620524999998</c:v>
                </c:pt>
                <c:pt idx="160">
                  <c:v>4648.8413099999998</c:v>
                </c:pt>
                <c:pt idx="161">
                  <c:v>4649.0205674999997</c:v>
                </c:pt>
                <c:pt idx="162">
                  <c:v>4649.1998249999997</c:v>
                </c:pt>
                <c:pt idx="163">
                  <c:v>4649.3790825000005</c:v>
                </c:pt>
                <c:pt idx="164">
                  <c:v>4649.5583400000005</c:v>
                </c:pt>
                <c:pt idx="165">
                  <c:v>4649.7375975000004</c:v>
                </c:pt>
                <c:pt idx="166">
                  <c:v>4649.9168550000004</c:v>
                </c:pt>
                <c:pt idx="167">
                  <c:v>4650.0961125000003</c:v>
                </c:pt>
                <c:pt idx="168">
                  <c:v>4650.2753700000003</c:v>
                </c:pt>
                <c:pt idx="169">
                  <c:v>4650.6509716666669</c:v>
                </c:pt>
                <c:pt idx="170">
                  <c:v>4651.0265733333335</c:v>
                </c:pt>
                <c:pt idx="171">
                  <c:v>4651.4021750000002</c:v>
                </c:pt>
                <c:pt idx="172">
                  <c:v>4651.7777766666668</c:v>
                </c:pt>
                <c:pt idx="173">
                  <c:v>4652.1533783333334</c:v>
                </c:pt>
                <c:pt idx="174">
                  <c:v>4652.52898</c:v>
                </c:pt>
                <c:pt idx="175">
                  <c:v>4652.9045816666667</c:v>
                </c:pt>
                <c:pt idx="176">
                  <c:v>4653.2801833333333</c:v>
                </c:pt>
                <c:pt idx="177">
                  <c:v>4653.6557849999999</c:v>
                </c:pt>
                <c:pt idx="178">
                  <c:v>4654.0313866666665</c:v>
                </c:pt>
                <c:pt idx="179">
                  <c:v>4654.4069883333332</c:v>
                </c:pt>
                <c:pt idx="180">
                  <c:v>4654.7825899999998</c:v>
                </c:pt>
                <c:pt idx="181">
                  <c:v>4655.3769633333332</c:v>
                </c:pt>
                <c:pt idx="182">
                  <c:v>4655.9713366666665</c:v>
                </c:pt>
                <c:pt idx="183">
                  <c:v>4656.5657099999999</c:v>
                </c:pt>
                <c:pt idx="184">
                  <c:v>4657.1600833333332</c:v>
                </c:pt>
                <c:pt idx="185">
                  <c:v>4657.7544566666666</c:v>
                </c:pt>
                <c:pt idx="186">
                  <c:v>4658.3488299999999</c:v>
                </c:pt>
                <c:pt idx="187">
                  <c:v>4658.9432033333333</c:v>
                </c:pt>
                <c:pt idx="188">
                  <c:v>4659.5375766666666</c:v>
                </c:pt>
                <c:pt idx="189">
                  <c:v>4660.13195</c:v>
                </c:pt>
                <c:pt idx="190">
                  <c:v>4660.7263233333333</c:v>
                </c:pt>
                <c:pt idx="191">
                  <c:v>4661.3206966666667</c:v>
                </c:pt>
                <c:pt idx="192">
                  <c:v>4661.91507</c:v>
                </c:pt>
                <c:pt idx="193">
                  <c:v>4662.6482575</c:v>
                </c:pt>
                <c:pt idx="194">
                  <c:v>4663.381445</c:v>
                </c:pt>
                <c:pt idx="195">
                  <c:v>4664.1146325</c:v>
                </c:pt>
                <c:pt idx="196">
                  <c:v>4664.84782</c:v>
                </c:pt>
                <c:pt idx="197">
                  <c:v>4665.5810074999999</c:v>
                </c:pt>
                <c:pt idx="198">
                  <c:v>4666.3141949999999</c:v>
                </c:pt>
                <c:pt idx="199">
                  <c:v>4667.0473824999999</c:v>
                </c:pt>
                <c:pt idx="200">
                  <c:v>4667.7805699999999</c:v>
                </c:pt>
                <c:pt idx="201">
                  <c:v>4668.5137574999999</c:v>
                </c:pt>
                <c:pt idx="202">
                  <c:v>4669.2469449999999</c:v>
                </c:pt>
                <c:pt idx="203">
                  <c:v>4669.9801324999999</c:v>
                </c:pt>
                <c:pt idx="204">
                  <c:v>4670.7133199999998</c:v>
                </c:pt>
                <c:pt idx="205">
                  <c:v>4671.4651008333331</c:v>
                </c:pt>
                <c:pt idx="206">
                  <c:v>4672.2168816666663</c:v>
                </c:pt>
                <c:pt idx="207">
                  <c:v>4672.9686624999995</c:v>
                </c:pt>
                <c:pt idx="208">
                  <c:v>4673.7204433333336</c:v>
                </c:pt>
                <c:pt idx="209">
                  <c:v>4674.4722241666668</c:v>
                </c:pt>
                <c:pt idx="210">
                  <c:v>4675.224005</c:v>
                </c:pt>
                <c:pt idx="211">
                  <c:v>4675.9757858333332</c:v>
                </c:pt>
                <c:pt idx="212">
                  <c:v>4676.7275666666665</c:v>
                </c:pt>
                <c:pt idx="213">
                  <c:v>4677.4793475000006</c:v>
                </c:pt>
                <c:pt idx="214">
                  <c:v>4678.2311283333338</c:v>
                </c:pt>
                <c:pt idx="215">
                  <c:v>4678.982909166667</c:v>
                </c:pt>
                <c:pt idx="216">
                  <c:v>4679.7346900000002</c:v>
                </c:pt>
                <c:pt idx="217">
                  <c:v>4680.4441658333335</c:v>
                </c:pt>
                <c:pt idx="218">
                  <c:v>4681.1536416666668</c:v>
                </c:pt>
                <c:pt idx="219">
                  <c:v>4681.8631175</c:v>
                </c:pt>
                <c:pt idx="220">
                  <c:v>4682.5725933333333</c:v>
                </c:pt>
                <c:pt idx="221">
                  <c:v>4683.2820691666666</c:v>
                </c:pt>
                <c:pt idx="222">
                  <c:v>4683.9915450000008</c:v>
                </c:pt>
                <c:pt idx="223">
                  <c:v>4684.701020833334</c:v>
                </c:pt>
                <c:pt idx="224">
                  <c:v>4685.4104966666673</c:v>
                </c:pt>
                <c:pt idx="225">
                  <c:v>4686.1199725000006</c:v>
                </c:pt>
                <c:pt idx="226">
                  <c:v>4686.8294483333339</c:v>
                </c:pt>
                <c:pt idx="227">
                  <c:v>4687.5389241666671</c:v>
                </c:pt>
                <c:pt idx="228">
                  <c:v>4688.2484000000004</c:v>
                </c:pt>
                <c:pt idx="229">
                  <c:v>4688.7969075000001</c:v>
                </c:pt>
                <c:pt idx="230">
                  <c:v>4689.3454150000007</c:v>
                </c:pt>
                <c:pt idx="231">
                  <c:v>4689.8939225000004</c:v>
                </c:pt>
                <c:pt idx="232">
                  <c:v>4690.4424300000001</c:v>
                </c:pt>
                <c:pt idx="233">
                  <c:v>4690.9909375000007</c:v>
                </c:pt>
                <c:pt idx="234">
                  <c:v>4691.5394450000003</c:v>
                </c:pt>
                <c:pt idx="235">
                  <c:v>4692.0879525</c:v>
                </c:pt>
                <c:pt idx="236">
                  <c:v>4692.6364600000006</c:v>
                </c:pt>
                <c:pt idx="237">
                  <c:v>4693.1849675000003</c:v>
                </c:pt>
                <c:pt idx="238">
                  <c:v>4693.733475</c:v>
                </c:pt>
                <c:pt idx="239">
                  <c:v>4694.2819825000006</c:v>
                </c:pt>
                <c:pt idx="240">
                  <c:v>4694.8304900000003</c:v>
                </c:pt>
                <c:pt idx="241">
                  <c:v>4695.1484133333333</c:v>
                </c:pt>
                <c:pt idx="242">
                  <c:v>4695.4663366666664</c:v>
                </c:pt>
                <c:pt idx="243">
                  <c:v>4695.7842600000004</c:v>
                </c:pt>
                <c:pt idx="244">
                  <c:v>4696.1021833333334</c:v>
                </c:pt>
                <c:pt idx="245">
                  <c:v>4696.4201066666665</c:v>
                </c:pt>
                <c:pt idx="246">
                  <c:v>4696.7380300000004</c:v>
                </c:pt>
                <c:pt idx="247">
                  <c:v>4697.0559533333335</c:v>
                </c:pt>
                <c:pt idx="248">
                  <c:v>4697.3738766666665</c:v>
                </c:pt>
                <c:pt idx="249">
                  <c:v>4697.6917999999996</c:v>
                </c:pt>
                <c:pt idx="250">
                  <c:v>4698.0097233333327</c:v>
                </c:pt>
                <c:pt idx="251">
                  <c:v>4698.3276466666666</c:v>
                </c:pt>
                <c:pt idx="252">
                  <c:v>4698.6455699999997</c:v>
                </c:pt>
                <c:pt idx="253">
                  <c:v>4698.7102758333331</c:v>
                </c:pt>
                <c:pt idx="254">
                  <c:v>4698.7749816666665</c:v>
                </c:pt>
                <c:pt idx="255">
                  <c:v>4698.8396874999999</c:v>
                </c:pt>
                <c:pt idx="256">
                  <c:v>4698.9043933333332</c:v>
                </c:pt>
                <c:pt idx="257">
                  <c:v>4698.9690991666666</c:v>
                </c:pt>
                <c:pt idx="258">
                  <c:v>4699.033805</c:v>
                </c:pt>
                <c:pt idx="259">
                  <c:v>4699.0985108333334</c:v>
                </c:pt>
                <c:pt idx="260">
                  <c:v>4699.1632166666668</c:v>
                </c:pt>
                <c:pt idx="261">
                  <c:v>4699.2279225000002</c:v>
                </c:pt>
                <c:pt idx="262">
                  <c:v>4699.2926283333336</c:v>
                </c:pt>
                <c:pt idx="263">
                  <c:v>4699.357334166667</c:v>
                </c:pt>
                <c:pt idx="264">
                  <c:v>4699.4220400000004</c:v>
                </c:pt>
                <c:pt idx="265">
                  <c:v>4699.26865</c:v>
                </c:pt>
                <c:pt idx="266">
                  <c:v>4699.1152600000005</c:v>
                </c:pt>
                <c:pt idx="267">
                  <c:v>4698.9618700000001</c:v>
                </c:pt>
                <c:pt idx="268">
                  <c:v>4698.8084800000006</c:v>
                </c:pt>
                <c:pt idx="269">
                  <c:v>4698.6550900000002</c:v>
                </c:pt>
                <c:pt idx="270">
                  <c:v>4698.5017000000007</c:v>
                </c:pt>
                <c:pt idx="271">
                  <c:v>4698.3483100000003</c:v>
                </c:pt>
                <c:pt idx="272">
                  <c:v>4698.1949199999999</c:v>
                </c:pt>
                <c:pt idx="273">
                  <c:v>4698.0415300000004</c:v>
                </c:pt>
                <c:pt idx="274">
                  <c:v>4697.88814</c:v>
                </c:pt>
                <c:pt idx="275">
                  <c:v>4697.7347500000005</c:v>
                </c:pt>
                <c:pt idx="276">
                  <c:v>4697.5813600000001</c:v>
                </c:pt>
                <c:pt idx="277">
                  <c:v>4697.2565066666666</c:v>
                </c:pt>
                <c:pt idx="278">
                  <c:v>4696.9316533333331</c:v>
                </c:pt>
                <c:pt idx="279">
                  <c:v>4696.6067999999996</c:v>
                </c:pt>
                <c:pt idx="280">
                  <c:v>4696.281946666667</c:v>
                </c:pt>
                <c:pt idx="281">
                  <c:v>4695.9570933333334</c:v>
                </c:pt>
                <c:pt idx="282">
                  <c:v>4695.6322399999999</c:v>
                </c:pt>
                <c:pt idx="283">
                  <c:v>4695.3073866666664</c:v>
                </c:pt>
                <c:pt idx="284">
                  <c:v>4694.9825333333329</c:v>
                </c:pt>
                <c:pt idx="285">
                  <c:v>4694.6576800000003</c:v>
                </c:pt>
                <c:pt idx="286">
                  <c:v>4694.3328266666667</c:v>
                </c:pt>
                <c:pt idx="287">
                  <c:v>4694.0079733333332</c:v>
                </c:pt>
                <c:pt idx="288">
                  <c:v>4693.6831199999997</c:v>
                </c:pt>
                <c:pt idx="289">
                  <c:v>4693.2620808333331</c:v>
                </c:pt>
                <c:pt idx="290">
                  <c:v>4692.8410416666666</c:v>
                </c:pt>
                <c:pt idx="291">
                  <c:v>4692.4200025</c:v>
                </c:pt>
                <c:pt idx="292">
                  <c:v>4691.9989633333334</c:v>
                </c:pt>
                <c:pt idx="293">
                  <c:v>4691.5779241666669</c:v>
                </c:pt>
                <c:pt idx="294">
                  <c:v>4691.1568850000003</c:v>
                </c:pt>
                <c:pt idx="295">
                  <c:v>4690.7358458333329</c:v>
                </c:pt>
                <c:pt idx="296">
                  <c:v>4690.3148066666663</c:v>
                </c:pt>
                <c:pt idx="297">
                  <c:v>4689.8937674999997</c:v>
                </c:pt>
                <c:pt idx="298">
                  <c:v>4689.4727283333332</c:v>
                </c:pt>
                <c:pt idx="299">
                  <c:v>4689.0516891666666</c:v>
                </c:pt>
                <c:pt idx="300">
                  <c:v>4688.6306500000001</c:v>
                </c:pt>
                <c:pt idx="301">
                  <c:v>4688.1916816666671</c:v>
                </c:pt>
                <c:pt idx="302">
                  <c:v>4687.7527133333333</c:v>
                </c:pt>
                <c:pt idx="303">
                  <c:v>4687.3137450000004</c:v>
                </c:pt>
                <c:pt idx="304">
                  <c:v>4686.8747766666665</c:v>
                </c:pt>
                <c:pt idx="305">
                  <c:v>4686.4358083333336</c:v>
                </c:pt>
                <c:pt idx="306">
                  <c:v>4685.9968399999998</c:v>
                </c:pt>
                <c:pt idx="307">
                  <c:v>4685.5578716666669</c:v>
                </c:pt>
                <c:pt idx="308">
                  <c:v>4685.1189033333339</c:v>
                </c:pt>
                <c:pt idx="309">
                  <c:v>4684.6799350000001</c:v>
                </c:pt>
                <c:pt idx="310">
                  <c:v>4684.2409666666672</c:v>
                </c:pt>
                <c:pt idx="311">
                  <c:v>4683.8019983333334</c:v>
                </c:pt>
                <c:pt idx="312">
                  <c:v>4683.3630300000004</c:v>
                </c:pt>
                <c:pt idx="313">
                  <c:v>4682.9009108333339</c:v>
                </c:pt>
                <c:pt idx="314">
                  <c:v>4682.4387916666674</c:v>
                </c:pt>
                <c:pt idx="315">
                  <c:v>4681.9766725000009</c:v>
                </c:pt>
                <c:pt idx="316">
                  <c:v>4681.5145533333334</c:v>
                </c:pt>
                <c:pt idx="317">
                  <c:v>4681.0524341666669</c:v>
                </c:pt>
                <c:pt idx="318">
                  <c:v>4680.5903150000004</c:v>
                </c:pt>
                <c:pt idx="319">
                  <c:v>4680.1281958333338</c:v>
                </c:pt>
                <c:pt idx="320">
                  <c:v>4679.6660766666673</c:v>
                </c:pt>
                <c:pt idx="321">
                  <c:v>4679.2039574999999</c:v>
                </c:pt>
                <c:pt idx="322">
                  <c:v>4678.7418383333334</c:v>
                </c:pt>
                <c:pt idx="323">
                  <c:v>4678.2797191666668</c:v>
                </c:pt>
                <c:pt idx="324">
                  <c:v>4677.8176000000003</c:v>
                </c:pt>
                <c:pt idx="325">
                  <c:v>4677.3967874999998</c:v>
                </c:pt>
                <c:pt idx="326">
                  <c:v>4676.9759750000003</c:v>
                </c:pt>
                <c:pt idx="327">
                  <c:v>4676.5551625000007</c:v>
                </c:pt>
                <c:pt idx="328">
                  <c:v>4676.1343500000003</c:v>
                </c:pt>
                <c:pt idx="329">
                  <c:v>4675.7135374999998</c:v>
                </c:pt>
                <c:pt idx="330">
                  <c:v>4675.2927250000002</c:v>
                </c:pt>
                <c:pt idx="331">
                  <c:v>4674.8719125000007</c:v>
                </c:pt>
                <c:pt idx="332">
                  <c:v>4674.4511000000002</c:v>
                </c:pt>
                <c:pt idx="333">
                  <c:v>4674.0302874999998</c:v>
                </c:pt>
                <c:pt idx="334">
                  <c:v>4673.6094750000002</c:v>
                </c:pt>
                <c:pt idx="335">
                  <c:v>4673.1886625000006</c:v>
                </c:pt>
                <c:pt idx="336">
                  <c:v>4672.7678500000002</c:v>
                </c:pt>
                <c:pt idx="337">
                  <c:v>4672.4343625000001</c:v>
                </c:pt>
                <c:pt idx="338">
                  <c:v>4672.1008750000001</c:v>
                </c:pt>
                <c:pt idx="339">
                  <c:v>4671.7673875</c:v>
                </c:pt>
                <c:pt idx="340">
                  <c:v>4671.4339</c:v>
                </c:pt>
                <c:pt idx="341">
                  <c:v>4671.1004124999999</c:v>
                </c:pt>
                <c:pt idx="342">
                  <c:v>4670.7669249999999</c:v>
                </c:pt>
                <c:pt idx="343">
                  <c:v>4670.4334374999999</c:v>
                </c:pt>
                <c:pt idx="344">
                  <c:v>4670.0999499999998</c:v>
                </c:pt>
                <c:pt idx="345">
                  <c:v>4669.7664624999998</c:v>
                </c:pt>
                <c:pt idx="346">
                  <c:v>4669.4329749999997</c:v>
                </c:pt>
                <c:pt idx="347">
                  <c:v>4669.0994874999997</c:v>
                </c:pt>
                <c:pt idx="348">
                  <c:v>4668.7659999999996</c:v>
                </c:pt>
                <c:pt idx="349">
                  <c:v>4668.5480908333329</c:v>
                </c:pt>
                <c:pt idx="350">
                  <c:v>4668.3301816666662</c:v>
                </c:pt>
                <c:pt idx="351">
                  <c:v>4668.1122724999996</c:v>
                </c:pt>
                <c:pt idx="352">
                  <c:v>4667.8943633333329</c:v>
                </c:pt>
                <c:pt idx="353">
                  <c:v>4667.6764541666662</c:v>
                </c:pt>
                <c:pt idx="354">
                  <c:v>4667.4585449999995</c:v>
                </c:pt>
                <c:pt idx="355">
                  <c:v>4667.2406358333337</c:v>
                </c:pt>
                <c:pt idx="356">
                  <c:v>4667.022726666667</c:v>
                </c:pt>
                <c:pt idx="357">
                  <c:v>4666.8048175000004</c:v>
                </c:pt>
                <c:pt idx="358">
                  <c:v>4666.5869083333337</c:v>
                </c:pt>
                <c:pt idx="359">
                  <c:v>4666.368999166667</c:v>
                </c:pt>
                <c:pt idx="360">
                  <c:v>4666.1510900000003</c:v>
                </c:pt>
                <c:pt idx="361">
                  <c:v>4666.0130316666673</c:v>
                </c:pt>
                <c:pt idx="362">
                  <c:v>4665.8749733333334</c:v>
                </c:pt>
                <c:pt idx="363">
                  <c:v>4665.7369150000004</c:v>
                </c:pt>
                <c:pt idx="364">
                  <c:v>4665.5988566666665</c:v>
                </c:pt>
                <c:pt idx="365">
                  <c:v>4665.4607983333335</c:v>
                </c:pt>
                <c:pt idx="366">
                  <c:v>4665.3227399999996</c:v>
                </c:pt>
                <c:pt idx="367">
                  <c:v>4665.1846816666666</c:v>
                </c:pt>
                <c:pt idx="368">
                  <c:v>4665.0466233333336</c:v>
                </c:pt>
                <c:pt idx="369">
                  <c:v>4664.9085649999997</c:v>
                </c:pt>
                <c:pt idx="370">
                  <c:v>4664.7705066666667</c:v>
                </c:pt>
                <c:pt idx="371">
                  <c:v>4664.6324483333328</c:v>
                </c:pt>
                <c:pt idx="372">
                  <c:v>4664.4943899999998</c:v>
                </c:pt>
                <c:pt idx="373">
                  <c:v>4664.4131566666665</c:v>
                </c:pt>
                <c:pt idx="374">
                  <c:v>4664.3319233333332</c:v>
                </c:pt>
                <c:pt idx="375">
                  <c:v>4664.2506899999998</c:v>
                </c:pt>
                <c:pt idx="376">
                  <c:v>4664.1694566666665</c:v>
                </c:pt>
                <c:pt idx="377">
                  <c:v>4664.0882233333332</c:v>
                </c:pt>
                <c:pt idx="378">
                  <c:v>4664.0069899999999</c:v>
                </c:pt>
                <c:pt idx="379">
                  <c:v>4663.9257566666665</c:v>
                </c:pt>
                <c:pt idx="380">
                  <c:v>4663.8445233333332</c:v>
                </c:pt>
                <c:pt idx="381">
                  <c:v>4663.7632899999999</c:v>
                </c:pt>
                <c:pt idx="382">
                  <c:v>4663.6820566666665</c:v>
                </c:pt>
                <c:pt idx="383">
                  <c:v>4663.6008233333332</c:v>
                </c:pt>
                <c:pt idx="384">
                  <c:v>4663.5195899999999</c:v>
                </c:pt>
                <c:pt idx="385">
                  <c:v>4663.4475883333334</c:v>
                </c:pt>
                <c:pt idx="386">
                  <c:v>4663.375586666667</c:v>
                </c:pt>
                <c:pt idx="387">
                  <c:v>4663.3035849999997</c:v>
                </c:pt>
                <c:pt idx="388">
                  <c:v>4663.2315833333332</c:v>
                </c:pt>
                <c:pt idx="389">
                  <c:v>4663.1595816666668</c:v>
                </c:pt>
                <c:pt idx="390">
                  <c:v>4663.0875799999994</c:v>
                </c:pt>
                <c:pt idx="391">
                  <c:v>4663.015578333333</c:v>
                </c:pt>
                <c:pt idx="392">
                  <c:v>4662.9435766666666</c:v>
                </c:pt>
                <c:pt idx="393">
                  <c:v>4662.8715750000001</c:v>
                </c:pt>
                <c:pt idx="394">
                  <c:v>4662.7995733333337</c:v>
                </c:pt>
                <c:pt idx="395">
                  <c:v>4662.7275716666663</c:v>
                </c:pt>
                <c:pt idx="396">
                  <c:v>4662.6555699999999</c:v>
                </c:pt>
                <c:pt idx="397">
                  <c:v>4662.529171666667</c:v>
                </c:pt>
                <c:pt idx="398">
                  <c:v>4662.4027733333332</c:v>
                </c:pt>
                <c:pt idx="399">
                  <c:v>4662.2763749999995</c:v>
                </c:pt>
                <c:pt idx="400">
                  <c:v>4662.1499766666666</c:v>
                </c:pt>
                <c:pt idx="401">
                  <c:v>4662.0235783333337</c:v>
                </c:pt>
                <c:pt idx="402">
                  <c:v>4661.8971799999999</c:v>
                </c:pt>
                <c:pt idx="403">
                  <c:v>4661.7707816666662</c:v>
                </c:pt>
                <c:pt idx="404">
                  <c:v>4661.6443833333333</c:v>
                </c:pt>
                <c:pt idx="405">
                  <c:v>4661.5179850000004</c:v>
                </c:pt>
                <c:pt idx="406">
                  <c:v>4661.3915866666666</c:v>
                </c:pt>
                <c:pt idx="407">
                  <c:v>4661.2651883333328</c:v>
                </c:pt>
                <c:pt idx="408">
                  <c:v>4661.13879</c:v>
                </c:pt>
                <c:pt idx="409">
                  <c:v>4660.974033333333</c:v>
                </c:pt>
                <c:pt idx="410">
                  <c:v>4660.8092766666668</c:v>
                </c:pt>
                <c:pt idx="411">
                  <c:v>4660.6445199999998</c:v>
                </c:pt>
                <c:pt idx="412">
                  <c:v>4660.4797633333337</c:v>
                </c:pt>
                <c:pt idx="413">
                  <c:v>4660.3150066666667</c:v>
                </c:pt>
                <c:pt idx="414">
                  <c:v>4660.1502500000006</c:v>
                </c:pt>
                <c:pt idx="415">
                  <c:v>4659.9854933333336</c:v>
                </c:pt>
                <c:pt idx="416">
                  <c:v>4659.8207366666666</c:v>
                </c:pt>
                <c:pt idx="417">
                  <c:v>4659.6559800000005</c:v>
                </c:pt>
                <c:pt idx="418">
                  <c:v>4659.4912233333334</c:v>
                </c:pt>
                <c:pt idx="419">
                  <c:v>4659.3264666666673</c:v>
                </c:pt>
                <c:pt idx="420">
                  <c:v>4659.1617100000003</c:v>
                </c:pt>
                <c:pt idx="421">
                  <c:v>4658.9959333333336</c:v>
                </c:pt>
                <c:pt idx="422">
                  <c:v>4658.8301566666669</c:v>
                </c:pt>
                <c:pt idx="423">
                  <c:v>4658.6643800000002</c:v>
                </c:pt>
                <c:pt idx="424">
                  <c:v>4658.4986033333334</c:v>
                </c:pt>
                <c:pt idx="425">
                  <c:v>4658.3328266666667</c:v>
                </c:pt>
                <c:pt idx="426">
                  <c:v>4658.16705</c:v>
                </c:pt>
                <c:pt idx="427">
                  <c:v>4658.0012733333333</c:v>
                </c:pt>
                <c:pt idx="428">
                  <c:v>4657.8354966666666</c:v>
                </c:pt>
                <c:pt idx="429">
                  <c:v>4657.6697199999999</c:v>
                </c:pt>
                <c:pt idx="430">
                  <c:v>4657.5039433333332</c:v>
                </c:pt>
                <c:pt idx="431">
                  <c:v>4657.3381666666664</c:v>
                </c:pt>
                <c:pt idx="432">
                  <c:v>4657.1723899999997</c:v>
                </c:pt>
                <c:pt idx="433">
                  <c:v>4657.0555624999997</c:v>
                </c:pt>
                <c:pt idx="434">
                  <c:v>4656.9387349999997</c:v>
                </c:pt>
                <c:pt idx="435">
                  <c:v>4656.8219074999997</c:v>
                </c:pt>
                <c:pt idx="436">
                  <c:v>4656.7050799999997</c:v>
                </c:pt>
                <c:pt idx="437">
                  <c:v>4656.5882524999997</c:v>
                </c:pt>
                <c:pt idx="438">
                  <c:v>4656.4714249999997</c:v>
                </c:pt>
                <c:pt idx="439">
                  <c:v>4656.3545974999997</c:v>
                </c:pt>
                <c:pt idx="440">
                  <c:v>4656.2377699999997</c:v>
                </c:pt>
                <c:pt idx="441">
                  <c:v>4656.1209424999997</c:v>
                </c:pt>
                <c:pt idx="442">
                  <c:v>4656.0041149999997</c:v>
                </c:pt>
                <c:pt idx="443">
                  <c:v>4655.8872874999997</c:v>
                </c:pt>
                <c:pt idx="444">
                  <c:v>4655.7704599999997</c:v>
                </c:pt>
                <c:pt idx="445">
                  <c:v>4655.7842291666666</c:v>
                </c:pt>
                <c:pt idx="446">
                  <c:v>4655.7979983333335</c:v>
                </c:pt>
                <c:pt idx="447">
                  <c:v>4655.8117674999994</c:v>
                </c:pt>
                <c:pt idx="448">
                  <c:v>4655.8255366666663</c:v>
                </c:pt>
                <c:pt idx="449">
                  <c:v>4655.8393058333331</c:v>
                </c:pt>
                <c:pt idx="450">
                  <c:v>4655.853075</c:v>
                </c:pt>
                <c:pt idx="451">
                  <c:v>4655.8668441666669</c:v>
                </c:pt>
                <c:pt idx="452">
                  <c:v>4655.8806133333337</c:v>
                </c:pt>
                <c:pt idx="453">
                  <c:v>4655.8943825000006</c:v>
                </c:pt>
                <c:pt idx="454">
                  <c:v>4655.9081516666665</c:v>
                </c:pt>
                <c:pt idx="455">
                  <c:v>4655.9219208333334</c:v>
                </c:pt>
                <c:pt idx="456">
                  <c:v>4655.9356900000002</c:v>
                </c:pt>
                <c:pt idx="457">
                  <c:v>4656.1187850000006</c:v>
                </c:pt>
                <c:pt idx="458">
                  <c:v>4656.30188</c:v>
                </c:pt>
                <c:pt idx="459">
                  <c:v>4656.4849750000003</c:v>
                </c:pt>
                <c:pt idx="460">
                  <c:v>4656.6680699999997</c:v>
                </c:pt>
                <c:pt idx="461">
                  <c:v>4656.851165</c:v>
                </c:pt>
                <c:pt idx="462">
                  <c:v>4657.0342600000004</c:v>
                </c:pt>
                <c:pt idx="463">
                  <c:v>4657.2173549999998</c:v>
                </c:pt>
                <c:pt idx="464">
                  <c:v>4657.4004500000001</c:v>
                </c:pt>
                <c:pt idx="465">
                  <c:v>4657.5835449999995</c:v>
                </c:pt>
                <c:pt idx="466">
                  <c:v>4657.7666399999998</c:v>
                </c:pt>
                <c:pt idx="467">
                  <c:v>4657.9497349999992</c:v>
                </c:pt>
                <c:pt idx="468">
                  <c:v>4658.1328299999996</c:v>
                </c:pt>
                <c:pt idx="469">
                  <c:v>4658.4650149999998</c:v>
                </c:pt>
                <c:pt idx="470">
                  <c:v>4658.7972</c:v>
                </c:pt>
                <c:pt idx="471">
                  <c:v>4659.1293850000002</c:v>
                </c:pt>
                <c:pt idx="472">
                  <c:v>4659.4615699999995</c:v>
                </c:pt>
                <c:pt idx="473">
                  <c:v>4659.7937549999997</c:v>
                </c:pt>
                <c:pt idx="474">
                  <c:v>4660.1259399999999</c:v>
                </c:pt>
                <c:pt idx="475">
                  <c:v>4660.4581250000001</c:v>
                </c:pt>
                <c:pt idx="476">
                  <c:v>4660.7903100000003</c:v>
                </c:pt>
                <c:pt idx="477">
                  <c:v>4661.1224949999996</c:v>
                </c:pt>
                <c:pt idx="478">
                  <c:v>4661.4546799999998</c:v>
                </c:pt>
                <c:pt idx="479">
                  <c:v>4661.786865</c:v>
                </c:pt>
                <c:pt idx="480">
                  <c:v>4662.1190500000002</c:v>
                </c:pt>
                <c:pt idx="481">
                  <c:v>4662.5608033333338</c:v>
                </c:pt>
                <c:pt idx="482">
                  <c:v>4663.0025566666664</c:v>
                </c:pt>
                <c:pt idx="483">
                  <c:v>4663.4443099999999</c:v>
                </c:pt>
                <c:pt idx="484">
                  <c:v>4663.8860633333334</c:v>
                </c:pt>
                <c:pt idx="485">
                  <c:v>4664.3278166666669</c:v>
                </c:pt>
                <c:pt idx="486">
                  <c:v>4664.7695700000004</c:v>
                </c:pt>
                <c:pt idx="487">
                  <c:v>4665.211323333333</c:v>
                </c:pt>
                <c:pt idx="488">
                  <c:v>4665.6530766666665</c:v>
                </c:pt>
                <c:pt idx="489">
                  <c:v>4666.09483</c:v>
                </c:pt>
                <c:pt idx="490">
                  <c:v>4666.5365833333326</c:v>
                </c:pt>
                <c:pt idx="491">
                  <c:v>4666.9783366666661</c:v>
                </c:pt>
                <c:pt idx="492">
                  <c:v>4667.4200899999996</c:v>
                </c:pt>
                <c:pt idx="493">
                  <c:v>4667.9013283333334</c:v>
                </c:pt>
                <c:pt idx="494">
                  <c:v>4668.3825666666662</c:v>
                </c:pt>
                <c:pt idx="495">
                  <c:v>4668.863805</c:v>
                </c:pt>
                <c:pt idx="496">
                  <c:v>4669.3450433333328</c:v>
                </c:pt>
                <c:pt idx="497">
                  <c:v>4669.8262816666665</c:v>
                </c:pt>
                <c:pt idx="498">
                  <c:v>4670.3075200000003</c:v>
                </c:pt>
                <c:pt idx="499">
                  <c:v>4670.7887583333331</c:v>
                </c:pt>
                <c:pt idx="500">
                  <c:v>4671.2699966666669</c:v>
                </c:pt>
                <c:pt idx="501">
                  <c:v>4671.7512349999997</c:v>
                </c:pt>
                <c:pt idx="502">
                  <c:v>4672.2324733333335</c:v>
                </c:pt>
                <c:pt idx="503">
                  <c:v>4672.7137116666663</c:v>
                </c:pt>
                <c:pt idx="504">
                  <c:v>4673.1949500000001</c:v>
                </c:pt>
                <c:pt idx="505">
                  <c:v>4673.6126350000004</c:v>
                </c:pt>
                <c:pt idx="506">
                  <c:v>4674.0303199999998</c:v>
                </c:pt>
                <c:pt idx="507">
                  <c:v>4674.4480050000002</c:v>
                </c:pt>
                <c:pt idx="508">
                  <c:v>4674.8656899999996</c:v>
                </c:pt>
                <c:pt idx="509">
                  <c:v>4675.283375</c:v>
                </c:pt>
                <c:pt idx="510">
                  <c:v>4675.7010599999994</c:v>
                </c:pt>
                <c:pt idx="511">
                  <c:v>4676.1187449999998</c:v>
                </c:pt>
                <c:pt idx="512">
                  <c:v>4676.5364300000001</c:v>
                </c:pt>
                <c:pt idx="513">
                  <c:v>4676.9541149999995</c:v>
                </c:pt>
                <c:pt idx="514">
                  <c:v>4677.3717999999999</c:v>
                </c:pt>
                <c:pt idx="515">
                  <c:v>4677.7894849999993</c:v>
                </c:pt>
                <c:pt idx="516">
                  <c:v>4678.2071699999997</c:v>
                </c:pt>
                <c:pt idx="517">
                  <c:v>4678.389965833333</c:v>
                </c:pt>
                <c:pt idx="518">
                  <c:v>4678.5727616666663</c:v>
                </c:pt>
                <c:pt idx="519">
                  <c:v>4678.7555574999997</c:v>
                </c:pt>
                <c:pt idx="520">
                  <c:v>4678.938353333333</c:v>
                </c:pt>
                <c:pt idx="521">
                  <c:v>4679.1211491666663</c:v>
                </c:pt>
                <c:pt idx="522">
                  <c:v>4679.3039449999997</c:v>
                </c:pt>
                <c:pt idx="523">
                  <c:v>4679.486740833333</c:v>
                </c:pt>
                <c:pt idx="524">
                  <c:v>4679.6695366666663</c:v>
                </c:pt>
                <c:pt idx="525">
                  <c:v>4679.8523324999996</c:v>
                </c:pt>
                <c:pt idx="526">
                  <c:v>4680.035128333333</c:v>
                </c:pt>
                <c:pt idx="527">
                  <c:v>4680.2179241666663</c:v>
                </c:pt>
                <c:pt idx="528">
                  <c:v>4680.4007199999996</c:v>
                </c:pt>
                <c:pt idx="529">
                  <c:v>4680.2796733333325</c:v>
                </c:pt>
                <c:pt idx="530">
                  <c:v>4680.1586266666664</c:v>
                </c:pt>
                <c:pt idx="531">
                  <c:v>4680.0375800000002</c:v>
                </c:pt>
                <c:pt idx="532">
                  <c:v>4679.9165333333331</c:v>
                </c:pt>
                <c:pt idx="533">
                  <c:v>4679.795486666666</c:v>
                </c:pt>
                <c:pt idx="534">
                  <c:v>4679.6744399999998</c:v>
                </c:pt>
                <c:pt idx="535">
                  <c:v>4679.5533933333336</c:v>
                </c:pt>
                <c:pt idx="536">
                  <c:v>4679.4323466666665</c:v>
                </c:pt>
                <c:pt idx="537">
                  <c:v>4679.3112999999994</c:v>
                </c:pt>
                <c:pt idx="538">
                  <c:v>4679.1902533333332</c:v>
                </c:pt>
                <c:pt idx="539">
                  <c:v>4679.069206666667</c:v>
                </c:pt>
                <c:pt idx="540">
                  <c:v>4678.9481599999999</c:v>
                </c:pt>
                <c:pt idx="541">
                  <c:v>4678.5680641666668</c:v>
                </c:pt>
                <c:pt idx="542">
                  <c:v>4678.1879683333336</c:v>
                </c:pt>
                <c:pt idx="543">
                  <c:v>4677.8078724999996</c:v>
                </c:pt>
                <c:pt idx="544">
                  <c:v>4677.4277766666664</c:v>
                </c:pt>
                <c:pt idx="545">
                  <c:v>4677.0476808333333</c:v>
                </c:pt>
                <c:pt idx="546">
                  <c:v>4676.6675850000001</c:v>
                </c:pt>
                <c:pt idx="547">
                  <c:v>4676.287489166667</c:v>
                </c:pt>
                <c:pt idx="548">
                  <c:v>4675.9073933333339</c:v>
                </c:pt>
                <c:pt idx="549">
                  <c:v>4675.5272975000007</c:v>
                </c:pt>
                <c:pt idx="550">
                  <c:v>4675.1472016666667</c:v>
                </c:pt>
                <c:pt idx="551">
                  <c:v>4674.7671058333335</c:v>
                </c:pt>
                <c:pt idx="552">
                  <c:v>4674.3870100000004</c:v>
                </c:pt>
                <c:pt idx="553">
                  <c:v>4673.8698016666667</c:v>
                </c:pt>
                <c:pt idx="554">
                  <c:v>4673.352593333334</c:v>
                </c:pt>
                <c:pt idx="555">
                  <c:v>4672.8353850000003</c:v>
                </c:pt>
                <c:pt idx="556">
                  <c:v>4672.3181766666667</c:v>
                </c:pt>
                <c:pt idx="557">
                  <c:v>4671.8009683333339</c:v>
                </c:pt>
                <c:pt idx="558">
                  <c:v>4671.2837600000003</c:v>
                </c:pt>
                <c:pt idx="559">
                  <c:v>4670.7665516666666</c:v>
                </c:pt>
                <c:pt idx="560">
                  <c:v>4670.2493433333339</c:v>
                </c:pt>
                <c:pt idx="561">
                  <c:v>4669.7321350000002</c:v>
                </c:pt>
                <c:pt idx="562">
                  <c:v>4669.2149266666665</c:v>
                </c:pt>
                <c:pt idx="563">
                  <c:v>4668.6977183333338</c:v>
                </c:pt>
                <c:pt idx="564">
                  <c:v>4668.1805100000001</c:v>
                </c:pt>
                <c:pt idx="565">
                  <c:v>4667.657484166667</c:v>
                </c:pt>
                <c:pt idx="566">
                  <c:v>4667.1344583333339</c:v>
                </c:pt>
                <c:pt idx="567">
                  <c:v>4666.6114324999999</c:v>
                </c:pt>
                <c:pt idx="568">
                  <c:v>4666.0884066666667</c:v>
                </c:pt>
                <c:pt idx="569">
                  <c:v>4665.5653808333336</c:v>
                </c:pt>
                <c:pt idx="570">
                  <c:v>4665.0423549999996</c:v>
                </c:pt>
                <c:pt idx="571">
                  <c:v>4664.5193291666665</c:v>
                </c:pt>
                <c:pt idx="572">
                  <c:v>4663.9963033333333</c:v>
                </c:pt>
                <c:pt idx="573">
                  <c:v>4663.4732775000002</c:v>
                </c:pt>
                <c:pt idx="574">
                  <c:v>4662.9502516666671</c:v>
                </c:pt>
                <c:pt idx="575">
                  <c:v>4662.4272258333331</c:v>
                </c:pt>
                <c:pt idx="576">
                  <c:v>4661.9041999999999</c:v>
                </c:pt>
                <c:pt idx="577">
                  <c:v>4661.5787625000003</c:v>
                </c:pt>
                <c:pt idx="578">
                  <c:v>4661.2533249999997</c:v>
                </c:pt>
                <c:pt idx="579">
                  <c:v>4660.9278875</c:v>
                </c:pt>
                <c:pt idx="580">
                  <c:v>4660.6024500000003</c:v>
                </c:pt>
                <c:pt idx="581">
                  <c:v>4660.2770124999997</c:v>
                </c:pt>
                <c:pt idx="582">
                  <c:v>4659.951575</c:v>
                </c:pt>
                <c:pt idx="583">
                  <c:v>4659.6261375000004</c:v>
                </c:pt>
                <c:pt idx="584">
                  <c:v>4659.3006999999998</c:v>
                </c:pt>
                <c:pt idx="585">
                  <c:v>4658.9752625000001</c:v>
                </c:pt>
                <c:pt idx="586">
                  <c:v>4658.6498250000004</c:v>
                </c:pt>
                <c:pt idx="587">
                  <c:v>4658.3243874999998</c:v>
                </c:pt>
                <c:pt idx="588">
                  <c:v>4657.9989500000001</c:v>
                </c:pt>
                <c:pt idx="589">
                  <c:v>4658.0614983333335</c:v>
                </c:pt>
                <c:pt idx="590">
                  <c:v>4658.1240466666668</c:v>
                </c:pt>
                <c:pt idx="591">
                  <c:v>4658.1865950000001</c:v>
                </c:pt>
                <c:pt idx="592">
                  <c:v>4658.2491433333334</c:v>
                </c:pt>
                <c:pt idx="593">
                  <c:v>4658.3116916666668</c:v>
                </c:pt>
                <c:pt idx="594">
                  <c:v>4658.3742400000001</c:v>
                </c:pt>
                <c:pt idx="595">
                  <c:v>4658.4367883333334</c:v>
                </c:pt>
                <c:pt idx="596">
                  <c:v>4658.4993366666667</c:v>
                </c:pt>
                <c:pt idx="597">
                  <c:v>4658.5618850000001</c:v>
                </c:pt>
                <c:pt idx="598">
                  <c:v>4658.6244333333334</c:v>
                </c:pt>
                <c:pt idx="599">
                  <c:v>4658.6869816666667</c:v>
                </c:pt>
                <c:pt idx="600">
                  <c:v>4658.74953</c:v>
                </c:pt>
                <c:pt idx="601">
                  <c:v>4659.3547250000001</c:v>
                </c:pt>
                <c:pt idx="602">
                  <c:v>4659.9599200000002</c:v>
                </c:pt>
                <c:pt idx="603">
                  <c:v>4660.5651150000003</c:v>
                </c:pt>
                <c:pt idx="604">
                  <c:v>4661.1703100000004</c:v>
                </c:pt>
                <c:pt idx="605">
                  <c:v>4661.7755050000005</c:v>
                </c:pt>
                <c:pt idx="606">
                  <c:v>4662.3806999999997</c:v>
                </c:pt>
                <c:pt idx="607">
                  <c:v>4662.9858949999998</c:v>
                </c:pt>
                <c:pt idx="608">
                  <c:v>4663.5910899999999</c:v>
                </c:pt>
                <c:pt idx="609">
                  <c:v>4664.196285</c:v>
                </c:pt>
                <c:pt idx="610">
                  <c:v>4664.8014800000001</c:v>
                </c:pt>
                <c:pt idx="611">
                  <c:v>4665.4066750000002</c:v>
                </c:pt>
                <c:pt idx="612">
                  <c:v>4666.0118700000003</c:v>
                </c:pt>
                <c:pt idx="613">
                  <c:v>4667.2201700000005</c:v>
                </c:pt>
                <c:pt idx="614">
                  <c:v>4668.4284700000007</c:v>
                </c:pt>
                <c:pt idx="615">
                  <c:v>4669.6367700000001</c:v>
                </c:pt>
                <c:pt idx="616">
                  <c:v>4670.8450700000003</c:v>
                </c:pt>
                <c:pt idx="617">
                  <c:v>4672.0533700000005</c:v>
                </c:pt>
                <c:pt idx="618">
                  <c:v>4673.2616699999999</c:v>
                </c:pt>
                <c:pt idx="619">
                  <c:v>4674.4699700000001</c:v>
                </c:pt>
                <c:pt idx="620">
                  <c:v>4675.6782700000003</c:v>
                </c:pt>
                <c:pt idx="621">
                  <c:v>4676.8865700000006</c:v>
                </c:pt>
                <c:pt idx="622">
                  <c:v>4678.0948700000008</c:v>
                </c:pt>
                <c:pt idx="623">
                  <c:v>4679.3031700000001</c:v>
                </c:pt>
                <c:pt idx="624">
                  <c:v>4680.5114700000004</c:v>
                </c:pt>
                <c:pt idx="625">
                  <c:v>4682.2726208333333</c:v>
                </c:pt>
                <c:pt idx="626">
                  <c:v>4684.0337716666672</c:v>
                </c:pt>
                <c:pt idx="627">
                  <c:v>4685.7949225000002</c:v>
                </c:pt>
                <c:pt idx="628">
                  <c:v>4687.5560733333332</c:v>
                </c:pt>
                <c:pt idx="629">
                  <c:v>4689.3172241666671</c:v>
                </c:pt>
                <c:pt idx="630">
                  <c:v>4691.0783750000001</c:v>
                </c:pt>
                <c:pt idx="631">
                  <c:v>4692.839525833333</c:v>
                </c:pt>
                <c:pt idx="632">
                  <c:v>4694.6006766666669</c:v>
                </c:pt>
                <c:pt idx="633">
                  <c:v>4696.3618274999999</c:v>
                </c:pt>
                <c:pt idx="634">
                  <c:v>4698.1229783333329</c:v>
                </c:pt>
                <c:pt idx="635">
                  <c:v>4699.8841291666668</c:v>
                </c:pt>
                <c:pt idx="636">
                  <c:v>4701.6452799999997</c:v>
                </c:pt>
                <c:pt idx="637">
                  <c:v>4703.8574833333332</c:v>
                </c:pt>
                <c:pt idx="638">
                  <c:v>4706.0696866666667</c:v>
                </c:pt>
                <c:pt idx="639">
                  <c:v>4708.2818900000002</c:v>
                </c:pt>
                <c:pt idx="640">
                  <c:v>4710.4940933333328</c:v>
                </c:pt>
                <c:pt idx="641">
                  <c:v>4712.7062966666663</c:v>
                </c:pt>
                <c:pt idx="642">
                  <c:v>4714.9184999999998</c:v>
                </c:pt>
                <c:pt idx="643">
                  <c:v>4717.1307033333333</c:v>
                </c:pt>
                <c:pt idx="644">
                  <c:v>4719.3429066666667</c:v>
                </c:pt>
                <c:pt idx="645">
                  <c:v>4721.5551099999993</c:v>
                </c:pt>
                <c:pt idx="646">
                  <c:v>4723.7673133333328</c:v>
                </c:pt>
                <c:pt idx="647">
                  <c:v>4725.9795166666663</c:v>
                </c:pt>
                <c:pt idx="648">
                  <c:v>4728.1917199999998</c:v>
                </c:pt>
                <c:pt idx="649">
                  <c:v>4730.5144358333328</c:v>
                </c:pt>
                <c:pt idx="650">
                  <c:v>4732.8371516666666</c:v>
                </c:pt>
                <c:pt idx="651">
                  <c:v>4735.1598674999996</c:v>
                </c:pt>
                <c:pt idx="652">
                  <c:v>4737.4825833333334</c:v>
                </c:pt>
                <c:pt idx="653">
                  <c:v>4739.8052991666664</c:v>
                </c:pt>
                <c:pt idx="654">
                  <c:v>4742.1280150000002</c:v>
                </c:pt>
                <c:pt idx="655">
                  <c:v>4744.4507308333332</c:v>
                </c:pt>
                <c:pt idx="656">
                  <c:v>4746.7734466666661</c:v>
                </c:pt>
                <c:pt idx="657">
                  <c:v>4749.0961625</c:v>
                </c:pt>
                <c:pt idx="658">
                  <c:v>4751.4188783333329</c:v>
                </c:pt>
                <c:pt idx="659">
                  <c:v>4753.7415941666668</c:v>
                </c:pt>
                <c:pt idx="660">
                  <c:v>4756.0643099999998</c:v>
                </c:pt>
                <c:pt idx="661">
                  <c:v>4758.4087491666669</c:v>
                </c:pt>
                <c:pt idx="662">
                  <c:v>4760.7531883333331</c:v>
                </c:pt>
                <c:pt idx="663">
                  <c:v>4763.0976274999994</c:v>
                </c:pt>
                <c:pt idx="664">
                  <c:v>4765.4420666666665</c:v>
                </c:pt>
                <c:pt idx="665">
                  <c:v>4767.7865058333336</c:v>
                </c:pt>
                <c:pt idx="666">
                  <c:v>4770.1309449999999</c:v>
                </c:pt>
                <c:pt idx="667">
                  <c:v>4772.4753841666661</c:v>
                </c:pt>
                <c:pt idx="668">
                  <c:v>4774.8198233333333</c:v>
                </c:pt>
                <c:pt idx="669">
                  <c:v>4777.1642625000004</c:v>
                </c:pt>
                <c:pt idx="670">
                  <c:v>4779.5087016666666</c:v>
                </c:pt>
                <c:pt idx="671">
                  <c:v>4781.8531408333329</c:v>
                </c:pt>
                <c:pt idx="672">
                  <c:v>4784.19758</c:v>
                </c:pt>
                <c:pt idx="673">
                  <c:v>4786.2118575000004</c:v>
                </c:pt>
                <c:pt idx="674">
                  <c:v>4788.2261349999999</c:v>
                </c:pt>
                <c:pt idx="675">
                  <c:v>4790.2404125000003</c:v>
                </c:pt>
                <c:pt idx="676">
                  <c:v>4792.2546899999998</c:v>
                </c:pt>
                <c:pt idx="677">
                  <c:v>4794.2689675000001</c:v>
                </c:pt>
                <c:pt idx="678">
                  <c:v>4796.2832450000005</c:v>
                </c:pt>
                <c:pt idx="679">
                  <c:v>4798.2975225</c:v>
                </c:pt>
                <c:pt idx="680">
                  <c:v>4800.3118000000004</c:v>
                </c:pt>
                <c:pt idx="681">
                  <c:v>4802.3260774999999</c:v>
                </c:pt>
                <c:pt idx="682">
                  <c:v>4804.3403550000003</c:v>
                </c:pt>
                <c:pt idx="683">
                  <c:v>4806.3546324999998</c:v>
                </c:pt>
                <c:pt idx="684">
                  <c:v>4808.3689100000001</c:v>
                </c:pt>
                <c:pt idx="685">
                  <c:v>4809.8527933333335</c:v>
                </c:pt>
                <c:pt idx="686">
                  <c:v>4811.3366766666668</c:v>
                </c:pt>
                <c:pt idx="687">
                  <c:v>4812.8205600000001</c:v>
                </c:pt>
                <c:pt idx="688">
                  <c:v>4814.3044433333334</c:v>
                </c:pt>
                <c:pt idx="689">
                  <c:v>4815.7883266666668</c:v>
                </c:pt>
                <c:pt idx="690">
                  <c:v>4817.2722100000001</c:v>
                </c:pt>
                <c:pt idx="691">
                  <c:v>4818.7560933333334</c:v>
                </c:pt>
                <c:pt idx="692">
                  <c:v>4820.2399766666667</c:v>
                </c:pt>
                <c:pt idx="693">
                  <c:v>4821.7238600000001</c:v>
                </c:pt>
                <c:pt idx="694">
                  <c:v>4823.2077433333334</c:v>
                </c:pt>
                <c:pt idx="695">
                  <c:v>4824.6916266666667</c:v>
                </c:pt>
                <c:pt idx="696">
                  <c:v>4826.17551</c:v>
                </c:pt>
                <c:pt idx="697">
                  <c:v>4827.018208333333</c:v>
                </c:pt>
                <c:pt idx="698">
                  <c:v>4827.8609066666668</c:v>
                </c:pt>
                <c:pt idx="699">
                  <c:v>4828.7036049999997</c:v>
                </c:pt>
                <c:pt idx="700">
                  <c:v>4829.5463033333335</c:v>
                </c:pt>
                <c:pt idx="701">
                  <c:v>4830.3890016666664</c:v>
                </c:pt>
                <c:pt idx="702">
                  <c:v>4831.2317000000003</c:v>
                </c:pt>
                <c:pt idx="703">
                  <c:v>4832.0743983333332</c:v>
                </c:pt>
                <c:pt idx="704">
                  <c:v>4832.9170966666661</c:v>
                </c:pt>
                <c:pt idx="705">
                  <c:v>4833.7597949999999</c:v>
                </c:pt>
                <c:pt idx="706">
                  <c:v>4834.6024933333329</c:v>
                </c:pt>
                <c:pt idx="707">
                  <c:v>4835.4451916666667</c:v>
                </c:pt>
                <c:pt idx="708">
                  <c:v>4836.2878899999996</c:v>
                </c:pt>
                <c:pt idx="709">
                  <c:v>4836.5541166666662</c:v>
                </c:pt>
                <c:pt idx="710">
                  <c:v>4836.8203433333329</c:v>
                </c:pt>
                <c:pt idx="711">
                  <c:v>4837.0865699999995</c:v>
                </c:pt>
                <c:pt idx="712">
                  <c:v>4837.3527966666661</c:v>
                </c:pt>
                <c:pt idx="713">
                  <c:v>4837.6190233333327</c:v>
                </c:pt>
                <c:pt idx="714">
                  <c:v>4837.8852499999994</c:v>
                </c:pt>
                <c:pt idx="715">
                  <c:v>4838.1514766666669</c:v>
                </c:pt>
                <c:pt idx="716">
                  <c:v>4838.4177033333335</c:v>
                </c:pt>
                <c:pt idx="717">
                  <c:v>4838.6839300000001</c:v>
                </c:pt>
                <c:pt idx="718">
                  <c:v>4838.9501566666668</c:v>
                </c:pt>
                <c:pt idx="719">
                  <c:v>4839.2163833333334</c:v>
                </c:pt>
                <c:pt idx="720">
                  <c:v>4839.48261</c:v>
                </c:pt>
                <c:pt idx="721">
                  <c:v>4839.2879883333335</c:v>
                </c:pt>
                <c:pt idx="722">
                  <c:v>4839.093366666667</c:v>
                </c:pt>
                <c:pt idx="723">
                  <c:v>4838.8987450000004</c:v>
                </c:pt>
                <c:pt idx="724">
                  <c:v>4838.704123333333</c:v>
                </c:pt>
                <c:pt idx="725">
                  <c:v>4838.5095016666664</c:v>
                </c:pt>
                <c:pt idx="726">
                  <c:v>4838.3148799999999</c:v>
                </c:pt>
                <c:pt idx="727">
                  <c:v>4838.1202583333334</c:v>
                </c:pt>
                <c:pt idx="728">
                  <c:v>4837.9256366666668</c:v>
                </c:pt>
                <c:pt idx="729">
                  <c:v>4837.7310149999994</c:v>
                </c:pt>
                <c:pt idx="730">
                  <c:v>4837.5363933333329</c:v>
                </c:pt>
                <c:pt idx="731">
                  <c:v>4837.3417716666663</c:v>
                </c:pt>
                <c:pt idx="732">
                  <c:v>4837.1471499999998</c:v>
                </c:pt>
                <c:pt idx="733">
                  <c:v>4836.6922541666663</c:v>
                </c:pt>
                <c:pt idx="734">
                  <c:v>4836.2373583333328</c:v>
                </c:pt>
                <c:pt idx="735">
                  <c:v>4835.7824624999994</c:v>
                </c:pt>
                <c:pt idx="736">
                  <c:v>4835.3275666666668</c:v>
                </c:pt>
                <c:pt idx="737">
                  <c:v>4834.8726708333334</c:v>
                </c:pt>
                <c:pt idx="738">
                  <c:v>4834.4177749999999</c:v>
                </c:pt>
                <c:pt idx="739">
                  <c:v>4833.9628791666664</c:v>
                </c:pt>
                <c:pt idx="740">
                  <c:v>4833.507983333333</c:v>
                </c:pt>
                <c:pt idx="741">
                  <c:v>4833.0530875000004</c:v>
                </c:pt>
                <c:pt idx="742">
                  <c:v>4832.5981916666669</c:v>
                </c:pt>
                <c:pt idx="743">
                  <c:v>4832.1432958333335</c:v>
                </c:pt>
                <c:pt idx="744">
                  <c:v>4831.6884</c:v>
                </c:pt>
                <c:pt idx="745">
                  <c:v>4831.1549166666664</c:v>
                </c:pt>
                <c:pt idx="746">
                  <c:v>4830.6214333333337</c:v>
                </c:pt>
                <c:pt idx="747">
                  <c:v>4830.0879500000001</c:v>
                </c:pt>
                <c:pt idx="748">
                  <c:v>4829.5544666666665</c:v>
                </c:pt>
                <c:pt idx="749">
                  <c:v>4829.0209833333338</c:v>
                </c:pt>
                <c:pt idx="750">
                  <c:v>4828.4875000000002</c:v>
                </c:pt>
                <c:pt idx="751">
                  <c:v>4827.9540166666666</c:v>
                </c:pt>
                <c:pt idx="752">
                  <c:v>4827.4205333333339</c:v>
                </c:pt>
                <c:pt idx="753">
                  <c:v>4826.8870500000003</c:v>
                </c:pt>
                <c:pt idx="754">
                  <c:v>4826.3535666666667</c:v>
                </c:pt>
                <c:pt idx="755">
                  <c:v>4825.820083333334</c:v>
                </c:pt>
                <c:pt idx="756">
                  <c:v>4825.2866000000004</c:v>
                </c:pt>
                <c:pt idx="757">
                  <c:v>4824.7647825000004</c:v>
                </c:pt>
                <c:pt idx="758">
                  <c:v>4824.2429650000004</c:v>
                </c:pt>
                <c:pt idx="759">
                  <c:v>4823.7211475000004</c:v>
                </c:pt>
                <c:pt idx="760">
                  <c:v>4823.1993300000004</c:v>
                </c:pt>
                <c:pt idx="761">
                  <c:v>4822.6775125000004</c:v>
                </c:pt>
                <c:pt idx="762">
                  <c:v>4822.1556950000004</c:v>
                </c:pt>
                <c:pt idx="763">
                  <c:v>4821.6338775000004</c:v>
                </c:pt>
                <c:pt idx="764">
                  <c:v>4821.1120600000004</c:v>
                </c:pt>
                <c:pt idx="765">
                  <c:v>4820.5902425000004</c:v>
                </c:pt>
                <c:pt idx="766">
                  <c:v>4820.0684250000004</c:v>
                </c:pt>
                <c:pt idx="767">
                  <c:v>4819.5466075000004</c:v>
                </c:pt>
                <c:pt idx="768">
                  <c:v>4819.0247900000004</c:v>
                </c:pt>
                <c:pt idx="769">
                  <c:v>4818.6102908333341</c:v>
                </c:pt>
                <c:pt idx="770">
                  <c:v>4818.195791666667</c:v>
                </c:pt>
                <c:pt idx="771">
                  <c:v>4817.7812924999998</c:v>
                </c:pt>
                <c:pt idx="772">
                  <c:v>4817.3667933333336</c:v>
                </c:pt>
                <c:pt idx="773">
                  <c:v>4816.9522941666673</c:v>
                </c:pt>
                <c:pt idx="774">
                  <c:v>4816.5377950000002</c:v>
                </c:pt>
                <c:pt idx="775">
                  <c:v>4816.123295833333</c:v>
                </c:pt>
                <c:pt idx="776">
                  <c:v>4815.7087966666668</c:v>
                </c:pt>
                <c:pt idx="777">
                  <c:v>4815.2942975000005</c:v>
                </c:pt>
                <c:pt idx="778">
                  <c:v>4814.8797983333334</c:v>
                </c:pt>
                <c:pt idx="779">
                  <c:v>4814.4652991666662</c:v>
                </c:pt>
                <c:pt idx="780">
                  <c:v>4814.0508</c:v>
                </c:pt>
                <c:pt idx="781">
                  <c:v>4813.7974008333331</c:v>
                </c:pt>
                <c:pt idx="782">
                  <c:v>4813.5440016666671</c:v>
                </c:pt>
                <c:pt idx="783">
                  <c:v>4813.2906025000002</c:v>
                </c:pt>
                <c:pt idx="784">
                  <c:v>4813.0372033333333</c:v>
                </c:pt>
                <c:pt idx="785">
                  <c:v>4812.7838041666664</c:v>
                </c:pt>
                <c:pt idx="786">
                  <c:v>4812.5304049999995</c:v>
                </c:pt>
                <c:pt idx="787">
                  <c:v>4812.2770058333335</c:v>
                </c:pt>
                <c:pt idx="788">
                  <c:v>4812.0236066666666</c:v>
                </c:pt>
                <c:pt idx="789">
                  <c:v>4811.7702074999997</c:v>
                </c:pt>
                <c:pt idx="790">
                  <c:v>4811.5168083333338</c:v>
                </c:pt>
                <c:pt idx="791">
                  <c:v>4811.2634091666669</c:v>
                </c:pt>
                <c:pt idx="792">
                  <c:v>4811.01001</c:v>
                </c:pt>
                <c:pt idx="793">
                  <c:v>4810.8809708333338</c:v>
                </c:pt>
                <c:pt idx="794">
                  <c:v>4810.7519316666667</c:v>
                </c:pt>
                <c:pt idx="795">
                  <c:v>4810.6228924999996</c:v>
                </c:pt>
                <c:pt idx="796">
                  <c:v>4810.4938533333334</c:v>
                </c:pt>
                <c:pt idx="797">
                  <c:v>4810.3648141666672</c:v>
                </c:pt>
                <c:pt idx="798">
                  <c:v>4810.2357750000001</c:v>
                </c:pt>
                <c:pt idx="799">
                  <c:v>4810.106735833333</c:v>
                </c:pt>
                <c:pt idx="800">
                  <c:v>4809.9776966666668</c:v>
                </c:pt>
                <c:pt idx="801">
                  <c:v>4809.8486575000006</c:v>
                </c:pt>
                <c:pt idx="802">
                  <c:v>4809.7196183333335</c:v>
                </c:pt>
                <c:pt idx="803">
                  <c:v>4809.5905791666664</c:v>
                </c:pt>
                <c:pt idx="804">
                  <c:v>4809.4615400000002</c:v>
                </c:pt>
                <c:pt idx="805">
                  <c:v>4809.3972983333333</c:v>
                </c:pt>
                <c:pt idx="806">
                  <c:v>4809.3330566666664</c:v>
                </c:pt>
                <c:pt idx="807">
                  <c:v>4809.2688150000004</c:v>
                </c:pt>
                <c:pt idx="808">
                  <c:v>4809.2045733333334</c:v>
                </c:pt>
                <c:pt idx="809">
                  <c:v>4809.1403316666665</c:v>
                </c:pt>
                <c:pt idx="810">
                  <c:v>4809.0760900000005</c:v>
                </c:pt>
                <c:pt idx="811">
                  <c:v>4809.0118483333335</c:v>
                </c:pt>
                <c:pt idx="812">
                  <c:v>4808.9476066666666</c:v>
                </c:pt>
                <c:pt idx="813">
                  <c:v>4808.8833649999997</c:v>
                </c:pt>
                <c:pt idx="814">
                  <c:v>4808.8191233333328</c:v>
                </c:pt>
                <c:pt idx="815">
                  <c:v>4808.7548816666667</c:v>
                </c:pt>
                <c:pt idx="816">
                  <c:v>4808.6906399999998</c:v>
                </c:pt>
                <c:pt idx="817">
                  <c:v>4808.6057558333332</c:v>
                </c:pt>
                <c:pt idx="818">
                  <c:v>4808.5208716666666</c:v>
                </c:pt>
                <c:pt idx="819">
                  <c:v>4808.4359875</c:v>
                </c:pt>
                <c:pt idx="820">
                  <c:v>4808.3511033333334</c:v>
                </c:pt>
                <c:pt idx="821">
                  <c:v>4808.2662191666668</c:v>
                </c:pt>
                <c:pt idx="822">
                  <c:v>4808.1813349999993</c:v>
                </c:pt>
                <c:pt idx="823">
                  <c:v>4808.0964508333327</c:v>
                </c:pt>
                <c:pt idx="824">
                  <c:v>4808.0115666666661</c:v>
                </c:pt>
                <c:pt idx="825">
                  <c:v>4807.9266824999995</c:v>
                </c:pt>
                <c:pt idx="826">
                  <c:v>4807.8417983333329</c:v>
                </c:pt>
                <c:pt idx="827">
                  <c:v>4807.7569141666663</c:v>
                </c:pt>
                <c:pt idx="828">
                  <c:v>4807.6720299999997</c:v>
                </c:pt>
                <c:pt idx="829">
                  <c:v>4807.4441424999995</c:v>
                </c:pt>
                <c:pt idx="830">
                  <c:v>4807.2162549999994</c:v>
                </c:pt>
                <c:pt idx="831">
                  <c:v>4806.9883675000001</c:v>
                </c:pt>
                <c:pt idx="832">
                  <c:v>4806.7604799999999</c:v>
                </c:pt>
                <c:pt idx="833">
                  <c:v>4806.5325924999997</c:v>
                </c:pt>
                <c:pt idx="834">
                  <c:v>4806.3047050000005</c:v>
                </c:pt>
                <c:pt idx="835">
                  <c:v>4806.0768175000003</c:v>
                </c:pt>
                <c:pt idx="836">
                  <c:v>4805.8489300000001</c:v>
                </c:pt>
                <c:pt idx="837">
                  <c:v>4805.6210424999999</c:v>
                </c:pt>
                <c:pt idx="838">
                  <c:v>4805.3931549999998</c:v>
                </c:pt>
                <c:pt idx="839">
                  <c:v>4805.1652675000005</c:v>
                </c:pt>
                <c:pt idx="840">
                  <c:v>4804.9373800000003</c:v>
                </c:pt>
                <c:pt idx="841">
                  <c:v>4804.475494166667</c:v>
                </c:pt>
                <c:pt idx="842">
                  <c:v>4804.0136083333337</c:v>
                </c:pt>
                <c:pt idx="843">
                  <c:v>4803.5517225000003</c:v>
                </c:pt>
                <c:pt idx="844">
                  <c:v>4803.089836666667</c:v>
                </c:pt>
                <c:pt idx="845">
                  <c:v>4802.6279508333337</c:v>
                </c:pt>
                <c:pt idx="846">
                  <c:v>4802.1660650000003</c:v>
                </c:pt>
                <c:pt idx="847">
                  <c:v>4801.704179166667</c:v>
                </c:pt>
                <c:pt idx="848">
                  <c:v>4801.2422933333337</c:v>
                </c:pt>
                <c:pt idx="849">
                  <c:v>4800.7804075000004</c:v>
                </c:pt>
                <c:pt idx="850">
                  <c:v>4800.318521666667</c:v>
                </c:pt>
                <c:pt idx="851">
                  <c:v>4799.8566358333337</c:v>
                </c:pt>
                <c:pt idx="852">
                  <c:v>4799.3947500000004</c:v>
                </c:pt>
                <c:pt idx="853">
                  <c:v>4798.6635666666671</c:v>
                </c:pt>
                <c:pt idx="854">
                  <c:v>4797.9323833333337</c:v>
                </c:pt>
                <c:pt idx="855">
                  <c:v>4797.2012000000004</c:v>
                </c:pt>
                <c:pt idx="856">
                  <c:v>4796.4700166666671</c:v>
                </c:pt>
                <c:pt idx="857">
                  <c:v>4795.7388333333338</c:v>
                </c:pt>
                <c:pt idx="858">
                  <c:v>4795.0076499999996</c:v>
                </c:pt>
                <c:pt idx="859">
                  <c:v>4794.2764666666662</c:v>
                </c:pt>
                <c:pt idx="860">
                  <c:v>4793.5452833333329</c:v>
                </c:pt>
                <c:pt idx="861">
                  <c:v>4792.8140999999996</c:v>
                </c:pt>
                <c:pt idx="862">
                  <c:v>4792.0829166666663</c:v>
                </c:pt>
                <c:pt idx="863">
                  <c:v>4791.351733333333</c:v>
                </c:pt>
                <c:pt idx="864">
                  <c:v>4790.6205499999996</c:v>
                </c:pt>
                <c:pt idx="865">
                  <c:v>4789.6710599999997</c:v>
                </c:pt>
                <c:pt idx="866">
                  <c:v>4788.7215699999997</c:v>
                </c:pt>
                <c:pt idx="867">
                  <c:v>4787.7720799999997</c:v>
                </c:pt>
                <c:pt idx="868">
                  <c:v>4786.8225899999998</c:v>
                </c:pt>
                <c:pt idx="869">
                  <c:v>4785.8730999999998</c:v>
                </c:pt>
                <c:pt idx="870">
                  <c:v>4784.9236099999998</c:v>
                </c:pt>
                <c:pt idx="871">
                  <c:v>4783.9741199999999</c:v>
                </c:pt>
                <c:pt idx="872">
                  <c:v>4783.0246299999999</c:v>
                </c:pt>
                <c:pt idx="873">
                  <c:v>4782.0751399999999</c:v>
                </c:pt>
                <c:pt idx="874">
                  <c:v>4781.12565</c:v>
                </c:pt>
                <c:pt idx="875">
                  <c:v>4780.17616</c:v>
                </c:pt>
                <c:pt idx="876">
                  <c:v>4779.22667</c:v>
                </c:pt>
                <c:pt idx="877">
                  <c:v>4778.1927066666667</c:v>
                </c:pt>
                <c:pt idx="878">
                  <c:v>4777.1587433333334</c:v>
                </c:pt>
                <c:pt idx="879">
                  <c:v>4776.1247800000001</c:v>
                </c:pt>
                <c:pt idx="880">
                  <c:v>4775.0908166666668</c:v>
                </c:pt>
                <c:pt idx="881">
                  <c:v>4774.0568533333335</c:v>
                </c:pt>
                <c:pt idx="882">
                  <c:v>4773.0228900000002</c:v>
                </c:pt>
                <c:pt idx="883">
                  <c:v>4771.9889266666669</c:v>
                </c:pt>
                <c:pt idx="884">
                  <c:v>4770.9549633333336</c:v>
                </c:pt>
                <c:pt idx="885">
                  <c:v>4769.9210000000003</c:v>
                </c:pt>
                <c:pt idx="886">
                  <c:v>4768.887036666667</c:v>
                </c:pt>
                <c:pt idx="887">
                  <c:v>4767.8530733333337</c:v>
                </c:pt>
                <c:pt idx="888">
                  <c:v>4766.8191100000004</c:v>
                </c:pt>
                <c:pt idx="889">
                  <c:v>4765.7813483333339</c:v>
                </c:pt>
                <c:pt idx="890">
                  <c:v>4764.7435866666674</c:v>
                </c:pt>
                <c:pt idx="891">
                  <c:v>4763.705825</c:v>
                </c:pt>
                <c:pt idx="892">
                  <c:v>4762.6680633333335</c:v>
                </c:pt>
                <c:pt idx="893">
                  <c:v>4761.630301666667</c:v>
                </c:pt>
                <c:pt idx="894">
                  <c:v>4760.5925399999996</c:v>
                </c:pt>
                <c:pt idx="895">
                  <c:v>4759.5547783333332</c:v>
                </c:pt>
                <c:pt idx="896">
                  <c:v>4758.5170166666667</c:v>
                </c:pt>
                <c:pt idx="897">
                  <c:v>4757.4792550000002</c:v>
                </c:pt>
                <c:pt idx="898">
                  <c:v>4756.4414933333337</c:v>
                </c:pt>
                <c:pt idx="899">
                  <c:v>4755.4037316666663</c:v>
                </c:pt>
                <c:pt idx="900">
                  <c:v>4754.3659699999998</c:v>
                </c:pt>
                <c:pt idx="901">
                  <c:v>4753.4083891666669</c:v>
                </c:pt>
                <c:pt idx="902">
                  <c:v>4752.450808333333</c:v>
                </c:pt>
                <c:pt idx="903">
                  <c:v>4751.4932275000001</c:v>
                </c:pt>
                <c:pt idx="904">
                  <c:v>4750.5356466666663</c:v>
                </c:pt>
                <c:pt idx="905">
                  <c:v>4749.5780658333333</c:v>
                </c:pt>
                <c:pt idx="906">
                  <c:v>4748.6204849999995</c:v>
                </c:pt>
                <c:pt idx="907">
                  <c:v>4747.6629041666665</c:v>
                </c:pt>
                <c:pt idx="908">
                  <c:v>4746.7053233333336</c:v>
                </c:pt>
                <c:pt idx="909">
                  <c:v>4745.7477424999997</c:v>
                </c:pt>
                <c:pt idx="910">
                  <c:v>4744.7901616666668</c:v>
                </c:pt>
                <c:pt idx="911">
                  <c:v>4743.8325808333329</c:v>
                </c:pt>
                <c:pt idx="912">
                  <c:v>4742.875</c:v>
                </c:pt>
                <c:pt idx="913">
                  <c:v>4742.1315008333331</c:v>
                </c:pt>
                <c:pt idx="914">
                  <c:v>4741.3880016666662</c:v>
                </c:pt>
                <c:pt idx="915">
                  <c:v>4740.6445025000003</c:v>
                </c:pt>
                <c:pt idx="916">
                  <c:v>4739.9010033333334</c:v>
                </c:pt>
                <c:pt idx="917">
                  <c:v>4739.1575041666665</c:v>
                </c:pt>
                <c:pt idx="918">
                  <c:v>4738.4140050000005</c:v>
                </c:pt>
                <c:pt idx="919">
                  <c:v>4737.6705058333337</c:v>
                </c:pt>
                <c:pt idx="920">
                  <c:v>4736.9270066666668</c:v>
                </c:pt>
                <c:pt idx="921">
                  <c:v>4736.1835074999999</c:v>
                </c:pt>
                <c:pt idx="922">
                  <c:v>4735.440008333333</c:v>
                </c:pt>
                <c:pt idx="923">
                  <c:v>4734.6965091666671</c:v>
                </c:pt>
                <c:pt idx="924">
                  <c:v>4733.9530100000002</c:v>
                </c:pt>
                <c:pt idx="925">
                  <c:v>4733.4963200000002</c:v>
                </c:pt>
                <c:pt idx="926">
                  <c:v>4733.0396300000002</c:v>
                </c:pt>
                <c:pt idx="927">
                  <c:v>4732.5829400000002</c:v>
                </c:pt>
                <c:pt idx="928">
                  <c:v>4732.1262500000003</c:v>
                </c:pt>
                <c:pt idx="929">
                  <c:v>4731.6695600000003</c:v>
                </c:pt>
                <c:pt idx="930">
                  <c:v>4731.2128700000003</c:v>
                </c:pt>
                <c:pt idx="931">
                  <c:v>4730.7561800000003</c:v>
                </c:pt>
                <c:pt idx="932">
                  <c:v>4730.2994900000003</c:v>
                </c:pt>
                <c:pt idx="933">
                  <c:v>4729.8428000000004</c:v>
                </c:pt>
                <c:pt idx="934">
                  <c:v>4729.3861100000004</c:v>
                </c:pt>
                <c:pt idx="935">
                  <c:v>4728.9294200000004</c:v>
                </c:pt>
                <c:pt idx="936">
                  <c:v>4728.4727300000004</c:v>
                </c:pt>
                <c:pt idx="937">
                  <c:v>4728.2729808333333</c:v>
                </c:pt>
                <c:pt idx="938">
                  <c:v>4728.0732316666672</c:v>
                </c:pt>
                <c:pt idx="939">
                  <c:v>4727.8734825000001</c:v>
                </c:pt>
                <c:pt idx="940">
                  <c:v>4727.673733333334</c:v>
                </c:pt>
                <c:pt idx="941">
                  <c:v>4727.4739841666669</c:v>
                </c:pt>
                <c:pt idx="942">
                  <c:v>4727.2742350000008</c:v>
                </c:pt>
                <c:pt idx="943">
                  <c:v>4727.0744858333337</c:v>
                </c:pt>
                <c:pt idx="944">
                  <c:v>4726.8747366666666</c:v>
                </c:pt>
                <c:pt idx="945">
                  <c:v>4726.6749875000005</c:v>
                </c:pt>
                <c:pt idx="946">
                  <c:v>4726.4752383333334</c:v>
                </c:pt>
                <c:pt idx="947">
                  <c:v>4726.2754891666673</c:v>
                </c:pt>
                <c:pt idx="948">
                  <c:v>4726.0757400000002</c:v>
                </c:pt>
                <c:pt idx="949">
                  <c:v>4726.0405441666671</c:v>
                </c:pt>
                <c:pt idx="950">
                  <c:v>4726.005348333334</c:v>
                </c:pt>
                <c:pt idx="951">
                  <c:v>4725.9701525</c:v>
                </c:pt>
                <c:pt idx="952">
                  <c:v>4725.9349566666669</c:v>
                </c:pt>
                <c:pt idx="953">
                  <c:v>4725.8997608333339</c:v>
                </c:pt>
                <c:pt idx="954">
                  <c:v>4725.8645649999999</c:v>
                </c:pt>
                <c:pt idx="955">
                  <c:v>4725.8293691666668</c:v>
                </c:pt>
                <c:pt idx="956">
                  <c:v>4725.7941733333337</c:v>
                </c:pt>
                <c:pt idx="957">
                  <c:v>4725.7589775000006</c:v>
                </c:pt>
                <c:pt idx="958">
                  <c:v>4725.7237816666675</c:v>
                </c:pt>
                <c:pt idx="959">
                  <c:v>4725.6885858333335</c:v>
                </c:pt>
                <c:pt idx="960">
                  <c:v>4725.6533900000004</c:v>
                </c:pt>
                <c:pt idx="961">
                  <c:v>4725.7738525000004</c:v>
                </c:pt>
                <c:pt idx="962">
                  <c:v>4725.8943150000005</c:v>
                </c:pt>
                <c:pt idx="963">
                  <c:v>4726.0147775000005</c:v>
                </c:pt>
                <c:pt idx="964">
                  <c:v>4726.1352400000005</c:v>
                </c:pt>
                <c:pt idx="965">
                  <c:v>4726.2557025000006</c:v>
                </c:pt>
                <c:pt idx="966">
                  <c:v>4726.3761649999997</c:v>
                </c:pt>
                <c:pt idx="967">
                  <c:v>4726.4966274999997</c:v>
                </c:pt>
                <c:pt idx="968">
                  <c:v>4726.6170899999997</c:v>
                </c:pt>
                <c:pt idx="969">
                  <c:v>4726.7375524999998</c:v>
                </c:pt>
                <c:pt idx="970">
                  <c:v>4726.8580149999998</c:v>
                </c:pt>
                <c:pt idx="971">
                  <c:v>4726.9784774999998</c:v>
                </c:pt>
                <c:pt idx="972">
                  <c:v>4727.0989399999999</c:v>
                </c:pt>
                <c:pt idx="973">
                  <c:v>4727.3234633333332</c:v>
                </c:pt>
                <c:pt idx="974">
                  <c:v>4727.5479866666665</c:v>
                </c:pt>
                <c:pt idx="975">
                  <c:v>4727.7725099999998</c:v>
                </c:pt>
                <c:pt idx="976">
                  <c:v>4727.9970333333331</c:v>
                </c:pt>
                <c:pt idx="977">
                  <c:v>4728.2215566666664</c:v>
                </c:pt>
                <c:pt idx="978">
                  <c:v>4728.4460799999997</c:v>
                </c:pt>
                <c:pt idx="979">
                  <c:v>4728.670603333333</c:v>
                </c:pt>
                <c:pt idx="980">
                  <c:v>4728.8951266666663</c:v>
                </c:pt>
                <c:pt idx="981">
                  <c:v>4729.1196499999996</c:v>
                </c:pt>
                <c:pt idx="982">
                  <c:v>4729.3441733333329</c:v>
                </c:pt>
                <c:pt idx="983">
                  <c:v>4729.5686966666663</c:v>
                </c:pt>
                <c:pt idx="984">
                  <c:v>4729.7932199999996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6-48C5-AB0E-FDB2DDDCABAE}"/>
            </c:ext>
          </c:extLst>
        </c:ser>
        <c:ser>
          <c:idx val="2"/>
          <c:order val="2"/>
          <c:tx>
            <c:strRef>
              <c:f>Mapped_H1_M5_Interporate!$AH$1</c:f>
              <c:strCache>
                <c:ptCount val="1"/>
                <c:pt idx="0">
                  <c:v>ssa_low_m5_interpolation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Mapped_H1_M5_Interporate!$AH$2:$AH$986</c:f>
              <c:numCache>
                <c:formatCode>General</c:formatCode>
                <c:ptCount val="985"/>
                <c:pt idx="0">
                  <c:v>4598.7184600000001</c:v>
                </c:pt>
                <c:pt idx="1">
                  <c:v>4599.3722475000004</c:v>
                </c:pt>
                <c:pt idx="2">
                  <c:v>4600.0260349999999</c:v>
                </c:pt>
                <c:pt idx="3">
                  <c:v>4600.6798225000002</c:v>
                </c:pt>
                <c:pt idx="4">
                  <c:v>4601.3336099999997</c:v>
                </c:pt>
                <c:pt idx="5">
                  <c:v>4601.9873975</c:v>
                </c:pt>
                <c:pt idx="6">
                  <c:v>4602.6411850000004</c:v>
                </c:pt>
                <c:pt idx="7">
                  <c:v>4603.2949724999999</c:v>
                </c:pt>
                <c:pt idx="8">
                  <c:v>4603.9487600000002</c:v>
                </c:pt>
                <c:pt idx="9">
                  <c:v>4604.6025474999997</c:v>
                </c:pt>
                <c:pt idx="10">
                  <c:v>4605.256335</c:v>
                </c:pt>
                <c:pt idx="11">
                  <c:v>4605.9101224999995</c:v>
                </c:pt>
                <c:pt idx="12">
                  <c:v>4606.5639099999999</c:v>
                </c:pt>
                <c:pt idx="13">
                  <c:v>4607.3695641666664</c:v>
                </c:pt>
                <c:pt idx="14">
                  <c:v>4608.1752183333329</c:v>
                </c:pt>
                <c:pt idx="15">
                  <c:v>4608.9808725000003</c:v>
                </c:pt>
                <c:pt idx="16">
                  <c:v>4609.7865266666668</c:v>
                </c:pt>
                <c:pt idx="17">
                  <c:v>4610.5921808333333</c:v>
                </c:pt>
                <c:pt idx="18">
                  <c:v>4611.3978349999998</c:v>
                </c:pt>
                <c:pt idx="19">
                  <c:v>4612.2034891666663</c:v>
                </c:pt>
                <c:pt idx="20">
                  <c:v>4613.0091433333328</c:v>
                </c:pt>
                <c:pt idx="21">
                  <c:v>4613.8147974999993</c:v>
                </c:pt>
                <c:pt idx="22">
                  <c:v>4614.6204516666667</c:v>
                </c:pt>
                <c:pt idx="23">
                  <c:v>4615.4261058333332</c:v>
                </c:pt>
                <c:pt idx="24">
                  <c:v>4616.2317599999997</c:v>
                </c:pt>
                <c:pt idx="25">
                  <c:v>4617.1564008333335</c:v>
                </c:pt>
                <c:pt idx="26">
                  <c:v>4618.0810416666664</c:v>
                </c:pt>
                <c:pt idx="27">
                  <c:v>4619.0056824999992</c:v>
                </c:pt>
                <c:pt idx="28">
                  <c:v>4619.930323333333</c:v>
                </c:pt>
                <c:pt idx="29">
                  <c:v>4620.8549641666668</c:v>
                </c:pt>
                <c:pt idx="30">
                  <c:v>4621.7796049999997</c:v>
                </c:pt>
                <c:pt idx="31">
                  <c:v>4622.7042458333326</c:v>
                </c:pt>
                <c:pt idx="32">
                  <c:v>4623.6288866666664</c:v>
                </c:pt>
                <c:pt idx="33">
                  <c:v>4624.5535275000002</c:v>
                </c:pt>
                <c:pt idx="34">
                  <c:v>4625.4781683333331</c:v>
                </c:pt>
                <c:pt idx="35">
                  <c:v>4626.402809166666</c:v>
                </c:pt>
                <c:pt idx="36">
                  <c:v>4627.3274499999998</c:v>
                </c:pt>
                <c:pt idx="37">
                  <c:v>4628.1621424999994</c:v>
                </c:pt>
                <c:pt idx="38">
                  <c:v>4628.9968349999999</c:v>
                </c:pt>
                <c:pt idx="39">
                  <c:v>4629.8315274999995</c:v>
                </c:pt>
                <c:pt idx="40">
                  <c:v>4630.6662200000001</c:v>
                </c:pt>
                <c:pt idx="41">
                  <c:v>4631.5009124999997</c:v>
                </c:pt>
                <c:pt idx="42">
                  <c:v>4632.3356050000002</c:v>
                </c:pt>
                <c:pt idx="43">
                  <c:v>4633.1702974999998</c:v>
                </c:pt>
                <c:pt idx="44">
                  <c:v>4634.0049899999995</c:v>
                </c:pt>
                <c:pt idx="45">
                  <c:v>4634.8396825</c:v>
                </c:pt>
                <c:pt idx="46">
                  <c:v>4635.6743749999996</c:v>
                </c:pt>
                <c:pt idx="47">
                  <c:v>4636.5090675000001</c:v>
                </c:pt>
                <c:pt idx="48">
                  <c:v>4637.3437599999997</c:v>
                </c:pt>
                <c:pt idx="49">
                  <c:v>4637.9488008333328</c:v>
                </c:pt>
                <c:pt idx="50">
                  <c:v>4638.5538416666668</c:v>
                </c:pt>
                <c:pt idx="51">
                  <c:v>4639.1588824999999</c:v>
                </c:pt>
                <c:pt idx="52">
                  <c:v>4639.763923333333</c:v>
                </c:pt>
                <c:pt idx="53">
                  <c:v>4640.368964166667</c:v>
                </c:pt>
                <c:pt idx="54">
                  <c:v>4640.974005</c:v>
                </c:pt>
                <c:pt idx="55">
                  <c:v>4641.5790458333331</c:v>
                </c:pt>
                <c:pt idx="56">
                  <c:v>4642.1840866666671</c:v>
                </c:pt>
                <c:pt idx="57">
                  <c:v>4642.7891275000002</c:v>
                </c:pt>
                <c:pt idx="58">
                  <c:v>4643.3941683333333</c:v>
                </c:pt>
                <c:pt idx="59">
                  <c:v>4643.9992091666672</c:v>
                </c:pt>
                <c:pt idx="60">
                  <c:v>4644.6042500000003</c:v>
                </c:pt>
                <c:pt idx="61">
                  <c:v>4644.9321600000003</c:v>
                </c:pt>
                <c:pt idx="62">
                  <c:v>4645.2600700000003</c:v>
                </c:pt>
                <c:pt idx="63">
                  <c:v>4645.5879800000002</c:v>
                </c:pt>
                <c:pt idx="64">
                  <c:v>4645.9158900000002</c:v>
                </c:pt>
                <c:pt idx="65">
                  <c:v>4646.2438000000002</c:v>
                </c:pt>
                <c:pt idx="66">
                  <c:v>4646.5717100000002</c:v>
                </c:pt>
                <c:pt idx="67">
                  <c:v>4646.8996200000001</c:v>
                </c:pt>
                <c:pt idx="68">
                  <c:v>4647.2275300000001</c:v>
                </c:pt>
                <c:pt idx="69">
                  <c:v>4647.5554400000001</c:v>
                </c:pt>
                <c:pt idx="70">
                  <c:v>4647.8833500000001</c:v>
                </c:pt>
                <c:pt idx="71">
                  <c:v>4648.21126</c:v>
                </c:pt>
                <c:pt idx="72">
                  <c:v>4648.53917</c:v>
                </c:pt>
                <c:pt idx="73">
                  <c:v>4648.5535541666668</c:v>
                </c:pt>
                <c:pt idx="74">
                  <c:v>4648.5679383333336</c:v>
                </c:pt>
                <c:pt idx="75">
                  <c:v>4648.5823225000004</c:v>
                </c:pt>
                <c:pt idx="76">
                  <c:v>4648.5967066666663</c:v>
                </c:pt>
                <c:pt idx="77">
                  <c:v>4648.611090833333</c:v>
                </c:pt>
                <c:pt idx="78">
                  <c:v>4648.6254749999998</c:v>
                </c:pt>
                <c:pt idx="79">
                  <c:v>4648.6398591666666</c:v>
                </c:pt>
                <c:pt idx="80">
                  <c:v>4648.6542433333334</c:v>
                </c:pt>
                <c:pt idx="81">
                  <c:v>4648.6686274999993</c:v>
                </c:pt>
                <c:pt idx="82">
                  <c:v>4648.6830116666661</c:v>
                </c:pt>
                <c:pt idx="83">
                  <c:v>4648.6973958333328</c:v>
                </c:pt>
                <c:pt idx="84">
                  <c:v>4648.7117799999996</c:v>
                </c:pt>
                <c:pt idx="85">
                  <c:v>4648.4152708333331</c:v>
                </c:pt>
                <c:pt idx="86">
                  <c:v>4648.1187616666666</c:v>
                </c:pt>
                <c:pt idx="87">
                  <c:v>4647.8222525000001</c:v>
                </c:pt>
                <c:pt idx="88">
                  <c:v>4647.5257433333327</c:v>
                </c:pt>
                <c:pt idx="89">
                  <c:v>4647.2292341666662</c:v>
                </c:pt>
                <c:pt idx="90">
                  <c:v>4646.9327249999997</c:v>
                </c:pt>
                <c:pt idx="91">
                  <c:v>4646.6362158333332</c:v>
                </c:pt>
                <c:pt idx="92">
                  <c:v>4646.3397066666666</c:v>
                </c:pt>
                <c:pt idx="93">
                  <c:v>4646.0431974999992</c:v>
                </c:pt>
                <c:pt idx="94">
                  <c:v>4645.7466883333327</c:v>
                </c:pt>
                <c:pt idx="95">
                  <c:v>4645.4501791666662</c:v>
                </c:pt>
                <c:pt idx="96">
                  <c:v>4645.1536699999997</c:v>
                </c:pt>
                <c:pt idx="97">
                  <c:v>4644.5708458333329</c:v>
                </c:pt>
                <c:pt idx="98">
                  <c:v>4643.9880216666661</c:v>
                </c:pt>
                <c:pt idx="99">
                  <c:v>4643.4051975000002</c:v>
                </c:pt>
                <c:pt idx="100">
                  <c:v>4642.8223733333334</c:v>
                </c:pt>
                <c:pt idx="101">
                  <c:v>4642.2395491666666</c:v>
                </c:pt>
                <c:pt idx="102">
                  <c:v>4641.6567249999998</c:v>
                </c:pt>
                <c:pt idx="103">
                  <c:v>4641.073900833333</c:v>
                </c:pt>
                <c:pt idx="104">
                  <c:v>4640.4910766666662</c:v>
                </c:pt>
                <c:pt idx="105">
                  <c:v>4639.9082524999994</c:v>
                </c:pt>
                <c:pt idx="106">
                  <c:v>4639.3254283333335</c:v>
                </c:pt>
                <c:pt idx="107">
                  <c:v>4638.7426041666668</c:v>
                </c:pt>
                <c:pt idx="108">
                  <c:v>4638.15978</c:v>
                </c:pt>
                <c:pt idx="109">
                  <c:v>4637.3956491666668</c:v>
                </c:pt>
                <c:pt idx="110">
                  <c:v>4636.6315183333336</c:v>
                </c:pt>
                <c:pt idx="111">
                  <c:v>4635.8673875000004</c:v>
                </c:pt>
                <c:pt idx="112">
                  <c:v>4635.1032566666663</c:v>
                </c:pt>
                <c:pt idx="113">
                  <c:v>4634.3391258333331</c:v>
                </c:pt>
                <c:pt idx="114">
                  <c:v>4633.5749949999999</c:v>
                </c:pt>
                <c:pt idx="115">
                  <c:v>4632.8108641666668</c:v>
                </c:pt>
                <c:pt idx="116">
                  <c:v>4632.0467333333336</c:v>
                </c:pt>
                <c:pt idx="117">
                  <c:v>4631.2826024999995</c:v>
                </c:pt>
                <c:pt idx="118">
                  <c:v>4630.5184716666663</c:v>
                </c:pt>
                <c:pt idx="119">
                  <c:v>4629.7543408333331</c:v>
                </c:pt>
                <c:pt idx="120">
                  <c:v>4628.9902099999999</c:v>
                </c:pt>
                <c:pt idx="121">
                  <c:v>4628.3200283333335</c:v>
                </c:pt>
                <c:pt idx="122">
                  <c:v>4627.6498466666662</c:v>
                </c:pt>
                <c:pt idx="123">
                  <c:v>4626.9796649999998</c:v>
                </c:pt>
                <c:pt idx="124">
                  <c:v>4626.3094833333334</c:v>
                </c:pt>
                <c:pt idx="125">
                  <c:v>4625.6393016666661</c:v>
                </c:pt>
                <c:pt idx="126">
                  <c:v>4624.9691199999997</c:v>
                </c:pt>
                <c:pt idx="127">
                  <c:v>4624.2989383333334</c:v>
                </c:pt>
                <c:pt idx="128">
                  <c:v>4623.628756666666</c:v>
                </c:pt>
                <c:pt idx="129">
                  <c:v>4622.9585749999997</c:v>
                </c:pt>
                <c:pt idx="130">
                  <c:v>4622.2883933333333</c:v>
                </c:pt>
                <c:pt idx="131">
                  <c:v>4621.618211666666</c:v>
                </c:pt>
                <c:pt idx="132">
                  <c:v>4620.9480299999996</c:v>
                </c:pt>
                <c:pt idx="133">
                  <c:v>4620.5049216666666</c:v>
                </c:pt>
                <c:pt idx="134">
                  <c:v>4620.0618133333328</c:v>
                </c:pt>
                <c:pt idx="135">
                  <c:v>4619.6187049999999</c:v>
                </c:pt>
                <c:pt idx="136">
                  <c:v>4619.175596666666</c:v>
                </c:pt>
                <c:pt idx="137">
                  <c:v>4618.7324883333331</c:v>
                </c:pt>
                <c:pt idx="138">
                  <c:v>4618.2893800000002</c:v>
                </c:pt>
                <c:pt idx="139">
                  <c:v>4617.8462716666663</c:v>
                </c:pt>
                <c:pt idx="140">
                  <c:v>4617.4031633333334</c:v>
                </c:pt>
                <c:pt idx="141">
                  <c:v>4616.9600549999996</c:v>
                </c:pt>
                <c:pt idx="142">
                  <c:v>4616.5169466666666</c:v>
                </c:pt>
                <c:pt idx="143">
                  <c:v>4616.0738383333328</c:v>
                </c:pt>
                <c:pt idx="144">
                  <c:v>4615.6307299999999</c:v>
                </c:pt>
                <c:pt idx="145">
                  <c:v>4615.511833333333</c:v>
                </c:pt>
                <c:pt idx="146">
                  <c:v>4615.3929366666662</c:v>
                </c:pt>
                <c:pt idx="147">
                  <c:v>4615.2740400000002</c:v>
                </c:pt>
                <c:pt idx="148">
                  <c:v>4615.1551433333334</c:v>
                </c:pt>
                <c:pt idx="149">
                  <c:v>4615.0362466666666</c:v>
                </c:pt>
                <c:pt idx="150">
                  <c:v>4614.9173499999997</c:v>
                </c:pt>
                <c:pt idx="151">
                  <c:v>4614.7984533333329</c:v>
                </c:pt>
                <c:pt idx="152">
                  <c:v>4614.679556666666</c:v>
                </c:pt>
                <c:pt idx="153">
                  <c:v>4614.5606599999992</c:v>
                </c:pt>
                <c:pt idx="154">
                  <c:v>4614.4417633333333</c:v>
                </c:pt>
                <c:pt idx="155">
                  <c:v>4614.3228666666664</c:v>
                </c:pt>
                <c:pt idx="156">
                  <c:v>4614.2039699999996</c:v>
                </c:pt>
                <c:pt idx="157">
                  <c:v>4614.4079991666658</c:v>
                </c:pt>
                <c:pt idx="158">
                  <c:v>4614.612028333333</c:v>
                </c:pt>
                <c:pt idx="159">
                  <c:v>4614.8160575000002</c:v>
                </c:pt>
                <c:pt idx="160">
                  <c:v>4615.0200866666664</c:v>
                </c:pt>
                <c:pt idx="161">
                  <c:v>4615.2241158333327</c:v>
                </c:pt>
                <c:pt idx="162">
                  <c:v>4615.4281449999999</c:v>
                </c:pt>
                <c:pt idx="163">
                  <c:v>4615.632174166667</c:v>
                </c:pt>
                <c:pt idx="164">
                  <c:v>4615.8362033333333</c:v>
                </c:pt>
                <c:pt idx="165">
                  <c:v>4616.0402324999995</c:v>
                </c:pt>
                <c:pt idx="166">
                  <c:v>4616.2442616666667</c:v>
                </c:pt>
                <c:pt idx="167">
                  <c:v>4616.4482908333339</c:v>
                </c:pt>
                <c:pt idx="168">
                  <c:v>4616.6523200000001</c:v>
                </c:pt>
                <c:pt idx="169">
                  <c:v>4617.1747974999998</c:v>
                </c:pt>
                <c:pt idx="170">
                  <c:v>4617.6972750000004</c:v>
                </c:pt>
                <c:pt idx="171">
                  <c:v>4618.2197525000001</c:v>
                </c:pt>
                <c:pt idx="172">
                  <c:v>4618.7422299999998</c:v>
                </c:pt>
                <c:pt idx="173">
                  <c:v>4619.2647075000004</c:v>
                </c:pt>
                <c:pt idx="174">
                  <c:v>4619.7871850000001</c:v>
                </c:pt>
                <c:pt idx="175">
                  <c:v>4620.3096624999998</c:v>
                </c:pt>
                <c:pt idx="176">
                  <c:v>4620.8321400000004</c:v>
                </c:pt>
                <c:pt idx="177">
                  <c:v>4621.3546175000001</c:v>
                </c:pt>
                <c:pt idx="178">
                  <c:v>4621.8770949999998</c:v>
                </c:pt>
                <c:pt idx="179">
                  <c:v>4622.3995725000004</c:v>
                </c:pt>
                <c:pt idx="180">
                  <c:v>4622.9220500000001</c:v>
                </c:pt>
                <c:pt idx="181">
                  <c:v>4623.7138924999999</c:v>
                </c:pt>
                <c:pt idx="182">
                  <c:v>4624.5057349999997</c:v>
                </c:pt>
                <c:pt idx="183">
                  <c:v>4625.2975774999995</c:v>
                </c:pt>
                <c:pt idx="184">
                  <c:v>4626.0894200000002</c:v>
                </c:pt>
                <c:pt idx="185">
                  <c:v>4626.8812625</c:v>
                </c:pt>
                <c:pt idx="186">
                  <c:v>4627.6731049999999</c:v>
                </c:pt>
                <c:pt idx="187">
                  <c:v>4628.4649474999997</c:v>
                </c:pt>
                <c:pt idx="188">
                  <c:v>4629.2567899999995</c:v>
                </c:pt>
                <c:pt idx="189">
                  <c:v>4630.0486325000002</c:v>
                </c:pt>
                <c:pt idx="190">
                  <c:v>4630.840475</c:v>
                </c:pt>
                <c:pt idx="191">
                  <c:v>4631.6323174999998</c:v>
                </c:pt>
                <c:pt idx="192">
                  <c:v>4632.4241599999996</c:v>
                </c:pt>
                <c:pt idx="193">
                  <c:v>4633.3667816666666</c:v>
                </c:pt>
                <c:pt idx="194">
                  <c:v>4634.3094033333327</c:v>
                </c:pt>
                <c:pt idx="195">
                  <c:v>4635.2520249999998</c:v>
                </c:pt>
                <c:pt idx="196">
                  <c:v>4636.1946466666668</c:v>
                </c:pt>
                <c:pt idx="197">
                  <c:v>4637.1372683333329</c:v>
                </c:pt>
                <c:pt idx="198">
                  <c:v>4638.07989</c:v>
                </c:pt>
                <c:pt idx="199">
                  <c:v>4639.022511666667</c:v>
                </c:pt>
                <c:pt idx="200">
                  <c:v>4639.9651333333331</c:v>
                </c:pt>
                <c:pt idx="201">
                  <c:v>4640.9077550000002</c:v>
                </c:pt>
                <c:pt idx="202">
                  <c:v>4641.8503766666672</c:v>
                </c:pt>
                <c:pt idx="203">
                  <c:v>4642.7929983333333</c:v>
                </c:pt>
                <c:pt idx="204">
                  <c:v>4643.7356200000004</c:v>
                </c:pt>
                <c:pt idx="205">
                  <c:v>4644.6871816666671</c:v>
                </c:pt>
                <c:pt idx="206">
                  <c:v>4645.6387433333339</c:v>
                </c:pt>
                <c:pt idx="207">
                  <c:v>4646.5903050000006</c:v>
                </c:pt>
                <c:pt idx="208">
                  <c:v>4647.5418666666674</c:v>
                </c:pt>
                <c:pt idx="209">
                  <c:v>4648.4934283333341</c:v>
                </c:pt>
                <c:pt idx="210">
                  <c:v>4649.44499</c:v>
                </c:pt>
                <c:pt idx="211">
                  <c:v>4650.3965516666667</c:v>
                </c:pt>
                <c:pt idx="212">
                  <c:v>4651.3481133333335</c:v>
                </c:pt>
                <c:pt idx="213">
                  <c:v>4652.2996750000002</c:v>
                </c:pt>
                <c:pt idx="214">
                  <c:v>4653.251236666667</c:v>
                </c:pt>
                <c:pt idx="215">
                  <c:v>4654.2027983333337</c:v>
                </c:pt>
                <c:pt idx="216">
                  <c:v>4655.1543600000005</c:v>
                </c:pt>
                <c:pt idx="217">
                  <c:v>4656.0189191666668</c:v>
                </c:pt>
                <c:pt idx="218">
                  <c:v>4656.8834783333332</c:v>
                </c:pt>
                <c:pt idx="219">
                  <c:v>4657.7480375000005</c:v>
                </c:pt>
                <c:pt idx="220">
                  <c:v>4658.6125966666668</c:v>
                </c:pt>
                <c:pt idx="221">
                  <c:v>4659.4771558333332</c:v>
                </c:pt>
                <c:pt idx="222">
                  <c:v>4660.3417150000005</c:v>
                </c:pt>
                <c:pt idx="223">
                  <c:v>4661.2062741666668</c:v>
                </c:pt>
                <c:pt idx="224">
                  <c:v>4662.0708333333332</c:v>
                </c:pt>
                <c:pt idx="225">
                  <c:v>4662.9353924999996</c:v>
                </c:pt>
                <c:pt idx="226">
                  <c:v>4663.7999516666659</c:v>
                </c:pt>
                <c:pt idx="227">
                  <c:v>4664.6645108333332</c:v>
                </c:pt>
                <c:pt idx="228">
                  <c:v>4665.5290699999996</c:v>
                </c:pt>
                <c:pt idx="229">
                  <c:v>4666.2121549999993</c:v>
                </c:pt>
                <c:pt idx="230">
                  <c:v>4666.8952399999998</c:v>
                </c:pt>
                <c:pt idx="231">
                  <c:v>4667.5783249999995</c:v>
                </c:pt>
                <c:pt idx="232">
                  <c:v>4668.2614100000001</c:v>
                </c:pt>
                <c:pt idx="233">
                  <c:v>4668.9444949999997</c:v>
                </c:pt>
                <c:pt idx="234">
                  <c:v>4669.6275800000003</c:v>
                </c:pt>
                <c:pt idx="235">
                  <c:v>4670.310665</c:v>
                </c:pt>
                <c:pt idx="236">
                  <c:v>4670.9937499999996</c:v>
                </c:pt>
                <c:pt idx="237">
                  <c:v>4671.6768350000002</c:v>
                </c:pt>
                <c:pt idx="238">
                  <c:v>4672.3599199999999</c:v>
                </c:pt>
                <c:pt idx="239">
                  <c:v>4673.0430050000004</c:v>
                </c:pt>
                <c:pt idx="240">
                  <c:v>4673.7260900000001</c:v>
                </c:pt>
                <c:pt idx="241">
                  <c:v>4674.0948591666665</c:v>
                </c:pt>
                <c:pt idx="242">
                  <c:v>4674.463628333333</c:v>
                </c:pt>
                <c:pt idx="243">
                  <c:v>4674.8323975000003</c:v>
                </c:pt>
                <c:pt idx="244">
                  <c:v>4675.2011666666667</c:v>
                </c:pt>
                <c:pt idx="245">
                  <c:v>4675.5699358333331</c:v>
                </c:pt>
                <c:pt idx="246">
                  <c:v>4675.9387050000005</c:v>
                </c:pt>
                <c:pt idx="247">
                  <c:v>4676.3074741666669</c:v>
                </c:pt>
                <c:pt idx="248">
                  <c:v>4676.6762433333333</c:v>
                </c:pt>
                <c:pt idx="249">
                  <c:v>4677.0450124999998</c:v>
                </c:pt>
                <c:pt idx="250">
                  <c:v>4677.4137816666662</c:v>
                </c:pt>
                <c:pt idx="251">
                  <c:v>4677.7825508333335</c:v>
                </c:pt>
                <c:pt idx="252">
                  <c:v>4678.1513199999999</c:v>
                </c:pt>
                <c:pt idx="253">
                  <c:v>4678.1641083333334</c:v>
                </c:pt>
                <c:pt idx="254">
                  <c:v>4678.1768966666668</c:v>
                </c:pt>
                <c:pt idx="255">
                  <c:v>4678.1896850000003</c:v>
                </c:pt>
                <c:pt idx="256">
                  <c:v>4678.2024733333337</c:v>
                </c:pt>
                <c:pt idx="257">
                  <c:v>4678.2152616666672</c:v>
                </c:pt>
                <c:pt idx="258">
                  <c:v>4678.2280499999997</c:v>
                </c:pt>
                <c:pt idx="259">
                  <c:v>4678.2408383333332</c:v>
                </c:pt>
                <c:pt idx="260">
                  <c:v>4678.2536266666666</c:v>
                </c:pt>
                <c:pt idx="261">
                  <c:v>4678.2664150000001</c:v>
                </c:pt>
                <c:pt idx="262">
                  <c:v>4678.2792033333335</c:v>
                </c:pt>
                <c:pt idx="263">
                  <c:v>4678.2919916666669</c:v>
                </c:pt>
                <c:pt idx="264">
                  <c:v>4678.3047800000004</c:v>
                </c:pt>
                <c:pt idx="265">
                  <c:v>4678.0197191666666</c:v>
                </c:pt>
                <c:pt idx="266">
                  <c:v>4677.7346583333338</c:v>
                </c:pt>
                <c:pt idx="267">
                  <c:v>4677.4495975</c:v>
                </c:pt>
                <c:pt idx="268">
                  <c:v>4677.1645366666671</c:v>
                </c:pt>
                <c:pt idx="269">
                  <c:v>4676.8794758333333</c:v>
                </c:pt>
                <c:pt idx="270">
                  <c:v>4676.5944149999996</c:v>
                </c:pt>
                <c:pt idx="271">
                  <c:v>4676.3093541666667</c:v>
                </c:pt>
                <c:pt idx="272">
                  <c:v>4676.0242933333329</c:v>
                </c:pt>
                <c:pt idx="273">
                  <c:v>4675.7392325000001</c:v>
                </c:pt>
                <c:pt idx="274">
                  <c:v>4675.4541716666663</c:v>
                </c:pt>
                <c:pt idx="275">
                  <c:v>4675.1691108333334</c:v>
                </c:pt>
                <c:pt idx="276">
                  <c:v>4674.8840499999997</c:v>
                </c:pt>
                <c:pt idx="277">
                  <c:v>4674.4132424999998</c:v>
                </c:pt>
                <c:pt idx="278">
                  <c:v>4673.9424349999999</c:v>
                </c:pt>
                <c:pt idx="279">
                  <c:v>4673.4716275000001</c:v>
                </c:pt>
                <c:pt idx="280">
                  <c:v>4673.0008200000002</c:v>
                </c:pt>
                <c:pt idx="281">
                  <c:v>4672.5300125000003</c:v>
                </c:pt>
                <c:pt idx="282">
                  <c:v>4672.0592049999996</c:v>
                </c:pt>
                <c:pt idx="283">
                  <c:v>4671.5883974999997</c:v>
                </c:pt>
                <c:pt idx="284">
                  <c:v>4671.1175899999998</c:v>
                </c:pt>
                <c:pt idx="285">
                  <c:v>4670.6467825</c:v>
                </c:pt>
                <c:pt idx="286">
                  <c:v>4670.1759750000001</c:v>
                </c:pt>
                <c:pt idx="287">
                  <c:v>4669.7051675000002</c:v>
                </c:pt>
                <c:pt idx="288">
                  <c:v>4669.2343600000004</c:v>
                </c:pt>
                <c:pt idx="289">
                  <c:v>4668.7375050000001</c:v>
                </c:pt>
                <c:pt idx="290">
                  <c:v>4668.2406500000006</c:v>
                </c:pt>
                <c:pt idx="291">
                  <c:v>4667.7437950000003</c:v>
                </c:pt>
                <c:pt idx="292">
                  <c:v>4667.24694</c:v>
                </c:pt>
                <c:pt idx="293">
                  <c:v>4666.7500850000006</c:v>
                </c:pt>
                <c:pt idx="294">
                  <c:v>4666.2532300000003</c:v>
                </c:pt>
                <c:pt idx="295">
                  <c:v>4665.7563749999999</c:v>
                </c:pt>
                <c:pt idx="296">
                  <c:v>4665.2595200000005</c:v>
                </c:pt>
                <c:pt idx="297">
                  <c:v>4664.7626650000002</c:v>
                </c:pt>
                <c:pt idx="298">
                  <c:v>4664.2658099999999</c:v>
                </c:pt>
                <c:pt idx="299">
                  <c:v>4663.7689550000005</c:v>
                </c:pt>
                <c:pt idx="300">
                  <c:v>4663.2721000000001</c:v>
                </c:pt>
                <c:pt idx="301">
                  <c:v>4662.8398358333334</c:v>
                </c:pt>
                <c:pt idx="302">
                  <c:v>4662.4075716666666</c:v>
                </c:pt>
                <c:pt idx="303">
                  <c:v>4661.9753074999999</c:v>
                </c:pt>
                <c:pt idx="304">
                  <c:v>4661.5430433333331</c:v>
                </c:pt>
                <c:pt idx="305">
                  <c:v>4661.1107791666664</c:v>
                </c:pt>
                <c:pt idx="306">
                  <c:v>4660.6785149999996</c:v>
                </c:pt>
                <c:pt idx="307">
                  <c:v>4660.2462508333338</c:v>
                </c:pt>
                <c:pt idx="308">
                  <c:v>4659.813986666667</c:v>
                </c:pt>
                <c:pt idx="309">
                  <c:v>4659.3817225000003</c:v>
                </c:pt>
                <c:pt idx="310">
                  <c:v>4658.9494583333335</c:v>
                </c:pt>
                <c:pt idx="311">
                  <c:v>4658.5171941666667</c:v>
                </c:pt>
                <c:pt idx="312">
                  <c:v>4658.08493</c:v>
                </c:pt>
                <c:pt idx="313">
                  <c:v>4657.7623533333335</c:v>
                </c:pt>
                <c:pt idx="314">
                  <c:v>4657.4397766666661</c:v>
                </c:pt>
                <c:pt idx="315">
                  <c:v>4657.1171999999997</c:v>
                </c:pt>
                <c:pt idx="316">
                  <c:v>4656.7946233333332</c:v>
                </c:pt>
                <c:pt idx="317">
                  <c:v>4656.4720466666668</c:v>
                </c:pt>
                <c:pt idx="318">
                  <c:v>4656.1494700000003</c:v>
                </c:pt>
                <c:pt idx="319">
                  <c:v>4655.8268933333329</c:v>
                </c:pt>
                <c:pt idx="320">
                  <c:v>4655.5043166666665</c:v>
                </c:pt>
                <c:pt idx="321">
                  <c:v>4655.18174</c:v>
                </c:pt>
                <c:pt idx="322">
                  <c:v>4654.8591633333326</c:v>
                </c:pt>
                <c:pt idx="323">
                  <c:v>4654.5365866666662</c:v>
                </c:pt>
                <c:pt idx="324">
                  <c:v>4654.2140099999997</c:v>
                </c:pt>
                <c:pt idx="325">
                  <c:v>4654.0148191666667</c:v>
                </c:pt>
                <c:pt idx="326">
                  <c:v>4653.8156283333328</c:v>
                </c:pt>
                <c:pt idx="327">
                  <c:v>4653.6164374999998</c:v>
                </c:pt>
                <c:pt idx="328">
                  <c:v>4653.4172466666669</c:v>
                </c:pt>
                <c:pt idx="329">
                  <c:v>4653.218055833333</c:v>
                </c:pt>
                <c:pt idx="330">
                  <c:v>4653.018865</c:v>
                </c:pt>
                <c:pt idx="331">
                  <c:v>4652.819674166667</c:v>
                </c:pt>
                <c:pt idx="332">
                  <c:v>4652.6204833333331</c:v>
                </c:pt>
                <c:pt idx="333">
                  <c:v>4652.4212925000002</c:v>
                </c:pt>
                <c:pt idx="334">
                  <c:v>4652.2221016666672</c:v>
                </c:pt>
                <c:pt idx="335">
                  <c:v>4652.0229108333333</c:v>
                </c:pt>
                <c:pt idx="336">
                  <c:v>4651.8237200000003</c:v>
                </c:pt>
                <c:pt idx="337">
                  <c:v>4651.7084491666665</c:v>
                </c:pt>
                <c:pt idx="338">
                  <c:v>4651.5931783333335</c:v>
                </c:pt>
                <c:pt idx="339">
                  <c:v>4651.4779075000006</c:v>
                </c:pt>
                <c:pt idx="340">
                  <c:v>4651.3626366666667</c:v>
                </c:pt>
                <c:pt idx="341">
                  <c:v>4651.2473658333329</c:v>
                </c:pt>
                <c:pt idx="342">
                  <c:v>4651.1320949999999</c:v>
                </c:pt>
                <c:pt idx="343">
                  <c:v>4651.016824166667</c:v>
                </c:pt>
                <c:pt idx="344">
                  <c:v>4650.9015533333331</c:v>
                </c:pt>
                <c:pt idx="345">
                  <c:v>4650.7862824999993</c:v>
                </c:pt>
                <c:pt idx="346">
                  <c:v>4650.6710116666663</c:v>
                </c:pt>
                <c:pt idx="347">
                  <c:v>4650.5557408333334</c:v>
                </c:pt>
                <c:pt idx="348">
                  <c:v>4650.4404699999996</c:v>
                </c:pt>
                <c:pt idx="349">
                  <c:v>4650.3933324999998</c:v>
                </c:pt>
                <c:pt idx="350">
                  <c:v>4650.3461950000001</c:v>
                </c:pt>
                <c:pt idx="351">
                  <c:v>4650.2990574999994</c:v>
                </c:pt>
                <c:pt idx="352">
                  <c:v>4650.2519199999997</c:v>
                </c:pt>
                <c:pt idx="353">
                  <c:v>4650.2047825</c:v>
                </c:pt>
                <c:pt idx="354">
                  <c:v>4650.1576449999993</c:v>
                </c:pt>
                <c:pt idx="355">
                  <c:v>4650.1105074999996</c:v>
                </c:pt>
                <c:pt idx="356">
                  <c:v>4650.0633699999998</c:v>
                </c:pt>
                <c:pt idx="357">
                  <c:v>4650.0162325000001</c:v>
                </c:pt>
                <c:pt idx="358">
                  <c:v>4649.9690950000004</c:v>
                </c:pt>
                <c:pt idx="359">
                  <c:v>4649.9219574999997</c:v>
                </c:pt>
                <c:pt idx="360">
                  <c:v>4649.87482</c:v>
                </c:pt>
                <c:pt idx="361">
                  <c:v>4649.8344591666664</c:v>
                </c:pt>
                <c:pt idx="362">
                  <c:v>4649.7940983333337</c:v>
                </c:pt>
                <c:pt idx="363">
                  <c:v>4649.7537375000002</c:v>
                </c:pt>
                <c:pt idx="364">
                  <c:v>4649.7133766666666</c:v>
                </c:pt>
                <c:pt idx="365">
                  <c:v>4649.673015833333</c:v>
                </c:pt>
                <c:pt idx="366">
                  <c:v>4649.6326549999994</c:v>
                </c:pt>
                <c:pt idx="367">
                  <c:v>4649.5922941666668</c:v>
                </c:pt>
                <c:pt idx="368">
                  <c:v>4649.5519333333332</c:v>
                </c:pt>
                <c:pt idx="369">
                  <c:v>4649.5115724999996</c:v>
                </c:pt>
                <c:pt idx="370">
                  <c:v>4649.4712116666669</c:v>
                </c:pt>
                <c:pt idx="371">
                  <c:v>4649.4308508333334</c:v>
                </c:pt>
                <c:pt idx="372">
                  <c:v>4649.3904899999998</c:v>
                </c:pt>
                <c:pt idx="373">
                  <c:v>4649.3116833333333</c:v>
                </c:pt>
                <c:pt idx="374">
                  <c:v>4649.2328766666669</c:v>
                </c:pt>
                <c:pt idx="375">
                  <c:v>4649.1540699999996</c:v>
                </c:pt>
                <c:pt idx="376">
                  <c:v>4649.0752633333332</c:v>
                </c:pt>
                <c:pt idx="377">
                  <c:v>4648.9964566666667</c:v>
                </c:pt>
                <c:pt idx="378">
                  <c:v>4648.9176499999994</c:v>
                </c:pt>
                <c:pt idx="379">
                  <c:v>4648.838843333333</c:v>
                </c:pt>
                <c:pt idx="380">
                  <c:v>4648.7600366666666</c:v>
                </c:pt>
                <c:pt idx="381">
                  <c:v>4648.6812300000001</c:v>
                </c:pt>
                <c:pt idx="382">
                  <c:v>4648.6024233333337</c:v>
                </c:pt>
                <c:pt idx="383">
                  <c:v>4648.5236166666664</c:v>
                </c:pt>
                <c:pt idx="384">
                  <c:v>4648.44481</c:v>
                </c:pt>
                <c:pt idx="385">
                  <c:v>4648.2831291666662</c:v>
                </c:pt>
                <c:pt idx="386">
                  <c:v>4648.1214483333333</c:v>
                </c:pt>
                <c:pt idx="387">
                  <c:v>4647.9597675000005</c:v>
                </c:pt>
                <c:pt idx="388">
                  <c:v>4647.7980866666667</c:v>
                </c:pt>
                <c:pt idx="389">
                  <c:v>4647.6364058333329</c:v>
                </c:pt>
                <c:pt idx="390">
                  <c:v>4647.474725</c:v>
                </c:pt>
                <c:pt idx="391">
                  <c:v>4647.3130441666672</c:v>
                </c:pt>
                <c:pt idx="392">
                  <c:v>4647.1513633333334</c:v>
                </c:pt>
                <c:pt idx="393">
                  <c:v>4646.9896824999996</c:v>
                </c:pt>
                <c:pt idx="394">
                  <c:v>4646.8280016666668</c:v>
                </c:pt>
                <c:pt idx="395">
                  <c:v>4646.6663208333339</c:v>
                </c:pt>
                <c:pt idx="396">
                  <c:v>4646.5046400000001</c:v>
                </c:pt>
                <c:pt idx="397">
                  <c:v>4646.2395191666665</c:v>
                </c:pt>
                <c:pt idx="398">
                  <c:v>4645.9743983333337</c:v>
                </c:pt>
                <c:pt idx="399">
                  <c:v>4645.7092775000001</c:v>
                </c:pt>
                <c:pt idx="400">
                  <c:v>4645.4441566666665</c:v>
                </c:pt>
                <c:pt idx="401">
                  <c:v>4645.1790358333337</c:v>
                </c:pt>
                <c:pt idx="402">
                  <c:v>4644.9139150000001</c:v>
                </c:pt>
                <c:pt idx="403">
                  <c:v>4644.6487941666664</c:v>
                </c:pt>
                <c:pt idx="404">
                  <c:v>4644.3836733333337</c:v>
                </c:pt>
                <c:pt idx="405">
                  <c:v>4644.1185525000001</c:v>
                </c:pt>
                <c:pt idx="406">
                  <c:v>4643.8534316666664</c:v>
                </c:pt>
                <c:pt idx="407">
                  <c:v>4643.5883108333337</c:v>
                </c:pt>
                <c:pt idx="408">
                  <c:v>4643.3231900000001</c:v>
                </c:pt>
                <c:pt idx="409">
                  <c:v>4642.9720525000002</c:v>
                </c:pt>
                <c:pt idx="410">
                  <c:v>4642.6209150000004</c:v>
                </c:pt>
                <c:pt idx="411">
                  <c:v>4642.2697774999997</c:v>
                </c:pt>
                <c:pt idx="412">
                  <c:v>4641.9186399999999</c:v>
                </c:pt>
                <c:pt idx="413">
                  <c:v>4641.5675025</c:v>
                </c:pt>
                <c:pt idx="414">
                  <c:v>4641.2163650000002</c:v>
                </c:pt>
                <c:pt idx="415">
                  <c:v>4640.8652275000004</c:v>
                </c:pt>
                <c:pt idx="416">
                  <c:v>4640.5140900000006</c:v>
                </c:pt>
                <c:pt idx="417">
                  <c:v>4640.1629525000008</c:v>
                </c:pt>
                <c:pt idx="418">
                  <c:v>4639.811815</c:v>
                </c:pt>
                <c:pt idx="419">
                  <c:v>4639.4606775000002</c:v>
                </c:pt>
                <c:pt idx="420">
                  <c:v>4639.1095400000004</c:v>
                </c:pt>
                <c:pt idx="421">
                  <c:v>4638.7394333333341</c:v>
                </c:pt>
                <c:pt idx="422">
                  <c:v>4638.3693266666669</c:v>
                </c:pt>
                <c:pt idx="423">
                  <c:v>4637.9992200000006</c:v>
                </c:pt>
                <c:pt idx="424">
                  <c:v>4637.6291133333334</c:v>
                </c:pt>
                <c:pt idx="425">
                  <c:v>4637.2590066666671</c:v>
                </c:pt>
                <c:pt idx="426">
                  <c:v>4636.8888999999999</c:v>
                </c:pt>
                <c:pt idx="427">
                  <c:v>4636.5187933333336</c:v>
                </c:pt>
                <c:pt idx="428">
                  <c:v>4636.1486866666673</c:v>
                </c:pt>
                <c:pt idx="429">
                  <c:v>4635.7785800000001</c:v>
                </c:pt>
                <c:pt idx="430">
                  <c:v>4635.4084733333339</c:v>
                </c:pt>
                <c:pt idx="431">
                  <c:v>4635.0383666666667</c:v>
                </c:pt>
                <c:pt idx="432">
                  <c:v>4634.6682600000004</c:v>
                </c:pt>
                <c:pt idx="433">
                  <c:v>4634.4260041666666</c:v>
                </c:pt>
                <c:pt idx="434">
                  <c:v>4634.1837483333338</c:v>
                </c:pt>
                <c:pt idx="435">
                  <c:v>4633.9414925000001</c:v>
                </c:pt>
                <c:pt idx="436">
                  <c:v>4633.6992366666673</c:v>
                </c:pt>
                <c:pt idx="437">
                  <c:v>4633.4569808333335</c:v>
                </c:pt>
                <c:pt idx="438">
                  <c:v>4633.2147249999998</c:v>
                </c:pt>
                <c:pt idx="439">
                  <c:v>4632.972469166667</c:v>
                </c:pt>
                <c:pt idx="440">
                  <c:v>4632.7302133333333</c:v>
                </c:pt>
                <c:pt idx="441">
                  <c:v>4632.4879575000004</c:v>
                </c:pt>
                <c:pt idx="442">
                  <c:v>4632.2457016666667</c:v>
                </c:pt>
                <c:pt idx="443">
                  <c:v>4632.0034458333339</c:v>
                </c:pt>
                <c:pt idx="444">
                  <c:v>4631.7611900000002</c:v>
                </c:pt>
                <c:pt idx="445">
                  <c:v>4631.6923316666671</c:v>
                </c:pt>
                <c:pt idx="446">
                  <c:v>4631.6234733333331</c:v>
                </c:pt>
                <c:pt idx="447">
                  <c:v>4631.554615</c:v>
                </c:pt>
                <c:pt idx="448">
                  <c:v>4631.4857566666669</c:v>
                </c:pt>
                <c:pt idx="449">
                  <c:v>4631.4168983333338</c:v>
                </c:pt>
                <c:pt idx="450">
                  <c:v>4631.3480400000008</c:v>
                </c:pt>
                <c:pt idx="451">
                  <c:v>4631.2791816666668</c:v>
                </c:pt>
                <c:pt idx="452">
                  <c:v>4631.2103233333337</c:v>
                </c:pt>
                <c:pt idx="453">
                  <c:v>4631.1414650000006</c:v>
                </c:pt>
                <c:pt idx="454">
                  <c:v>4631.0726066666666</c:v>
                </c:pt>
                <c:pt idx="455">
                  <c:v>4631.0037483333335</c:v>
                </c:pt>
                <c:pt idx="456">
                  <c:v>4630.9348900000005</c:v>
                </c:pt>
                <c:pt idx="457">
                  <c:v>4631.0130400000007</c:v>
                </c:pt>
                <c:pt idx="458">
                  <c:v>4631.0911900000001</c:v>
                </c:pt>
                <c:pt idx="459">
                  <c:v>4631.1693400000004</c:v>
                </c:pt>
                <c:pt idx="460">
                  <c:v>4631.2474900000007</c:v>
                </c:pt>
                <c:pt idx="461">
                  <c:v>4631.32564</c:v>
                </c:pt>
                <c:pt idx="462">
                  <c:v>4631.4037900000003</c:v>
                </c:pt>
                <c:pt idx="463">
                  <c:v>4631.4819400000006</c:v>
                </c:pt>
                <c:pt idx="464">
                  <c:v>4631.5600899999999</c:v>
                </c:pt>
                <c:pt idx="465">
                  <c:v>4631.6382400000002</c:v>
                </c:pt>
                <c:pt idx="466">
                  <c:v>4631.7163900000005</c:v>
                </c:pt>
                <c:pt idx="467">
                  <c:v>4631.7945399999999</c:v>
                </c:pt>
                <c:pt idx="468">
                  <c:v>4631.8726900000001</c:v>
                </c:pt>
                <c:pt idx="469">
                  <c:v>4632.0714875000003</c:v>
                </c:pt>
                <c:pt idx="470">
                  <c:v>4632.2702850000005</c:v>
                </c:pt>
                <c:pt idx="471">
                  <c:v>4632.4690824999998</c:v>
                </c:pt>
                <c:pt idx="472">
                  <c:v>4632.66788</c:v>
                </c:pt>
                <c:pt idx="473">
                  <c:v>4632.8666775000002</c:v>
                </c:pt>
                <c:pt idx="474">
                  <c:v>4633.0654749999994</c:v>
                </c:pt>
                <c:pt idx="475">
                  <c:v>4633.2642724999996</c:v>
                </c:pt>
                <c:pt idx="476">
                  <c:v>4633.4630699999998</c:v>
                </c:pt>
                <c:pt idx="477">
                  <c:v>4633.6618675</c:v>
                </c:pt>
                <c:pt idx="478">
                  <c:v>4633.8606650000002</c:v>
                </c:pt>
                <c:pt idx="479">
                  <c:v>4634.0594624999994</c:v>
                </c:pt>
                <c:pt idx="480">
                  <c:v>4634.2582599999996</c:v>
                </c:pt>
                <c:pt idx="481">
                  <c:v>4634.5898524999993</c:v>
                </c:pt>
                <c:pt idx="482">
                  <c:v>4634.9214449999999</c:v>
                </c:pt>
                <c:pt idx="483">
                  <c:v>4635.2530374999997</c:v>
                </c:pt>
                <c:pt idx="484">
                  <c:v>4635.5846299999994</c:v>
                </c:pt>
                <c:pt idx="485">
                  <c:v>4635.9162225</c:v>
                </c:pt>
                <c:pt idx="486">
                  <c:v>4636.2478149999997</c:v>
                </c:pt>
                <c:pt idx="487">
                  <c:v>4636.5794074999994</c:v>
                </c:pt>
                <c:pt idx="488">
                  <c:v>4636.9110000000001</c:v>
                </c:pt>
                <c:pt idx="489">
                  <c:v>4637.2425924999998</c:v>
                </c:pt>
                <c:pt idx="490">
                  <c:v>4637.5741849999995</c:v>
                </c:pt>
                <c:pt idx="491">
                  <c:v>4637.9057775000001</c:v>
                </c:pt>
                <c:pt idx="492">
                  <c:v>4638.2373699999998</c:v>
                </c:pt>
                <c:pt idx="493">
                  <c:v>4638.5909816666663</c:v>
                </c:pt>
                <c:pt idx="494">
                  <c:v>4638.9445933333336</c:v>
                </c:pt>
                <c:pt idx="495">
                  <c:v>4639.2982050000001</c:v>
                </c:pt>
                <c:pt idx="496">
                  <c:v>4639.6518166666665</c:v>
                </c:pt>
                <c:pt idx="497">
                  <c:v>4640.0054283333329</c:v>
                </c:pt>
                <c:pt idx="498">
                  <c:v>4640.3590399999994</c:v>
                </c:pt>
                <c:pt idx="499">
                  <c:v>4640.7126516666667</c:v>
                </c:pt>
                <c:pt idx="500">
                  <c:v>4641.0662633333332</c:v>
                </c:pt>
                <c:pt idx="501">
                  <c:v>4641.4198749999996</c:v>
                </c:pt>
                <c:pt idx="502">
                  <c:v>4641.7734866666669</c:v>
                </c:pt>
                <c:pt idx="503">
                  <c:v>4642.1270983333334</c:v>
                </c:pt>
                <c:pt idx="504">
                  <c:v>4642.4807099999998</c:v>
                </c:pt>
                <c:pt idx="505">
                  <c:v>4642.7706083333333</c:v>
                </c:pt>
                <c:pt idx="506">
                  <c:v>4643.0605066666667</c:v>
                </c:pt>
                <c:pt idx="507">
                  <c:v>4643.3504050000001</c:v>
                </c:pt>
                <c:pt idx="508">
                  <c:v>4643.6403033333336</c:v>
                </c:pt>
                <c:pt idx="509">
                  <c:v>4643.930201666667</c:v>
                </c:pt>
                <c:pt idx="510">
                  <c:v>4644.2201000000005</c:v>
                </c:pt>
                <c:pt idx="511">
                  <c:v>4644.509998333333</c:v>
                </c:pt>
                <c:pt idx="512">
                  <c:v>4644.7998966666664</c:v>
                </c:pt>
                <c:pt idx="513">
                  <c:v>4645.0897949999999</c:v>
                </c:pt>
                <c:pt idx="514">
                  <c:v>4645.3796933333333</c:v>
                </c:pt>
                <c:pt idx="515">
                  <c:v>4645.6695916666667</c:v>
                </c:pt>
                <c:pt idx="516">
                  <c:v>4645.9594900000002</c:v>
                </c:pt>
                <c:pt idx="517">
                  <c:v>4646.0823058333335</c:v>
                </c:pt>
                <c:pt idx="518">
                  <c:v>4646.2051216666669</c:v>
                </c:pt>
                <c:pt idx="519">
                  <c:v>4646.3279375000002</c:v>
                </c:pt>
                <c:pt idx="520">
                  <c:v>4646.4507533333335</c:v>
                </c:pt>
                <c:pt idx="521">
                  <c:v>4646.5735691666669</c:v>
                </c:pt>
                <c:pt idx="522">
                  <c:v>4646.6963850000002</c:v>
                </c:pt>
                <c:pt idx="523">
                  <c:v>4646.8192008333335</c:v>
                </c:pt>
                <c:pt idx="524">
                  <c:v>4646.9420166666669</c:v>
                </c:pt>
                <c:pt idx="525">
                  <c:v>4647.0648325000002</c:v>
                </c:pt>
                <c:pt idx="526">
                  <c:v>4647.1876483333335</c:v>
                </c:pt>
                <c:pt idx="527">
                  <c:v>4647.3104641666669</c:v>
                </c:pt>
                <c:pt idx="528">
                  <c:v>4647.4332800000002</c:v>
                </c:pt>
                <c:pt idx="529">
                  <c:v>4647.3072108333336</c:v>
                </c:pt>
                <c:pt idx="530">
                  <c:v>4647.1811416666669</c:v>
                </c:pt>
                <c:pt idx="531">
                  <c:v>4647.0550725000003</c:v>
                </c:pt>
                <c:pt idx="532">
                  <c:v>4646.9290033333336</c:v>
                </c:pt>
                <c:pt idx="533">
                  <c:v>4646.802934166667</c:v>
                </c:pt>
                <c:pt idx="534">
                  <c:v>4646.6768649999995</c:v>
                </c:pt>
                <c:pt idx="535">
                  <c:v>4646.5507958333328</c:v>
                </c:pt>
                <c:pt idx="536">
                  <c:v>4646.4247266666662</c:v>
                </c:pt>
                <c:pt idx="537">
                  <c:v>4646.2986574999995</c:v>
                </c:pt>
                <c:pt idx="538">
                  <c:v>4646.1725883333329</c:v>
                </c:pt>
                <c:pt idx="539">
                  <c:v>4646.0465191666663</c:v>
                </c:pt>
                <c:pt idx="540">
                  <c:v>4645.9204499999996</c:v>
                </c:pt>
                <c:pt idx="541">
                  <c:v>4645.5795349999999</c:v>
                </c:pt>
                <c:pt idx="542">
                  <c:v>4645.2386200000001</c:v>
                </c:pt>
                <c:pt idx="543">
                  <c:v>4644.8977049999994</c:v>
                </c:pt>
                <c:pt idx="544">
                  <c:v>4644.5567899999996</c:v>
                </c:pt>
                <c:pt idx="545">
                  <c:v>4644.2158749999999</c:v>
                </c:pt>
                <c:pt idx="546">
                  <c:v>4643.8749599999992</c:v>
                </c:pt>
                <c:pt idx="547">
                  <c:v>4643.5340449999994</c:v>
                </c:pt>
                <c:pt idx="548">
                  <c:v>4643.1931299999997</c:v>
                </c:pt>
                <c:pt idx="549">
                  <c:v>4642.8522149999999</c:v>
                </c:pt>
                <c:pt idx="550">
                  <c:v>4642.5113000000001</c:v>
                </c:pt>
                <c:pt idx="551">
                  <c:v>4642.1703849999994</c:v>
                </c:pt>
                <c:pt idx="552">
                  <c:v>4641.8294699999997</c:v>
                </c:pt>
                <c:pt idx="553">
                  <c:v>4641.3899766666664</c:v>
                </c:pt>
                <c:pt idx="554">
                  <c:v>4640.9504833333331</c:v>
                </c:pt>
                <c:pt idx="555">
                  <c:v>4640.5109899999998</c:v>
                </c:pt>
                <c:pt idx="556">
                  <c:v>4640.0714966666665</c:v>
                </c:pt>
                <c:pt idx="557">
                  <c:v>4639.6320033333332</c:v>
                </c:pt>
                <c:pt idx="558">
                  <c:v>4639.1925099999999</c:v>
                </c:pt>
                <c:pt idx="559">
                  <c:v>4638.7530166666666</c:v>
                </c:pt>
                <c:pt idx="560">
                  <c:v>4638.3135233333333</c:v>
                </c:pt>
                <c:pt idx="561">
                  <c:v>4637.8740299999999</c:v>
                </c:pt>
                <c:pt idx="562">
                  <c:v>4637.4345366666666</c:v>
                </c:pt>
                <c:pt idx="563">
                  <c:v>4636.9950433333333</c:v>
                </c:pt>
                <c:pt idx="564">
                  <c:v>4636.55555</c:v>
                </c:pt>
                <c:pt idx="565">
                  <c:v>4636.0903975000001</c:v>
                </c:pt>
                <c:pt idx="566">
                  <c:v>4635.6252450000002</c:v>
                </c:pt>
                <c:pt idx="567">
                  <c:v>4635.1600925000002</c:v>
                </c:pt>
                <c:pt idx="568">
                  <c:v>4634.6949400000003</c:v>
                </c:pt>
                <c:pt idx="569">
                  <c:v>4634.2297875000004</c:v>
                </c:pt>
                <c:pt idx="570">
                  <c:v>4633.7646349999995</c:v>
                </c:pt>
                <c:pt idx="571">
                  <c:v>4633.2994824999996</c:v>
                </c:pt>
                <c:pt idx="572">
                  <c:v>4632.8343299999997</c:v>
                </c:pt>
                <c:pt idx="573">
                  <c:v>4632.3691774999998</c:v>
                </c:pt>
                <c:pt idx="574">
                  <c:v>4631.9040249999998</c:v>
                </c:pt>
                <c:pt idx="575">
                  <c:v>4631.4388724999999</c:v>
                </c:pt>
                <c:pt idx="576">
                  <c:v>4630.97372</c:v>
                </c:pt>
                <c:pt idx="577">
                  <c:v>4630.6523066666668</c:v>
                </c:pt>
                <c:pt idx="578">
                  <c:v>4630.3308933333337</c:v>
                </c:pt>
                <c:pt idx="579">
                  <c:v>4630.0094799999997</c:v>
                </c:pt>
                <c:pt idx="580">
                  <c:v>4629.6880666666666</c:v>
                </c:pt>
                <c:pt idx="581">
                  <c:v>4629.3666533333335</c:v>
                </c:pt>
                <c:pt idx="582">
                  <c:v>4629.0452399999995</c:v>
                </c:pt>
                <c:pt idx="583">
                  <c:v>4628.7238266666664</c:v>
                </c:pt>
                <c:pt idx="584">
                  <c:v>4628.4024133333332</c:v>
                </c:pt>
                <c:pt idx="585">
                  <c:v>4628.0810000000001</c:v>
                </c:pt>
                <c:pt idx="586">
                  <c:v>4627.759586666667</c:v>
                </c:pt>
                <c:pt idx="587">
                  <c:v>4627.438173333333</c:v>
                </c:pt>
                <c:pt idx="588">
                  <c:v>4627.1167599999999</c:v>
                </c:pt>
                <c:pt idx="589">
                  <c:v>4627.1537141666668</c:v>
                </c:pt>
                <c:pt idx="590">
                  <c:v>4627.1906683333327</c:v>
                </c:pt>
                <c:pt idx="591">
                  <c:v>4627.2276224999996</c:v>
                </c:pt>
                <c:pt idx="592">
                  <c:v>4627.2645766666665</c:v>
                </c:pt>
                <c:pt idx="593">
                  <c:v>4627.3015308333333</c:v>
                </c:pt>
                <c:pt idx="594">
                  <c:v>4627.3384850000002</c:v>
                </c:pt>
                <c:pt idx="595">
                  <c:v>4627.3754391666662</c:v>
                </c:pt>
                <c:pt idx="596">
                  <c:v>4627.4123933333331</c:v>
                </c:pt>
                <c:pt idx="597">
                  <c:v>4627.4493474999999</c:v>
                </c:pt>
                <c:pt idx="598">
                  <c:v>4627.4863016666659</c:v>
                </c:pt>
                <c:pt idx="599">
                  <c:v>4627.5232558333328</c:v>
                </c:pt>
                <c:pt idx="600">
                  <c:v>4627.5602099999996</c:v>
                </c:pt>
                <c:pt idx="601">
                  <c:v>4628.0340541666665</c:v>
                </c:pt>
                <c:pt idx="602">
                  <c:v>4628.5078983333333</c:v>
                </c:pt>
                <c:pt idx="603">
                  <c:v>4628.9817425000001</c:v>
                </c:pt>
                <c:pt idx="604">
                  <c:v>4629.455586666666</c:v>
                </c:pt>
                <c:pt idx="605">
                  <c:v>4629.9294308333328</c:v>
                </c:pt>
                <c:pt idx="606">
                  <c:v>4630.4032749999997</c:v>
                </c:pt>
                <c:pt idx="607">
                  <c:v>4630.8771191666665</c:v>
                </c:pt>
                <c:pt idx="608">
                  <c:v>4631.3509633333333</c:v>
                </c:pt>
                <c:pt idx="609">
                  <c:v>4631.8248074999992</c:v>
                </c:pt>
                <c:pt idx="610">
                  <c:v>4632.298651666666</c:v>
                </c:pt>
                <c:pt idx="611">
                  <c:v>4632.7724958333329</c:v>
                </c:pt>
                <c:pt idx="612">
                  <c:v>4633.2463399999997</c:v>
                </c:pt>
                <c:pt idx="613">
                  <c:v>4634.1685641666663</c:v>
                </c:pt>
                <c:pt idx="614">
                  <c:v>4635.090788333333</c:v>
                </c:pt>
                <c:pt idx="615">
                  <c:v>4636.0130124999996</c:v>
                </c:pt>
                <c:pt idx="616">
                  <c:v>4636.9352366666662</c:v>
                </c:pt>
                <c:pt idx="617">
                  <c:v>4637.8574608333329</c:v>
                </c:pt>
                <c:pt idx="618">
                  <c:v>4638.7796849999995</c:v>
                </c:pt>
                <c:pt idx="619">
                  <c:v>4639.7019091666671</c:v>
                </c:pt>
                <c:pt idx="620">
                  <c:v>4640.6241333333337</c:v>
                </c:pt>
                <c:pt idx="621">
                  <c:v>4641.5463575000003</c:v>
                </c:pt>
                <c:pt idx="622">
                  <c:v>4642.468581666667</c:v>
                </c:pt>
                <c:pt idx="623">
                  <c:v>4643.3908058333336</c:v>
                </c:pt>
                <c:pt idx="624">
                  <c:v>4644.3130300000003</c:v>
                </c:pt>
                <c:pt idx="625">
                  <c:v>4645.7045475000004</c:v>
                </c:pt>
                <c:pt idx="626">
                  <c:v>4647.0960649999997</c:v>
                </c:pt>
                <c:pt idx="627">
                  <c:v>4648.4875824999999</c:v>
                </c:pt>
                <c:pt idx="628">
                  <c:v>4649.8791000000001</c:v>
                </c:pt>
                <c:pt idx="629">
                  <c:v>4651.2706175000003</c:v>
                </c:pt>
                <c:pt idx="630">
                  <c:v>4652.6621350000005</c:v>
                </c:pt>
                <c:pt idx="631">
                  <c:v>4654.0536524999998</c:v>
                </c:pt>
                <c:pt idx="632">
                  <c:v>4655.44517</c:v>
                </c:pt>
                <c:pt idx="633">
                  <c:v>4656.8366875000002</c:v>
                </c:pt>
                <c:pt idx="634">
                  <c:v>4658.2282049999994</c:v>
                </c:pt>
                <c:pt idx="635">
                  <c:v>4659.6197224999996</c:v>
                </c:pt>
                <c:pt idx="636">
                  <c:v>4661.0112399999998</c:v>
                </c:pt>
                <c:pt idx="637">
                  <c:v>4662.8257149999999</c:v>
                </c:pt>
                <c:pt idx="638">
                  <c:v>4664.6401900000001</c:v>
                </c:pt>
                <c:pt idx="639">
                  <c:v>4666.4546649999993</c:v>
                </c:pt>
                <c:pt idx="640">
                  <c:v>4668.2691399999994</c:v>
                </c:pt>
                <c:pt idx="641">
                  <c:v>4670.0836149999996</c:v>
                </c:pt>
                <c:pt idx="642">
                  <c:v>4671.8980899999997</c:v>
                </c:pt>
                <c:pt idx="643">
                  <c:v>4673.7125649999998</c:v>
                </c:pt>
                <c:pt idx="644">
                  <c:v>4675.5270399999999</c:v>
                </c:pt>
                <c:pt idx="645">
                  <c:v>4677.3415150000001</c:v>
                </c:pt>
                <c:pt idx="646">
                  <c:v>4679.1559899999993</c:v>
                </c:pt>
                <c:pt idx="647">
                  <c:v>4680.9704649999994</c:v>
                </c:pt>
                <c:pt idx="648">
                  <c:v>4682.7849399999996</c:v>
                </c:pt>
                <c:pt idx="649">
                  <c:v>4684.8577174999991</c:v>
                </c:pt>
                <c:pt idx="650">
                  <c:v>4686.9304949999996</c:v>
                </c:pt>
                <c:pt idx="651">
                  <c:v>4689.0032725000001</c:v>
                </c:pt>
                <c:pt idx="652">
                  <c:v>4691.0760499999997</c:v>
                </c:pt>
                <c:pt idx="653">
                  <c:v>4693.1488274999992</c:v>
                </c:pt>
                <c:pt idx="654">
                  <c:v>4695.2216049999997</c:v>
                </c:pt>
                <c:pt idx="655">
                  <c:v>4697.2943825000002</c:v>
                </c:pt>
                <c:pt idx="656">
                  <c:v>4699.3671599999998</c:v>
                </c:pt>
                <c:pt idx="657">
                  <c:v>4701.4399374999994</c:v>
                </c:pt>
                <c:pt idx="658">
                  <c:v>4703.5127149999998</c:v>
                </c:pt>
                <c:pt idx="659">
                  <c:v>4705.5854925000003</c:v>
                </c:pt>
                <c:pt idx="660">
                  <c:v>4707.6582699999999</c:v>
                </c:pt>
                <c:pt idx="661">
                  <c:v>4709.8592600000002</c:v>
                </c:pt>
                <c:pt idx="662">
                  <c:v>4712.0602499999995</c:v>
                </c:pt>
                <c:pt idx="663">
                  <c:v>4714.2612399999998</c:v>
                </c:pt>
                <c:pt idx="664">
                  <c:v>4716.4622300000001</c:v>
                </c:pt>
                <c:pt idx="665">
                  <c:v>4718.6632199999995</c:v>
                </c:pt>
                <c:pt idx="666">
                  <c:v>4720.8642099999997</c:v>
                </c:pt>
                <c:pt idx="667">
                  <c:v>4723.0652</c:v>
                </c:pt>
                <c:pt idx="668">
                  <c:v>4725.2661899999994</c:v>
                </c:pt>
                <c:pt idx="669">
                  <c:v>4727.4671799999996</c:v>
                </c:pt>
                <c:pt idx="670">
                  <c:v>4729.6681699999999</c:v>
                </c:pt>
                <c:pt idx="671">
                  <c:v>4731.8691599999993</c:v>
                </c:pt>
                <c:pt idx="672">
                  <c:v>4734.0701499999996</c:v>
                </c:pt>
                <c:pt idx="673">
                  <c:v>4736.1903116666663</c:v>
                </c:pt>
                <c:pt idx="674">
                  <c:v>4738.310473333333</c:v>
                </c:pt>
                <c:pt idx="675">
                  <c:v>4740.4306349999997</c:v>
                </c:pt>
                <c:pt idx="676">
                  <c:v>4742.5507966666664</c:v>
                </c:pt>
                <c:pt idx="677">
                  <c:v>4744.6709583333331</c:v>
                </c:pt>
                <c:pt idx="678">
                  <c:v>4746.7911199999999</c:v>
                </c:pt>
                <c:pt idx="679">
                  <c:v>4748.9112816666666</c:v>
                </c:pt>
                <c:pt idx="680">
                  <c:v>4751.0314433333333</c:v>
                </c:pt>
                <c:pt idx="681">
                  <c:v>4753.151605</c:v>
                </c:pt>
                <c:pt idx="682">
                  <c:v>4755.2717666666667</c:v>
                </c:pt>
                <c:pt idx="683">
                  <c:v>4757.3919283333335</c:v>
                </c:pt>
                <c:pt idx="684">
                  <c:v>4759.5120900000002</c:v>
                </c:pt>
                <c:pt idx="685">
                  <c:v>4761.2734833333334</c:v>
                </c:pt>
                <c:pt idx="686">
                  <c:v>4763.0348766666666</c:v>
                </c:pt>
                <c:pt idx="687">
                  <c:v>4764.7962699999998</c:v>
                </c:pt>
                <c:pt idx="688">
                  <c:v>4766.557663333333</c:v>
                </c:pt>
                <c:pt idx="689">
                  <c:v>4768.3190566666663</c:v>
                </c:pt>
                <c:pt idx="690">
                  <c:v>4770.0804499999995</c:v>
                </c:pt>
                <c:pt idx="691">
                  <c:v>4771.8418433333336</c:v>
                </c:pt>
                <c:pt idx="692">
                  <c:v>4773.6032366666668</c:v>
                </c:pt>
                <c:pt idx="693">
                  <c:v>4775.36463</c:v>
                </c:pt>
                <c:pt idx="694">
                  <c:v>4777.1260233333333</c:v>
                </c:pt>
                <c:pt idx="695">
                  <c:v>4778.8874166666665</c:v>
                </c:pt>
                <c:pt idx="696">
                  <c:v>4780.6488099999997</c:v>
                </c:pt>
                <c:pt idx="697">
                  <c:v>4781.928955833333</c:v>
                </c:pt>
                <c:pt idx="698">
                  <c:v>4783.2091016666664</c:v>
                </c:pt>
                <c:pt idx="699">
                  <c:v>4784.4892474999997</c:v>
                </c:pt>
                <c:pt idx="700">
                  <c:v>4785.769393333333</c:v>
                </c:pt>
                <c:pt idx="701">
                  <c:v>4787.0495391666664</c:v>
                </c:pt>
                <c:pt idx="702">
                  <c:v>4788.3296849999997</c:v>
                </c:pt>
                <c:pt idx="703">
                  <c:v>4789.609830833333</c:v>
                </c:pt>
                <c:pt idx="704">
                  <c:v>4790.8899766666664</c:v>
                </c:pt>
                <c:pt idx="705">
                  <c:v>4792.1701224999997</c:v>
                </c:pt>
                <c:pt idx="706">
                  <c:v>4793.450268333333</c:v>
                </c:pt>
                <c:pt idx="707">
                  <c:v>4794.7304141666664</c:v>
                </c:pt>
                <c:pt idx="708">
                  <c:v>4796.0105599999997</c:v>
                </c:pt>
                <c:pt idx="709">
                  <c:v>4796.8052975000001</c:v>
                </c:pt>
                <c:pt idx="710">
                  <c:v>4797.6000349999995</c:v>
                </c:pt>
                <c:pt idx="711">
                  <c:v>4798.3947724999998</c:v>
                </c:pt>
                <c:pt idx="712">
                  <c:v>4799.1895100000002</c:v>
                </c:pt>
                <c:pt idx="713">
                  <c:v>4799.9842474999996</c:v>
                </c:pt>
                <c:pt idx="714">
                  <c:v>4800.7789849999999</c:v>
                </c:pt>
                <c:pt idx="715">
                  <c:v>4801.5737225000003</c:v>
                </c:pt>
                <c:pt idx="716">
                  <c:v>4802.3684599999997</c:v>
                </c:pt>
                <c:pt idx="717">
                  <c:v>4803.1631975</c:v>
                </c:pt>
                <c:pt idx="718">
                  <c:v>4803.9579350000004</c:v>
                </c:pt>
                <c:pt idx="719">
                  <c:v>4804.7526724999998</c:v>
                </c:pt>
                <c:pt idx="720">
                  <c:v>4805.5474100000001</c:v>
                </c:pt>
                <c:pt idx="721">
                  <c:v>4805.8829658333334</c:v>
                </c:pt>
                <c:pt idx="722">
                  <c:v>4806.2185216666667</c:v>
                </c:pt>
                <c:pt idx="723">
                  <c:v>4806.5540774999999</c:v>
                </c:pt>
                <c:pt idx="724">
                  <c:v>4806.8896333333332</c:v>
                </c:pt>
                <c:pt idx="725">
                  <c:v>4807.2251891666665</c:v>
                </c:pt>
                <c:pt idx="726">
                  <c:v>4807.5607450000007</c:v>
                </c:pt>
                <c:pt idx="727">
                  <c:v>4807.896300833334</c:v>
                </c:pt>
                <c:pt idx="728">
                  <c:v>4808.2318566666672</c:v>
                </c:pt>
                <c:pt idx="729">
                  <c:v>4808.5674125000005</c:v>
                </c:pt>
                <c:pt idx="730">
                  <c:v>4808.9029683333338</c:v>
                </c:pt>
                <c:pt idx="731">
                  <c:v>4809.238524166667</c:v>
                </c:pt>
                <c:pt idx="732">
                  <c:v>4809.5740800000003</c:v>
                </c:pt>
                <c:pt idx="733">
                  <c:v>4809.5449724999999</c:v>
                </c:pt>
                <c:pt idx="734">
                  <c:v>4809.5158650000003</c:v>
                </c:pt>
                <c:pt idx="735">
                  <c:v>4809.4867575000007</c:v>
                </c:pt>
                <c:pt idx="736">
                  <c:v>4809.4576500000003</c:v>
                </c:pt>
                <c:pt idx="737">
                  <c:v>4809.4285424999998</c:v>
                </c:pt>
                <c:pt idx="738">
                  <c:v>4809.3994350000003</c:v>
                </c:pt>
                <c:pt idx="739">
                  <c:v>4809.3703275000007</c:v>
                </c:pt>
                <c:pt idx="740">
                  <c:v>4809.3412200000002</c:v>
                </c:pt>
                <c:pt idx="741">
                  <c:v>4809.3121124999998</c:v>
                </c:pt>
                <c:pt idx="742">
                  <c:v>4809.2830050000002</c:v>
                </c:pt>
                <c:pt idx="743">
                  <c:v>4809.2538975000007</c:v>
                </c:pt>
                <c:pt idx="744">
                  <c:v>4809.2247900000002</c:v>
                </c:pt>
                <c:pt idx="745">
                  <c:v>4808.9549258333336</c:v>
                </c:pt>
                <c:pt idx="746">
                  <c:v>4808.685061666667</c:v>
                </c:pt>
                <c:pt idx="747">
                  <c:v>4808.4151975000004</c:v>
                </c:pt>
                <c:pt idx="748">
                  <c:v>4808.1453333333338</c:v>
                </c:pt>
                <c:pt idx="749">
                  <c:v>4807.8754691666672</c:v>
                </c:pt>
                <c:pt idx="750">
                  <c:v>4807.6056050000007</c:v>
                </c:pt>
                <c:pt idx="751">
                  <c:v>4807.3357408333331</c:v>
                </c:pt>
                <c:pt idx="752">
                  <c:v>4807.0658766666666</c:v>
                </c:pt>
                <c:pt idx="753">
                  <c:v>4806.7960125</c:v>
                </c:pt>
                <c:pt idx="754">
                  <c:v>4806.5261483333334</c:v>
                </c:pt>
                <c:pt idx="755">
                  <c:v>4806.2562841666668</c:v>
                </c:pt>
                <c:pt idx="756">
                  <c:v>4805.9864200000002</c:v>
                </c:pt>
                <c:pt idx="757">
                  <c:v>4805.5694283333332</c:v>
                </c:pt>
                <c:pt idx="758">
                  <c:v>4805.1524366666672</c:v>
                </c:pt>
                <c:pt idx="759">
                  <c:v>4804.7354450000003</c:v>
                </c:pt>
                <c:pt idx="760">
                  <c:v>4804.3184533333333</c:v>
                </c:pt>
                <c:pt idx="761">
                  <c:v>4803.9014616666664</c:v>
                </c:pt>
                <c:pt idx="762">
                  <c:v>4803.4844699999994</c:v>
                </c:pt>
                <c:pt idx="763">
                  <c:v>4803.0674783333334</c:v>
                </c:pt>
                <c:pt idx="764">
                  <c:v>4802.6504866666664</c:v>
                </c:pt>
                <c:pt idx="765">
                  <c:v>4802.2334949999995</c:v>
                </c:pt>
                <c:pt idx="766">
                  <c:v>4801.8165033333335</c:v>
                </c:pt>
                <c:pt idx="767">
                  <c:v>4801.3995116666665</c:v>
                </c:pt>
                <c:pt idx="768">
                  <c:v>4800.9825199999996</c:v>
                </c:pt>
                <c:pt idx="769">
                  <c:v>4800.467864166666</c:v>
                </c:pt>
                <c:pt idx="770">
                  <c:v>4799.9532083333334</c:v>
                </c:pt>
                <c:pt idx="771">
                  <c:v>4799.4385524999998</c:v>
                </c:pt>
                <c:pt idx="772">
                  <c:v>4798.9238966666662</c:v>
                </c:pt>
                <c:pt idx="773">
                  <c:v>4798.4092408333336</c:v>
                </c:pt>
                <c:pt idx="774">
                  <c:v>4797.894585</c:v>
                </c:pt>
                <c:pt idx="775">
                  <c:v>4797.3799291666664</c:v>
                </c:pt>
                <c:pt idx="776">
                  <c:v>4796.8652733333338</c:v>
                </c:pt>
                <c:pt idx="777">
                  <c:v>4796.3506175000002</c:v>
                </c:pt>
                <c:pt idx="778">
                  <c:v>4795.8359616666667</c:v>
                </c:pt>
                <c:pt idx="779">
                  <c:v>4795.321305833334</c:v>
                </c:pt>
                <c:pt idx="780">
                  <c:v>4794.8066500000004</c:v>
                </c:pt>
                <c:pt idx="781">
                  <c:v>4794.2712691666675</c:v>
                </c:pt>
                <c:pt idx="782">
                  <c:v>4793.7358883333336</c:v>
                </c:pt>
                <c:pt idx="783">
                  <c:v>4793.2005075000006</c:v>
                </c:pt>
                <c:pt idx="784">
                  <c:v>4792.6651266666668</c:v>
                </c:pt>
                <c:pt idx="785">
                  <c:v>4792.1297458333338</c:v>
                </c:pt>
                <c:pt idx="786">
                  <c:v>4791.5943650000008</c:v>
                </c:pt>
                <c:pt idx="787">
                  <c:v>4791.058984166667</c:v>
                </c:pt>
                <c:pt idx="788">
                  <c:v>4790.523603333334</c:v>
                </c:pt>
                <c:pt idx="789">
                  <c:v>4789.9882225000001</c:v>
                </c:pt>
                <c:pt idx="790">
                  <c:v>4789.4528416666672</c:v>
                </c:pt>
                <c:pt idx="791">
                  <c:v>4788.9174608333333</c:v>
                </c:pt>
                <c:pt idx="792">
                  <c:v>4788.3820800000003</c:v>
                </c:pt>
                <c:pt idx="793">
                  <c:v>4787.8825575000001</c:v>
                </c:pt>
                <c:pt idx="794">
                  <c:v>4787.3830350000007</c:v>
                </c:pt>
                <c:pt idx="795">
                  <c:v>4786.8835125000005</c:v>
                </c:pt>
                <c:pt idx="796">
                  <c:v>4786.3839900000003</c:v>
                </c:pt>
                <c:pt idx="797">
                  <c:v>4785.8844675</c:v>
                </c:pt>
                <c:pt idx="798">
                  <c:v>4785.3849449999998</c:v>
                </c:pt>
                <c:pt idx="799">
                  <c:v>4784.8854225000005</c:v>
                </c:pt>
                <c:pt idx="800">
                  <c:v>4784.3859000000002</c:v>
                </c:pt>
                <c:pt idx="801">
                  <c:v>4783.8863775</c:v>
                </c:pt>
                <c:pt idx="802">
                  <c:v>4783.3868550000007</c:v>
                </c:pt>
                <c:pt idx="803">
                  <c:v>4782.8873325000004</c:v>
                </c:pt>
                <c:pt idx="804">
                  <c:v>4782.3878100000002</c:v>
                </c:pt>
                <c:pt idx="805">
                  <c:v>4781.9397391666671</c:v>
                </c:pt>
                <c:pt idx="806">
                  <c:v>4781.4916683333331</c:v>
                </c:pt>
                <c:pt idx="807">
                  <c:v>4781.0435975</c:v>
                </c:pt>
                <c:pt idx="808">
                  <c:v>4780.595526666667</c:v>
                </c:pt>
                <c:pt idx="809">
                  <c:v>4780.147455833333</c:v>
                </c:pt>
                <c:pt idx="810">
                  <c:v>4779.6993849999999</c:v>
                </c:pt>
                <c:pt idx="811">
                  <c:v>4779.2513141666668</c:v>
                </c:pt>
                <c:pt idx="812">
                  <c:v>4778.8032433333328</c:v>
                </c:pt>
                <c:pt idx="813">
                  <c:v>4778.3551724999998</c:v>
                </c:pt>
                <c:pt idx="814">
                  <c:v>4777.9071016666667</c:v>
                </c:pt>
                <c:pt idx="815">
                  <c:v>4777.4590308333327</c:v>
                </c:pt>
                <c:pt idx="816">
                  <c:v>4777.0109599999996</c:v>
                </c:pt>
                <c:pt idx="817">
                  <c:v>4776.5830058333331</c:v>
                </c:pt>
                <c:pt idx="818">
                  <c:v>4776.1550516666666</c:v>
                </c:pt>
                <c:pt idx="819">
                  <c:v>4775.7270974999992</c:v>
                </c:pt>
                <c:pt idx="820">
                  <c:v>4775.2991433333327</c:v>
                </c:pt>
                <c:pt idx="821">
                  <c:v>4774.8711891666662</c:v>
                </c:pt>
                <c:pt idx="822">
                  <c:v>4774.4432349999997</c:v>
                </c:pt>
                <c:pt idx="823">
                  <c:v>4774.0152808333332</c:v>
                </c:pt>
                <c:pt idx="824">
                  <c:v>4773.5873266666667</c:v>
                </c:pt>
                <c:pt idx="825">
                  <c:v>4773.1593725000002</c:v>
                </c:pt>
                <c:pt idx="826">
                  <c:v>4772.7314183333328</c:v>
                </c:pt>
                <c:pt idx="827">
                  <c:v>4772.3034641666663</c:v>
                </c:pt>
                <c:pt idx="828">
                  <c:v>4771.8755099999998</c:v>
                </c:pt>
                <c:pt idx="829">
                  <c:v>4771.3980466666662</c:v>
                </c:pt>
                <c:pt idx="830">
                  <c:v>4770.9205833333335</c:v>
                </c:pt>
                <c:pt idx="831">
                  <c:v>4770.4431199999999</c:v>
                </c:pt>
                <c:pt idx="832">
                  <c:v>4769.9656566666663</c:v>
                </c:pt>
                <c:pt idx="833">
                  <c:v>4769.4881933333336</c:v>
                </c:pt>
                <c:pt idx="834">
                  <c:v>4769.01073</c:v>
                </c:pt>
                <c:pt idx="835">
                  <c:v>4768.5332666666663</c:v>
                </c:pt>
                <c:pt idx="836">
                  <c:v>4768.0558033333336</c:v>
                </c:pt>
                <c:pt idx="837">
                  <c:v>4767.57834</c:v>
                </c:pt>
                <c:pt idx="838">
                  <c:v>4767.1008766666664</c:v>
                </c:pt>
                <c:pt idx="839">
                  <c:v>4766.6234133333337</c:v>
                </c:pt>
                <c:pt idx="840">
                  <c:v>4766.1459500000001</c:v>
                </c:pt>
                <c:pt idx="841">
                  <c:v>4765.5929150000002</c:v>
                </c:pt>
                <c:pt idx="842">
                  <c:v>4765.0398800000003</c:v>
                </c:pt>
                <c:pt idx="843">
                  <c:v>4764.4868450000004</c:v>
                </c:pt>
                <c:pt idx="844">
                  <c:v>4763.9338100000004</c:v>
                </c:pt>
                <c:pt idx="845">
                  <c:v>4763.3807750000005</c:v>
                </c:pt>
                <c:pt idx="846">
                  <c:v>4762.8277400000006</c:v>
                </c:pt>
                <c:pt idx="847">
                  <c:v>4762.2747049999998</c:v>
                </c:pt>
                <c:pt idx="848">
                  <c:v>4761.7216699999999</c:v>
                </c:pt>
                <c:pt idx="849">
                  <c:v>4761.168635</c:v>
                </c:pt>
                <c:pt idx="850">
                  <c:v>4760.6156000000001</c:v>
                </c:pt>
                <c:pt idx="851">
                  <c:v>4760.0625650000002</c:v>
                </c:pt>
                <c:pt idx="852">
                  <c:v>4759.5095300000003</c:v>
                </c:pt>
                <c:pt idx="853">
                  <c:v>4758.8338408333339</c:v>
                </c:pt>
                <c:pt idx="854">
                  <c:v>4758.1581516666665</c:v>
                </c:pt>
                <c:pt idx="855">
                  <c:v>4757.4824625000001</c:v>
                </c:pt>
                <c:pt idx="856">
                  <c:v>4756.8067733333337</c:v>
                </c:pt>
                <c:pt idx="857">
                  <c:v>4756.1310841666664</c:v>
                </c:pt>
                <c:pt idx="858">
                  <c:v>4755.455395</c:v>
                </c:pt>
                <c:pt idx="859">
                  <c:v>4754.7797058333335</c:v>
                </c:pt>
                <c:pt idx="860">
                  <c:v>4754.1040166666662</c:v>
                </c:pt>
                <c:pt idx="861">
                  <c:v>4753.4283274999998</c:v>
                </c:pt>
                <c:pt idx="862">
                  <c:v>4752.7526383333334</c:v>
                </c:pt>
                <c:pt idx="863">
                  <c:v>4752.0769491666661</c:v>
                </c:pt>
                <c:pt idx="864">
                  <c:v>4751.4012599999996</c:v>
                </c:pt>
                <c:pt idx="865">
                  <c:v>4750.6854041666666</c:v>
                </c:pt>
                <c:pt idx="866">
                  <c:v>4749.9695483333326</c:v>
                </c:pt>
                <c:pt idx="867">
                  <c:v>4749.2536924999995</c:v>
                </c:pt>
                <c:pt idx="868">
                  <c:v>4748.5378366666664</c:v>
                </c:pt>
                <c:pt idx="869">
                  <c:v>4747.8219808333333</c:v>
                </c:pt>
                <c:pt idx="870">
                  <c:v>4747.1061250000002</c:v>
                </c:pt>
                <c:pt idx="871">
                  <c:v>4746.3902691666663</c:v>
                </c:pt>
                <c:pt idx="872">
                  <c:v>4745.6744133333332</c:v>
                </c:pt>
                <c:pt idx="873">
                  <c:v>4744.9585575000001</c:v>
                </c:pt>
                <c:pt idx="874">
                  <c:v>4744.2427016666661</c:v>
                </c:pt>
                <c:pt idx="875">
                  <c:v>4743.526845833333</c:v>
                </c:pt>
                <c:pt idx="876">
                  <c:v>4742.8109899999999</c:v>
                </c:pt>
                <c:pt idx="877">
                  <c:v>4742.0556699999997</c:v>
                </c:pt>
                <c:pt idx="878">
                  <c:v>4741.3003499999995</c:v>
                </c:pt>
                <c:pt idx="879">
                  <c:v>4740.5450300000002</c:v>
                </c:pt>
                <c:pt idx="880">
                  <c:v>4739.78971</c:v>
                </c:pt>
                <c:pt idx="881">
                  <c:v>4739.0343899999998</c:v>
                </c:pt>
                <c:pt idx="882">
                  <c:v>4738.2790700000005</c:v>
                </c:pt>
                <c:pt idx="883">
                  <c:v>4737.5237500000003</c:v>
                </c:pt>
                <c:pt idx="884">
                  <c:v>4736.7684300000001</c:v>
                </c:pt>
                <c:pt idx="885">
                  <c:v>4736.0131099999999</c:v>
                </c:pt>
                <c:pt idx="886">
                  <c:v>4735.2577899999997</c:v>
                </c:pt>
                <c:pt idx="887">
                  <c:v>4734.5024700000004</c:v>
                </c:pt>
                <c:pt idx="888">
                  <c:v>4733.7471500000001</c:v>
                </c:pt>
                <c:pt idx="889">
                  <c:v>4732.9317016666664</c:v>
                </c:pt>
                <c:pt idx="890">
                  <c:v>4732.1162533333336</c:v>
                </c:pt>
                <c:pt idx="891">
                  <c:v>4731.3008049999999</c:v>
                </c:pt>
                <c:pt idx="892">
                  <c:v>4730.485356666667</c:v>
                </c:pt>
                <c:pt idx="893">
                  <c:v>4729.6699083333333</c:v>
                </c:pt>
                <c:pt idx="894">
                  <c:v>4728.8544600000005</c:v>
                </c:pt>
                <c:pt idx="895">
                  <c:v>4728.0390116666667</c:v>
                </c:pt>
                <c:pt idx="896">
                  <c:v>4727.223563333333</c:v>
                </c:pt>
                <c:pt idx="897">
                  <c:v>4726.4081150000002</c:v>
                </c:pt>
                <c:pt idx="898">
                  <c:v>4725.5926666666664</c:v>
                </c:pt>
                <c:pt idx="899">
                  <c:v>4724.7772183333336</c:v>
                </c:pt>
                <c:pt idx="900">
                  <c:v>4723.9617699999999</c:v>
                </c:pt>
                <c:pt idx="901">
                  <c:v>4723.1710883333335</c:v>
                </c:pt>
                <c:pt idx="902">
                  <c:v>4722.3804066666662</c:v>
                </c:pt>
                <c:pt idx="903">
                  <c:v>4721.5897249999998</c:v>
                </c:pt>
                <c:pt idx="904">
                  <c:v>4720.7990433333334</c:v>
                </c:pt>
                <c:pt idx="905">
                  <c:v>4720.0083616666661</c:v>
                </c:pt>
                <c:pt idx="906">
                  <c:v>4719.2176799999997</c:v>
                </c:pt>
                <c:pt idx="907">
                  <c:v>4718.4269983333334</c:v>
                </c:pt>
                <c:pt idx="908">
                  <c:v>4717.6363166666661</c:v>
                </c:pt>
                <c:pt idx="909">
                  <c:v>4716.8456349999997</c:v>
                </c:pt>
                <c:pt idx="910">
                  <c:v>4716.0549533333333</c:v>
                </c:pt>
                <c:pt idx="911">
                  <c:v>4715.264271666666</c:v>
                </c:pt>
                <c:pt idx="912">
                  <c:v>4714.4735899999996</c:v>
                </c:pt>
                <c:pt idx="913">
                  <c:v>4713.884960833333</c:v>
                </c:pt>
                <c:pt idx="914">
                  <c:v>4713.2963316666664</c:v>
                </c:pt>
                <c:pt idx="915">
                  <c:v>4712.7077024999999</c:v>
                </c:pt>
                <c:pt idx="916">
                  <c:v>4712.1190733333333</c:v>
                </c:pt>
                <c:pt idx="917">
                  <c:v>4711.5304441666667</c:v>
                </c:pt>
                <c:pt idx="918">
                  <c:v>4710.9418150000001</c:v>
                </c:pt>
                <c:pt idx="919">
                  <c:v>4710.3531858333326</c:v>
                </c:pt>
                <c:pt idx="920">
                  <c:v>4709.7645566666661</c:v>
                </c:pt>
                <c:pt idx="921">
                  <c:v>4709.1759274999995</c:v>
                </c:pt>
                <c:pt idx="922">
                  <c:v>4708.5872983333329</c:v>
                </c:pt>
                <c:pt idx="923">
                  <c:v>4707.9986691666663</c:v>
                </c:pt>
                <c:pt idx="924">
                  <c:v>4707.4100399999998</c:v>
                </c:pt>
                <c:pt idx="925">
                  <c:v>4707.0889658333326</c:v>
                </c:pt>
                <c:pt idx="926">
                  <c:v>4706.7678916666664</c:v>
                </c:pt>
                <c:pt idx="927">
                  <c:v>4706.4468175000002</c:v>
                </c:pt>
                <c:pt idx="928">
                  <c:v>4706.125743333333</c:v>
                </c:pt>
                <c:pt idx="929">
                  <c:v>4705.8046691666659</c:v>
                </c:pt>
                <c:pt idx="930">
                  <c:v>4705.4835949999997</c:v>
                </c:pt>
                <c:pt idx="931">
                  <c:v>4705.1625208333335</c:v>
                </c:pt>
                <c:pt idx="932">
                  <c:v>4704.8414466666663</c:v>
                </c:pt>
                <c:pt idx="933">
                  <c:v>4704.5203724999992</c:v>
                </c:pt>
                <c:pt idx="934">
                  <c:v>4704.199298333333</c:v>
                </c:pt>
                <c:pt idx="935">
                  <c:v>4703.8782241666668</c:v>
                </c:pt>
                <c:pt idx="936">
                  <c:v>4703.5571499999996</c:v>
                </c:pt>
                <c:pt idx="937">
                  <c:v>4703.4201033333329</c:v>
                </c:pt>
                <c:pt idx="938">
                  <c:v>4703.2830566666662</c:v>
                </c:pt>
                <c:pt idx="939">
                  <c:v>4703.1460099999995</c:v>
                </c:pt>
                <c:pt idx="940">
                  <c:v>4703.0089633333328</c:v>
                </c:pt>
                <c:pt idx="941">
                  <c:v>4702.871916666666</c:v>
                </c:pt>
                <c:pt idx="942">
                  <c:v>4702.7348700000002</c:v>
                </c:pt>
                <c:pt idx="943">
                  <c:v>4702.5978233333335</c:v>
                </c:pt>
                <c:pt idx="944">
                  <c:v>4702.4607766666668</c:v>
                </c:pt>
                <c:pt idx="945">
                  <c:v>4702.3237300000001</c:v>
                </c:pt>
                <c:pt idx="946">
                  <c:v>4702.1866833333333</c:v>
                </c:pt>
                <c:pt idx="947">
                  <c:v>4702.0496366666666</c:v>
                </c:pt>
                <c:pt idx="948">
                  <c:v>4701.9125899999999</c:v>
                </c:pt>
                <c:pt idx="949">
                  <c:v>4701.9991816666661</c:v>
                </c:pt>
                <c:pt idx="950">
                  <c:v>4702.0857733333332</c:v>
                </c:pt>
                <c:pt idx="951">
                  <c:v>4702.1723650000004</c:v>
                </c:pt>
                <c:pt idx="952">
                  <c:v>4702.2589566666666</c:v>
                </c:pt>
                <c:pt idx="953">
                  <c:v>4702.3455483333328</c:v>
                </c:pt>
                <c:pt idx="954">
                  <c:v>4702.4321399999999</c:v>
                </c:pt>
                <c:pt idx="955">
                  <c:v>4702.518731666667</c:v>
                </c:pt>
                <c:pt idx="956">
                  <c:v>4702.6053233333332</c:v>
                </c:pt>
                <c:pt idx="957">
                  <c:v>4702.6919149999994</c:v>
                </c:pt>
                <c:pt idx="958">
                  <c:v>4702.7785066666665</c:v>
                </c:pt>
                <c:pt idx="959">
                  <c:v>4702.8650983333337</c:v>
                </c:pt>
                <c:pt idx="960">
                  <c:v>4702.9516899999999</c:v>
                </c:pt>
                <c:pt idx="961">
                  <c:v>4703.1624883333334</c:v>
                </c:pt>
                <c:pt idx="962">
                  <c:v>4703.3732866666669</c:v>
                </c:pt>
                <c:pt idx="963">
                  <c:v>4703.5840850000004</c:v>
                </c:pt>
                <c:pt idx="964">
                  <c:v>4703.794883333333</c:v>
                </c:pt>
                <c:pt idx="965">
                  <c:v>4704.0056816666665</c:v>
                </c:pt>
                <c:pt idx="966">
                  <c:v>4704.21648</c:v>
                </c:pt>
                <c:pt idx="967">
                  <c:v>4704.4272783333336</c:v>
                </c:pt>
                <c:pt idx="968">
                  <c:v>4704.6380766666671</c:v>
                </c:pt>
                <c:pt idx="969">
                  <c:v>4704.8488749999997</c:v>
                </c:pt>
                <c:pt idx="970">
                  <c:v>4705.0596733333332</c:v>
                </c:pt>
                <c:pt idx="971">
                  <c:v>4705.2704716666667</c:v>
                </c:pt>
                <c:pt idx="972">
                  <c:v>4705.4812700000002</c:v>
                </c:pt>
                <c:pt idx="973">
                  <c:v>4705.7792158333332</c:v>
                </c:pt>
                <c:pt idx="974">
                  <c:v>4706.0771616666671</c:v>
                </c:pt>
                <c:pt idx="975">
                  <c:v>4706.3751075</c:v>
                </c:pt>
                <c:pt idx="976">
                  <c:v>4706.6730533333339</c:v>
                </c:pt>
                <c:pt idx="977">
                  <c:v>4706.9709991666668</c:v>
                </c:pt>
                <c:pt idx="978">
                  <c:v>4707.2689449999998</c:v>
                </c:pt>
                <c:pt idx="979">
                  <c:v>4707.5668908333337</c:v>
                </c:pt>
                <c:pt idx="980">
                  <c:v>4707.8648366666666</c:v>
                </c:pt>
                <c:pt idx="981">
                  <c:v>4708.1627825000005</c:v>
                </c:pt>
                <c:pt idx="982">
                  <c:v>4708.4607283333335</c:v>
                </c:pt>
                <c:pt idx="983">
                  <c:v>4708.7586741666673</c:v>
                </c:pt>
                <c:pt idx="984">
                  <c:v>4709.0566200000003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6-48C5-AB0E-FDB2DDDCA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210415"/>
        <c:axId val="1208212079"/>
      </c:lineChart>
      <c:catAx>
        <c:axId val="1208210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208212079"/>
        <c:crosses val="autoZero"/>
        <c:auto val="1"/>
        <c:lblAlgn val="ctr"/>
        <c:lblOffset val="100"/>
        <c:noMultiLvlLbl val="0"/>
      </c:catAx>
      <c:valAx>
        <c:axId val="12082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2082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482600</xdr:colOff>
      <xdr:row>4</xdr:row>
      <xdr:rowOff>44460</xdr:rowOff>
    </xdr:from>
    <xdr:to>
      <xdr:col>46</xdr:col>
      <xdr:colOff>482600</xdr:colOff>
      <xdr:row>52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75829-B383-4CED-B6DD-BDB48FFA0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B976FA-4C49-465C-805A-E8A77E9580E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e623caf-d3ce-423a-a81a-95b9a2029f0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zoomScale="80" zoomScaleNormal="80" workbookViewId="0">
      <selection activeCell="N11" sqref="N11"/>
    </sheetView>
  </sheetViews>
  <sheetFormatPr defaultRowHeight="14.4" x14ac:dyDescent="0.55000000000000004"/>
  <cols>
    <col min="1" max="1" width="12.1015625" bestFit="1" customWidth="1"/>
    <col min="2" max="2" width="9.3125" bestFit="1" customWidth="1"/>
    <col min="3" max="3" width="11.9453125" bestFit="1" customWidth="1"/>
    <col min="4" max="4" width="7.68359375" bestFit="1" customWidth="1"/>
    <col min="5" max="8" width="10.68359375" bestFit="1" customWidth="1"/>
    <col min="10" max="10" width="12.734375" customWidth="1"/>
    <col min="11" max="11" width="9.89453125" bestFit="1" customWidth="1"/>
    <col min="12" max="12" width="12.5234375" bestFit="1" customWidth="1"/>
    <col min="15" max="15" width="11.05078125" bestFit="1" customWidth="1"/>
    <col min="16" max="16" width="10.89453125" bestFit="1" customWidth="1"/>
    <col min="17" max="17" width="10.68359375" bestFit="1" customWidth="1"/>
  </cols>
  <sheetData>
    <row r="1" spans="1:1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55000000000000004">
      <c r="A2">
        <v>1770285600</v>
      </c>
      <c r="B2" t="s">
        <v>0</v>
      </c>
      <c r="C2" t="s">
        <v>1</v>
      </c>
      <c r="D2">
        <v>4868.29</v>
      </c>
      <c r="E2">
        <v>4838.3861299999999</v>
      </c>
      <c r="F2">
        <v>4838.3861299999999</v>
      </c>
      <c r="G2">
        <v>4865.9280200000003</v>
      </c>
      <c r="H2">
        <v>4801.8570799999998</v>
      </c>
      <c r="J2">
        <v>1775127600</v>
      </c>
      <c r="K2" t="s">
        <v>0</v>
      </c>
      <c r="L2" t="s">
        <v>2</v>
      </c>
      <c r="M2">
        <v>4626.58</v>
      </c>
      <c r="N2">
        <v>4627.2148999999999</v>
      </c>
      <c r="O2">
        <v>4627.2148999999999</v>
      </c>
      <c r="P2">
        <v>4628.9426700000004</v>
      </c>
      <c r="Q2">
        <v>4622.0950700000003</v>
      </c>
    </row>
    <row r="3" spans="1:17" x14ac:dyDescent="0.55000000000000004">
      <c r="A3">
        <v>1770289200</v>
      </c>
      <c r="B3" t="s">
        <v>0</v>
      </c>
      <c r="C3" t="s">
        <v>1</v>
      </c>
      <c r="D3">
        <v>4853.79</v>
      </c>
      <c r="E3">
        <v>4842.5979100000004</v>
      </c>
      <c r="F3">
        <v>4840.4920199999997</v>
      </c>
      <c r="G3">
        <v>4870.1465900000003</v>
      </c>
      <c r="H3">
        <v>4799.0653400000001</v>
      </c>
      <c r="J3">
        <v>1775127900</v>
      </c>
      <c r="K3" t="s">
        <v>0</v>
      </c>
      <c r="L3" t="s">
        <v>2</v>
      </c>
      <c r="M3">
        <v>4625.78</v>
      </c>
      <c r="N3">
        <v>4627.1535899999999</v>
      </c>
      <c r="O3">
        <v>4627.1842399999996</v>
      </c>
      <c r="P3">
        <v>4629.7388700000001</v>
      </c>
      <c r="Q3">
        <v>4623.55998</v>
      </c>
    </row>
    <row r="4" spans="1:17" x14ac:dyDescent="0.55000000000000004">
      <c r="A4">
        <v>1770292800</v>
      </c>
      <c r="B4" t="s">
        <v>0</v>
      </c>
      <c r="C4" t="s">
        <v>1</v>
      </c>
      <c r="D4">
        <v>4835.3599999999997</v>
      </c>
      <c r="E4">
        <v>4850.9081200000001</v>
      </c>
      <c r="F4">
        <v>4845.7000699999999</v>
      </c>
      <c r="G4">
        <v>4878.4280900000003</v>
      </c>
      <c r="H4">
        <v>4808.7921900000001</v>
      </c>
      <c r="J4">
        <v>1775128200</v>
      </c>
      <c r="K4" t="s">
        <v>0</v>
      </c>
      <c r="L4" t="s">
        <v>2</v>
      </c>
      <c r="M4">
        <v>4627.5</v>
      </c>
      <c r="N4">
        <v>4626.4943400000002</v>
      </c>
      <c r="O4">
        <v>4626.8392899999999</v>
      </c>
      <c r="P4">
        <v>4630.0632800000003</v>
      </c>
      <c r="Q4">
        <v>4623.5508099999997</v>
      </c>
    </row>
    <row r="5" spans="1:17" x14ac:dyDescent="0.55000000000000004">
      <c r="A5">
        <v>1770296400</v>
      </c>
      <c r="B5" t="s">
        <v>0</v>
      </c>
      <c r="C5" t="s">
        <v>1</v>
      </c>
      <c r="D5">
        <v>4846.26</v>
      </c>
      <c r="E5">
        <v>4860.5813799999996</v>
      </c>
      <c r="F5">
        <v>4853.1407300000001</v>
      </c>
      <c r="G5">
        <v>4887.4499400000004</v>
      </c>
      <c r="H5">
        <v>4823.41572</v>
      </c>
      <c r="J5">
        <v>1775128500</v>
      </c>
      <c r="K5" t="s">
        <v>0</v>
      </c>
      <c r="L5" t="s">
        <v>2</v>
      </c>
      <c r="M5">
        <v>4624.55</v>
      </c>
      <c r="N5">
        <v>4624.5197399999997</v>
      </c>
      <c r="O5">
        <v>4625.6795199999997</v>
      </c>
      <c r="P5">
        <v>4629.3204800000003</v>
      </c>
      <c r="Q5">
        <v>4622.1270100000002</v>
      </c>
    </row>
    <row r="6" spans="1:17" x14ac:dyDescent="0.55000000000000004">
      <c r="A6">
        <v>1770300000</v>
      </c>
      <c r="B6" t="s">
        <v>0</v>
      </c>
      <c r="C6" t="s">
        <v>1</v>
      </c>
      <c r="D6">
        <v>4818.33</v>
      </c>
      <c r="E6">
        <v>4865.6854599999997</v>
      </c>
      <c r="F6">
        <v>4859.41309</v>
      </c>
      <c r="G6">
        <v>4893.0510299999996</v>
      </c>
      <c r="H6">
        <v>4836.3314300000002</v>
      </c>
      <c r="J6">
        <v>1775128800</v>
      </c>
      <c r="K6" t="s">
        <v>0</v>
      </c>
      <c r="L6" t="s">
        <v>2</v>
      </c>
      <c r="M6">
        <v>4625.5600000000004</v>
      </c>
      <c r="N6">
        <v>4621.2593299999999</v>
      </c>
      <c r="O6">
        <v>4623.4694200000004</v>
      </c>
      <c r="P6">
        <v>4627.1788500000002</v>
      </c>
      <c r="Q6">
        <v>4619.3455800000002</v>
      </c>
    </row>
    <row r="7" spans="1:17" x14ac:dyDescent="0.55000000000000004">
      <c r="A7">
        <v>1770303600</v>
      </c>
      <c r="B7" t="s">
        <v>0</v>
      </c>
      <c r="C7" t="s">
        <v>1</v>
      </c>
      <c r="D7">
        <v>4888.8599999999997</v>
      </c>
      <c r="E7">
        <v>4865.2814699999999</v>
      </c>
      <c r="F7">
        <v>4862.34728</v>
      </c>
      <c r="G7">
        <v>4892.5267400000002</v>
      </c>
      <c r="H7">
        <v>4843.0972099999999</v>
      </c>
      <c r="J7">
        <v>1775129100</v>
      </c>
      <c r="K7" t="s">
        <v>0</v>
      </c>
      <c r="L7" t="s">
        <v>2</v>
      </c>
      <c r="M7">
        <v>4614.9799999999996</v>
      </c>
      <c r="N7">
        <v>4616.8744900000002</v>
      </c>
      <c r="O7">
        <v>4620.1719599999997</v>
      </c>
      <c r="P7">
        <v>4623.8186500000002</v>
      </c>
      <c r="Q7">
        <v>4615.1333599999998</v>
      </c>
    </row>
    <row r="8" spans="1:17" x14ac:dyDescent="0.55000000000000004">
      <c r="A8">
        <v>1770307200</v>
      </c>
      <c r="B8" t="s">
        <v>0</v>
      </c>
      <c r="C8" t="s">
        <v>1</v>
      </c>
      <c r="D8">
        <v>4868.9399999999996</v>
      </c>
      <c r="E8">
        <v>4853.9563900000003</v>
      </c>
      <c r="F8">
        <v>4858.1518400000004</v>
      </c>
      <c r="G8">
        <v>4883.0128100000002</v>
      </c>
      <c r="H8">
        <v>4839.5010700000003</v>
      </c>
      <c r="J8">
        <v>1775129400</v>
      </c>
      <c r="K8" t="s">
        <v>0</v>
      </c>
      <c r="L8" t="s">
        <v>2</v>
      </c>
      <c r="M8">
        <v>4613.45</v>
      </c>
      <c r="N8">
        <v>4612.3584099999998</v>
      </c>
      <c r="O8">
        <v>4616.2651800000003</v>
      </c>
      <c r="P8">
        <v>4619.4719599999999</v>
      </c>
      <c r="Q8">
        <v>4610.3074100000003</v>
      </c>
    </row>
    <row r="9" spans="1:17" x14ac:dyDescent="0.55000000000000004">
      <c r="A9">
        <v>1770310800</v>
      </c>
      <c r="B9" t="s">
        <v>0</v>
      </c>
      <c r="C9" t="s">
        <v>1</v>
      </c>
      <c r="D9">
        <v>4857.99</v>
      </c>
      <c r="E9">
        <v>4835.6818199999998</v>
      </c>
      <c r="F9">
        <v>4846.9168300000001</v>
      </c>
      <c r="G9">
        <v>4867.2408299999997</v>
      </c>
      <c r="H9">
        <v>4823.2270500000004</v>
      </c>
      <c r="J9">
        <v>1775129700</v>
      </c>
      <c r="K9" t="s">
        <v>0</v>
      </c>
      <c r="L9" t="s">
        <v>2</v>
      </c>
      <c r="M9">
        <v>4608.84</v>
      </c>
      <c r="N9">
        <v>4608.0569599999999</v>
      </c>
      <c r="O9">
        <v>4612.1610700000001</v>
      </c>
      <c r="P9">
        <v>4615.32276</v>
      </c>
      <c r="Q9">
        <v>4605.4399000000003</v>
      </c>
    </row>
    <row r="10" spans="1:17" x14ac:dyDescent="0.55000000000000004">
      <c r="A10">
        <v>1770314400</v>
      </c>
      <c r="B10" t="s">
        <v>0</v>
      </c>
      <c r="C10" t="s">
        <v>1</v>
      </c>
      <c r="D10">
        <v>4829.42</v>
      </c>
      <c r="E10">
        <v>4813.86384</v>
      </c>
      <c r="F10">
        <v>4830.3903399999999</v>
      </c>
      <c r="G10">
        <v>4848.5110500000001</v>
      </c>
      <c r="H10">
        <v>4797.9059299999999</v>
      </c>
      <c r="J10">
        <v>1775130000</v>
      </c>
      <c r="K10" t="s">
        <v>0</v>
      </c>
      <c r="L10" t="s">
        <v>2</v>
      </c>
      <c r="M10">
        <v>4600.1000000000004</v>
      </c>
      <c r="N10">
        <v>4604.4892600000003</v>
      </c>
      <c r="O10">
        <v>4608.3251600000003</v>
      </c>
      <c r="P10">
        <v>4611.6117700000004</v>
      </c>
      <c r="Q10">
        <v>4600.8629899999996</v>
      </c>
    </row>
    <row r="11" spans="1:17" x14ac:dyDescent="0.55000000000000004">
      <c r="A11">
        <v>1770318000</v>
      </c>
      <c r="B11" t="s">
        <v>0</v>
      </c>
      <c r="C11" t="s">
        <v>1</v>
      </c>
      <c r="D11">
        <v>4811.43</v>
      </c>
      <c r="E11">
        <v>4793.1035400000001</v>
      </c>
      <c r="F11">
        <v>4811.74694</v>
      </c>
      <c r="G11">
        <v>4829.8836799999999</v>
      </c>
      <c r="H11">
        <v>4769.1734299999998</v>
      </c>
      <c r="J11">
        <v>1775130300</v>
      </c>
      <c r="K11" t="s">
        <v>0</v>
      </c>
      <c r="L11" t="s">
        <v>2</v>
      </c>
      <c r="M11">
        <v>4604.26</v>
      </c>
      <c r="N11">
        <v>4602.3008300000001</v>
      </c>
      <c r="O11">
        <v>4605.3130000000001</v>
      </c>
      <c r="P11">
        <v>4608.92346</v>
      </c>
      <c r="Q11">
        <v>4597.6154399999996</v>
      </c>
    </row>
    <row r="12" spans="1:17" x14ac:dyDescent="0.55000000000000004">
      <c r="A12">
        <v>1770321600</v>
      </c>
      <c r="B12" t="s">
        <v>0</v>
      </c>
      <c r="C12" t="s">
        <v>1</v>
      </c>
      <c r="D12">
        <v>4779.67</v>
      </c>
      <c r="E12">
        <v>4777.1719300000004</v>
      </c>
      <c r="F12">
        <v>4794.4594299999999</v>
      </c>
      <c r="G12">
        <v>4814.8349200000002</v>
      </c>
      <c r="H12">
        <v>4743.1615199999997</v>
      </c>
      <c r="J12">
        <v>1775130600</v>
      </c>
      <c r="K12" t="s">
        <v>0</v>
      </c>
      <c r="L12" t="s">
        <v>2</v>
      </c>
      <c r="M12">
        <v>4601.4399999999996</v>
      </c>
      <c r="N12">
        <v>4601.4458100000002</v>
      </c>
      <c r="O12">
        <v>4603.3793999999998</v>
      </c>
      <c r="P12">
        <v>4607.5299699999996</v>
      </c>
      <c r="Q12">
        <v>4595.8357900000001</v>
      </c>
    </row>
    <row r="13" spans="1:17" x14ac:dyDescent="0.55000000000000004">
      <c r="A13">
        <v>1770328800</v>
      </c>
      <c r="B13" t="s">
        <v>0</v>
      </c>
      <c r="C13" t="s">
        <v>1</v>
      </c>
      <c r="D13">
        <v>4703.8</v>
      </c>
      <c r="E13">
        <v>4769.2476299999998</v>
      </c>
      <c r="F13">
        <v>4781.8535300000003</v>
      </c>
      <c r="G13">
        <v>4805.7536200000004</v>
      </c>
      <c r="H13">
        <v>4725.2752300000002</v>
      </c>
      <c r="J13">
        <v>1775130900</v>
      </c>
      <c r="K13" t="s">
        <v>0</v>
      </c>
      <c r="L13" t="s">
        <v>2</v>
      </c>
      <c r="M13">
        <v>4600.2</v>
      </c>
      <c r="N13">
        <v>4602.1149599999999</v>
      </c>
      <c r="O13">
        <v>4602.7471800000003</v>
      </c>
      <c r="P13">
        <v>4607.2350299999998</v>
      </c>
      <c r="Q13">
        <v>4595.5988799999996</v>
      </c>
    </row>
    <row r="14" spans="1:17" x14ac:dyDescent="0.55000000000000004">
      <c r="A14">
        <v>1770332400</v>
      </c>
      <c r="B14" t="s">
        <v>0</v>
      </c>
      <c r="C14" t="s">
        <v>1</v>
      </c>
      <c r="D14">
        <v>4763.47</v>
      </c>
      <c r="E14">
        <v>4772.1994400000003</v>
      </c>
      <c r="F14">
        <v>4777.0264800000004</v>
      </c>
      <c r="G14">
        <v>4804.3424599999998</v>
      </c>
      <c r="H14">
        <v>4719.6806999999999</v>
      </c>
      <c r="J14">
        <v>1775131200</v>
      </c>
      <c r="K14" t="s">
        <v>0</v>
      </c>
      <c r="L14" t="s">
        <v>2</v>
      </c>
      <c r="M14">
        <v>4607.01</v>
      </c>
      <c r="N14">
        <v>4604.3494899999996</v>
      </c>
      <c r="O14">
        <v>4603.5483400000003</v>
      </c>
      <c r="P14">
        <v>4608.3770000000004</v>
      </c>
      <c r="Q14">
        <v>4597.0596400000004</v>
      </c>
    </row>
    <row r="15" spans="1:17" x14ac:dyDescent="0.55000000000000004">
      <c r="A15">
        <v>1770336000</v>
      </c>
      <c r="B15" t="s">
        <v>0</v>
      </c>
      <c r="C15" t="s">
        <v>1</v>
      </c>
      <c r="D15">
        <v>4774.29</v>
      </c>
      <c r="E15">
        <v>4782.4462800000001</v>
      </c>
      <c r="F15">
        <v>4779.7363800000003</v>
      </c>
      <c r="G15">
        <v>4810.7924800000001</v>
      </c>
      <c r="H15">
        <v>4727.5242799999996</v>
      </c>
      <c r="J15">
        <v>1775131500</v>
      </c>
      <c r="K15" t="s">
        <v>0</v>
      </c>
      <c r="L15" t="s">
        <v>2</v>
      </c>
      <c r="M15">
        <v>4603.93</v>
      </c>
      <c r="N15">
        <v>4607.7338399999999</v>
      </c>
      <c r="O15">
        <v>4605.6410900000001</v>
      </c>
      <c r="P15">
        <v>4610.7752399999999</v>
      </c>
      <c r="Q15">
        <v>4600.2291100000002</v>
      </c>
    </row>
    <row r="16" spans="1:17" x14ac:dyDescent="0.55000000000000004">
      <c r="A16">
        <v>1770339600</v>
      </c>
      <c r="B16" t="s">
        <v>0</v>
      </c>
      <c r="C16" t="s">
        <v>1</v>
      </c>
      <c r="D16">
        <v>4816.55</v>
      </c>
      <c r="E16">
        <v>4797.2680300000002</v>
      </c>
      <c r="F16">
        <v>4788.5022099999996</v>
      </c>
      <c r="G16">
        <v>4822.6372700000002</v>
      </c>
      <c r="H16">
        <v>4744.8896400000003</v>
      </c>
      <c r="J16">
        <v>1775131800</v>
      </c>
      <c r="K16" t="s">
        <v>0</v>
      </c>
      <c r="L16" t="s">
        <v>2</v>
      </c>
      <c r="M16">
        <v>4612.54</v>
      </c>
      <c r="N16">
        <v>4611.9904299999998</v>
      </c>
      <c r="O16">
        <v>4608.8157600000004</v>
      </c>
      <c r="P16">
        <v>4614.0695599999999</v>
      </c>
      <c r="Q16">
        <v>4604.5279600000003</v>
      </c>
    </row>
    <row r="17" spans="1:17" x14ac:dyDescent="0.55000000000000004">
      <c r="A17">
        <v>1770343200</v>
      </c>
      <c r="B17" t="s">
        <v>0</v>
      </c>
      <c r="C17" t="s">
        <v>1</v>
      </c>
      <c r="D17">
        <v>4824.29</v>
      </c>
      <c r="E17">
        <v>4813.2256500000003</v>
      </c>
      <c r="F17">
        <v>4800.8639300000004</v>
      </c>
      <c r="G17">
        <v>4836.0863300000001</v>
      </c>
      <c r="H17">
        <v>4766.25306</v>
      </c>
      <c r="J17">
        <v>1775132100</v>
      </c>
      <c r="K17" t="s">
        <v>0</v>
      </c>
      <c r="L17" t="s">
        <v>2</v>
      </c>
      <c r="M17">
        <v>4613.71</v>
      </c>
      <c r="N17">
        <v>4616.4376300000004</v>
      </c>
      <c r="O17">
        <v>4612.6266900000001</v>
      </c>
      <c r="P17">
        <v>4617.9350999999997</v>
      </c>
      <c r="Q17">
        <v>4609.5104499999998</v>
      </c>
    </row>
    <row r="18" spans="1:17" x14ac:dyDescent="0.55000000000000004">
      <c r="A18">
        <v>1770346800</v>
      </c>
      <c r="B18" t="s">
        <v>0</v>
      </c>
      <c r="C18" t="s">
        <v>1</v>
      </c>
      <c r="D18">
        <v>4813.63</v>
      </c>
      <c r="E18">
        <v>4828.4392799999996</v>
      </c>
      <c r="F18">
        <v>4814.6516099999999</v>
      </c>
      <c r="G18">
        <v>4849.5942999999997</v>
      </c>
      <c r="H18">
        <v>4787.4901399999999</v>
      </c>
      <c r="J18">
        <v>1775132400</v>
      </c>
      <c r="K18" t="s">
        <v>0</v>
      </c>
      <c r="L18" t="s">
        <v>2</v>
      </c>
      <c r="M18">
        <v>4628.26</v>
      </c>
      <c r="N18">
        <v>4620.5756499999998</v>
      </c>
      <c r="O18">
        <v>4616.6011699999999</v>
      </c>
      <c r="P18">
        <v>4621.93361</v>
      </c>
      <c r="Q18">
        <v>4614.2644899999996</v>
      </c>
    </row>
    <row r="19" spans="1:17" x14ac:dyDescent="0.55000000000000004">
      <c r="A19">
        <v>1770350400</v>
      </c>
      <c r="B19" t="s">
        <v>0</v>
      </c>
      <c r="C19" t="s">
        <v>1</v>
      </c>
      <c r="D19">
        <v>4897.7700000000004</v>
      </c>
      <c r="E19">
        <v>4842.0299299999997</v>
      </c>
      <c r="F19">
        <v>4828.3407699999998</v>
      </c>
      <c r="G19">
        <v>4862.0047599999998</v>
      </c>
      <c r="H19">
        <v>4806.3359700000001</v>
      </c>
      <c r="J19">
        <v>1775132700</v>
      </c>
      <c r="K19" t="s">
        <v>0</v>
      </c>
      <c r="L19" t="s">
        <v>2</v>
      </c>
      <c r="M19">
        <v>4626.08</v>
      </c>
      <c r="N19">
        <v>4623.53748</v>
      </c>
      <c r="O19">
        <v>4620.0693300000003</v>
      </c>
      <c r="P19">
        <v>4625.38033</v>
      </c>
      <c r="Q19">
        <v>4618.0848299999998</v>
      </c>
    </row>
    <row r="20" spans="1:17" x14ac:dyDescent="0.55000000000000004">
      <c r="A20">
        <v>1770354000</v>
      </c>
      <c r="B20" t="s">
        <v>0</v>
      </c>
      <c r="C20" t="s">
        <v>1</v>
      </c>
      <c r="D20">
        <v>4846.3999999999996</v>
      </c>
      <c r="E20">
        <v>4851.8569299999999</v>
      </c>
      <c r="F20">
        <v>4840.0988500000003</v>
      </c>
      <c r="G20">
        <v>4871.3171700000003</v>
      </c>
      <c r="H20">
        <v>4821.7836200000002</v>
      </c>
      <c r="J20">
        <v>1775133000</v>
      </c>
      <c r="K20" t="s">
        <v>0</v>
      </c>
      <c r="L20" t="s">
        <v>2</v>
      </c>
      <c r="M20">
        <v>4621.9399999999996</v>
      </c>
      <c r="N20">
        <v>4624.9415399999998</v>
      </c>
      <c r="O20">
        <v>4622.5054399999999</v>
      </c>
      <c r="P20">
        <v>4627.80357</v>
      </c>
      <c r="Q20">
        <v>4620.1751299999996</v>
      </c>
    </row>
    <row r="21" spans="1:17" x14ac:dyDescent="0.55000000000000004">
      <c r="A21">
        <v>1770357600</v>
      </c>
      <c r="B21" t="s">
        <v>0</v>
      </c>
      <c r="C21" t="s">
        <v>1</v>
      </c>
      <c r="D21">
        <v>4840.93</v>
      </c>
      <c r="E21">
        <v>4859.9966999999997</v>
      </c>
      <c r="F21">
        <v>4850.0477799999999</v>
      </c>
      <c r="G21">
        <v>4877.8455000000004</v>
      </c>
      <c r="H21">
        <v>4833.5991100000001</v>
      </c>
      <c r="J21">
        <v>1775133300</v>
      </c>
      <c r="K21" t="s">
        <v>0</v>
      </c>
      <c r="L21" t="s">
        <v>2</v>
      </c>
      <c r="M21">
        <v>4621.45</v>
      </c>
      <c r="N21">
        <v>4624.5640899999999</v>
      </c>
      <c r="O21">
        <v>4623.5347599999996</v>
      </c>
      <c r="P21">
        <v>4628.8857099999996</v>
      </c>
      <c r="Q21">
        <v>4620.2811799999999</v>
      </c>
    </row>
    <row r="22" spans="1:17" x14ac:dyDescent="0.55000000000000004">
      <c r="A22">
        <v>1770361200</v>
      </c>
      <c r="B22" t="s">
        <v>0</v>
      </c>
      <c r="C22" t="s">
        <v>1</v>
      </c>
      <c r="D22">
        <v>4861.92</v>
      </c>
      <c r="E22">
        <v>4867.6216999999997</v>
      </c>
      <c r="F22">
        <v>4858.8347400000002</v>
      </c>
      <c r="G22">
        <v>4883.3925799999997</v>
      </c>
      <c r="H22">
        <v>4842.5100300000004</v>
      </c>
      <c r="J22">
        <v>1775133600</v>
      </c>
      <c r="K22" t="s">
        <v>0</v>
      </c>
      <c r="L22" t="s">
        <v>2</v>
      </c>
      <c r="M22">
        <v>4618.28</v>
      </c>
      <c r="N22">
        <v>4622.27567</v>
      </c>
      <c r="O22">
        <v>4622.9052199999996</v>
      </c>
      <c r="P22">
        <v>4628.3621599999997</v>
      </c>
      <c r="Q22">
        <v>4618.2539999999999</v>
      </c>
    </row>
    <row r="23" spans="1:17" x14ac:dyDescent="0.55000000000000004">
      <c r="A23">
        <v>1770364800</v>
      </c>
      <c r="B23" t="s">
        <v>0</v>
      </c>
      <c r="C23" t="s">
        <v>1</v>
      </c>
      <c r="D23">
        <v>4866.51</v>
      </c>
      <c r="E23">
        <v>4875.3941999999997</v>
      </c>
      <c r="F23">
        <v>4867.1144700000004</v>
      </c>
      <c r="G23">
        <v>4888.76001</v>
      </c>
      <c r="H23">
        <v>4850.1565000000001</v>
      </c>
      <c r="J23">
        <v>1775133900</v>
      </c>
      <c r="K23" t="s">
        <v>0</v>
      </c>
      <c r="L23" t="s">
        <v>2</v>
      </c>
      <c r="M23">
        <v>4619.49</v>
      </c>
      <c r="N23">
        <v>4618.1843399999998</v>
      </c>
      <c r="O23">
        <v>4620.5447800000002</v>
      </c>
      <c r="P23">
        <v>4626.1302100000003</v>
      </c>
      <c r="Q23">
        <v>4614.26451</v>
      </c>
    </row>
    <row r="24" spans="1:17" x14ac:dyDescent="0.55000000000000004">
      <c r="A24">
        <v>1770368400</v>
      </c>
      <c r="B24" t="s">
        <v>0</v>
      </c>
      <c r="C24" t="s">
        <v>1</v>
      </c>
      <c r="D24">
        <v>4878.49</v>
      </c>
      <c r="E24">
        <v>4884.1694799999996</v>
      </c>
      <c r="F24">
        <v>4875.6419699999997</v>
      </c>
      <c r="G24">
        <v>4895.2335899999998</v>
      </c>
      <c r="H24">
        <v>4857.8180499999999</v>
      </c>
      <c r="J24">
        <v>1775134200</v>
      </c>
      <c r="K24" t="s">
        <v>0</v>
      </c>
      <c r="L24" t="s">
        <v>2</v>
      </c>
      <c r="M24">
        <v>4620.28</v>
      </c>
      <c r="N24">
        <v>4612.5639000000001</v>
      </c>
      <c r="O24">
        <v>4616.5543399999997</v>
      </c>
      <c r="P24">
        <v>4622.2283100000004</v>
      </c>
      <c r="Q24">
        <v>4608.6792599999999</v>
      </c>
    </row>
    <row r="25" spans="1:17" x14ac:dyDescent="0.55000000000000004">
      <c r="A25">
        <v>1770372000</v>
      </c>
      <c r="B25" t="s">
        <v>0</v>
      </c>
      <c r="C25" t="s">
        <v>1</v>
      </c>
      <c r="D25">
        <v>4887.3100000000004</v>
      </c>
      <c r="E25">
        <v>4894.3635299999996</v>
      </c>
      <c r="F25">
        <v>4885.0027499999997</v>
      </c>
      <c r="G25">
        <v>4903.4203399999997</v>
      </c>
      <c r="H25">
        <v>4866.4978799999999</v>
      </c>
      <c r="J25">
        <v>1775134500</v>
      </c>
      <c r="K25" t="s">
        <v>0</v>
      </c>
      <c r="L25" t="s">
        <v>2</v>
      </c>
      <c r="M25">
        <v>4601.49</v>
      </c>
      <c r="N25">
        <v>4605.9618600000003</v>
      </c>
      <c r="O25">
        <v>4611.2581</v>
      </c>
      <c r="P25">
        <v>4616.9907400000002</v>
      </c>
      <c r="Q25">
        <v>4601.9813899999999</v>
      </c>
    </row>
    <row r="26" spans="1:17" x14ac:dyDescent="0.55000000000000004">
      <c r="A26">
        <v>1770375600</v>
      </c>
      <c r="B26" t="s">
        <v>0</v>
      </c>
      <c r="C26" t="s">
        <v>1</v>
      </c>
      <c r="D26">
        <v>4900.37</v>
      </c>
      <c r="E26">
        <v>4905.8348699999997</v>
      </c>
      <c r="F26">
        <v>4895.4188100000001</v>
      </c>
      <c r="G26">
        <v>4913.2675099999997</v>
      </c>
      <c r="H26">
        <v>4876.63501</v>
      </c>
      <c r="J26">
        <v>1775134800</v>
      </c>
      <c r="K26" t="s">
        <v>0</v>
      </c>
      <c r="L26" t="s">
        <v>2</v>
      </c>
      <c r="M26">
        <v>4595.07</v>
      </c>
      <c r="N26">
        <v>4599.3973800000003</v>
      </c>
      <c r="O26">
        <v>4605.3277399999997</v>
      </c>
      <c r="P26">
        <v>4611.0778300000002</v>
      </c>
      <c r="Q26">
        <v>4595.15834</v>
      </c>
    </row>
    <row r="27" spans="1:17" x14ac:dyDescent="0.55000000000000004">
      <c r="A27">
        <v>1770379200</v>
      </c>
      <c r="B27" t="s">
        <v>0</v>
      </c>
      <c r="C27" t="s">
        <v>1</v>
      </c>
      <c r="D27">
        <v>4928.8999999999996</v>
      </c>
      <c r="E27">
        <v>4917.9939199999999</v>
      </c>
      <c r="F27">
        <v>4906.7063699999999</v>
      </c>
      <c r="G27">
        <v>4924.3402299999998</v>
      </c>
      <c r="H27">
        <v>4888.2350399999996</v>
      </c>
      <c r="J27">
        <v>1775135100</v>
      </c>
      <c r="K27" t="s">
        <v>0</v>
      </c>
      <c r="L27" t="s">
        <v>2</v>
      </c>
      <c r="M27">
        <v>4600.43</v>
      </c>
      <c r="N27">
        <v>4593.7296200000001</v>
      </c>
      <c r="O27">
        <v>4599.5286800000003</v>
      </c>
      <c r="P27">
        <v>4605.5109499999999</v>
      </c>
      <c r="Q27">
        <v>4589.1928900000003</v>
      </c>
    </row>
    <row r="28" spans="1:17" x14ac:dyDescent="0.55000000000000004">
      <c r="A28">
        <v>1770382800</v>
      </c>
      <c r="B28" t="s">
        <v>0</v>
      </c>
      <c r="C28" t="s">
        <v>1</v>
      </c>
      <c r="D28">
        <v>4947.96</v>
      </c>
      <c r="E28">
        <v>4929.8150900000001</v>
      </c>
      <c r="F28">
        <v>4918.26073</v>
      </c>
      <c r="G28">
        <v>4935.53676</v>
      </c>
      <c r="H28">
        <v>4900.6094199999998</v>
      </c>
      <c r="J28">
        <v>1775135400</v>
      </c>
      <c r="K28" t="s">
        <v>0</v>
      </c>
      <c r="L28" t="s">
        <v>2</v>
      </c>
      <c r="M28">
        <v>4587.6099999999997</v>
      </c>
      <c r="N28">
        <v>4589.5883400000002</v>
      </c>
      <c r="O28">
        <v>4594.5585099999998</v>
      </c>
      <c r="P28">
        <v>4600.8793999999998</v>
      </c>
      <c r="Q28">
        <v>4584.5234700000001</v>
      </c>
    </row>
    <row r="29" spans="1:17" x14ac:dyDescent="0.55000000000000004">
      <c r="A29">
        <v>1770386400</v>
      </c>
      <c r="B29" t="s">
        <v>0</v>
      </c>
      <c r="C29" t="s">
        <v>1</v>
      </c>
      <c r="D29">
        <v>4943.7299999999996</v>
      </c>
      <c r="E29">
        <v>4940.5870199999999</v>
      </c>
      <c r="F29">
        <v>4929.4238699999996</v>
      </c>
      <c r="G29">
        <v>4946.16183</v>
      </c>
      <c r="H29">
        <v>4913.2989500000003</v>
      </c>
      <c r="J29">
        <v>1775135700</v>
      </c>
      <c r="K29" t="s">
        <v>0</v>
      </c>
      <c r="L29" t="s">
        <v>2</v>
      </c>
      <c r="M29">
        <v>4591.18</v>
      </c>
      <c r="N29">
        <v>4587.7102100000002</v>
      </c>
      <c r="O29">
        <v>4591.13436</v>
      </c>
      <c r="P29">
        <v>4598.0306399999999</v>
      </c>
      <c r="Q29">
        <v>4581.7385199999999</v>
      </c>
    </row>
    <row r="30" spans="1:17" x14ac:dyDescent="0.55000000000000004">
      <c r="A30">
        <v>1770390000</v>
      </c>
      <c r="B30" t="s">
        <v>0</v>
      </c>
      <c r="C30" t="s">
        <v>1</v>
      </c>
      <c r="D30">
        <v>4951.66</v>
      </c>
      <c r="E30">
        <v>4950.1473699999997</v>
      </c>
      <c r="F30">
        <v>4939.7856199999997</v>
      </c>
      <c r="G30">
        <v>4955.6728400000002</v>
      </c>
      <c r="H30">
        <v>4925.19326</v>
      </c>
      <c r="J30">
        <v>1775136000</v>
      </c>
      <c r="K30" t="s">
        <v>0</v>
      </c>
      <c r="L30" t="s">
        <v>2</v>
      </c>
      <c r="M30">
        <v>4582.9799999999996</v>
      </c>
      <c r="N30">
        <v>4588.3168400000004</v>
      </c>
      <c r="O30">
        <v>4589.7255999999998</v>
      </c>
      <c r="P30">
        <v>4597.5022099999996</v>
      </c>
      <c r="Q30">
        <v>4581.1429099999996</v>
      </c>
    </row>
    <row r="31" spans="1:17" x14ac:dyDescent="0.55000000000000004">
      <c r="A31">
        <v>1770393600</v>
      </c>
      <c r="B31" t="s">
        <v>0</v>
      </c>
      <c r="C31" t="s">
        <v>1</v>
      </c>
      <c r="D31">
        <v>4960.42</v>
      </c>
      <c r="E31">
        <v>4958.2448199999999</v>
      </c>
      <c r="F31">
        <v>4949.0152200000002</v>
      </c>
      <c r="G31">
        <v>4964.1965700000001</v>
      </c>
      <c r="H31">
        <v>4935.6826300000002</v>
      </c>
      <c r="J31">
        <v>1775136300</v>
      </c>
      <c r="K31" t="s">
        <v>0</v>
      </c>
      <c r="L31" t="s">
        <v>2</v>
      </c>
      <c r="M31">
        <v>4597.4799999999996</v>
      </c>
      <c r="N31">
        <v>4591.47102</v>
      </c>
      <c r="O31">
        <v>4590.5983100000003</v>
      </c>
      <c r="P31">
        <v>4599.3926099999999</v>
      </c>
      <c r="Q31">
        <v>4582.8550400000004</v>
      </c>
    </row>
    <row r="32" spans="1:17" x14ac:dyDescent="0.55000000000000004">
      <c r="A32">
        <v>1770397200</v>
      </c>
      <c r="B32" t="s">
        <v>0</v>
      </c>
      <c r="C32" t="s">
        <v>1</v>
      </c>
      <c r="D32">
        <v>4962.49</v>
      </c>
      <c r="E32">
        <v>4964.5000799999998</v>
      </c>
      <c r="F32">
        <v>4956.7576499999996</v>
      </c>
      <c r="G32">
        <v>4971.5157200000003</v>
      </c>
      <c r="H32">
        <v>4943.9757200000004</v>
      </c>
      <c r="J32">
        <v>1775136600</v>
      </c>
      <c r="K32" t="s">
        <v>0</v>
      </c>
      <c r="L32" t="s">
        <v>2</v>
      </c>
      <c r="M32">
        <v>4599.59</v>
      </c>
      <c r="N32">
        <v>4596.8587500000003</v>
      </c>
      <c r="O32">
        <v>4593.7285300000003</v>
      </c>
      <c r="P32">
        <v>4603.6295700000001</v>
      </c>
      <c r="Q32">
        <v>4586.8312999999998</v>
      </c>
    </row>
    <row r="33" spans="1:17" x14ac:dyDescent="0.55000000000000004">
      <c r="A33">
        <v>1770400800</v>
      </c>
      <c r="B33" t="s">
        <v>0</v>
      </c>
      <c r="C33" t="s">
        <v>1</v>
      </c>
      <c r="D33">
        <v>4957.1899999999996</v>
      </c>
      <c r="E33">
        <v>4969.7661500000004</v>
      </c>
      <c r="F33">
        <v>4963.2619000000004</v>
      </c>
      <c r="G33">
        <v>4978.5111100000004</v>
      </c>
      <c r="H33">
        <v>4949.9865499999996</v>
      </c>
      <c r="J33">
        <v>1775136900</v>
      </c>
      <c r="K33" t="s">
        <v>0</v>
      </c>
      <c r="L33" t="s">
        <v>2</v>
      </c>
      <c r="M33">
        <v>4590.12</v>
      </c>
      <c r="N33">
        <v>4603.9754400000002</v>
      </c>
      <c r="O33">
        <v>4598.8519800000004</v>
      </c>
      <c r="P33">
        <v>4609.8396199999997</v>
      </c>
      <c r="Q33">
        <v>4592.54864</v>
      </c>
    </row>
    <row r="34" spans="1:17" x14ac:dyDescent="0.55000000000000004">
      <c r="A34">
        <v>1770404400</v>
      </c>
      <c r="B34" t="s">
        <v>0</v>
      </c>
      <c r="C34" t="s">
        <v>1</v>
      </c>
      <c r="D34">
        <v>4953.1099999999997</v>
      </c>
      <c r="E34">
        <v>4975.3220099999999</v>
      </c>
      <c r="F34">
        <v>4969.2919499999998</v>
      </c>
      <c r="G34">
        <v>4986.4018400000004</v>
      </c>
      <c r="H34">
        <v>4954.68174</v>
      </c>
      <c r="J34">
        <v>1775137200</v>
      </c>
      <c r="K34" t="s">
        <v>0</v>
      </c>
      <c r="L34" t="s">
        <v>2</v>
      </c>
      <c r="M34">
        <v>4602.13</v>
      </c>
      <c r="N34">
        <v>4612.5609199999999</v>
      </c>
      <c r="O34">
        <v>4605.7064499999997</v>
      </c>
      <c r="P34">
        <v>4617.7261699999999</v>
      </c>
      <c r="Q34">
        <v>4599.7664699999996</v>
      </c>
    </row>
    <row r="35" spans="1:17" x14ac:dyDescent="0.55000000000000004">
      <c r="A35">
        <v>1770408000</v>
      </c>
      <c r="B35" t="s">
        <v>0</v>
      </c>
      <c r="C35" t="s">
        <v>1</v>
      </c>
      <c r="D35">
        <v>4967.8900000000003</v>
      </c>
      <c r="E35">
        <v>4982.3084500000004</v>
      </c>
      <c r="F35">
        <v>4975.8001999999997</v>
      </c>
      <c r="G35">
        <v>4996.03719</v>
      </c>
      <c r="H35">
        <v>4959.8211000000001</v>
      </c>
      <c r="J35">
        <v>1775137500</v>
      </c>
      <c r="K35" t="s">
        <v>0</v>
      </c>
      <c r="L35" t="s">
        <v>2</v>
      </c>
      <c r="M35">
        <v>4634.43</v>
      </c>
      <c r="N35">
        <v>4621.7490299999999</v>
      </c>
      <c r="O35">
        <v>4613.7277400000003</v>
      </c>
      <c r="P35">
        <v>4626.7140799999997</v>
      </c>
      <c r="Q35">
        <v>4608.1671299999998</v>
      </c>
    </row>
    <row r="36" spans="1:17" x14ac:dyDescent="0.55000000000000004">
      <c r="A36">
        <v>1770588000</v>
      </c>
      <c r="B36" t="s">
        <v>0</v>
      </c>
      <c r="C36" t="s">
        <v>1</v>
      </c>
      <c r="D36">
        <v>5036.1400000000003</v>
      </c>
      <c r="E36">
        <v>4990.7645599999996</v>
      </c>
      <c r="F36">
        <v>4983.2823799999996</v>
      </c>
      <c r="G36">
        <v>5007.32701</v>
      </c>
      <c r="H36">
        <v>4966.3803099999996</v>
      </c>
      <c r="J36">
        <v>1775137800</v>
      </c>
      <c r="K36" t="s">
        <v>0</v>
      </c>
      <c r="L36" t="s">
        <v>2</v>
      </c>
      <c r="M36">
        <v>4635.58</v>
      </c>
      <c r="N36">
        <v>4630.2641400000002</v>
      </c>
      <c r="O36">
        <v>4621.9959399999998</v>
      </c>
      <c r="P36">
        <v>4635.4237999999996</v>
      </c>
      <c r="Q36">
        <v>4616.9749099999999</v>
      </c>
    </row>
    <row r="37" spans="1:17" x14ac:dyDescent="0.55000000000000004">
      <c r="A37">
        <v>1770591600</v>
      </c>
      <c r="B37" t="s">
        <v>0</v>
      </c>
      <c r="C37" t="s">
        <v>1</v>
      </c>
      <c r="D37">
        <v>5020.03</v>
      </c>
      <c r="E37">
        <v>4998.8167299999996</v>
      </c>
      <c r="F37">
        <v>4991.0495600000004</v>
      </c>
      <c r="G37">
        <v>5017.8486800000001</v>
      </c>
      <c r="H37">
        <v>4974.4883</v>
      </c>
      <c r="J37">
        <v>1775138100</v>
      </c>
      <c r="K37" t="s">
        <v>0</v>
      </c>
      <c r="L37" t="s">
        <v>2</v>
      </c>
      <c r="M37">
        <v>4645.33</v>
      </c>
      <c r="N37">
        <v>4637.8590899999999</v>
      </c>
      <c r="O37">
        <v>4629.9275100000004</v>
      </c>
      <c r="P37">
        <v>4643.3448699999999</v>
      </c>
      <c r="Q37">
        <v>4625.1524900000004</v>
      </c>
    </row>
    <row r="38" spans="1:17" x14ac:dyDescent="0.55000000000000004">
      <c r="A38">
        <v>1770595200</v>
      </c>
      <c r="B38" t="s">
        <v>0</v>
      </c>
      <c r="C38" t="s">
        <v>1</v>
      </c>
      <c r="D38">
        <v>4982.6899999999996</v>
      </c>
      <c r="E38">
        <v>5006.4341299999996</v>
      </c>
      <c r="F38">
        <v>4998.7418399999997</v>
      </c>
      <c r="G38">
        <v>5026.9551300000003</v>
      </c>
      <c r="H38">
        <v>4982.7965800000002</v>
      </c>
      <c r="J38">
        <v>1775138400</v>
      </c>
      <c r="K38" t="s">
        <v>0</v>
      </c>
      <c r="L38" t="s">
        <v>2</v>
      </c>
      <c r="M38">
        <v>4642.46</v>
      </c>
      <c r="N38">
        <v>4644.39779</v>
      </c>
      <c r="O38">
        <v>4637.1626500000002</v>
      </c>
      <c r="P38">
        <v>4650.2238699999998</v>
      </c>
      <c r="Q38">
        <v>4632.5078000000003</v>
      </c>
    </row>
    <row r="39" spans="1:17" x14ac:dyDescent="0.55000000000000004">
      <c r="A39">
        <v>1770598800</v>
      </c>
      <c r="B39" t="s">
        <v>0</v>
      </c>
      <c r="C39" t="s">
        <v>1</v>
      </c>
      <c r="D39">
        <v>5007.0200000000004</v>
      </c>
      <c r="E39">
        <v>5014.0733099999998</v>
      </c>
      <c r="F39">
        <v>5006.4075800000001</v>
      </c>
      <c r="G39">
        <v>5034.0468899999996</v>
      </c>
      <c r="H39">
        <v>4991.6495699999996</v>
      </c>
      <c r="J39">
        <v>1775138700</v>
      </c>
      <c r="K39" t="s">
        <v>0</v>
      </c>
      <c r="L39" t="s">
        <v>2</v>
      </c>
      <c r="M39">
        <v>4648.01</v>
      </c>
      <c r="N39">
        <v>4650.2838199999997</v>
      </c>
      <c r="O39">
        <v>4643.7232400000003</v>
      </c>
      <c r="P39">
        <v>4656.3179899999996</v>
      </c>
      <c r="Q39">
        <v>4639.1625899999999</v>
      </c>
    </row>
    <row r="40" spans="1:17" x14ac:dyDescent="0.55000000000000004">
      <c r="A40">
        <v>1770602400</v>
      </c>
      <c r="B40" t="s">
        <v>0</v>
      </c>
      <c r="C40" t="s">
        <v>1</v>
      </c>
      <c r="D40">
        <v>5016.3999999999996</v>
      </c>
      <c r="E40">
        <v>5020.1690900000003</v>
      </c>
      <c r="F40">
        <v>5013.2883300000003</v>
      </c>
      <c r="G40">
        <v>5039.1771699999999</v>
      </c>
      <c r="H40">
        <v>5000.2087600000004</v>
      </c>
      <c r="J40">
        <v>1775139000</v>
      </c>
      <c r="K40" t="s">
        <v>0</v>
      </c>
      <c r="L40" t="s">
        <v>2</v>
      </c>
      <c r="M40">
        <v>4647.7700000000004</v>
      </c>
      <c r="N40">
        <v>4655.8185400000002</v>
      </c>
      <c r="O40">
        <v>4649.7708899999998</v>
      </c>
      <c r="P40">
        <v>4661.9669700000004</v>
      </c>
      <c r="Q40">
        <v>4645.2204400000001</v>
      </c>
    </row>
    <row r="41" spans="1:17" x14ac:dyDescent="0.55000000000000004">
      <c r="A41">
        <v>1770606000</v>
      </c>
      <c r="B41" t="s">
        <v>0</v>
      </c>
      <c r="C41" t="s">
        <v>1</v>
      </c>
      <c r="D41">
        <v>5012.1099999999997</v>
      </c>
      <c r="E41">
        <v>5023.6580599999998</v>
      </c>
      <c r="F41">
        <v>5018.4732000000004</v>
      </c>
      <c r="G41">
        <v>5041.6228799999999</v>
      </c>
      <c r="H41">
        <v>5006.2995700000001</v>
      </c>
      <c r="J41">
        <v>1775139300</v>
      </c>
      <c r="K41" t="s">
        <v>0</v>
      </c>
      <c r="L41" t="s">
        <v>2</v>
      </c>
      <c r="M41">
        <v>4660.72</v>
      </c>
      <c r="N41">
        <v>4661.4185500000003</v>
      </c>
      <c r="O41">
        <v>4655.5947200000001</v>
      </c>
      <c r="P41">
        <v>4667.3708200000001</v>
      </c>
      <c r="Q41">
        <v>4650.7812700000004</v>
      </c>
    </row>
    <row r="42" spans="1:17" x14ac:dyDescent="0.55000000000000004">
      <c r="A42">
        <v>1770609600</v>
      </c>
      <c r="B42" t="s">
        <v>0</v>
      </c>
      <c r="C42" t="s">
        <v>1</v>
      </c>
      <c r="D42">
        <v>5036.76</v>
      </c>
      <c r="E42">
        <v>5024.2402700000002</v>
      </c>
      <c r="F42">
        <v>5021.3567300000004</v>
      </c>
      <c r="G42">
        <v>5041.5066699999998</v>
      </c>
      <c r="H42">
        <v>5009.0051700000004</v>
      </c>
      <c r="J42">
        <v>1775139600</v>
      </c>
      <c r="K42" t="s">
        <v>0</v>
      </c>
      <c r="L42" t="s">
        <v>2</v>
      </c>
      <c r="M42">
        <v>4675.17</v>
      </c>
      <c r="N42">
        <v>4666.97858</v>
      </c>
      <c r="O42">
        <v>4661.28665</v>
      </c>
      <c r="P42">
        <v>4672.7348599999996</v>
      </c>
      <c r="Q42">
        <v>4656.1407600000002</v>
      </c>
    </row>
    <row r="43" spans="1:17" x14ac:dyDescent="0.55000000000000004">
      <c r="A43">
        <v>1770613200</v>
      </c>
      <c r="B43" t="s">
        <v>0</v>
      </c>
      <c r="C43" t="s">
        <v>1</v>
      </c>
      <c r="D43">
        <v>5031.2</v>
      </c>
      <c r="E43">
        <v>5021.5104600000004</v>
      </c>
      <c r="F43">
        <v>5021.4336000000003</v>
      </c>
      <c r="G43">
        <v>5038.7425899999998</v>
      </c>
      <c r="H43">
        <v>5008.1613900000002</v>
      </c>
      <c r="J43">
        <v>1775139900</v>
      </c>
      <c r="K43" t="s">
        <v>0</v>
      </c>
      <c r="L43" t="s">
        <v>2</v>
      </c>
      <c r="M43">
        <v>4665.41</v>
      </c>
      <c r="N43">
        <v>4672.1593700000003</v>
      </c>
      <c r="O43">
        <v>4666.7230099999997</v>
      </c>
      <c r="P43">
        <v>4677.8486199999998</v>
      </c>
      <c r="Q43">
        <v>4661.1553999999996</v>
      </c>
    </row>
    <row r="44" spans="1:17" x14ac:dyDescent="0.55000000000000004">
      <c r="A44">
        <v>1770616800</v>
      </c>
      <c r="B44" t="s">
        <v>0</v>
      </c>
      <c r="C44" t="s">
        <v>1</v>
      </c>
      <c r="D44">
        <v>5006.47</v>
      </c>
      <c r="E44">
        <v>5016.5899399999998</v>
      </c>
      <c r="F44">
        <v>5019.0117700000001</v>
      </c>
      <c r="G44">
        <v>5034.0313500000002</v>
      </c>
      <c r="H44">
        <v>5004.4130100000002</v>
      </c>
      <c r="J44">
        <v>1775140200</v>
      </c>
      <c r="K44" t="s">
        <v>0</v>
      </c>
      <c r="L44" t="s">
        <v>2</v>
      </c>
      <c r="M44">
        <v>4670.1099999999997</v>
      </c>
      <c r="N44">
        <v>4677.0682500000003</v>
      </c>
      <c r="O44">
        <v>4671.89563</v>
      </c>
      <c r="P44">
        <v>4682.6741300000003</v>
      </c>
      <c r="Q44">
        <v>4665.8245699999998</v>
      </c>
    </row>
    <row r="45" spans="1:17" x14ac:dyDescent="0.55000000000000004">
      <c r="A45">
        <v>1770620400</v>
      </c>
      <c r="B45" t="s">
        <v>0</v>
      </c>
      <c r="C45" t="s">
        <v>1</v>
      </c>
      <c r="D45">
        <v>5027.3900000000003</v>
      </c>
      <c r="E45">
        <v>5011.4309300000004</v>
      </c>
      <c r="F45">
        <v>5015.2213499999998</v>
      </c>
      <c r="G45">
        <v>5028.8636200000001</v>
      </c>
      <c r="H45">
        <v>4999.5001000000002</v>
      </c>
      <c r="J45">
        <v>1775140500</v>
      </c>
      <c r="K45" t="s">
        <v>0</v>
      </c>
      <c r="L45" t="s">
        <v>2</v>
      </c>
      <c r="M45">
        <v>4687.83</v>
      </c>
      <c r="N45">
        <v>4681.2691500000001</v>
      </c>
      <c r="O45">
        <v>4676.5823899999996</v>
      </c>
      <c r="P45">
        <v>4687.0213899999999</v>
      </c>
      <c r="Q45">
        <v>4670.0658800000001</v>
      </c>
    </row>
    <row r="46" spans="1:17" x14ac:dyDescent="0.55000000000000004">
      <c r="A46">
        <v>1770624000</v>
      </c>
      <c r="B46" t="s">
        <v>0</v>
      </c>
      <c r="C46" t="s">
        <v>1</v>
      </c>
      <c r="D46">
        <v>5007.82</v>
      </c>
      <c r="E46">
        <v>5006.9854800000003</v>
      </c>
      <c r="F46">
        <v>5011.1034099999997</v>
      </c>
      <c r="G46">
        <v>5024.3878199999999</v>
      </c>
      <c r="H46">
        <v>4994.7569000000003</v>
      </c>
      <c r="J46">
        <v>1775140800</v>
      </c>
      <c r="K46" t="s">
        <v>0</v>
      </c>
      <c r="L46" t="s">
        <v>2</v>
      </c>
      <c r="M46">
        <v>4693.91</v>
      </c>
      <c r="N46">
        <v>4683.9654399999999</v>
      </c>
      <c r="O46">
        <v>4680.2739199999996</v>
      </c>
      <c r="P46">
        <v>4690.0123800000001</v>
      </c>
      <c r="Q46">
        <v>4673.4285</v>
      </c>
    </row>
    <row r="47" spans="1:17" x14ac:dyDescent="0.55000000000000004">
      <c r="A47">
        <v>1770627600</v>
      </c>
      <c r="B47" t="s">
        <v>0</v>
      </c>
      <c r="C47" t="s">
        <v>1</v>
      </c>
      <c r="D47">
        <v>4990.9799999999996</v>
      </c>
      <c r="E47">
        <v>5005.16914</v>
      </c>
      <c r="F47">
        <v>5008.1362799999997</v>
      </c>
      <c r="G47">
        <v>5021.5740999999998</v>
      </c>
      <c r="H47">
        <v>4991.5862500000003</v>
      </c>
      <c r="J47">
        <v>1775141100</v>
      </c>
      <c r="K47" t="s">
        <v>0</v>
      </c>
      <c r="L47" t="s">
        <v>2</v>
      </c>
      <c r="M47">
        <v>4681.08</v>
      </c>
      <c r="N47">
        <v>4684.7864799999998</v>
      </c>
      <c r="O47">
        <v>4682.5302000000001</v>
      </c>
      <c r="P47">
        <v>4691.3216899999998</v>
      </c>
      <c r="Q47">
        <v>4675.4326700000001</v>
      </c>
    </row>
    <row r="48" spans="1:17" x14ac:dyDescent="0.55000000000000004">
      <c r="A48">
        <v>1770631200</v>
      </c>
      <c r="B48" t="s">
        <v>0</v>
      </c>
      <c r="C48" t="s">
        <v>1</v>
      </c>
      <c r="D48">
        <v>5010.8500000000004</v>
      </c>
      <c r="E48">
        <v>5007.4619599999996</v>
      </c>
      <c r="F48">
        <v>5007.7991199999997</v>
      </c>
      <c r="G48">
        <v>5021.9885999999997</v>
      </c>
      <c r="H48">
        <v>4991.7414500000004</v>
      </c>
      <c r="J48">
        <v>1775141400</v>
      </c>
      <c r="K48" t="s">
        <v>0</v>
      </c>
      <c r="L48" t="s">
        <v>2</v>
      </c>
      <c r="M48">
        <v>4683.95</v>
      </c>
      <c r="N48">
        <v>4684.08518</v>
      </c>
      <c r="O48">
        <v>4683.3076899999996</v>
      </c>
      <c r="P48">
        <v>4691.0278500000004</v>
      </c>
      <c r="Q48">
        <v>4675.9755699999996</v>
      </c>
    </row>
    <row r="49" spans="1:17" x14ac:dyDescent="0.55000000000000004">
      <c r="A49">
        <v>1770634800</v>
      </c>
      <c r="B49" t="s">
        <v>0</v>
      </c>
      <c r="C49" t="s">
        <v>1</v>
      </c>
      <c r="D49">
        <v>5013.29</v>
      </c>
      <c r="E49">
        <v>5013.6495199999999</v>
      </c>
      <c r="F49">
        <v>5010.7243200000003</v>
      </c>
      <c r="G49">
        <v>5026.0454399999999</v>
      </c>
      <c r="H49">
        <v>4995.8347800000001</v>
      </c>
      <c r="J49">
        <v>1775141700</v>
      </c>
      <c r="K49" t="s">
        <v>0</v>
      </c>
      <c r="L49" t="s">
        <v>2</v>
      </c>
      <c r="M49">
        <v>4681.32</v>
      </c>
      <c r="N49">
        <v>4682.0227100000002</v>
      </c>
      <c r="O49">
        <v>4682.6652000000004</v>
      </c>
      <c r="P49">
        <v>4689.4954399999997</v>
      </c>
      <c r="Q49">
        <v>4675.3213500000002</v>
      </c>
    </row>
    <row r="50" spans="1:17" x14ac:dyDescent="0.55000000000000004">
      <c r="A50">
        <v>1770638400</v>
      </c>
      <c r="B50" t="s">
        <v>0</v>
      </c>
      <c r="C50" t="s">
        <v>1</v>
      </c>
      <c r="D50">
        <v>5006.9799999999996</v>
      </c>
      <c r="E50">
        <v>5023.0736100000004</v>
      </c>
      <c r="F50">
        <v>5016.8989700000002</v>
      </c>
      <c r="G50">
        <v>5033.4247800000003</v>
      </c>
      <c r="H50">
        <v>5003.4412899999998</v>
      </c>
      <c r="J50">
        <v>1775142000</v>
      </c>
      <c r="K50" t="s">
        <v>0</v>
      </c>
      <c r="L50" t="s">
        <v>2</v>
      </c>
      <c r="M50">
        <v>4681.1899999999996</v>
      </c>
      <c r="N50">
        <v>4679.1108100000001</v>
      </c>
      <c r="O50">
        <v>4680.8879999999999</v>
      </c>
      <c r="P50">
        <v>4686.9387999999999</v>
      </c>
      <c r="Q50">
        <v>4673.5292200000004</v>
      </c>
    </row>
    <row r="51" spans="1:17" x14ac:dyDescent="0.55000000000000004">
      <c r="A51">
        <v>1770642000</v>
      </c>
      <c r="B51" t="s">
        <v>0</v>
      </c>
      <c r="C51" t="s">
        <v>1</v>
      </c>
      <c r="D51">
        <v>5038.0600000000004</v>
      </c>
      <c r="E51">
        <v>5035.0304100000003</v>
      </c>
      <c r="F51">
        <v>5025.9646899999998</v>
      </c>
      <c r="G51">
        <v>5043.3710600000004</v>
      </c>
      <c r="H51">
        <v>5014.2363299999997</v>
      </c>
      <c r="J51">
        <v>1775142300</v>
      </c>
      <c r="K51" t="s">
        <v>0</v>
      </c>
      <c r="L51" t="s">
        <v>2</v>
      </c>
      <c r="M51">
        <v>4670.99</v>
      </c>
      <c r="N51">
        <v>4675.8693700000003</v>
      </c>
      <c r="O51">
        <v>4678.3786899999996</v>
      </c>
      <c r="P51">
        <v>4683.9488000000001</v>
      </c>
      <c r="Q51">
        <v>4671.24406</v>
      </c>
    </row>
    <row r="52" spans="1:17" x14ac:dyDescent="0.55000000000000004">
      <c r="A52">
        <v>1770645600</v>
      </c>
      <c r="B52" t="s">
        <v>0</v>
      </c>
      <c r="C52" t="s">
        <v>1</v>
      </c>
      <c r="D52">
        <v>5058.8100000000004</v>
      </c>
      <c r="E52">
        <v>5047.2704800000001</v>
      </c>
      <c r="F52">
        <v>5036.6175800000001</v>
      </c>
      <c r="G52">
        <v>5054.5366800000002</v>
      </c>
      <c r="H52">
        <v>5026.7199199999995</v>
      </c>
      <c r="J52">
        <v>1775142600</v>
      </c>
      <c r="K52" t="s">
        <v>0</v>
      </c>
      <c r="L52" t="s">
        <v>2</v>
      </c>
      <c r="M52">
        <v>4672.3599999999997</v>
      </c>
      <c r="N52">
        <v>4673.0270499999997</v>
      </c>
      <c r="O52">
        <v>4675.7028700000001</v>
      </c>
      <c r="P52">
        <v>4680.9776700000002</v>
      </c>
      <c r="Q52">
        <v>4668.9176399999997</v>
      </c>
    </row>
    <row r="53" spans="1:17" x14ac:dyDescent="0.55000000000000004">
      <c r="A53">
        <v>1770649200</v>
      </c>
      <c r="B53" t="s">
        <v>0</v>
      </c>
      <c r="C53" t="s">
        <v>1</v>
      </c>
      <c r="D53">
        <v>5073.2700000000004</v>
      </c>
      <c r="E53">
        <v>5057.6447699999999</v>
      </c>
      <c r="F53">
        <v>5047.1311800000003</v>
      </c>
      <c r="G53">
        <v>5065.1683300000004</v>
      </c>
      <c r="H53">
        <v>5038.6277799999998</v>
      </c>
      <c r="J53">
        <v>1775142900</v>
      </c>
      <c r="K53" t="s">
        <v>0</v>
      </c>
      <c r="L53" t="s">
        <v>2</v>
      </c>
      <c r="M53">
        <v>4672.5600000000004</v>
      </c>
      <c r="N53">
        <v>4670.8543600000003</v>
      </c>
      <c r="O53">
        <v>4673.2786100000003</v>
      </c>
      <c r="P53">
        <v>4678.3622599999999</v>
      </c>
      <c r="Q53">
        <v>4666.8237600000002</v>
      </c>
    </row>
    <row r="54" spans="1:17" x14ac:dyDescent="0.55000000000000004">
      <c r="A54">
        <v>1770652800</v>
      </c>
      <c r="B54" t="s">
        <v>0</v>
      </c>
      <c r="C54" t="s">
        <v>1</v>
      </c>
      <c r="D54">
        <v>5046.21</v>
      </c>
      <c r="E54">
        <v>5064.5813900000003</v>
      </c>
      <c r="F54">
        <v>5055.85628</v>
      </c>
      <c r="G54">
        <v>5073.6743100000003</v>
      </c>
      <c r="H54">
        <v>5047.4093000000003</v>
      </c>
      <c r="J54">
        <v>1775143200</v>
      </c>
      <c r="K54" t="s">
        <v>0</v>
      </c>
      <c r="L54" t="s">
        <v>2</v>
      </c>
      <c r="M54">
        <v>4662.04</v>
      </c>
      <c r="N54">
        <v>4669.4333800000004</v>
      </c>
      <c r="O54">
        <v>4671.3559999999998</v>
      </c>
      <c r="P54">
        <v>4676.1981299999998</v>
      </c>
      <c r="Q54">
        <v>4665.0741500000004</v>
      </c>
    </row>
    <row r="55" spans="1:17" x14ac:dyDescent="0.55000000000000004">
      <c r="A55">
        <v>1770656400</v>
      </c>
      <c r="B55" t="s">
        <v>0</v>
      </c>
      <c r="C55" t="s">
        <v>1</v>
      </c>
      <c r="D55">
        <v>5062.79</v>
      </c>
      <c r="E55">
        <v>5068.1594999999998</v>
      </c>
      <c r="F55">
        <v>5062.0078899999999</v>
      </c>
      <c r="G55">
        <v>5079.3399900000004</v>
      </c>
      <c r="H55">
        <v>5052.3291799999997</v>
      </c>
      <c r="J55">
        <v>1775143500</v>
      </c>
      <c r="K55" t="s">
        <v>0</v>
      </c>
      <c r="L55" t="s">
        <v>2</v>
      </c>
      <c r="M55">
        <v>4672.5</v>
      </c>
      <c r="N55">
        <v>4668.8660399999999</v>
      </c>
      <c r="O55">
        <v>4670.1110200000003</v>
      </c>
      <c r="P55">
        <v>4674.6620599999997</v>
      </c>
      <c r="Q55">
        <v>4663.9517900000001</v>
      </c>
    </row>
    <row r="56" spans="1:17" x14ac:dyDescent="0.55000000000000004">
      <c r="A56">
        <v>1770660000</v>
      </c>
      <c r="B56" t="s">
        <v>0</v>
      </c>
      <c r="C56" t="s">
        <v>1</v>
      </c>
      <c r="D56">
        <v>5074.6099999999997</v>
      </c>
      <c r="E56">
        <v>5067.7583999999997</v>
      </c>
      <c r="F56">
        <v>5064.8831499999997</v>
      </c>
      <c r="G56">
        <v>5081.9361099999996</v>
      </c>
      <c r="H56">
        <v>5052.7717300000004</v>
      </c>
      <c r="J56">
        <v>1775143800</v>
      </c>
      <c r="K56" t="s">
        <v>0</v>
      </c>
      <c r="L56" t="s">
        <v>2</v>
      </c>
      <c r="M56">
        <v>4675.2</v>
      </c>
      <c r="N56">
        <v>4668.5552200000002</v>
      </c>
      <c r="O56">
        <v>4669.3331200000002</v>
      </c>
      <c r="P56">
        <v>4673.4511499999999</v>
      </c>
      <c r="Q56">
        <v>4663.2979299999997</v>
      </c>
    </row>
    <row r="57" spans="1:17" x14ac:dyDescent="0.55000000000000004">
      <c r="A57">
        <v>1770663600</v>
      </c>
      <c r="B57" t="s">
        <v>0</v>
      </c>
      <c r="C57" t="s">
        <v>1</v>
      </c>
      <c r="D57">
        <v>5079.41</v>
      </c>
      <c r="E57">
        <v>5063.3627800000004</v>
      </c>
      <c r="F57">
        <v>5064.1229599999997</v>
      </c>
      <c r="G57">
        <v>5080.8790399999998</v>
      </c>
      <c r="H57">
        <v>5048.4137300000002</v>
      </c>
      <c r="J57">
        <v>1775144100</v>
      </c>
      <c r="K57" t="s">
        <v>0</v>
      </c>
      <c r="L57" t="s">
        <v>2</v>
      </c>
      <c r="M57">
        <v>4670.34</v>
      </c>
      <c r="N57">
        <v>4668.0051899999999</v>
      </c>
      <c r="O57">
        <v>4668.6691499999997</v>
      </c>
      <c r="P57">
        <v>4672.3166300000003</v>
      </c>
      <c r="Q57">
        <v>4662.55969</v>
      </c>
    </row>
    <row r="58" spans="1:17" x14ac:dyDescent="0.55000000000000004">
      <c r="A58">
        <v>1770667200</v>
      </c>
      <c r="B58" t="s">
        <v>0</v>
      </c>
      <c r="C58" t="s">
        <v>1</v>
      </c>
      <c r="D58">
        <v>5058.49</v>
      </c>
      <c r="E58">
        <v>5055.6670400000003</v>
      </c>
      <c r="F58">
        <v>5059.8950000000004</v>
      </c>
      <c r="G58">
        <v>5076.2052700000004</v>
      </c>
      <c r="H58">
        <v>5039.9312499999996</v>
      </c>
      <c r="J58">
        <v>1775144400</v>
      </c>
      <c r="K58" t="s">
        <v>0</v>
      </c>
      <c r="L58" t="s">
        <v>2</v>
      </c>
      <c r="M58">
        <v>4666</v>
      </c>
      <c r="N58">
        <v>4666.9658200000003</v>
      </c>
      <c r="O58">
        <v>4667.8174900000004</v>
      </c>
      <c r="P58">
        <v>4670.9167900000002</v>
      </c>
      <c r="Q58">
        <v>4661.4008299999996</v>
      </c>
    </row>
    <row r="59" spans="1:17" x14ac:dyDescent="0.55000000000000004">
      <c r="A59">
        <v>1770674400</v>
      </c>
      <c r="B59" t="s">
        <v>0</v>
      </c>
      <c r="C59" t="s">
        <v>1</v>
      </c>
      <c r="D59">
        <v>5031.91</v>
      </c>
      <c r="E59">
        <v>5046.4958399999996</v>
      </c>
      <c r="F59">
        <v>5053.19542</v>
      </c>
      <c r="G59">
        <v>5068.6590699999997</v>
      </c>
      <c r="H59">
        <v>5029.6148700000003</v>
      </c>
      <c r="J59">
        <v>1775144700</v>
      </c>
      <c r="K59" t="s">
        <v>0</v>
      </c>
      <c r="L59" t="s">
        <v>2</v>
      </c>
      <c r="M59">
        <v>4659.1499999999996</v>
      </c>
      <c r="N59">
        <v>4665.3455999999996</v>
      </c>
      <c r="O59">
        <v>4666.5815499999999</v>
      </c>
      <c r="P59">
        <v>4669.2165699999996</v>
      </c>
      <c r="Q59">
        <v>4659.7411499999998</v>
      </c>
    </row>
    <row r="60" spans="1:17" x14ac:dyDescent="0.55000000000000004">
      <c r="A60">
        <v>1770678000</v>
      </c>
      <c r="B60" t="s">
        <v>0</v>
      </c>
      <c r="C60" t="s">
        <v>1</v>
      </c>
      <c r="D60">
        <v>5019.42</v>
      </c>
      <c r="E60">
        <v>5037.9624400000002</v>
      </c>
      <c r="F60">
        <v>5045.5789299999997</v>
      </c>
      <c r="G60">
        <v>5059.4665100000002</v>
      </c>
      <c r="H60">
        <v>5020.8527299999996</v>
      </c>
      <c r="J60">
        <v>1775145000</v>
      </c>
      <c r="K60" t="s">
        <v>0</v>
      </c>
      <c r="L60" t="s">
        <v>2</v>
      </c>
      <c r="M60">
        <v>4662.16</v>
      </c>
      <c r="N60">
        <v>4663.26865</v>
      </c>
      <c r="O60">
        <v>4664.9251000000004</v>
      </c>
      <c r="P60">
        <v>4667.2694099999999</v>
      </c>
      <c r="Q60">
        <v>4657.5996800000003</v>
      </c>
    </row>
    <row r="61" spans="1:17" x14ac:dyDescent="0.55000000000000004">
      <c r="A61">
        <v>1770681600</v>
      </c>
      <c r="B61" t="s">
        <v>0</v>
      </c>
      <c r="C61" t="s">
        <v>1</v>
      </c>
      <c r="D61">
        <v>5032.84</v>
      </c>
      <c r="E61">
        <v>5031.5491300000003</v>
      </c>
      <c r="F61">
        <v>5038.5640299999995</v>
      </c>
      <c r="G61">
        <v>5050.5604999999996</v>
      </c>
      <c r="H61">
        <v>5014.4400999999998</v>
      </c>
      <c r="J61">
        <v>1775145300</v>
      </c>
      <c r="K61" t="s">
        <v>0</v>
      </c>
      <c r="L61" t="s">
        <v>2</v>
      </c>
      <c r="M61">
        <v>4661.0600000000004</v>
      </c>
      <c r="N61">
        <v>4660.7842199999996</v>
      </c>
      <c r="O61">
        <v>4662.85466</v>
      </c>
      <c r="P61">
        <v>4665.2316899999996</v>
      </c>
      <c r="Q61">
        <v>4655.2180600000002</v>
      </c>
    </row>
    <row r="62" spans="1:17" x14ac:dyDescent="0.55000000000000004">
      <c r="A62">
        <v>1770685200</v>
      </c>
      <c r="B62" t="s">
        <v>0</v>
      </c>
      <c r="C62" t="s">
        <v>1</v>
      </c>
      <c r="D62">
        <v>5038.37</v>
      </c>
      <c r="E62">
        <v>5027.5463</v>
      </c>
      <c r="F62">
        <v>5033.0551699999996</v>
      </c>
      <c r="G62">
        <v>5043.3403900000003</v>
      </c>
      <c r="H62">
        <v>5010.9778200000001</v>
      </c>
      <c r="J62">
        <v>1775145600</v>
      </c>
      <c r="K62" t="s">
        <v>0</v>
      </c>
      <c r="L62" t="s">
        <v>2</v>
      </c>
      <c r="M62">
        <v>4661.82</v>
      </c>
      <c r="N62">
        <v>4658.1377499999999</v>
      </c>
      <c r="O62">
        <v>4660.4962100000002</v>
      </c>
      <c r="P62">
        <v>4663.2183999999997</v>
      </c>
      <c r="Q62">
        <v>4652.7929899999999</v>
      </c>
    </row>
    <row r="63" spans="1:17" x14ac:dyDescent="0.55000000000000004">
      <c r="A63">
        <v>1770688800</v>
      </c>
      <c r="B63" t="s">
        <v>0</v>
      </c>
      <c r="C63" t="s">
        <v>1</v>
      </c>
      <c r="D63">
        <v>5030.1099999999997</v>
      </c>
      <c r="E63">
        <v>5026.0272299999997</v>
      </c>
      <c r="F63">
        <v>5029.5411999999997</v>
      </c>
      <c r="G63">
        <v>5038.1843699999999</v>
      </c>
      <c r="H63">
        <v>5010.1562999999996</v>
      </c>
      <c r="J63">
        <v>1775145900</v>
      </c>
      <c r="K63" t="s">
        <v>0</v>
      </c>
      <c r="L63" t="s">
        <v>2</v>
      </c>
      <c r="M63">
        <v>4658.07</v>
      </c>
      <c r="N63">
        <v>4655.6156799999999</v>
      </c>
      <c r="O63">
        <v>4658.0559400000002</v>
      </c>
      <c r="P63">
        <v>4661.3148600000004</v>
      </c>
      <c r="Q63">
        <v>4650.4533099999999</v>
      </c>
    </row>
    <row r="64" spans="1:17" x14ac:dyDescent="0.55000000000000004">
      <c r="A64">
        <v>1770692400</v>
      </c>
      <c r="B64" t="s">
        <v>0</v>
      </c>
      <c r="C64" t="s">
        <v>1</v>
      </c>
      <c r="D64">
        <v>5031.5</v>
      </c>
      <c r="E64">
        <v>5027.0743300000004</v>
      </c>
      <c r="F64">
        <v>5028.3077599999997</v>
      </c>
      <c r="G64">
        <v>5036.0469300000004</v>
      </c>
      <c r="H64">
        <v>5012.1393200000002</v>
      </c>
      <c r="J64">
        <v>1775146200</v>
      </c>
      <c r="K64" t="s">
        <v>0</v>
      </c>
      <c r="L64" t="s">
        <v>2</v>
      </c>
      <c r="M64">
        <v>4654.93</v>
      </c>
      <c r="N64">
        <v>4653.6525600000004</v>
      </c>
      <c r="O64">
        <v>4655.8542500000003</v>
      </c>
      <c r="P64">
        <v>4659.8492999999999</v>
      </c>
      <c r="Q64">
        <v>4648.7909200000004</v>
      </c>
    </row>
    <row r="65" spans="1:17" x14ac:dyDescent="0.55000000000000004">
      <c r="A65">
        <v>1770696000</v>
      </c>
      <c r="B65" t="s">
        <v>0</v>
      </c>
      <c r="C65" t="s">
        <v>1</v>
      </c>
      <c r="D65">
        <v>5039.74</v>
      </c>
      <c r="E65">
        <v>5030.1993700000003</v>
      </c>
      <c r="F65">
        <v>5029.2535699999999</v>
      </c>
      <c r="G65">
        <v>5037.1177799999996</v>
      </c>
      <c r="H65">
        <v>5016.2927900000004</v>
      </c>
      <c r="J65">
        <v>1775146500</v>
      </c>
      <c r="K65" t="s">
        <v>0</v>
      </c>
      <c r="L65" t="s">
        <v>2</v>
      </c>
      <c r="M65">
        <v>4646.49</v>
      </c>
      <c r="N65">
        <v>4652.5617700000003</v>
      </c>
      <c r="O65">
        <v>4654.2080100000003</v>
      </c>
      <c r="P65">
        <v>4659.1783599999999</v>
      </c>
      <c r="Q65">
        <v>4647.9756600000001</v>
      </c>
    </row>
    <row r="66" spans="1:17" x14ac:dyDescent="0.55000000000000004">
      <c r="A66">
        <v>1770699600</v>
      </c>
      <c r="B66" t="s">
        <v>0</v>
      </c>
      <c r="C66" t="s">
        <v>1</v>
      </c>
      <c r="D66">
        <v>5024.2</v>
      </c>
      <c r="E66">
        <v>5034.4970999999996</v>
      </c>
      <c r="F66">
        <v>5031.8753399999996</v>
      </c>
      <c r="G66">
        <v>5040.8222100000003</v>
      </c>
      <c r="H66">
        <v>5021.9188000000004</v>
      </c>
      <c r="J66">
        <v>1775146800</v>
      </c>
      <c r="K66" t="s">
        <v>0</v>
      </c>
      <c r="L66" t="s">
        <v>2</v>
      </c>
      <c r="M66">
        <v>4651.4799999999996</v>
      </c>
      <c r="N66">
        <v>4652.6239599999999</v>
      </c>
      <c r="O66">
        <v>4653.4159900000004</v>
      </c>
      <c r="P66">
        <v>4659.3595400000004</v>
      </c>
      <c r="Q66">
        <v>4648.2082099999998</v>
      </c>
    </row>
    <row r="67" spans="1:17" x14ac:dyDescent="0.55000000000000004">
      <c r="A67">
        <v>1770703200</v>
      </c>
      <c r="B67" t="s">
        <v>0</v>
      </c>
      <c r="C67" t="s">
        <v>1</v>
      </c>
      <c r="D67">
        <v>5033.97</v>
      </c>
      <c r="E67">
        <v>5039.4751900000001</v>
      </c>
      <c r="F67">
        <v>5035.67526</v>
      </c>
      <c r="G67">
        <v>5046.1881199999998</v>
      </c>
      <c r="H67">
        <v>5027.7608499999997</v>
      </c>
      <c r="J67">
        <v>1775147100</v>
      </c>
      <c r="K67" t="s">
        <v>0</v>
      </c>
      <c r="L67" t="s">
        <v>2</v>
      </c>
      <c r="M67">
        <v>4650.75</v>
      </c>
      <c r="N67">
        <v>4653.6658200000002</v>
      </c>
      <c r="O67">
        <v>4653.5409</v>
      </c>
      <c r="P67">
        <v>4660.3495300000004</v>
      </c>
      <c r="Q67">
        <v>4649.49269</v>
      </c>
    </row>
    <row r="68" spans="1:17" x14ac:dyDescent="0.55000000000000004">
      <c r="A68">
        <v>1770706800</v>
      </c>
      <c r="B68" t="s">
        <v>0</v>
      </c>
      <c r="C68" t="s">
        <v>1</v>
      </c>
      <c r="D68">
        <v>5041.88</v>
      </c>
      <c r="E68">
        <v>5044.0432600000004</v>
      </c>
      <c r="F68">
        <v>5039.8592600000002</v>
      </c>
      <c r="G68">
        <v>5052.4642899999999</v>
      </c>
      <c r="H68">
        <v>5032.7108500000004</v>
      </c>
      <c r="J68">
        <v>1775147400</v>
      </c>
      <c r="K68" t="s">
        <v>0</v>
      </c>
      <c r="L68" t="s">
        <v>2</v>
      </c>
      <c r="M68">
        <v>4658.29</v>
      </c>
      <c r="N68">
        <v>4655.5101000000004</v>
      </c>
      <c r="O68">
        <v>4654.5254999999997</v>
      </c>
      <c r="P68">
        <v>4661.9625999999998</v>
      </c>
      <c r="Q68">
        <v>4651.4599500000004</v>
      </c>
    </row>
    <row r="69" spans="1:17" x14ac:dyDescent="0.55000000000000004">
      <c r="A69">
        <v>1770710400</v>
      </c>
      <c r="B69" t="s">
        <v>0</v>
      </c>
      <c r="C69" t="s">
        <v>1</v>
      </c>
      <c r="D69">
        <v>5046.74</v>
      </c>
      <c r="E69">
        <v>5047.2758299999996</v>
      </c>
      <c r="F69">
        <v>5043.5675499999998</v>
      </c>
      <c r="G69">
        <v>5058.0866500000002</v>
      </c>
      <c r="H69">
        <v>5035.6991699999999</v>
      </c>
      <c r="J69">
        <v>1775147700</v>
      </c>
      <c r="K69" t="s">
        <v>0</v>
      </c>
      <c r="L69" t="s">
        <v>2</v>
      </c>
      <c r="M69">
        <v>4663.9799999999996</v>
      </c>
      <c r="N69">
        <v>4657.6951799999997</v>
      </c>
      <c r="O69">
        <v>4656.1103400000002</v>
      </c>
      <c r="P69">
        <v>4663.7835999999998</v>
      </c>
      <c r="Q69">
        <v>4653.8362699999998</v>
      </c>
    </row>
    <row r="70" spans="1:17" x14ac:dyDescent="0.55000000000000004">
      <c r="A70">
        <v>1770714000</v>
      </c>
      <c r="B70" t="s">
        <v>0</v>
      </c>
      <c r="C70" t="s">
        <v>1</v>
      </c>
      <c r="D70">
        <v>5046.91</v>
      </c>
      <c r="E70">
        <v>5048.4224100000001</v>
      </c>
      <c r="F70">
        <v>5045.9949800000004</v>
      </c>
      <c r="G70">
        <v>5061.93941</v>
      </c>
      <c r="H70">
        <v>5035.93462</v>
      </c>
      <c r="J70">
        <v>1775148000</v>
      </c>
      <c r="K70" t="s">
        <v>0</v>
      </c>
      <c r="L70" t="s">
        <v>2</v>
      </c>
      <c r="M70">
        <v>4658.8999999999996</v>
      </c>
      <c r="N70">
        <v>4659.7843700000003</v>
      </c>
      <c r="O70">
        <v>4657.9473600000001</v>
      </c>
      <c r="P70">
        <v>4665.4598999999998</v>
      </c>
      <c r="Q70">
        <v>4656.1348900000003</v>
      </c>
    </row>
    <row r="71" spans="1:17" x14ac:dyDescent="0.55000000000000004">
      <c r="A71">
        <v>1770717600</v>
      </c>
      <c r="B71" t="s">
        <v>0</v>
      </c>
      <c r="C71" t="s">
        <v>1</v>
      </c>
      <c r="D71">
        <v>5056.0600000000004</v>
      </c>
      <c r="E71">
        <v>5047.2500300000002</v>
      </c>
      <c r="F71">
        <v>5046.6225000000004</v>
      </c>
      <c r="G71">
        <v>5063.4569000000001</v>
      </c>
      <c r="H71">
        <v>5033.4346599999999</v>
      </c>
      <c r="J71">
        <v>1775148300</v>
      </c>
      <c r="K71" t="s">
        <v>0</v>
      </c>
      <c r="L71" t="s">
        <v>2</v>
      </c>
      <c r="M71">
        <v>4660.3500000000004</v>
      </c>
      <c r="N71">
        <v>4661.6768700000002</v>
      </c>
      <c r="O71">
        <v>4659.8121099999998</v>
      </c>
      <c r="P71">
        <v>4666.7413100000003</v>
      </c>
      <c r="Q71">
        <v>4658.0846000000001</v>
      </c>
    </row>
    <row r="72" spans="1:17" x14ac:dyDescent="0.55000000000000004">
      <c r="A72">
        <v>1770721200</v>
      </c>
      <c r="B72" t="s">
        <v>0</v>
      </c>
      <c r="C72" t="s">
        <v>1</v>
      </c>
      <c r="D72">
        <v>5032.3</v>
      </c>
      <c r="E72">
        <v>5043.74773</v>
      </c>
      <c r="F72">
        <v>5045.1851200000001</v>
      </c>
      <c r="G72">
        <v>5062.4311100000004</v>
      </c>
      <c r="H72">
        <v>5028.5209599999998</v>
      </c>
      <c r="J72">
        <v>1775148600</v>
      </c>
      <c r="K72" t="s">
        <v>0</v>
      </c>
      <c r="L72" t="s">
        <v>2</v>
      </c>
      <c r="M72">
        <v>4664.3</v>
      </c>
      <c r="N72">
        <v>4663.1294099999996</v>
      </c>
      <c r="O72">
        <v>4661.4707600000002</v>
      </c>
      <c r="P72">
        <v>4667.6842900000001</v>
      </c>
      <c r="Q72">
        <v>4659.5505000000003</v>
      </c>
    </row>
    <row r="73" spans="1:17" x14ac:dyDescent="0.55000000000000004">
      <c r="A73">
        <v>1770724800</v>
      </c>
      <c r="B73" t="s">
        <v>0</v>
      </c>
      <c r="C73" t="s">
        <v>1</v>
      </c>
      <c r="D73">
        <v>5050.9799999999996</v>
      </c>
      <c r="E73">
        <v>5039.0809300000001</v>
      </c>
      <c r="F73">
        <v>5042.1330200000002</v>
      </c>
      <c r="G73">
        <v>5059.0151599999999</v>
      </c>
      <c r="H73">
        <v>5022.7356499999996</v>
      </c>
      <c r="J73">
        <v>1775148900</v>
      </c>
      <c r="K73" t="s">
        <v>0</v>
      </c>
      <c r="L73" t="s">
        <v>2</v>
      </c>
      <c r="M73">
        <v>4659.3100000000004</v>
      </c>
      <c r="N73">
        <v>4663.89066</v>
      </c>
      <c r="O73">
        <v>4662.6807099999996</v>
      </c>
      <c r="P73">
        <v>4667.9943999999996</v>
      </c>
      <c r="Q73">
        <v>4660.3499899999997</v>
      </c>
    </row>
    <row r="74" spans="1:17" x14ac:dyDescent="0.55000000000000004">
      <c r="A74">
        <v>1770728400</v>
      </c>
      <c r="B74" t="s">
        <v>0</v>
      </c>
      <c r="C74" t="s">
        <v>1</v>
      </c>
      <c r="D74">
        <v>5039.54</v>
      </c>
      <c r="E74">
        <v>5033.4720900000002</v>
      </c>
      <c r="F74">
        <v>5037.8025600000001</v>
      </c>
      <c r="G74">
        <v>5053.7510000000002</v>
      </c>
      <c r="H74">
        <v>5016.88706</v>
      </c>
      <c r="J74">
        <v>1775149200</v>
      </c>
      <c r="K74" t="s">
        <v>0</v>
      </c>
      <c r="L74" t="s">
        <v>2</v>
      </c>
      <c r="M74">
        <v>4663.75</v>
      </c>
      <c r="N74">
        <v>4664.0563400000001</v>
      </c>
      <c r="O74">
        <v>4663.3685299999997</v>
      </c>
      <c r="P74">
        <v>4667.8017399999999</v>
      </c>
      <c r="Q74">
        <v>4660.4375700000001</v>
      </c>
    </row>
    <row r="75" spans="1:17" x14ac:dyDescent="0.55000000000000004">
      <c r="A75">
        <v>1770732000</v>
      </c>
      <c r="B75" t="s">
        <v>0</v>
      </c>
      <c r="C75" t="s">
        <v>1</v>
      </c>
      <c r="D75">
        <v>5019.72</v>
      </c>
      <c r="E75">
        <v>5028.1294200000002</v>
      </c>
      <c r="F75">
        <v>5032.9659899999997</v>
      </c>
      <c r="G75">
        <v>5047.0471399999997</v>
      </c>
      <c r="H75">
        <v>5012.0659900000001</v>
      </c>
      <c r="J75">
        <v>1775149500</v>
      </c>
      <c r="K75" t="s">
        <v>0</v>
      </c>
      <c r="L75" t="s">
        <v>2</v>
      </c>
      <c r="M75">
        <v>4662.91</v>
      </c>
      <c r="N75">
        <v>4663.5222599999997</v>
      </c>
      <c r="O75">
        <v>4663.4453899999999</v>
      </c>
      <c r="P75">
        <v>4667.13825</v>
      </c>
      <c r="Q75">
        <v>4659.8991100000003</v>
      </c>
    </row>
    <row r="76" spans="1:17" x14ac:dyDescent="0.55000000000000004">
      <c r="A76">
        <v>1770735600</v>
      </c>
      <c r="B76" t="s">
        <v>0</v>
      </c>
      <c r="C76" t="s">
        <v>1</v>
      </c>
      <c r="D76">
        <v>5023.79</v>
      </c>
      <c r="E76">
        <v>5024.3531400000002</v>
      </c>
      <c r="F76">
        <v>5028.6595600000001</v>
      </c>
      <c r="G76">
        <v>5040.7523700000002</v>
      </c>
      <c r="H76">
        <v>5009.4784200000004</v>
      </c>
      <c r="J76">
        <v>1775149800</v>
      </c>
      <c r="K76" t="s">
        <v>0</v>
      </c>
      <c r="L76" t="s">
        <v>2</v>
      </c>
      <c r="M76">
        <v>4663.9799999999996</v>
      </c>
      <c r="N76">
        <v>4662.3518000000004</v>
      </c>
      <c r="O76">
        <v>4662.8986000000004</v>
      </c>
      <c r="P76">
        <v>4665.92155</v>
      </c>
      <c r="Q76">
        <v>4658.6838699999998</v>
      </c>
    </row>
    <row r="77" spans="1:17" x14ac:dyDescent="0.55000000000000004">
      <c r="A77">
        <v>1770739200</v>
      </c>
      <c r="B77" t="s">
        <v>0</v>
      </c>
      <c r="C77" t="s">
        <v>1</v>
      </c>
      <c r="D77">
        <v>5026.18</v>
      </c>
      <c r="E77">
        <v>5022.4897600000004</v>
      </c>
      <c r="F77">
        <v>5025.5746600000002</v>
      </c>
      <c r="G77">
        <v>5036.4222099999997</v>
      </c>
      <c r="H77">
        <v>5009.0373399999999</v>
      </c>
      <c r="J77">
        <v>1775150100</v>
      </c>
      <c r="K77" t="s">
        <v>0</v>
      </c>
      <c r="L77" t="s">
        <v>2</v>
      </c>
      <c r="M77">
        <v>4662.1499999999996</v>
      </c>
      <c r="N77">
        <v>4660.6304799999998</v>
      </c>
      <c r="O77">
        <v>4661.7645400000001</v>
      </c>
      <c r="P77">
        <v>4664.3222800000003</v>
      </c>
      <c r="Q77">
        <v>4656.9564499999997</v>
      </c>
    </row>
    <row r="78" spans="1:17" x14ac:dyDescent="0.55000000000000004">
      <c r="A78">
        <v>1770742800</v>
      </c>
      <c r="B78" t="s">
        <v>0</v>
      </c>
      <c r="C78" t="s">
        <v>1</v>
      </c>
      <c r="D78">
        <v>5013.2700000000004</v>
      </c>
      <c r="E78">
        <v>5022.58464</v>
      </c>
      <c r="F78">
        <v>5024.0796499999997</v>
      </c>
      <c r="G78">
        <v>5034.3335699999998</v>
      </c>
      <c r="H78">
        <v>5010.0711700000002</v>
      </c>
      <c r="J78">
        <v>1775150400</v>
      </c>
      <c r="K78" t="s">
        <v>0</v>
      </c>
      <c r="L78" t="s">
        <v>2</v>
      </c>
      <c r="M78">
        <v>4663.71</v>
      </c>
      <c r="N78">
        <v>4658.5893999999998</v>
      </c>
      <c r="O78">
        <v>4660.1769700000004</v>
      </c>
      <c r="P78">
        <v>4662.42616</v>
      </c>
      <c r="Q78">
        <v>4654.8345799999997</v>
      </c>
    </row>
    <row r="79" spans="1:17" x14ac:dyDescent="0.55000000000000004">
      <c r="A79">
        <v>1770746400</v>
      </c>
      <c r="B79" t="s">
        <v>0</v>
      </c>
      <c r="C79" t="s">
        <v>1</v>
      </c>
      <c r="D79">
        <v>5028.03</v>
      </c>
      <c r="E79">
        <v>5024.7691699999996</v>
      </c>
      <c r="F79">
        <v>5024.4244099999996</v>
      </c>
      <c r="G79">
        <v>5034.8758200000002</v>
      </c>
      <c r="H79">
        <v>5012.5737499999996</v>
      </c>
      <c r="J79">
        <v>1775150700</v>
      </c>
      <c r="K79" t="s">
        <v>0</v>
      </c>
      <c r="L79" t="s">
        <v>2</v>
      </c>
      <c r="M79">
        <v>4651.84</v>
      </c>
      <c r="N79">
        <v>4656.3872799999999</v>
      </c>
      <c r="O79">
        <v>4658.2821199999998</v>
      </c>
      <c r="P79">
        <v>4660.3934099999997</v>
      </c>
      <c r="Q79">
        <v>4652.5450199999996</v>
      </c>
    </row>
    <row r="80" spans="1:17" x14ac:dyDescent="0.55000000000000004">
      <c r="A80">
        <v>1770750000</v>
      </c>
      <c r="B80" t="s">
        <v>0</v>
      </c>
      <c r="C80" t="s">
        <v>1</v>
      </c>
      <c r="D80">
        <v>5030.51</v>
      </c>
      <c r="E80">
        <v>5028.2573400000001</v>
      </c>
      <c r="F80">
        <v>5026.34087</v>
      </c>
      <c r="G80">
        <v>5037.6103000000003</v>
      </c>
      <c r="H80">
        <v>5016.0110100000002</v>
      </c>
      <c r="J80">
        <v>1775151000</v>
      </c>
      <c r="K80" t="s">
        <v>0</v>
      </c>
      <c r="L80" t="s">
        <v>2</v>
      </c>
      <c r="M80">
        <v>4651.88</v>
      </c>
      <c r="N80">
        <v>4654.5321800000002</v>
      </c>
      <c r="O80">
        <v>4656.40715</v>
      </c>
      <c r="P80">
        <v>4658.4268400000001</v>
      </c>
      <c r="Q80">
        <v>4650.5092699999996</v>
      </c>
    </row>
    <row r="81" spans="1:17" x14ac:dyDescent="0.55000000000000004">
      <c r="A81">
        <v>1770753600</v>
      </c>
      <c r="B81" t="s">
        <v>0</v>
      </c>
      <c r="C81" t="s">
        <v>1</v>
      </c>
      <c r="D81">
        <v>5025.3500000000004</v>
      </c>
      <c r="E81">
        <v>5032.51919</v>
      </c>
      <c r="F81">
        <v>5029.4300300000004</v>
      </c>
      <c r="G81">
        <v>5041.48783</v>
      </c>
      <c r="H81">
        <v>5019.8088900000002</v>
      </c>
      <c r="J81">
        <v>1775151300</v>
      </c>
      <c r="K81" t="s">
        <v>0</v>
      </c>
      <c r="L81" t="s">
        <v>2</v>
      </c>
      <c r="M81">
        <v>4653.6099999999997</v>
      </c>
      <c r="N81">
        <v>4653.1576500000001</v>
      </c>
      <c r="O81">
        <v>4654.7824000000001</v>
      </c>
      <c r="P81">
        <v>4656.9286300000003</v>
      </c>
      <c r="Q81">
        <v>4649.0515699999996</v>
      </c>
    </row>
    <row r="82" spans="1:17" x14ac:dyDescent="0.55000000000000004">
      <c r="A82">
        <v>1770760800</v>
      </c>
      <c r="B82" t="s">
        <v>0</v>
      </c>
      <c r="C82" t="s">
        <v>1</v>
      </c>
      <c r="D82">
        <v>5041.83</v>
      </c>
      <c r="E82">
        <v>5037.2126799999996</v>
      </c>
      <c r="F82">
        <v>5033.3213599999999</v>
      </c>
      <c r="G82">
        <v>5046.0259999999998</v>
      </c>
      <c r="H82">
        <v>5023.8264399999998</v>
      </c>
      <c r="J82">
        <v>1775151600</v>
      </c>
      <c r="K82" t="s">
        <v>0</v>
      </c>
      <c r="L82" t="s">
        <v>2</v>
      </c>
      <c r="M82">
        <v>4658.13</v>
      </c>
      <c r="N82">
        <v>4652.2639600000002</v>
      </c>
      <c r="O82">
        <v>4653.5231800000001</v>
      </c>
      <c r="P82">
        <v>4655.97865</v>
      </c>
      <c r="Q82">
        <v>4648.2206800000004</v>
      </c>
    </row>
    <row r="83" spans="1:17" x14ac:dyDescent="0.55000000000000004">
      <c r="A83">
        <v>1770764400</v>
      </c>
      <c r="B83" t="s">
        <v>0</v>
      </c>
      <c r="C83" t="s">
        <v>1</v>
      </c>
      <c r="D83">
        <v>5037.96</v>
      </c>
      <c r="E83">
        <v>5041.5463799999998</v>
      </c>
      <c r="F83">
        <v>5037.4338699999998</v>
      </c>
      <c r="G83">
        <v>5049.9983199999997</v>
      </c>
      <c r="H83">
        <v>5027.9030599999996</v>
      </c>
      <c r="J83">
        <v>1775151900</v>
      </c>
      <c r="K83" t="s">
        <v>0</v>
      </c>
      <c r="L83" t="s">
        <v>2</v>
      </c>
      <c r="M83">
        <v>4647.29</v>
      </c>
      <c r="N83">
        <v>4651.6855699999996</v>
      </c>
      <c r="O83">
        <v>4652.60437</v>
      </c>
      <c r="P83">
        <v>4655.4298900000003</v>
      </c>
      <c r="Q83">
        <v>4647.9004199999999</v>
      </c>
    </row>
    <row r="84" spans="1:17" x14ac:dyDescent="0.55000000000000004">
      <c r="A84">
        <v>1770768000</v>
      </c>
      <c r="B84" t="s">
        <v>0</v>
      </c>
      <c r="C84" t="s">
        <v>1</v>
      </c>
      <c r="D84">
        <v>5052.47</v>
      </c>
      <c r="E84">
        <v>5045.4405500000003</v>
      </c>
      <c r="F84">
        <v>5041.4372100000001</v>
      </c>
      <c r="G84">
        <v>5053.1981699999997</v>
      </c>
      <c r="H84">
        <v>5032.0471399999997</v>
      </c>
      <c r="J84">
        <v>1775152200</v>
      </c>
      <c r="K84" t="s">
        <v>0</v>
      </c>
      <c r="L84" t="s">
        <v>2</v>
      </c>
      <c r="M84">
        <v>4650.38</v>
      </c>
      <c r="N84">
        <v>4651.5974399999996</v>
      </c>
      <c r="O84">
        <v>4652.1009100000001</v>
      </c>
      <c r="P84">
        <v>4655.1611599999997</v>
      </c>
      <c r="Q84">
        <v>4648.1356800000003</v>
      </c>
    </row>
    <row r="85" spans="1:17" x14ac:dyDescent="0.55000000000000004">
      <c r="A85">
        <v>1770771600</v>
      </c>
      <c r="B85" t="s">
        <v>0</v>
      </c>
      <c r="C85" t="s">
        <v>1</v>
      </c>
      <c r="D85">
        <v>5054.34</v>
      </c>
      <c r="E85">
        <v>5048.5800600000002</v>
      </c>
      <c r="F85">
        <v>5045.0086300000003</v>
      </c>
      <c r="G85">
        <v>5055.6084199999996</v>
      </c>
      <c r="H85">
        <v>5036.3022700000001</v>
      </c>
      <c r="J85">
        <v>1775152500</v>
      </c>
      <c r="K85" t="s">
        <v>0</v>
      </c>
      <c r="L85" t="s">
        <v>2</v>
      </c>
      <c r="M85">
        <v>4648.8100000000004</v>
      </c>
      <c r="N85">
        <v>4651.78503</v>
      </c>
      <c r="O85">
        <v>4651.9429700000001</v>
      </c>
      <c r="P85">
        <v>4655.2239099999997</v>
      </c>
      <c r="Q85">
        <v>4648.7755800000004</v>
      </c>
    </row>
    <row r="86" spans="1:17" x14ac:dyDescent="0.55000000000000004">
      <c r="A86">
        <v>1770775200</v>
      </c>
      <c r="B86" t="s">
        <v>0</v>
      </c>
      <c r="C86" t="s">
        <v>1</v>
      </c>
      <c r="D86">
        <v>5054.33</v>
      </c>
      <c r="E86">
        <v>5051.1116700000002</v>
      </c>
      <c r="F86">
        <v>5048.0601500000002</v>
      </c>
      <c r="G86">
        <v>5057.5376699999997</v>
      </c>
      <c r="H86">
        <v>5040.5798800000002</v>
      </c>
      <c r="J86">
        <v>1775152800</v>
      </c>
      <c r="K86" t="s">
        <v>0</v>
      </c>
      <c r="L86" t="s">
        <v>2</v>
      </c>
      <c r="M86">
        <v>4653.29</v>
      </c>
      <c r="N86">
        <v>4652.1148599999997</v>
      </c>
      <c r="O86">
        <v>4652.0289199999997</v>
      </c>
      <c r="P86">
        <v>4655.4402399999999</v>
      </c>
      <c r="Q86">
        <v>4649.5669500000004</v>
      </c>
    </row>
    <row r="87" spans="1:17" x14ac:dyDescent="0.55000000000000004">
      <c r="A87">
        <v>1770778800</v>
      </c>
      <c r="B87" t="s">
        <v>0</v>
      </c>
      <c r="C87" t="s">
        <v>1</v>
      </c>
      <c r="D87">
        <v>5046.32</v>
      </c>
      <c r="E87">
        <v>5053.4194900000002</v>
      </c>
      <c r="F87">
        <v>5050.7398199999998</v>
      </c>
      <c r="G87">
        <v>5059.5215799999996</v>
      </c>
      <c r="H87">
        <v>5044.4438300000002</v>
      </c>
      <c r="J87">
        <v>1775153100</v>
      </c>
      <c r="K87" t="s">
        <v>0</v>
      </c>
      <c r="L87" t="s">
        <v>2</v>
      </c>
      <c r="M87">
        <v>4656.04</v>
      </c>
      <c r="N87">
        <v>4652.3671299999996</v>
      </c>
      <c r="O87">
        <v>4652.1980199999998</v>
      </c>
      <c r="P87">
        <v>4655.6647499999999</v>
      </c>
      <c r="Q87">
        <v>4650.2981</v>
      </c>
    </row>
    <row r="88" spans="1:17" x14ac:dyDescent="0.55000000000000004">
      <c r="A88">
        <v>1770782400</v>
      </c>
      <c r="B88" t="s">
        <v>0</v>
      </c>
      <c r="C88" t="s">
        <v>1</v>
      </c>
      <c r="D88">
        <v>5052.3900000000003</v>
      </c>
      <c r="E88">
        <v>5056.1349600000003</v>
      </c>
      <c r="F88">
        <v>5053.4373900000001</v>
      </c>
      <c r="G88">
        <v>5062.2456499999998</v>
      </c>
      <c r="H88">
        <v>5047.7443899999998</v>
      </c>
      <c r="J88">
        <v>1775153400</v>
      </c>
      <c r="K88" t="s">
        <v>0</v>
      </c>
      <c r="L88" t="s">
        <v>2</v>
      </c>
      <c r="M88">
        <v>4653.49</v>
      </c>
      <c r="N88">
        <v>4652.4976800000004</v>
      </c>
      <c r="O88">
        <v>4652.3478500000001</v>
      </c>
      <c r="P88">
        <v>4655.73092</v>
      </c>
      <c r="Q88">
        <v>4650.7403199999999</v>
      </c>
    </row>
    <row r="89" spans="1:17" x14ac:dyDescent="0.55000000000000004">
      <c r="A89">
        <v>1770786000</v>
      </c>
      <c r="B89" t="s">
        <v>0</v>
      </c>
      <c r="C89" t="s">
        <v>1</v>
      </c>
      <c r="D89">
        <v>5064.1899999999996</v>
      </c>
      <c r="E89">
        <v>5059.4502000000002</v>
      </c>
      <c r="F89">
        <v>5056.4438</v>
      </c>
      <c r="G89">
        <v>5066.0747799999999</v>
      </c>
      <c r="H89">
        <v>5050.4677600000005</v>
      </c>
      <c r="J89">
        <v>1775153700</v>
      </c>
      <c r="K89" t="s">
        <v>0</v>
      </c>
      <c r="L89" t="s">
        <v>2</v>
      </c>
      <c r="M89">
        <v>4653.8999999999996</v>
      </c>
      <c r="N89">
        <v>4652.7302499999996</v>
      </c>
      <c r="O89">
        <v>4652.5390500000003</v>
      </c>
      <c r="P89">
        <v>4655.75</v>
      </c>
      <c r="Q89">
        <v>4650.9544299999998</v>
      </c>
    </row>
    <row r="90" spans="1:17" x14ac:dyDescent="0.55000000000000004">
      <c r="A90">
        <v>1770789600</v>
      </c>
      <c r="B90" t="s">
        <v>0</v>
      </c>
      <c r="C90" t="s">
        <v>1</v>
      </c>
      <c r="D90">
        <v>5055.5600000000004</v>
      </c>
      <c r="E90">
        <v>5063.1543700000002</v>
      </c>
      <c r="F90">
        <v>5059.7990799999998</v>
      </c>
      <c r="G90">
        <v>5071.15751</v>
      </c>
      <c r="H90">
        <v>5052.3773600000004</v>
      </c>
      <c r="J90">
        <v>1775154000</v>
      </c>
      <c r="K90" t="s">
        <v>0</v>
      </c>
      <c r="L90" t="s">
        <v>2</v>
      </c>
      <c r="M90">
        <v>4651.99</v>
      </c>
      <c r="N90">
        <v>4653.2952100000002</v>
      </c>
      <c r="O90">
        <v>4652.9171299999998</v>
      </c>
      <c r="P90">
        <v>4656.0099399999999</v>
      </c>
      <c r="Q90">
        <v>4651.1726099999996</v>
      </c>
    </row>
    <row r="91" spans="1:17" x14ac:dyDescent="0.55000000000000004">
      <c r="A91">
        <v>1770793200</v>
      </c>
      <c r="B91" t="s">
        <v>0</v>
      </c>
      <c r="C91" t="s">
        <v>1</v>
      </c>
      <c r="D91">
        <v>5053.79</v>
      </c>
      <c r="E91">
        <v>5067.4610700000003</v>
      </c>
      <c r="F91">
        <v>5063.6300799999999</v>
      </c>
      <c r="G91">
        <v>5077.2502299999996</v>
      </c>
      <c r="H91">
        <v>5053.3043200000002</v>
      </c>
      <c r="J91">
        <v>1775154300</v>
      </c>
      <c r="K91" t="s">
        <v>0</v>
      </c>
      <c r="L91" t="s">
        <v>2</v>
      </c>
      <c r="M91">
        <v>4651.4399999999996</v>
      </c>
      <c r="N91">
        <v>4654.4870199999996</v>
      </c>
      <c r="O91">
        <v>4653.70208</v>
      </c>
      <c r="P91">
        <v>4656.7803400000003</v>
      </c>
      <c r="Q91">
        <v>4651.7001700000001</v>
      </c>
    </row>
    <row r="92" spans="1:17" x14ac:dyDescent="0.55000000000000004">
      <c r="A92">
        <v>1770796800</v>
      </c>
      <c r="B92" t="s">
        <v>0</v>
      </c>
      <c r="C92" t="s">
        <v>1</v>
      </c>
      <c r="D92">
        <v>5062.76</v>
      </c>
      <c r="E92">
        <v>5072.0449399999998</v>
      </c>
      <c r="F92">
        <v>5067.8375100000003</v>
      </c>
      <c r="G92">
        <v>5084.0751499999997</v>
      </c>
      <c r="H92">
        <v>5053.21738</v>
      </c>
      <c r="J92">
        <v>1775154600</v>
      </c>
      <c r="K92" t="s">
        <v>0</v>
      </c>
      <c r="L92" t="s">
        <v>2</v>
      </c>
      <c r="M92">
        <v>4658.95</v>
      </c>
      <c r="N92">
        <v>4656.4993599999998</v>
      </c>
      <c r="O92">
        <v>4655.1007200000004</v>
      </c>
      <c r="P92">
        <v>4658.3717999999999</v>
      </c>
      <c r="Q92">
        <v>4652.8678399999999</v>
      </c>
    </row>
    <row r="93" spans="1:17" x14ac:dyDescent="0.55000000000000004">
      <c r="A93">
        <v>1770800400</v>
      </c>
      <c r="B93" t="s">
        <v>0</v>
      </c>
      <c r="C93" t="s">
        <v>1</v>
      </c>
      <c r="D93">
        <v>5092.97</v>
      </c>
      <c r="E93">
        <v>5076.3302899999999</v>
      </c>
      <c r="F93">
        <v>5072.0838999999996</v>
      </c>
      <c r="G93">
        <v>5090.5782499999996</v>
      </c>
      <c r="H93">
        <v>5052.3088100000004</v>
      </c>
      <c r="J93">
        <v>1775154900</v>
      </c>
      <c r="K93" t="s">
        <v>0</v>
      </c>
      <c r="L93" t="s">
        <v>2</v>
      </c>
      <c r="M93">
        <v>4656.1400000000003</v>
      </c>
      <c r="N93">
        <v>4659.2308300000004</v>
      </c>
      <c r="O93">
        <v>4657.1657699999996</v>
      </c>
      <c r="P93">
        <v>4660.7737800000004</v>
      </c>
      <c r="Q93">
        <v>4654.8505500000001</v>
      </c>
    </row>
    <row r="94" spans="1:17" x14ac:dyDescent="0.55000000000000004">
      <c r="A94">
        <v>1770804000</v>
      </c>
      <c r="B94" t="s">
        <v>0</v>
      </c>
      <c r="C94" t="s">
        <v>1</v>
      </c>
      <c r="D94">
        <v>5111.7700000000004</v>
      </c>
      <c r="E94">
        <v>5078.9753199999996</v>
      </c>
      <c r="F94">
        <v>5075.5296099999996</v>
      </c>
      <c r="G94">
        <v>5095.43397</v>
      </c>
      <c r="H94">
        <v>5050.2911700000004</v>
      </c>
      <c r="J94">
        <v>1775155200</v>
      </c>
      <c r="K94" t="s">
        <v>0</v>
      </c>
      <c r="L94" t="s">
        <v>2</v>
      </c>
      <c r="M94">
        <v>4662.7299999999996</v>
      </c>
      <c r="N94">
        <v>4662.6220999999996</v>
      </c>
      <c r="O94">
        <v>4659.8939399999999</v>
      </c>
      <c r="P94">
        <v>4663.9699099999998</v>
      </c>
      <c r="Q94">
        <v>4657.5982999999997</v>
      </c>
    </row>
    <row r="95" spans="1:17" x14ac:dyDescent="0.55000000000000004">
      <c r="A95">
        <v>1770807600</v>
      </c>
      <c r="B95" t="s">
        <v>0</v>
      </c>
      <c r="C95" t="s">
        <v>1</v>
      </c>
      <c r="D95">
        <v>5083.8500000000004</v>
      </c>
      <c r="E95">
        <v>5079.2295400000003</v>
      </c>
      <c r="F95">
        <v>5077.3795799999998</v>
      </c>
      <c r="G95">
        <v>5097.8002200000001</v>
      </c>
      <c r="H95">
        <v>5047.1642899999997</v>
      </c>
      <c r="J95">
        <v>1775155500</v>
      </c>
      <c r="K95" t="s">
        <v>0</v>
      </c>
      <c r="L95" t="s">
        <v>2</v>
      </c>
      <c r="M95">
        <v>4669.2</v>
      </c>
      <c r="N95">
        <v>4666.2030999999997</v>
      </c>
      <c r="O95">
        <v>4663.0485200000003</v>
      </c>
      <c r="P95">
        <v>4667.6584499999999</v>
      </c>
      <c r="Q95">
        <v>4660.90985</v>
      </c>
    </row>
    <row r="96" spans="1:17" x14ac:dyDescent="0.55000000000000004">
      <c r="A96">
        <v>1770811200</v>
      </c>
      <c r="B96" t="s">
        <v>0</v>
      </c>
      <c r="C96" t="s">
        <v>1</v>
      </c>
      <c r="D96">
        <v>5066.3</v>
      </c>
      <c r="E96">
        <v>5078.1370100000004</v>
      </c>
      <c r="F96">
        <v>5077.7582899999998</v>
      </c>
      <c r="G96">
        <v>5097.5546199999999</v>
      </c>
      <c r="H96">
        <v>5044.6355000000003</v>
      </c>
      <c r="J96">
        <v>1775155800</v>
      </c>
      <c r="K96" t="s">
        <v>0</v>
      </c>
      <c r="L96" t="s">
        <v>2</v>
      </c>
      <c r="M96">
        <v>4668.3</v>
      </c>
      <c r="N96">
        <v>4669.4146300000002</v>
      </c>
      <c r="O96">
        <v>4666.2315699999999</v>
      </c>
      <c r="P96">
        <v>4671.3117599999996</v>
      </c>
      <c r="Q96">
        <v>4664.2521100000004</v>
      </c>
    </row>
    <row r="97" spans="1:17" x14ac:dyDescent="0.55000000000000004">
      <c r="A97">
        <v>1770814800</v>
      </c>
      <c r="B97" t="s">
        <v>0</v>
      </c>
      <c r="C97" t="s">
        <v>1</v>
      </c>
      <c r="D97">
        <v>5059.8</v>
      </c>
      <c r="E97">
        <v>5076.9088300000003</v>
      </c>
      <c r="F97">
        <v>5077.33356</v>
      </c>
      <c r="G97">
        <v>5095.8677200000002</v>
      </c>
      <c r="H97">
        <v>5044.4317099999998</v>
      </c>
      <c r="J97">
        <v>1775156100</v>
      </c>
      <c r="K97" t="s">
        <v>0</v>
      </c>
      <c r="L97" t="s">
        <v>2</v>
      </c>
      <c r="M97">
        <v>4668.54</v>
      </c>
      <c r="N97">
        <v>4671.8973100000003</v>
      </c>
      <c r="O97">
        <v>4669.0644400000001</v>
      </c>
      <c r="P97">
        <v>4674.4765699999998</v>
      </c>
      <c r="Q97">
        <v>4667.1619799999999</v>
      </c>
    </row>
    <row r="98" spans="1:17" x14ac:dyDescent="0.55000000000000004">
      <c r="A98">
        <v>1770818400</v>
      </c>
      <c r="B98" t="s">
        <v>0</v>
      </c>
      <c r="C98" t="s">
        <v>1</v>
      </c>
      <c r="D98">
        <v>5059.9799999999996</v>
      </c>
      <c r="E98">
        <v>5076.3112700000001</v>
      </c>
      <c r="F98">
        <v>5076.8224099999998</v>
      </c>
      <c r="G98">
        <v>5093.6347500000002</v>
      </c>
      <c r="H98">
        <v>5046.6251300000004</v>
      </c>
      <c r="J98">
        <v>1775156400</v>
      </c>
      <c r="K98" t="s">
        <v>0</v>
      </c>
      <c r="L98" t="s">
        <v>2</v>
      </c>
      <c r="M98">
        <v>4672.38</v>
      </c>
      <c r="N98">
        <v>4673.3915900000002</v>
      </c>
      <c r="O98">
        <v>4671.2280199999996</v>
      </c>
      <c r="P98">
        <v>4676.7465000000002</v>
      </c>
      <c r="Q98">
        <v>4669.1888099999996</v>
      </c>
    </row>
    <row r="99" spans="1:17" x14ac:dyDescent="0.55000000000000004">
      <c r="A99">
        <v>1770822000</v>
      </c>
      <c r="B99" t="s">
        <v>0</v>
      </c>
      <c r="C99" t="s">
        <v>1</v>
      </c>
      <c r="D99">
        <v>5075.3100000000004</v>
      </c>
      <c r="E99">
        <v>5076.6957000000002</v>
      </c>
      <c r="F99">
        <v>5076.7590600000003</v>
      </c>
      <c r="G99">
        <v>5091.5114899999999</v>
      </c>
      <c r="H99">
        <v>5051.1059599999999</v>
      </c>
      <c r="J99">
        <v>1775156700</v>
      </c>
      <c r="K99" t="s">
        <v>0</v>
      </c>
      <c r="L99" t="s">
        <v>2</v>
      </c>
      <c r="M99">
        <v>4679.6499999999996</v>
      </c>
      <c r="N99">
        <v>4673.7091399999999</v>
      </c>
      <c r="O99">
        <v>4672.4685799999997</v>
      </c>
      <c r="P99">
        <v>4677.8068599999997</v>
      </c>
      <c r="Q99">
        <v>4670.0970600000001</v>
      </c>
    </row>
    <row r="100" spans="1:17" x14ac:dyDescent="0.55000000000000004">
      <c r="A100">
        <v>1770825600</v>
      </c>
      <c r="B100" t="s">
        <v>0</v>
      </c>
      <c r="C100" t="s">
        <v>1</v>
      </c>
      <c r="D100">
        <v>5091.4799999999996</v>
      </c>
      <c r="E100">
        <v>5077.6390300000003</v>
      </c>
      <c r="F100">
        <v>5077.1990400000004</v>
      </c>
      <c r="G100">
        <v>5090.0393899999999</v>
      </c>
      <c r="H100">
        <v>5057.0938299999998</v>
      </c>
      <c r="J100">
        <v>1775157000</v>
      </c>
      <c r="K100" t="s">
        <v>0</v>
      </c>
      <c r="L100" t="s">
        <v>2</v>
      </c>
      <c r="M100">
        <v>4674.5</v>
      </c>
      <c r="N100">
        <v>4672.7949099999996</v>
      </c>
      <c r="O100">
        <v>4672.6317399999998</v>
      </c>
      <c r="P100">
        <v>4677.5678500000004</v>
      </c>
      <c r="Q100">
        <v>4669.8264099999997</v>
      </c>
    </row>
    <row r="101" spans="1:17" x14ac:dyDescent="0.55000000000000004">
      <c r="A101">
        <v>1770829200</v>
      </c>
      <c r="B101" t="s">
        <v>0</v>
      </c>
      <c r="C101" t="s">
        <v>1</v>
      </c>
      <c r="D101">
        <v>5082.51</v>
      </c>
      <c r="E101">
        <v>5078.3613400000004</v>
      </c>
      <c r="F101">
        <v>5077.7801900000004</v>
      </c>
      <c r="G101">
        <v>5088.8804099999998</v>
      </c>
      <c r="H101">
        <v>5062.85124</v>
      </c>
      <c r="J101">
        <v>1775157300</v>
      </c>
      <c r="K101" t="s">
        <v>0</v>
      </c>
      <c r="L101" t="s">
        <v>2</v>
      </c>
      <c r="M101">
        <v>4670.04</v>
      </c>
      <c r="N101">
        <v>4671.1528900000003</v>
      </c>
      <c r="O101">
        <v>4671.8923100000002</v>
      </c>
      <c r="P101">
        <v>4676.2256699999998</v>
      </c>
      <c r="Q101">
        <v>4668.6132699999998</v>
      </c>
    </row>
    <row r="102" spans="1:17" x14ac:dyDescent="0.55000000000000004">
      <c r="A102">
        <v>1770832800</v>
      </c>
      <c r="B102" t="s">
        <v>0</v>
      </c>
      <c r="C102" t="s">
        <v>1</v>
      </c>
      <c r="D102">
        <v>5081.3500000000004</v>
      </c>
      <c r="E102">
        <v>5078.7473</v>
      </c>
      <c r="F102">
        <v>5078.2637500000001</v>
      </c>
      <c r="G102">
        <v>5088.1654799999997</v>
      </c>
      <c r="H102">
        <v>5067.2574500000001</v>
      </c>
      <c r="J102">
        <v>1775157600</v>
      </c>
      <c r="K102" t="s">
        <v>0</v>
      </c>
      <c r="L102" t="s">
        <v>2</v>
      </c>
      <c r="M102">
        <v>4673.01</v>
      </c>
      <c r="N102">
        <v>4669.3785699999999</v>
      </c>
      <c r="O102">
        <v>4670.63544</v>
      </c>
      <c r="P102">
        <v>4674.3962000000001</v>
      </c>
      <c r="Q102">
        <v>4667.0328099999997</v>
      </c>
    </row>
    <row r="103" spans="1:17" x14ac:dyDescent="0.55000000000000004">
      <c r="A103">
        <v>1770836400</v>
      </c>
      <c r="B103" t="s">
        <v>0</v>
      </c>
      <c r="C103" t="s">
        <v>1</v>
      </c>
      <c r="D103">
        <v>5086.53</v>
      </c>
      <c r="E103">
        <v>5078.5167799999999</v>
      </c>
      <c r="F103">
        <v>5078.3902600000001</v>
      </c>
      <c r="G103">
        <v>5087.6215899999997</v>
      </c>
      <c r="H103">
        <v>5069.2461899999998</v>
      </c>
      <c r="J103">
        <v>1775157900</v>
      </c>
      <c r="K103" t="s">
        <v>0</v>
      </c>
      <c r="L103" t="s">
        <v>2</v>
      </c>
      <c r="M103">
        <v>4665.04</v>
      </c>
      <c r="N103">
        <v>4667.8582800000004</v>
      </c>
      <c r="O103">
        <v>4669.2468600000002</v>
      </c>
      <c r="P103">
        <v>4672.4984599999998</v>
      </c>
      <c r="Q103">
        <v>4665.6002699999999</v>
      </c>
    </row>
    <row r="104" spans="1:17" x14ac:dyDescent="0.55000000000000004">
      <c r="A104">
        <v>1770840000</v>
      </c>
      <c r="B104" t="s">
        <v>0</v>
      </c>
      <c r="C104" t="s">
        <v>1</v>
      </c>
      <c r="D104">
        <v>5084.6899999999996</v>
      </c>
      <c r="E104">
        <v>5077.15182</v>
      </c>
      <c r="F104">
        <v>5077.7710399999996</v>
      </c>
      <c r="G104">
        <v>5086.9384099999997</v>
      </c>
      <c r="H104">
        <v>5068.3829400000004</v>
      </c>
      <c r="J104">
        <v>1775158200</v>
      </c>
      <c r="K104" t="s">
        <v>0</v>
      </c>
      <c r="L104" t="s">
        <v>2</v>
      </c>
      <c r="M104">
        <v>4663.78</v>
      </c>
      <c r="N104">
        <v>4667.0895899999996</v>
      </c>
      <c r="O104">
        <v>4668.1682199999996</v>
      </c>
      <c r="P104">
        <v>4671.0569100000002</v>
      </c>
      <c r="Q104">
        <v>4664.7290700000003</v>
      </c>
    </row>
    <row r="105" spans="1:17" x14ac:dyDescent="0.55000000000000004">
      <c r="A105">
        <v>1770847200</v>
      </c>
      <c r="B105" t="s">
        <v>0</v>
      </c>
      <c r="C105" t="s">
        <v>1</v>
      </c>
      <c r="D105">
        <v>5061.21</v>
      </c>
      <c r="E105">
        <v>5074.6085599999997</v>
      </c>
      <c r="F105">
        <v>5076.1898000000001</v>
      </c>
      <c r="G105">
        <v>5085.5569999999998</v>
      </c>
      <c r="H105">
        <v>5065.1350700000003</v>
      </c>
      <c r="J105">
        <v>1775158500</v>
      </c>
      <c r="K105" t="s">
        <v>0</v>
      </c>
      <c r="L105" t="s">
        <v>2</v>
      </c>
      <c r="M105">
        <v>4664.3100000000004</v>
      </c>
      <c r="N105">
        <v>4667.2079199999998</v>
      </c>
      <c r="O105">
        <v>4667.6880700000002</v>
      </c>
      <c r="P105">
        <v>4670.48783</v>
      </c>
      <c r="Q105">
        <v>4664.6398300000001</v>
      </c>
    </row>
    <row r="106" spans="1:17" x14ac:dyDescent="0.55000000000000004">
      <c r="A106">
        <v>1770850800</v>
      </c>
      <c r="B106" t="s">
        <v>0</v>
      </c>
      <c r="C106" t="s">
        <v>1</v>
      </c>
      <c r="D106">
        <v>5063.07</v>
      </c>
      <c r="E106">
        <v>5071.5908600000002</v>
      </c>
      <c r="F106">
        <v>5073.8903300000002</v>
      </c>
      <c r="G106">
        <v>5083.0065800000002</v>
      </c>
      <c r="H106">
        <v>5060.5931</v>
      </c>
      <c r="J106">
        <v>1775158800</v>
      </c>
      <c r="K106" t="s">
        <v>0</v>
      </c>
      <c r="L106" t="s">
        <v>2</v>
      </c>
      <c r="M106">
        <v>4665.91</v>
      </c>
      <c r="N106">
        <v>4668.07942</v>
      </c>
      <c r="O106">
        <v>4667.88375</v>
      </c>
      <c r="P106">
        <v>4670.8289500000001</v>
      </c>
      <c r="Q106">
        <v>4665.2993800000004</v>
      </c>
    </row>
    <row r="107" spans="1:17" x14ac:dyDescent="0.55000000000000004">
      <c r="A107">
        <v>1770854400</v>
      </c>
      <c r="B107" t="s">
        <v>0</v>
      </c>
      <c r="C107" t="s">
        <v>1</v>
      </c>
      <c r="D107">
        <v>5064.04</v>
      </c>
      <c r="E107">
        <v>5068.2289300000002</v>
      </c>
      <c r="F107">
        <v>5071.0596299999997</v>
      </c>
      <c r="G107">
        <v>5079.98063</v>
      </c>
      <c r="H107">
        <v>5055.6900299999998</v>
      </c>
      <c r="J107">
        <v>1775159100</v>
      </c>
      <c r="K107" t="s">
        <v>0</v>
      </c>
      <c r="L107" t="s">
        <v>2</v>
      </c>
      <c r="M107">
        <v>4668.83</v>
      </c>
      <c r="N107">
        <v>4669.36355</v>
      </c>
      <c r="O107">
        <v>4668.6236500000005</v>
      </c>
      <c r="P107">
        <v>4671.8223600000001</v>
      </c>
      <c r="Q107">
        <v>4666.4366900000005</v>
      </c>
    </row>
    <row r="108" spans="1:17" x14ac:dyDescent="0.55000000000000004">
      <c r="A108">
        <v>1770858000</v>
      </c>
      <c r="B108" t="s">
        <v>0</v>
      </c>
      <c r="C108" t="s">
        <v>1</v>
      </c>
      <c r="D108">
        <v>5065.99</v>
      </c>
      <c r="E108">
        <v>5064.8501299999998</v>
      </c>
      <c r="F108">
        <v>5067.9548800000002</v>
      </c>
      <c r="G108">
        <v>5076.62194</v>
      </c>
      <c r="H108">
        <v>5051.3740299999999</v>
      </c>
      <c r="J108">
        <v>1775159400</v>
      </c>
      <c r="K108" t="s">
        <v>0</v>
      </c>
      <c r="L108" t="s">
        <v>2</v>
      </c>
      <c r="M108">
        <v>4675.3599999999997</v>
      </c>
      <c r="N108">
        <v>4670.64185</v>
      </c>
      <c r="O108">
        <v>4669.6327499999998</v>
      </c>
      <c r="P108">
        <v>4673.0529100000003</v>
      </c>
      <c r="Q108">
        <v>4667.7114700000002</v>
      </c>
    </row>
    <row r="109" spans="1:17" x14ac:dyDescent="0.55000000000000004">
      <c r="A109">
        <v>1770861600</v>
      </c>
      <c r="B109" t="s">
        <v>0</v>
      </c>
      <c r="C109" t="s">
        <v>1</v>
      </c>
      <c r="D109">
        <v>5057.08</v>
      </c>
      <c r="E109">
        <v>5061.9963900000002</v>
      </c>
      <c r="F109">
        <v>5064.9756299999999</v>
      </c>
      <c r="G109">
        <v>5073.0387000000001</v>
      </c>
      <c r="H109">
        <v>5048.2291299999997</v>
      </c>
      <c r="J109">
        <v>1775159700</v>
      </c>
      <c r="K109" t="s">
        <v>0</v>
      </c>
      <c r="L109" t="s">
        <v>2</v>
      </c>
      <c r="M109">
        <v>4671.99</v>
      </c>
      <c r="N109">
        <v>4671.4776499999998</v>
      </c>
      <c r="O109">
        <v>4670.5551999999998</v>
      </c>
      <c r="P109">
        <v>4674.0277100000003</v>
      </c>
      <c r="Q109">
        <v>4668.80008</v>
      </c>
    </row>
    <row r="110" spans="1:17" x14ac:dyDescent="0.55000000000000004">
      <c r="A110">
        <v>1770865200</v>
      </c>
      <c r="B110" t="s">
        <v>0</v>
      </c>
      <c r="C110" t="s">
        <v>1</v>
      </c>
      <c r="D110">
        <v>5069.6400000000003</v>
      </c>
      <c r="E110">
        <v>5060.5073000000002</v>
      </c>
      <c r="F110">
        <v>5062.7414699999999</v>
      </c>
      <c r="G110">
        <v>5069.7125900000001</v>
      </c>
      <c r="H110">
        <v>5046.9113500000003</v>
      </c>
      <c r="J110">
        <v>1775160000</v>
      </c>
      <c r="K110" t="s">
        <v>0</v>
      </c>
      <c r="L110" t="s">
        <v>2</v>
      </c>
      <c r="M110">
        <v>4675.1499999999996</v>
      </c>
      <c r="N110">
        <v>4671.8812099999996</v>
      </c>
      <c r="O110">
        <v>4671.2182000000003</v>
      </c>
      <c r="P110">
        <v>4674.4926599999999</v>
      </c>
      <c r="Q110">
        <v>4669.5256499999996</v>
      </c>
    </row>
    <row r="111" spans="1:17" x14ac:dyDescent="0.55000000000000004">
      <c r="A111">
        <v>1770868800</v>
      </c>
      <c r="B111" t="s">
        <v>0</v>
      </c>
      <c r="C111" t="s">
        <v>1</v>
      </c>
      <c r="D111">
        <v>5075.63</v>
      </c>
      <c r="E111">
        <v>5060.4706900000001</v>
      </c>
      <c r="F111">
        <v>5061.6060799999996</v>
      </c>
      <c r="G111">
        <v>5067.4607999999998</v>
      </c>
      <c r="H111">
        <v>5047.9079400000001</v>
      </c>
      <c r="J111">
        <v>1775160300</v>
      </c>
      <c r="K111" t="s">
        <v>0</v>
      </c>
      <c r="L111" t="s">
        <v>2</v>
      </c>
      <c r="M111">
        <v>4674.2</v>
      </c>
      <c r="N111">
        <v>4671.8416699999998</v>
      </c>
      <c r="O111">
        <v>4671.5299400000004</v>
      </c>
      <c r="P111">
        <v>4674.4267799999998</v>
      </c>
      <c r="Q111">
        <v>4669.91914</v>
      </c>
    </row>
    <row r="112" spans="1:17" x14ac:dyDescent="0.55000000000000004">
      <c r="A112">
        <v>1770872400</v>
      </c>
      <c r="B112" t="s">
        <v>0</v>
      </c>
      <c r="C112" t="s">
        <v>1</v>
      </c>
      <c r="D112">
        <v>5059.8100000000004</v>
      </c>
      <c r="E112">
        <v>5061.9249099999997</v>
      </c>
      <c r="F112">
        <v>5061.7654899999998</v>
      </c>
      <c r="G112">
        <v>5066.74244</v>
      </c>
      <c r="H112">
        <v>5050.8122599999997</v>
      </c>
      <c r="J112">
        <v>1775160600</v>
      </c>
      <c r="K112" t="s">
        <v>0</v>
      </c>
      <c r="L112" t="s">
        <v>2</v>
      </c>
      <c r="M112">
        <v>4674.03</v>
      </c>
      <c r="N112">
        <v>4671.58878</v>
      </c>
      <c r="O112">
        <v>4671.5593600000002</v>
      </c>
      <c r="P112">
        <v>4673.9942700000001</v>
      </c>
      <c r="Q112">
        <v>4670.0770499999999</v>
      </c>
    </row>
    <row r="113" spans="1:17" x14ac:dyDescent="0.55000000000000004">
      <c r="A113">
        <v>1770876000</v>
      </c>
      <c r="B113" t="s">
        <v>0</v>
      </c>
      <c r="C113" t="s">
        <v>1</v>
      </c>
      <c r="D113">
        <v>5063.91</v>
      </c>
      <c r="E113">
        <v>5065.14174</v>
      </c>
      <c r="F113">
        <v>5063.4536200000002</v>
      </c>
      <c r="G113">
        <v>5067.9951600000004</v>
      </c>
      <c r="H113">
        <v>5055.5998300000001</v>
      </c>
      <c r="J113">
        <v>1775160900</v>
      </c>
      <c r="K113" t="s">
        <v>0</v>
      </c>
      <c r="L113" t="s">
        <v>2</v>
      </c>
      <c r="M113">
        <v>4668.38</v>
      </c>
      <c r="N113">
        <v>4671.3736200000003</v>
      </c>
      <c r="O113">
        <v>4671.4664899999998</v>
      </c>
      <c r="P113">
        <v>4673.4397499999995</v>
      </c>
      <c r="Q113">
        <v>4670.1775900000002</v>
      </c>
    </row>
    <row r="114" spans="1:17" x14ac:dyDescent="0.55000000000000004">
      <c r="A114">
        <v>1770879600</v>
      </c>
      <c r="B114" t="s">
        <v>0</v>
      </c>
      <c r="C114" t="s">
        <v>1</v>
      </c>
      <c r="D114">
        <v>5068.47</v>
      </c>
      <c r="E114">
        <v>5069.3668900000002</v>
      </c>
      <c r="F114">
        <v>5066.4102499999999</v>
      </c>
      <c r="G114">
        <v>5071.5119800000002</v>
      </c>
      <c r="H114">
        <v>5061.0777500000004</v>
      </c>
      <c r="J114">
        <v>1775161200</v>
      </c>
      <c r="K114" t="s">
        <v>0</v>
      </c>
      <c r="L114" t="s">
        <v>2</v>
      </c>
      <c r="M114">
        <v>4666.67</v>
      </c>
      <c r="N114">
        <v>4671.4971699999996</v>
      </c>
      <c r="O114">
        <v>4671.4818299999997</v>
      </c>
      <c r="P114">
        <v>4673.0921900000003</v>
      </c>
      <c r="Q114">
        <v>4670.4073399999997</v>
      </c>
    </row>
    <row r="115" spans="1:17" x14ac:dyDescent="0.55000000000000004">
      <c r="A115">
        <v>1770883200</v>
      </c>
      <c r="B115" t="s">
        <v>0</v>
      </c>
      <c r="C115" t="s">
        <v>1</v>
      </c>
      <c r="D115">
        <v>5073.24</v>
      </c>
      <c r="E115">
        <v>5073.2862500000001</v>
      </c>
      <c r="F115">
        <v>5069.84825</v>
      </c>
      <c r="G115">
        <v>5076.5349699999997</v>
      </c>
      <c r="H115">
        <v>5065.6189800000002</v>
      </c>
      <c r="J115">
        <v>1775161500</v>
      </c>
      <c r="K115" t="s">
        <v>0</v>
      </c>
      <c r="L115" t="s">
        <v>2</v>
      </c>
      <c r="M115">
        <v>4667.8999999999996</v>
      </c>
      <c r="N115">
        <v>4671.9441500000003</v>
      </c>
      <c r="O115">
        <v>4671.71299</v>
      </c>
      <c r="P115">
        <v>4673.25731</v>
      </c>
      <c r="Q115">
        <v>4670.7202100000004</v>
      </c>
    </row>
    <row r="116" spans="1:17" x14ac:dyDescent="0.55000000000000004">
      <c r="A116">
        <v>1770886800</v>
      </c>
      <c r="B116" t="s">
        <v>0</v>
      </c>
      <c r="C116" t="s">
        <v>1</v>
      </c>
      <c r="D116">
        <v>5062.37</v>
      </c>
      <c r="E116">
        <v>5075.1147700000001</v>
      </c>
      <c r="F116">
        <v>5072.4815099999996</v>
      </c>
      <c r="G116">
        <v>5081.6744200000003</v>
      </c>
      <c r="H116">
        <v>5066.9553999999998</v>
      </c>
      <c r="J116">
        <v>1775161800</v>
      </c>
      <c r="K116" t="s">
        <v>0</v>
      </c>
      <c r="L116" t="s">
        <v>2</v>
      </c>
      <c r="M116">
        <v>4672.41</v>
      </c>
      <c r="N116">
        <v>4672.3939399999999</v>
      </c>
      <c r="O116">
        <v>4672.0534600000001</v>
      </c>
      <c r="P116">
        <v>4673.7726300000004</v>
      </c>
      <c r="Q116">
        <v>4670.7442300000002</v>
      </c>
    </row>
    <row r="117" spans="1:17" x14ac:dyDescent="0.55000000000000004">
      <c r="A117">
        <v>1770890400</v>
      </c>
      <c r="B117" t="s">
        <v>0</v>
      </c>
      <c r="C117" t="s">
        <v>1</v>
      </c>
      <c r="D117">
        <v>5063.76</v>
      </c>
      <c r="E117">
        <v>5073.4656599999998</v>
      </c>
      <c r="F117">
        <v>5072.9735899999996</v>
      </c>
      <c r="G117">
        <v>5085.3715000000002</v>
      </c>
      <c r="H117">
        <v>5063.5685899999999</v>
      </c>
      <c r="J117">
        <v>1775162100</v>
      </c>
      <c r="K117" t="s">
        <v>0</v>
      </c>
      <c r="L117" t="s">
        <v>2</v>
      </c>
      <c r="M117">
        <v>4671.5</v>
      </c>
      <c r="N117">
        <v>4672.23027</v>
      </c>
      <c r="O117">
        <v>4672.1418700000004</v>
      </c>
      <c r="P117">
        <v>4674.2225699999999</v>
      </c>
      <c r="Q117">
        <v>4669.9859100000003</v>
      </c>
    </row>
    <row r="118" spans="1:17" x14ac:dyDescent="0.55000000000000004">
      <c r="A118">
        <v>1770894000</v>
      </c>
      <c r="B118" t="s">
        <v>0</v>
      </c>
      <c r="C118" t="s">
        <v>1</v>
      </c>
      <c r="D118">
        <v>5052.88</v>
      </c>
      <c r="E118">
        <v>5066.8578600000001</v>
      </c>
      <c r="F118">
        <v>5069.91572</v>
      </c>
      <c r="G118">
        <v>5085.9427999999998</v>
      </c>
      <c r="H118">
        <v>5054.05044</v>
      </c>
      <c r="J118">
        <v>1775162400</v>
      </c>
      <c r="K118" t="s">
        <v>0</v>
      </c>
      <c r="L118" t="s">
        <v>2</v>
      </c>
      <c r="M118">
        <v>4669.05</v>
      </c>
      <c r="N118">
        <v>4670.94895</v>
      </c>
      <c r="O118">
        <v>4671.5454099999997</v>
      </c>
      <c r="P118">
        <v>4674.0442499999999</v>
      </c>
      <c r="Q118">
        <v>4667.8971099999999</v>
      </c>
    </row>
    <row r="119" spans="1:17" x14ac:dyDescent="0.55000000000000004">
      <c r="A119">
        <v>1770897600</v>
      </c>
      <c r="B119" t="s">
        <v>0</v>
      </c>
      <c r="C119" t="s">
        <v>1</v>
      </c>
      <c r="D119">
        <v>5075.4399999999996</v>
      </c>
      <c r="E119">
        <v>5054.6818999999996</v>
      </c>
      <c r="F119">
        <v>5062.2988100000002</v>
      </c>
      <c r="G119">
        <v>5081.5598099999997</v>
      </c>
      <c r="H119">
        <v>5038.1688199999999</v>
      </c>
      <c r="J119">
        <v>1775162700</v>
      </c>
      <c r="K119" t="s">
        <v>0</v>
      </c>
      <c r="L119" t="s">
        <v>2</v>
      </c>
      <c r="M119">
        <v>4670.82</v>
      </c>
      <c r="N119">
        <v>4668.19722</v>
      </c>
      <c r="O119">
        <v>4669.8713200000002</v>
      </c>
      <c r="P119">
        <v>4672.7255100000002</v>
      </c>
      <c r="Q119">
        <v>4664.2378799999997</v>
      </c>
    </row>
    <row r="120" spans="1:17" x14ac:dyDescent="0.55000000000000004">
      <c r="A120">
        <v>1770901200</v>
      </c>
      <c r="B120" t="s">
        <v>0</v>
      </c>
      <c r="C120" t="s">
        <v>1</v>
      </c>
      <c r="D120">
        <v>5044.58</v>
      </c>
      <c r="E120">
        <v>5036.1449599999996</v>
      </c>
      <c r="F120">
        <v>5049.2218899999998</v>
      </c>
      <c r="G120">
        <v>5070.6188599999996</v>
      </c>
      <c r="H120">
        <v>5016.2443000000003</v>
      </c>
      <c r="J120">
        <v>1775163000</v>
      </c>
      <c r="K120" t="s">
        <v>0</v>
      </c>
      <c r="L120" t="s">
        <v>2</v>
      </c>
      <c r="M120">
        <v>4672.13</v>
      </c>
      <c r="N120">
        <v>4663.7628100000002</v>
      </c>
      <c r="O120">
        <v>4666.8170600000003</v>
      </c>
      <c r="P120">
        <v>4669.8040600000004</v>
      </c>
      <c r="Q120">
        <v>4658.9708899999996</v>
      </c>
    </row>
    <row r="121" spans="1:17" x14ac:dyDescent="0.55000000000000004">
      <c r="A121">
        <v>1770904800</v>
      </c>
      <c r="B121" t="s">
        <v>0</v>
      </c>
      <c r="C121" t="s">
        <v>1</v>
      </c>
      <c r="D121">
        <v>5060.57</v>
      </c>
      <c r="E121">
        <v>5012.9442600000002</v>
      </c>
      <c r="F121">
        <v>5031.0830699999997</v>
      </c>
      <c r="G121">
        <v>5052.9875199999997</v>
      </c>
      <c r="H121">
        <v>4989.9478499999996</v>
      </c>
      <c r="J121">
        <v>1775163300</v>
      </c>
      <c r="K121" t="s">
        <v>0</v>
      </c>
      <c r="L121" t="s">
        <v>2</v>
      </c>
      <c r="M121">
        <v>4676.09</v>
      </c>
      <c r="N121">
        <v>4657.7479999999996</v>
      </c>
      <c r="O121">
        <v>4662.2825300000004</v>
      </c>
      <c r="P121">
        <v>4665.1652800000002</v>
      </c>
      <c r="Q121">
        <v>4652.3676299999997</v>
      </c>
    </row>
    <row r="122" spans="1:17" x14ac:dyDescent="0.55000000000000004">
      <c r="A122">
        <v>1770908400</v>
      </c>
      <c r="B122" t="s">
        <v>0</v>
      </c>
      <c r="C122" t="s">
        <v>1</v>
      </c>
      <c r="D122">
        <v>4955.0200000000004</v>
      </c>
      <c r="E122">
        <v>4986.4903999999997</v>
      </c>
      <c r="F122">
        <v>5008.7867399999996</v>
      </c>
      <c r="G122">
        <v>5029.6830099999997</v>
      </c>
      <c r="H122">
        <v>4961.4617099999996</v>
      </c>
      <c r="J122">
        <v>1775426400</v>
      </c>
      <c r="K122" t="s">
        <v>0</v>
      </c>
      <c r="L122" t="s">
        <v>2</v>
      </c>
      <c r="M122">
        <v>4637.3599999999997</v>
      </c>
      <c r="N122">
        <v>4650.5617499999998</v>
      </c>
      <c r="O122">
        <v>4656.4221399999997</v>
      </c>
      <c r="P122">
        <v>4658.9313899999997</v>
      </c>
      <c r="Q122">
        <v>4644.8408300000001</v>
      </c>
    </row>
    <row r="123" spans="1:17" x14ac:dyDescent="0.55000000000000004">
      <c r="A123">
        <v>1770912000</v>
      </c>
      <c r="B123" t="s">
        <v>0</v>
      </c>
      <c r="C123" t="s">
        <v>1</v>
      </c>
      <c r="D123">
        <v>4941.24</v>
      </c>
      <c r="E123">
        <v>4962.1105900000002</v>
      </c>
      <c r="F123">
        <v>4985.44866</v>
      </c>
      <c r="G123">
        <v>5002.9327300000004</v>
      </c>
      <c r="H123">
        <v>4937.6419500000002</v>
      </c>
      <c r="J123">
        <v>1775426700</v>
      </c>
      <c r="K123" t="s">
        <v>0</v>
      </c>
      <c r="L123" t="s">
        <v>2</v>
      </c>
      <c r="M123">
        <v>4633.63</v>
      </c>
      <c r="N123">
        <v>4643.8998199999996</v>
      </c>
      <c r="O123">
        <v>4650.1609799999997</v>
      </c>
      <c r="P123">
        <v>4652.0105800000001</v>
      </c>
      <c r="Q123">
        <v>4638.0308800000003</v>
      </c>
    </row>
    <row r="124" spans="1:17" x14ac:dyDescent="0.55000000000000004">
      <c r="A124">
        <v>1770915600</v>
      </c>
      <c r="B124" t="s">
        <v>0</v>
      </c>
      <c r="C124" t="s">
        <v>1</v>
      </c>
      <c r="D124">
        <v>4935.66</v>
      </c>
      <c r="E124">
        <v>4942.3313099999996</v>
      </c>
      <c r="F124">
        <v>4963.8899899999997</v>
      </c>
      <c r="G124">
        <v>4977.64203</v>
      </c>
      <c r="H124">
        <v>4918.6735200000003</v>
      </c>
      <c r="J124">
        <v>1775427000</v>
      </c>
      <c r="K124" t="s">
        <v>0</v>
      </c>
      <c r="L124" t="s">
        <v>2</v>
      </c>
      <c r="M124">
        <v>4629.97</v>
      </c>
      <c r="N124">
        <v>4638.5802299999996</v>
      </c>
      <c r="O124">
        <v>4644.3706000000002</v>
      </c>
      <c r="P124">
        <v>4645.8410599999997</v>
      </c>
      <c r="Q124">
        <v>4632.5402100000001</v>
      </c>
    </row>
    <row r="125" spans="1:17" x14ac:dyDescent="0.55000000000000004">
      <c r="A125">
        <v>1770919200</v>
      </c>
      <c r="B125" t="s">
        <v>0</v>
      </c>
      <c r="C125" t="s">
        <v>1</v>
      </c>
      <c r="D125">
        <v>4945.5600000000004</v>
      </c>
      <c r="E125">
        <v>4928.8912</v>
      </c>
      <c r="F125">
        <v>4946.39059</v>
      </c>
      <c r="G125">
        <v>4957.3192799999997</v>
      </c>
      <c r="H125">
        <v>4906.5635899999997</v>
      </c>
      <c r="J125">
        <v>1775427300</v>
      </c>
      <c r="K125" t="s">
        <v>0</v>
      </c>
      <c r="L125" t="s">
        <v>2</v>
      </c>
      <c r="M125">
        <v>4635.7700000000004</v>
      </c>
      <c r="N125">
        <v>4635.1809899999998</v>
      </c>
      <c r="O125">
        <v>4639.7758000000003</v>
      </c>
      <c r="P125">
        <v>4641.2815499999997</v>
      </c>
      <c r="Q125">
        <v>4629.0387499999997</v>
      </c>
    </row>
    <row r="126" spans="1:17" x14ac:dyDescent="0.55000000000000004">
      <c r="A126">
        <v>1770922800</v>
      </c>
      <c r="B126" t="s">
        <v>0</v>
      </c>
      <c r="C126" t="s">
        <v>1</v>
      </c>
      <c r="D126">
        <v>4915.3500000000004</v>
      </c>
      <c r="E126">
        <v>4922.3233499999997</v>
      </c>
      <c r="F126">
        <v>4934.3569699999998</v>
      </c>
      <c r="G126">
        <v>4943.9316200000003</v>
      </c>
      <c r="H126">
        <v>4901.1416600000002</v>
      </c>
      <c r="J126">
        <v>1775427600</v>
      </c>
      <c r="K126" t="s">
        <v>0</v>
      </c>
      <c r="L126" t="s">
        <v>2</v>
      </c>
      <c r="M126">
        <v>4641.3500000000004</v>
      </c>
      <c r="N126">
        <v>4633.7358199999999</v>
      </c>
      <c r="O126">
        <v>4636.7558099999997</v>
      </c>
      <c r="P126">
        <v>4638.7064200000004</v>
      </c>
      <c r="Q126">
        <v>4627.1490000000003</v>
      </c>
    </row>
    <row r="127" spans="1:17" x14ac:dyDescent="0.55000000000000004">
      <c r="A127">
        <v>1770926400</v>
      </c>
      <c r="B127" t="s">
        <v>0</v>
      </c>
      <c r="C127" t="s">
        <v>1</v>
      </c>
      <c r="D127">
        <v>4921.92</v>
      </c>
      <c r="E127">
        <v>4923.3570900000004</v>
      </c>
      <c r="F127">
        <v>4928.8570300000001</v>
      </c>
      <c r="G127">
        <v>4938.7561900000001</v>
      </c>
      <c r="H127">
        <v>4902.55278</v>
      </c>
      <c r="J127">
        <v>1775427900</v>
      </c>
      <c r="K127" t="s">
        <v>0</v>
      </c>
      <c r="L127" t="s">
        <v>2</v>
      </c>
      <c r="M127">
        <v>4635.96</v>
      </c>
      <c r="N127">
        <v>4633.9632600000004</v>
      </c>
      <c r="O127">
        <v>4635.3595400000004</v>
      </c>
      <c r="P127">
        <v>4638.2820599999995</v>
      </c>
      <c r="Q127">
        <v>4626.52934</v>
      </c>
    </row>
    <row r="128" spans="1:17" x14ac:dyDescent="0.55000000000000004">
      <c r="A128">
        <v>1770933600</v>
      </c>
      <c r="B128" t="s">
        <v>0</v>
      </c>
      <c r="C128" t="s">
        <v>1</v>
      </c>
      <c r="D128">
        <v>4920.54</v>
      </c>
      <c r="E128">
        <v>4930.6650499999996</v>
      </c>
      <c r="F128">
        <v>4929.7610400000003</v>
      </c>
      <c r="G128">
        <v>4941.9995799999997</v>
      </c>
      <c r="H128">
        <v>4909.7384899999997</v>
      </c>
      <c r="J128">
        <v>1775428200</v>
      </c>
      <c r="K128" t="s">
        <v>0</v>
      </c>
      <c r="L128" t="s">
        <v>2</v>
      </c>
      <c r="M128">
        <v>4634.46</v>
      </c>
      <c r="N128">
        <v>4635.5799699999998</v>
      </c>
      <c r="O128">
        <v>4635.46976</v>
      </c>
      <c r="P128">
        <v>4639.8127599999998</v>
      </c>
      <c r="Q128">
        <v>4626.7584900000002</v>
      </c>
    </row>
    <row r="129" spans="1:17" x14ac:dyDescent="0.55000000000000004">
      <c r="A129">
        <v>1770937200</v>
      </c>
      <c r="B129" t="s">
        <v>0</v>
      </c>
      <c r="C129" t="s">
        <v>1</v>
      </c>
      <c r="D129">
        <v>4928.1099999999997</v>
      </c>
      <c r="E129">
        <v>4942.3810700000004</v>
      </c>
      <c r="F129">
        <v>4936.0710499999996</v>
      </c>
      <c r="G129">
        <v>4951.88789</v>
      </c>
      <c r="H129">
        <v>4921.7294000000002</v>
      </c>
      <c r="J129">
        <v>1775428500</v>
      </c>
      <c r="K129" t="s">
        <v>0</v>
      </c>
      <c r="L129" t="s">
        <v>2</v>
      </c>
      <c r="M129">
        <v>4641.8100000000004</v>
      </c>
      <c r="N129">
        <v>4637.9731099999999</v>
      </c>
      <c r="O129">
        <v>4636.7214299999996</v>
      </c>
      <c r="P129">
        <v>4642.7662399999999</v>
      </c>
      <c r="Q129">
        <v>4627.4491600000001</v>
      </c>
    </row>
    <row r="130" spans="1:17" x14ac:dyDescent="0.55000000000000004">
      <c r="A130">
        <v>1770940800</v>
      </c>
      <c r="B130" t="s">
        <v>0</v>
      </c>
      <c r="C130" t="s">
        <v>1</v>
      </c>
      <c r="D130">
        <v>4980.7700000000004</v>
      </c>
      <c r="E130">
        <v>4955.9134899999999</v>
      </c>
      <c r="F130">
        <v>4945.9922699999997</v>
      </c>
      <c r="G130">
        <v>4965.2752799999998</v>
      </c>
      <c r="H130">
        <v>4935.7387799999997</v>
      </c>
      <c r="J130">
        <v>1775428800</v>
      </c>
      <c r="K130" t="s">
        <v>0</v>
      </c>
      <c r="L130" t="s">
        <v>2</v>
      </c>
      <c r="M130">
        <v>4642.72</v>
      </c>
      <c r="N130">
        <v>4640.2075999999997</v>
      </c>
      <c r="O130">
        <v>4638.4645200000004</v>
      </c>
      <c r="P130">
        <v>4646.3120399999998</v>
      </c>
      <c r="Q130">
        <v>4628.1457600000003</v>
      </c>
    </row>
    <row r="131" spans="1:17" x14ac:dyDescent="0.55000000000000004">
      <c r="A131">
        <v>1770944400</v>
      </c>
      <c r="B131" t="s">
        <v>0</v>
      </c>
      <c r="C131" t="s">
        <v>1</v>
      </c>
      <c r="D131">
        <v>4988.5200000000004</v>
      </c>
      <c r="E131">
        <v>4967.5207</v>
      </c>
      <c r="F131">
        <v>4956.75648</v>
      </c>
      <c r="G131">
        <v>4978.2088000000003</v>
      </c>
      <c r="H131">
        <v>4949.2670900000003</v>
      </c>
      <c r="J131">
        <v>1775429100</v>
      </c>
      <c r="K131" t="s">
        <v>0</v>
      </c>
      <c r="L131" t="s">
        <v>2</v>
      </c>
      <c r="M131">
        <v>4642.66</v>
      </c>
      <c r="N131">
        <v>4641.5893400000004</v>
      </c>
      <c r="O131">
        <v>4640.02693</v>
      </c>
      <c r="P131">
        <v>4649.4396999999999</v>
      </c>
      <c r="Q131">
        <v>4628.4591700000001</v>
      </c>
    </row>
    <row r="132" spans="1:17" x14ac:dyDescent="0.55000000000000004">
      <c r="A132">
        <v>1770948000</v>
      </c>
      <c r="B132" t="s">
        <v>0</v>
      </c>
      <c r="C132" t="s">
        <v>1</v>
      </c>
      <c r="D132">
        <v>4981.3500000000004</v>
      </c>
      <c r="E132">
        <v>4975.3754399999998</v>
      </c>
      <c r="F132">
        <v>4966.0659599999999</v>
      </c>
      <c r="G132">
        <v>4988.1622500000003</v>
      </c>
      <c r="H132">
        <v>4959.3512499999997</v>
      </c>
      <c r="J132">
        <v>1775429400</v>
      </c>
      <c r="K132" t="s">
        <v>0</v>
      </c>
      <c r="L132" t="s">
        <v>2</v>
      </c>
      <c r="M132">
        <v>4629.1400000000003</v>
      </c>
      <c r="N132">
        <v>4641.6517299999996</v>
      </c>
      <c r="O132">
        <v>4640.8393299999998</v>
      </c>
      <c r="P132">
        <v>4651.2021699999996</v>
      </c>
      <c r="Q132">
        <v>4628.9286700000002</v>
      </c>
    </row>
    <row r="133" spans="1:17" x14ac:dyDescent="0.55000000000000004">
      <c r="A133">
        <v>1770951600</v>
      </c>
      <c r="B133" t="s">
        <v>0</v>
      </c>
      <c r="C133" t="s">
        <v>1</v>
      </c>
      <c r="D133">
        <v>4976.78</v>
      </c>
      <c r="E133">
        <v>4978.9775499999996</v>
      </c>
      <c r="F133">
        <v>4972.5217599999996</v>
      </c>
      <c r="G133">
        <v>4993.6552099999999</v>
      </c>
      <c r="H133">
        <v>4964.9635200000002</v>
      </c>
      <c r="J133">
        <v>1775429700</v>
      </c>
      <c r="K133" t="s">
        <v>0</v>
      </c>
      <c r="L133" t="s">
        <v>2</v>
      </c>
      <c r="M133">
        <v>4645.8100000000004</v>
      </c>
      <c r="N133">
        <v>4640.4489199999998</v>
      </c>
      <c r="O133">
        <v>4640.6441199999999</v>
      </c>
      <c r="P133">
        <v>4651.0454</v>
      </c>
      <c r="Q133">
        <v>4629.1110600000002</v>
      </c>
    </row>
    <row r="134" spans="1:17" x14ac:dyDescent="0.55000000000000004">
      <c r="A134">
        <v>1770955200</v>
      </c>
      <c r="B134" t="s">
        <v>0</v>
      </c>
      <c r="C134" t="s">
        <v>1</v>
      </c>
      <c r="D134">
        <v>4946.43</v>
      </c>
      <c r="E134">
        <v>4978.5884100000003</v>
      </c>
      <c r="F134">
        <v>4975.5550800000001</v>
      </c>
      <c r="G134">
        <v>4994.1314400000001</v>
      </c>
      <c r="H134">
        <v>4966.03377</v>
      </c>
      <c r="J134">
        <v>1775430000</v>
      </c>
      <c r="K134" t="s">
        <v>0</v>
      </c>
      <c r="L134" t="s">
        <v>2</v>
      </c>
      <c r="M134">
        <v>4636.75</v>
      </c>
      <c r="N134">
        <v>4637.5130099999997</v>
      </c>
      <c r="O134">
        <v>4639.0785699999997</v>
      </c>
      <c r="P134">
        <v>4648.58493</v>
      </c>
      <c r="Q134">
        <v>4628.5196999999998</v>
      </c>
    </row>
    <row r="135" spans="1:17" x14ac:dyDescent="0.55000000000000004">
      <c r="A135">
        <v>1770958800</v>
      </c>
      <c r="B135" t="s">
        <v>0</v>
      </c>
      <c r="C135" t="s">
        <v>1</v>
      </c>
      <c r="D135">
        <v>4967.4399999999996</v>
      </c>
      <c r="E135">
        <v>4975.8756100000001</v>
      </c>
      <c r="F135">
        <v>4975.7153500000004</v>
      </c>
      <c r="G135">
        <v>4990.5866999999998</v>
      </c>
      <c r="H135">
        <v>4963.9994200000001</v>
      </c>
      <c r="J135">
        <v>1775430300</v>
      </c>
      <c r="K135" t="s">
        <v>0</v>
      </c>
      <c r="L135" t="s">
        <v>2</v>
      </c>
      <c r="M135">
        <v>4630.4799999999996</v>
      </c>
      <c r="N135">
        <v>4633.2935900000002</v>
      </c>
      <c r="O135">
        <v>4636.1860800000004</v>
      </c>
      <c r="P135">
        <v>4644.0196900000001</v>
      </c>
      <c r="Q135">
        <v>4626.87979</v>
      </c>
    </row>
    <row r="136" spans="1:17" x14ac:dyDescent="0.55000000000000004">
      <c r="A136">
        <v>1770962400</v>
      </c>
      <c r="B136" t="s">
        <v>0</v>
      </c>
      <c r="C136" t="s">
        <v>1</v>
      </c>
      <c r="D136">
        <v>4974.9399999999996</v>
      </c>
      <c r="E136">
        <v>4971.4793300000001</v>
      </c>
      <c r="F136">
        <v>4973.5973400000003</v>
      </c>
      <c r="G136">
        <v>4984.9934499999999</v>
      </c>
      <c r="H136">
        <v>4959.9128899999996</v>
      </c>
      <c r="J136">
        <v>1775430600</v>
      </c>
      <c r="K136" t="s">
        <v>0</v>
      </c>
      <c r="L136" t="s">
        <v>2</v>
      </c>
      <c r="M136">
        <v>4632.63</v>
      </c>
      <c r="N136">
        <v>4628.3430799999996</v>
      </c>
      <c r="O136">
        <v>4632.26458</v>
      </c>
      <c r="P136">
        <v>4638.0888599999998</v>
      </c>
      <c r="Q136">
        <v>4624.2941700000001</v>
      </c>
    </row>
    <row r="137" spans="1:17" x14ac:dyDescent="0.55000000000000004">
      <c r="A137">
        <v>1770966000</v>
      </c>
      <c r="B137" t="s">
        <v>0</v>
      </c>
      <c r="C137" t="s">
        <v>1</v>
      </c>
      <c r="D137">
        <v>4982.66</v>
      </c>
      <c r="E137">
        <v>4966.5223299999998</v>
      </c>
      <c r="F137">
        <v>4970.0598300000001</v>
      </c>
      <c r="G137">
        <v>4978.9554799999996</v>
      </c>
      <c r="H137">
        <v>4954.9024200000003</v>
      </c>
      <c r="J137">
        <v>1775430900</v>
      </c>
      <c r="K137" t="s">
        <v>0</v>
      </c>
      <c r="L137" t="s">
        <v>2</v>
      </c>
      <c r="M137">
        <v>4624.8500000000004</v>
      </c>
      <c r="N137">
        <v>4623.1102499999997</v>
      </c>
      <c r="O137">
        <v>4627.6874200000002</v>
      </c>
      <c r="P137">
        <v>4631.6184000000003</v>
      </c>
      <c r="Q137">
        <v>4620.9525000000003</v>
      </c>
    </row>
    <row r="138" spans="1:17" x14ac:dyDescent="0.55000000000000004">
      <c r="A138">
        <v>1770969600</v>
      </c>
      <c r="B138" t="s">
        <v>0</v>
      </c>
      <c r="C138" t="s">
        <v>1</v>
      </c>
      <c r="D138">
        <v>4970.3100000000004</v>
      </c>
      <c r="E138">
        <v>4962.1540800000002</v>
      </c>
      <c r="F138">
        <v>4966.1069600000001</v>
      </c>
      <c r="G138">
        <v>4974.2052899999999</v>
      </c>
      <c r="H138">
        <v>4949.7255299999997</v>
      </c>
      <c r="J138">
        <v>1775431200</v>
      </c>
      <c r="K138" t="s">
        <v>0</v>
      </c>
      <c r="L138" t="s">
        <v>2</v>
      </c>
      <c r="M138">
        <v>4619.92</v>
      </c>
      <c r="N138">
        <v>4618.3136800000002</v>
      </c>
      <c r="O138">
        <v>4623.0005499999997</v>
      </c>
      <c r="P138">
        <v>4625.3512700000001</v>
      </c>
      <c r="Q138">
        <v>4617.1724599999998</v>
      </c>
    </row>
    <row r="139" spans="1:17" x14ac:dyDescent="0.55000000000000004">
      <c r="A139">
        <v>1770973200</v>
      </c>
      <c r="B139" t="s">
        <v>0</v>
      </c>
      <c r="C139" t="s">
        <v>1</v>
      </c>
      <c r="D139">
        <v>4950.1000000000004</v>
      </c>
      <c r="E139">
        <v>4959.9444299999996</v>
      </c>
      <c r="F139">
        <v>4963.0256900000004</v>
      </c>
      <c r="G139">
        <v>4972.4092099999998</v>
      </c>
      <c r="H139">
        <v>4945.9080299999996</v>
      </c>
      <c r="J139">
        <v>1775431500</v>
      </c>
      <c r="K139" t="s">
        <v>0</v>
      </c>
      <c r="L139" t="s">
        <v>2</v>
      </c>
      <c r="M139">
        <v>4609.4799999999996</v>
      </c>
      <c r="N139">
        <v>4614.5224099999996</v>
      </c>
      <c r="O139">
        <v>4618.7614800000001</v>
      </c>
      <c r="P139">
        <v>4620.1356100000003</v>
      </c>
      <c r="Q139">
        <v>4613.4706999999999</v>
      </c>
    </row>
    <row r="140" spans="1:17" x14ac:dyDescent="0.55000000000000004">
      <c r="A140">
        <v>1770976800</v>
      </c>
      <c r="B140" t="s">
        <v>0</v>
      </c>
      <c r="C140" t="s">
        <v>1</v>
      </c>
      <c r="D140">
        <v>4953.88</v>
      </c>
      <c r="E140">
        <v>4961.3539000000001</v>
      </c>
      <c r="F140">
        <v>4962.1898000000001</v>
      </c>
      <c r="G140">
        <v>4974.5066699999998</v>
      </c>
      <c r="H140">
        <v>4944.8930300000002</v>
      </c>
      <c r="J140">
        <v>1775431800</v>
      </c>
      <c r="K140" t="s">
        <v>0</v>
      </c>
      <c r="L140" t="s">
        <v>2</v>
      </c>
      <c r="M140">
        <v>4615.4399999999996</v>
      </c>
      <c r="N140">
        <v>4612.2961999999998</v>
      </c>
      <c r="O140">
        <v>4615.5288399999999</v>
      </c>
      <c r="P140">
        <v>4616.5612199999996</v>
      </c>
      <c r="Q140">
        <v>4610.5015400000002</v>
      </c>
    </row>
    <row r="141" spans="1:17" x14ac:dyDescent="0.55000000000000004">
      <c r="A141">
        <v>1770980400</v>
      </c>
      <c r="B141" t="s">
        <v>0</v>
      </c>
      <c r="C141" t="s">
        <v>1</v>
      </c>
      <c r="D141">
        <v>4969.46</v>
      </c>
      <c r="E141">
        <v>4966.5804799999996</v>
      </c>
      <c r="F141">
        <v>4964.3851400000003</v>
      </c>
      <c r="G141">
        <v>4981.28179</v>
      </c>
      <c r="H141">
        <v>4947.7475299999996</v>
      </c>
      <c r="J141">
        <v>1775432100</v>
      </c>
      <c r="K141" t="s">
        <v>0</v>
      </c>
      <c r="L141" t="s">
        <v>2</v>
      </c>
      <c r="M141">
        <v>4614.28</v>
      </c>
      <c r="N141">
        <v>4611.5436499999996</v>
      </c>
      <c r="O141">
        <v>4613.5362400000004</v>
      </c>
      <c r="P141">
        <v>4614.9085299999997</v>
      </c>
      <c r="Q141">
        <v>4608.6942799999997</v>
      </c>
    </row>
    <row r="142" spans="1:17" x14ac:dyDescent="0.55000000000000004">
      <c r="A142">
        <v>1770984000</v>
      </c>
      <c r="B142" t="s">
        <v>0</v>
      </c>
      <c r="C142" t="s">
        <v>1</v>
      </c>
      <c r="D142">
        <v>4987.05</v>
      </c>
      <c r="E142">
        <v>4974.9626799999996</v>
      </c>
      <c r="F142">
        <v>4969.6739100000004</v>
      </c>
      <c r="G142">
        <v>4991.6441400000003</v>
      </c>
      <c r="H142">
        <v>4954.1848600000003</v>
      </c>
      <c r="J142">
        <v>1775432400</v>
      </c>
      <c r="K142" t="s">
        <v>0</v>
      </c>
      <c r="L142" t="s">
        <v>2</v>
      </c>
      <c r="M142">
        <v>4607.25</v>
      </c>
      <c r="N142">
        <v>4612.1248800000003</v>
      </c>
      <c r="O142">
        <v>4612.8305600000003</v>
      </c>
      <c r="P142">
        <v>4615.0315199999995</v>
      </c>
      <c r="Q142">
        <v>4608.0202300000001</v>
      </c>
    </row>
    <row r="143" spans="1:17" x14ac:dyDescent="0.55000000000000004">
      <c r="A143">
        <v>1770987600</v>
      </c>
      <c r="B143" t="s">
        <v>0</v>
      </c>
      <c r="C143" t="s">
        <v>1</v>
      </c>
      <c r="D143">
        <v>4995.5</v>
      </c>
      <c r="E143">
        <v>4985.4468999999999</v>
      </c>
      <c r="F143">
        <v>4977.5604000000003</v>
      </c>
      <c r="G143">
        <v>5003.8050000000003</v>
      </c>
      <c r="H143">
        <v>4963.9225900000001</v>
      </c>
      <c r="J143">
        <v>1775432700</v>
      </c>
      <c r="K143" t="s">
        <v>0</v>
      </c>
      <c r="L143" t="s">
        <v>2</v>
      </c>
      <c r="M143">
        <v>4613.58</v>
      </c>
      <c r="N143">
        <v>4613.8474200000001</v>
      </c>
      <c r="O143">
        <v>4613.3389900000002</v>
      </c>
      <c r="P143">
        <v>4616.6145100000003</v>
      </c>
      <c r="Q143">
        <v>4608.5599599999996</v>
      </c>
    </row>
    <row r="144" spans="1:17" x14ac:dyDescent="0.55000000000000004">
      <c r="A144">
        <v>1770991200</v>
      </c>
      <c r="B144" t="s">
        <v>0</v>
      </c>
      <c r="C144" t="s">
        <v>1</v>
      </c>
      <c r="D144">
        <v>4976.79</v>
      </c>
      <c r="E144">
        <v>4997.0491099999999</v>
      </c>
      <c r="F144">
        <v>4987.30476</v>
      </c>
      <c r="G144">
        <v>5016.2044999999998</v>
      </c>
      <c r="H144">
        <v>4976.2075999999997</v>
      </c>
      <c r="J144">
        <v>1775433000</v>
      </c>
      <c r="K144" t="s">
        <v>0</v>
      </c>
      <c r="L144" t="s">
        <v>2</v>
      </c>
      <c r="M144">
        <v>4616.92</v>
      </c>
      <c r="N144">
        <v>4616.0218000000004</v>
      </c>
      <c r="O144">
        <v>4614.6804000000002</v>
      </c>
      <c r="P144">
        <v>4619.0384999999997</v>
      </c>
      <c r="Q144">
        <v>4609.9696599999997</v>
      </c>
    </row>
    <row r="145" spans="1:17" x14ac:dyDescent="0.55000000000000004">
      <c r="A145">
        <v>1770994800</v>
      </c>
      <c r="B145" t="s">
        <v>0</v>
      </c>
      <c r="C145" t="s">
        <v>1</v>
      </c>
      <c r="D145">
        <v>5007.9799999999996</v>
      </c>
      <c r="E145">
        <v>5009.2182899999998</v>
      </c>
      <c r="F145">
        <v>4998.26152</v>
      </c>
      <c r="G145">
        <v>5027.41824</v>
      </c>
      <c r="H145">
        <v>4989.77063</v>
      </c>
      <c r="J145">
        <v>1775433300</v>
      </c>
      <c r="K145" t="s">
        <v>0</v>
      </c>
      <c r="L145" t="s">
        <v>2</v>
      </c>
      <c r="M145">
        <v>4610.53</v>
      </c>
      <c r="N145">
        <v>4618.0248499999998</v>
      </c>
      <c r="O145">
        <v>4616.3526300000003</v>
      </c>
      <c r="P145">
        <v>4621.6044199999997</v>
      </c>
      <c r="Q145">
        <v>4611.6280900000002</v>
      </c>
    </row>
    <row r="146" spans="1:17" x14ac:dyDescent="0.55000000000000004">
      <c r="A146">
        <v>1770998400</v>
      </c>
      <c r="B146" t="s">
        <v>0</v>
      </c>
      <c r="C146" t="s">
        <v>1</v>
      </c>
      <c r="D146">
        <v>5020.88</v>
      </c>
      <c r="E146">
        <v>5019.95208</v>
      </c>
      <c r="F146">
        <v>5009.1067999999996</v>
      </c>
      <c r="G146">
        <v>5036.1572100000003</v>
      </c>
      <c r="H146">
        <v>5003.13195</v>
      </c>
      <c r="J146">
        <v>1775433600</v>
      </c>
      <c r="K146" t="s">
        <v>0</v>
      </c>
      <c r="L146" t="s">
        <v>2</v>
      </c>
      <c r="M146">
        <v>4623.28</v>
      </c>
      <c r="N146">
        <v>4619.5503399999998</v>
      </c>
      <c r="O146">
        <v>4617.9514799999997</v>
      </c>
      <c r="P146">
        <v>4623.8075799999997</v>
      </c>
      <c r="Q146">
        <v>4613.0892700000004</v>
      </c>
    </row>
    <row r="147" spans="1:17" x14ac:dyDescent="0.55000000000000004">
      <c r="A147">
        <v>1771002000</v>
      </c>
      <c r="B147" t="s">
        <v>0</v>
      </c>
      <c r="C147" t="s">
        <v>1</v>
      </c>
      <c r="D147">
        <v>5031.2</v>
      </c>
      <c r="E147">
        <v>5028.0027700000001</v>
      </c>
      <c r="F147">
        <v>5018.5547900000001</v>
      </c>
      <c r="G147">
        <v>5042.0000799999998</v>
      </c>
      <c r="H147">
        <v>5014.0591100000001</v>
      </c>
      <c r="J147">
        <v>1775433900</v>
      </c>
      <c r="K147" t="s">
        <v>0</v>
      </c>
      <c r="L147" t="s">
        <v>2</v>
      </c>
      <c r="M147">
        <v>4623.1899999999996</v>
      </c>
      <c r="N147">
        <v>4619.9449699999996</v>
      </c>
      <c r="O147">
        <v>4618.94823</v>
      </c>
      <c r="P147">
        <v>4625.0669600000001</v>
      </c>
      <c r="Q147">
        <v>4613.9897199999996</v>
      </c>
    </row>
    <row r="148" spans="1:17" x14ac:dyDescent="0.55000000000000004">
      <c r="A148">
        <v>1771005600</v>
      </c>
      <c r="B148" t="s">
        <v>0</v>
      </c>
      <c r="C148" t="s">
        <v>1</v>
      </c>
      <c r="D148">
        <v>5025.79</v>
      </c>
      <c r="E148">
        <v>5032.5069599999997</v>
      </c>
      <c r="F148">
        <v>5025.5308699999996</v>
      </c>
      <c r="G148">
        <v>5044.6451500000003</v>
      </c>
      <c r="H148">
        <v>5021.1277600000003</v>
      </c>
      <c r="J148">
        <v>1775434200</v>
      </c>
      <c r="K148" t="s">
        <v>0</v>
      </c>
      <c r="L148" t="s">
        <v>2</v>
      </c>
      <c r="M148">
        <v>4626.16</v>
      </c>
      <c r="N148">
        <v>4619.1158100000002</v>
      </c>
      <c r="O148">
        <v>4619.0320199999996</v>
      </c>
      <c r="P148">
        <v>4625.0957799999996</v>
      </c>
      <c r="Q148">
        <v>4613.8329199999998</v>
      </c>
    </row>
    <row r="149" spans="1:17" x14ac:dyDescent="0.55000000000000004">
      <c r="A149">
        <v>1771009200</v>
      </c>
      <c r="B149" t="s">
        <v>0</v>
      </c>
      <c r="C149" t="s">
        <v>1</v>
      </c>
      <c r="D149">
        <v>5032.3500000000004</v>
      </c>
      <c r="E149">
        <v>5033.5340500000002</v>
      </c>
      <c r="F149">
        <v>5029.5324600000004</v>
      </c>
      <c r="G149">
        <v>5043.9608699999999</v>
      </c>
      <c r="H149">
        <v>5023.5778899999996</v>
      </c>
      <c r="J149">
        <v>1775434500</v>
      </c>
      <c r="K149" t="s">
        <v>0</v>
      </c>
      <c r="L149" t="s">
        <v>2</v>
      </c>
      <c r="M149">
        <v>4614.87</v>
      </c>
      <c r="N149">
        <v>4617.1842200000001</v>
      </c>
      <c r="O149">
        <v>4618.1081199999999</v>
      </c>
      <c r="P149">
        <v>4623.9011600000003</v>
      </c>
      <c r="Q149">
        <v>4612.5855300000003</v>
      </c>
    </row>
    <row r="150" spans="1:17" x14ac:dyDescent="0.55000000000000004">
      <c r="A150">
        <v>1771012800</v>
      </c>
      <c r="B150" t="s">
        <v>0</v>
      </c>
      <c r="C150" t="s">
        <v>1</v>
      </c>
      <c r="D150">
        <v>5041.6899999999996</v>
      </c>
      <c r="E150">
        <v>5030.9117200000001</v>
      </c>
      <c r="F150">
        <v>5030.2220900000002</v>
      </c>
      <c r="G150">
        <v>5040.6424299999999</v>
      </c>
      <c r="H150">
        <v>5021.4229800000003</v>
      </c>
      <c r="J150">
        <v>1775434800</v>
      </c>
      <c r="K150" t="s">
        <v>0</v>
      </c>
      <c r="L150" t="s">
        <v>2</v>
      </c>
      <c r="M150">
        <v>4617.09</v>
      </c>
      <c r="N150">
        <v>4614.8605200000002</v>
      </c>
      <c r="O150">
        <v>4616.4843199999996</v>
      </c>
      <c r="P150">
        <v>4621.7020599999996</v>
      </c>
      <c r="Q150">
        <v>4610.7120400000003</v>
      </c>
    </row>
    <row r="151" spans="1:17" x14ac:dyDescent="0.55000000000000004">
      <c r="A151">
        <v>1771192800</v>
      </c>
      <c r="B151" t="s">
        <v>0</v>
      </c>
      <c r="C151" t="s">
        <v>1</v>
      </c>
      <c r="D151">
        <v>5020.6000000000004</v>
      </c>
      <c r="E151">
        <v>5024.8770199999999</v>
      </c>
      <c r="F151">
        <v>5027.5495600000004</v>
      </c>
      <c r="G151">
        <v>5034.9198500000002</v>
      </c>
      <c r="H151">
        <v>5015.0391499999996</v>
      </c>
      <c r="J151">
        <v>1775435100</v>
      </c>
      <c r="K151" t="s">
        <v>0</v>
      </c>
      <c r="L151" t="s">
        <v>2</v>
      </c>
      <c r="M151">
        <v>4603.5200000000004</v>
      </c>
      <c r="N151">
        <v>4612.6509699999997</v>
      </c>
      <c r="O151">
        <v>4614.56765</v>
      </c>
      <c r="P151">
        <v>4619.1656899999998</v>
      </c>
      <c r="Q151">
        <v>4608.7485900000001</v>
      </c>
    </row>
    <row r="152" spans="1:17" x14ac:dyDescent="0.55000000000000004">
      <c r="A152">
        <v>1771196400</v>
      </c>
      <c r="B152" t="s">
        <v>0</v>
      </c>
      <c r="C152" t="s">
        <v>1</v>
      </c>
      <c r="D152">
        <v>5015.6499999999996</v>
      </c>
      <c r="E152">
        <v>5016.8657400000002</v>
      </c>
      <c r="F152">
        <v>5022.2076500000003</v>
      </c>
      <c r="G152">
        <v>5027.7104300000001</v>
      </c>
      <c r="H152">
        <v>5006.0875699999997</v>
      </c>
      <c r="J152">
        <v>1775435400</v>
      </c>
      <c r="K152" t="s">
        <v>0</v>
      </c>
      <c r="L152" t="s">
        <v>2</v>
      </c>
      <c r="M152">
        <v>4609.2</v>
      </c>
      <c r="N152">
        <v>4611.4684500000003</v>
      </c>
      <c r="O152">
        <v>4613.0180499999997</v>
      </c>
      <c r="P152">
        <v>4616.9894599999998</v>
      </c>
      <c r="Q152">
        <v>4607.5706200000004</v>
      </c>
    </row>
    <row r="153" spans="1:17" x14ac:dyDescent="0.55000000000000004">
      <c r="A153">
        <v>1771200000</v>
      </c>
      <c r="B153" t="s">
        <v>0</v>
      </c>
      <c r="C153" t="s">
        <v>1</v>
      </c>
      <c r="D153">
        <v>5028.8599999999997</v>
      </c>
      <c r="E153">
        <v>5008.3659200000002</v>
      </c>
      <c r="F153">
        <v>5015.2867800000004</v>
      </c>
      <c r="G153">
        <v>5020.1553199999998</v>
      </c>
      <c r="H153">
        <v>4996.6299799999997</v>
      </c>
      <c r="J153">
        <v>1775435700</v>
      </c>
      <c r="K153" t="s">
        <v>0</v>
      </c>
      <c r="L153" t="s">
        <v>2</v>
      </c>
      <c r="M153">
        <v>4610.5600000000004</v>
      </c>
      <c r="N153">
        <v>4611.6755800000001</v>
      </c>
      <c r="O153">
        <v>4612.34681</v>
      </c>
      <c r="P153">
        <v>4615.9714599999998</v>
      </c>
      <c r="Q153">
        <v>4607.6396299999997</v>
      </c>
    </row>
    <row r="154" spans="1:17" x14ac:dyDescent="0.55000000000000004">
      <c r="A154">
        <v>1771203600</v>
      </c>
      <c r="B154" t="s">
        <v>0</v>
      </c>
      <c r="C154" t="s">
        <v>1</v>
      </c>
      <c r="D154">
        <v>4994.78</v>
      </c>
      <c r="E154">
        <v>5000.2474899999997</v>
      </c>
      <c r="F154">
        <v>5007.7671399999999</v>
      </c>
      <c r="G154">
        <v>5012.9672600000004</v>
      </c>
      <c r="H154">
        <v>4987.8797800000002</v>
      </c>
      <c r="J154">
        <v>1775436000</v>
      </c>
      <c r="K154" t="s">
        <v>0</v>
      </c>
      <c r="L154" t="s">
        <v>2</v>
      </c>
      <c r="M154">
        <v>4619.16</v>
      </c>
      <c r="N154">
        <v>4613.46515</v>
      </c>
      <c r="O154">
        <v>4612.9059800000005</v>
      </c>
      <c r="P154">
        <v>4616.5727699999998</v>
      </c>
      <c r="Q154">
        <v>4609.1351199999999</v>
      </c>
    </row>
    <row r="155" spans="1:17" x14ac:dyDescent="0.55000000000000004">
      <c r="A155">
        <v>1771207200</v>
      </c>
      <c r="B155" t="s">
        <v>0</v>
      </c>
      <c r="C155" t="s">
        <v>1</v>
      </c>
      <c r="D155">
        <v>4987.72</v>
      </c>
      <c r="E155">
        <v>4994.4473600000001</v>
      </c>
      <c r="F155">
        <v>5001.10725</v>
      </c>
      <c r="G155">
        <v>5006.9335700000001</v>
      </c>
      <c r="H155">
        <v>4981.4739499999996</v>
      </c>
      <c r="J155">
        <v>1775436300</v>
      </c>
      <c r="K155" t="s">
        <v>0</v>
      </c>
      <c r="L155" t="s">
        <v>2</v>
      </c>
      <c r="M155">
        <v>4617.8</v>
      </c>
      <c r="N155">
        <v>4616.5817100000004</v>
      </c>
      <c r="O155">
        <v>4614.7438499999998</v>
      </c>
      <c r="P155">
        <v>4618.7831999999999</v>
      </c>
      <c r="Q155">
        <v>4611.93649</v>
      </c>
    </row>
    <row r="156" spans="1:17" x14ac:dyDescent="0.55000000000000004">
      <c r="A156">
        <v>1771210800</v>
      </c>
      <c r="B156" t="s">
        <v>0</v>
      </c>
      <c r="C156" t="s">
        <v>1</v>
      </c>
      <c r="D156">
        <v>4977.1000000000004</v>
      </c>
      <c r="E156">
        <v>4991.7268000000004</v>
      </c>
      <c r="F156">
        <v>4996.4170299999996</v>
      </c>
      <c r="G156">
        <v>5003.3408600000002</v>
      </c>
      <c r="H156">
        <v>4978.4817899999998</v>
      </c>
      <c r="J156">
        <v>1775436600</v>
      </c>
      <c r="K156" t="s">
        <v>0</v>
      </c>
      <c r="L156" t="s">
        <v>2</v>
      </c>
      <c r="M156">
        <v>4621.3</v>
      </c>
      <c r="N156">
        <v>4620.7816700000003</v>
      </c>
      <c r="O156">
        <v>4617.7627599999996</v>
      </c>
      <c r="P156">
        <v>4622.5082000000002</v>
      </c>
      <c r="Q156">
        <v>4615.6148000000003</v>
      </c>
    </row>
    <row r="157" spans="1:17" x14ac:dyDescent="0.55000000000000004">
      <c r="A157">
        <v>1771214400</v>
      </c>
      <c r="B157" t="s">
        <v>0</v>
      </c>
      <c r="C157" t="s">
        <v>1</v>
      </c>
      <c r="D157">
        <v>4990.59</v>
      </c>
      <c r="E157">
        <v>4992.5215699999999</v>
      </c>
      <c r="F157">
        <v>4994.4692999999997</v>
      </c>
      <c r="G157">
        <v>5002.5221700000002</v>
      </c>
      <c r="H157">
        <v>4979.1091200000001</v>
      </c>
      <c r="J157">
        <v>1775436900</v>
      </c>
      <c r="K157" t="s">
        <v>0</v>
      </c>
      <c r="L157" t="s">
        <v>2</v>
      </c>
      <c r="M157">
        <v>4622.5200000000004</v>
      </c>
      <c r="N157">
        <v>4625.5099200000004</v>
      </c>
      <c r="O157">
        <v>4621.63634</v>
      </c>
      <c r="P157">
        <v>4627.3999400000002</v>
      </c>
      <c r="Q157">
        <v>4619.7752200000004</v>
      </c>
    </row>
    <row r="158" spans="1:17" x14ac:dyDescent="0.55000000000000004">
      <c r="A158">
        <v>1771218000</v>
      </c>
      <c r="B158" t="s">
        <v>0</v>
      </c>
      <c r="C158" t="s">
        <v>1</v>
      </c>
      <c r="D158">
        <v>4994.9399999999996</v>
      </c>
      <c r="E158">
        <v>4995.7699300000004</v>
      </c>
      <c r="F158">
        <v>4995.1196099999997</v>
      </c>
      <c r="G158">
        <v>5004.1744399999998</v>
      </c>
      <c r="H158">
        <v>4982.9379900000004</v>
      </c>
      <c r="J158">
        <v>1775437200</v>
      </c>
      <c r="K158" t="s">
        <v>0</v>
      </c>
      <c r="L158" t="s">
        <v>2</v>
      </c>
      <c r="M158">
        <v>4631.26</v>
      </c>
      <c r="N158">
        <v>4630.1856200000002</v>
      </c>
      <c r="O158">
        <v>4625.9109799999997</v>
      </c>
      <c r="P158">
        <v>4632.7437</v>
      </c>
      <c r="Q158">
        <v>4623.8327900000004</v>
      </c>
    </row>
    <row r="159" spans="1:17" x14ac:dyDescent="0.55000000000000004">
      <c r="A159">
        <v>1771221600</v>
      </c>
      <c r="B159" t="s">
        <v>0</v>
      </c>
      <c r="C159" t="s">
        <v>1</v>
      </c>
      <c r="D159">
        <v>5007.16</v>
      </c>
      <c r="E159">
        <v>5000.1574899999996</v>
      </c>
      <c r="F159">
        <v>4997.6385499999997</v>
      </c>
      <c r="G159">
        <v>5007.1665800000001</v>
      </c>
      <c r="H159">
        <v>4988.2504900000004</v>
      </c>
      <c r="J159">
        <v>1775437500</v>
      </c>
      <c r="K159" t="s">
        <v>0</v>
      </c>
      <c r="L159" t="s">
        <v>2</v>
      </c>
      <c r="M159">
        <v>4637.6499999999996</v>
      </c>
      <c r="N159">
        <v>4634.0378199999996</v>
      </c>
      <c r="O159">
        <v>4629.9744000000001</v>
      </c>
      <c r="P159">
        <v>4637.6982200000002</v>
      </c>
      <c r="Q159">
        <v>4627.26224</v>
      </c>
    </row>
    <row r="160" spans="1:17" x14ac:dyDescent="0.55000000000000004">
      <c r="A160">
        <v>1771225200</v>
      </c>
      <c r="B160" t="s">
        <v>0</v>
      </c>
      <c r="C160" t="s">
        <v>1</v>
      </c>
      <c r="D160">
        <v>5008.04</v>
      </c>
      <c r="E160">
        <v>5004.05962</v>
      </c>
      <c r="F160">
        <v>5000.8490899999997</v>
      </c>
      <c r="G160">
        <v>5010.1967500000001</v>
      </c>
      <c r="H160">
        <v>4993.3869599999998</v>
      </c>
      <c r="J160">
        <v>1775437800</v>
      </c>
      <c r="K160" t="s">
        <v>0</v>
      </c>
      <c r="L160" t="s">
        <v>2</v>
      </c>
      <c r="M160">
        <v>4641.83</v>
      </c>
      <c r="N160">
        <v>4636.4624100000001</v>
      </c>
      <c r="O160">
        <v>4633.2183999999997</v>
      </c>
      <c r="P160">
        <v>4641.38004</v>
      </c>
      <c r="Q160">
        <v>4629.5903699999999</v>
      </c>
    </row>
    <row r="161" spans="1:17" x14ac:dyDescent="0.55000000000000004">
      <c r="A161">
        <v>1771228800</v>
      </c>
      <c r="B161" t="s">
        <v>0</v>
      </c>
      <c r="C161" t="s">
        <v>1</v>
      </c>
      <c r="D161">
        <v>5013.5200000000004</v>
      </c>
      <c r="E161">
        <v>5006.3441000000003</v>
      </c>
      <c r="F161">
        <v>5003.5965999999999</v>
      </c>
      <c r="G161">
        <v>5012.1412300000002</v>
      </c>
      <c r="H161">
        <v>4996.9365100000005</v>
      </c>
      <c r="J161">
        <v>1775438100</v>
      </c>
      <c r="K161" t="s">
        <v>0</v>
      </c>
      <c r="L161" t="s">
        <v>2</v>
      </c>
      <c r="M161">
        <v>4625.1099999999997</v>
      </c>
      <c r="N161">
        <v>4637.13555</v>
      </c>
      <c r="O161">
        <v>4635.1769800000002</v>
      </c>
      <c r="P161">
        <v>4643.2445200000002</v>
      </c>
      <c r="Q161">
        <v>4630.3998099999999</v>
      </c>
    </row>
    <row r="162" spans="1:17" x14ac:dyDescent="0.55000000000000004">
      <c r="A162">
        <v>1771232400</v>
      </c>
      <c r="B162" t="s">
        <v>0</v>
      </c>
      <c r="C162" t="s">
        <v>1</v>
      </c>
      <c r="D162">
        <v>5006.12</v>
      </c>
      <c r="E162">
        <v>5006.2873300000001</v>
      </c>
      <c r="F162">
        <v>5004.9419600000001</v>
      </c>
      <c r="G162">
        <v>5012.1737400000002</v>
      </c>
      <c r="H162">
        <v>4997.8218100000004</v>
      </c>
      <c r="J162">
        <v>1775438400</v>
      </c>
      <c r="K162" t="s">
        <v>0</v>
      </c>
      <c r="L162" t="s">
        <v>2</v>
      </c>
      <c r="M162">
        <v>4632.76</v>
      </c>
      <c r="N162">
        <v>4636.5198600000003</v>
      </c>
      <c r="O162">
        <v>4635.8484200000003</v>
      </c>
      <c r="P162">
        <v>4643.0847199999998</v>
      </c>
      <c r="Q162">
        <v>4630.0613999999996</v>
      </c>
    </row>
    <row r="163" spans="1:17" x14ac:dyDescent="0.55000000000000004">
      <c r="A163">
        <v>1771236000</v>
      </c>
      <c r="B163" t="s">
        <v>0</v>
      </c>
      <c r="C163" t="s">
        <v>1</v>
      </c>
      <c r="D163">
        <v>5004.33</v>
      </c>
      <c r="E163">
        <v>5004.26242</v>
      </c>
      <c r="F163">
        <v>5004.6021899999996</v>
      </c>
      <c r="G163">
        <v>5010.1793399999997</v>
      </c>
      <c r="H163">
        <v>4996.3184700000002</v>
      </c>
      <c r="J163">
        <v>1775438700</v>
      </c>
      <c r="K163" t="s">
        <v>0</v>
      </c>
      <c r="L163" t="s">
        <v>2</v>
      </c>
      <c r="M163">
        <v>4641.0200000000004</v>
      </c>
      <c r="N163">
        <v>4634.6832100000001</v>
      </c>
      <c r="O163">
        <v>4635.2658199999996</v>
      </c>
      <c r="P163">
        <v>4641.2359800000004</v>
      </c>
      <c r="Q163">
        <v>4628.8650399999997</v>
      </c>
    </row>
    <row r="164" spans="1:17" x14ac:dyDescent="0.55000000000000004">
      <c r="A164">
        <v>1771239600</v>
      </c>
      <c r="B164" t="s">
        <v>0</v>
      </c>
      <c r="C164" t="s">
        <v>1</v>
      </c>
      <c r="D164">
        <v>5002.1099999999997</v>
      </c>
      <c r="E164">
        <v>5000.9480599999997</v>
      </c>
      <c r="F164">
        <v>5002.7751200000002</v>
      </c>
      <c r="G164">
        <v>5006.8055700000004</v>
      </c>
      <c r="H164">
        <v>4993.1681500000004</v>
      </c>
      <c r="J164">
        <v>1775439000</v>
      </c>
      <c r="K164" t="s">
        <v>0</v>
      </c>
      <c r="L164" t="s">
        <v>2</v>
      </c>
      <c r="M164">
        <v>4628.82</v>
      </c>
      <c r="N164">
        <v>4631.8258999999998</v>
      </c>
      <c r="O164">
        <v>4633.5458600000002</v>
      </c>
      <c r="P164">
        <v>4637.9871300000004</v>
      </c>
      <c r="Q164">
        <v>4626.8162499999999</v>
      </c>
    </row>
    <row r="165" spans="1:17" x14ac:dyDescent="0.55000000000000004">
      <c r="A165">
        <v>1771243200</v>
      </c>
      <c r="B165" t="s">
        <v>0</v>
      </c>
      <c r="C165" t="s">
        <v>1</v>
      </c>
      <c r="D165">
        <v>4997.18</v>
      </c>
      <c r="E165">
        <v>4997.2590200000004</v>
      </c>
      <c r="F165">
        <v>5000.0170699999999</v>
      </c>
      <c r="G165">
        <v>5002.8062900000004</v>
      </c>
      <c r="H165">
        <v>4989.5369099999998</v>
      </c>
      <c r="J165">
        <v>1775439300</v>
      </c>
      <c r="K165" t="s">
        <v>0</v>
      </c>
      <c r="L165" t="s">
        <v>2</v>
      </c>
      <c r="M165">
        <v>4635.1899999999996</v>
      </c>
      <c r="N165">
        <v>4628.8602799999999</v>
      </c>
      <c r="O165">
        <v>4631.2030699999996</v>
      </c>
      <c r="P165">
        <v>4634.04061</v>
      </c>
      <c r="Q165">
        <v>4624.4709800000001</v>
      </c>
    </row>
    <row r="166" spans="1:17" x14ac:dyDescent="0.55000000000000004">
      <c r="A166">
        <v>1771246800</v>
      </c>
      <c r="B166" t="s">
        <v>0</v>
      </c>
      <c r="C166" t="s">
        <v>1</v>
      </c>
      <c r="D166">
        <v>4988.2700000000004</v>
      </c>
      <c r="E166">
        <v>4993.9698900000003</v>
      </c>
      <c r="F166">
        <v>4996.9934800000001</v>
      </c>
      <c r="G166">
        <v>4999.1200099999996</v>
      </c>
      <c r="H166">
        <v>4986.3577999999998</v>
      </c>
      <c r="J166">
        <v>1775439600</v>
      </c>
      <c r="K166" t="s">
        <v>0</v>
      </c>
      <c r="L166" t="s">
        <v>2</v>
      </c>
      <c r="M166">
        <v>4628.21</v>
      </c>
      <c r="N166">
        <v>4626.3064599999998</v>
      </c>
      <c r="O166">
        <v>4628.7547699999996</v>
      </c>
      <c r="P166">
        <v>4630.4286899999997</v>
      </c>
      <c r="Q166">
        <v>4622.3483200000001</v>
      </c>
    </row>
    <row r="167" spans="1:17" x14ac:dyDescent="0.55000000000000004">
      <c r="A167">
        <v>1771250400</v>
      </c>
      <c r="B167" t="s">
        <v>0</v>
      </c>
      <c r="C167" t="s">
        <v>1</v>
      </c>
      <c r="D167">
        <v>4979.59</v>
      </c>
      <c r="E167">
        <v>4991.5427399999999</v>
      </c>
      <c r="F167">
        <v>4994.26811</v>
      </c>
      <c r="G167">
        <v>4996.44146</v>
      </c>
      <c r="H167">
        <v>4984.2127600000003</v>
      </c>
      <c r="J167">
        <v>1775439900</v>
      </c>
      <c r="K167" t="s">
        <v>0</v>
      </c>
      <c r="L167" t="s">
        <v>2</v>
      </c>
      <c r="M167">
        <v>4623.55</v>
      </c>
      <c r="N167">
        <v>4624.9736000000003</v>
      </c>
      <c r="O167">
        <v>4626.8641799999996</v>
      </c>
      <c r="P167">
        <v>4628.0294100000001</v>
      </c>
      <c r="Q167">
        <v>4621.0247900000004</v>
      </c>
    </row>
    <row r="168" spans="1:17" x14ac:dyDescent="0.55000000000000004">
      <c r="A168">
        <v>1771254000</v>
      </c>
      <c r="B168" t="s">
        <v>0</v>
      </c>
      <c r="C168" t="s">
        <v>1</v>
      </c>
      <c r="D168">
        <v>4988.2</v>
      </c>
      <c r="E168">
        <v>4989.9709499999999</v>
      </c>
      <c r="F168">
        <v>4992.1195299999999</v>
      </c>
      <c r="G168">
        <v>4995.2219500000001</v>
      </c>
      <c r="H168">
        <v>4983.16644</v>
      </c>
      <c r="J168">
        <v>1775440200</v>
      </c>
      <c r="K168" t="s">
        <v>0</v>
      </c>
      <c r="L168" t="s">
        <v>2</v>
      </c>
      <c r="M168">
        <v>4626.3599999999997</v>
      </c>
      <c r="N168">
        <v>4625.4562400000004</v>
      </c>
      <c r="O168">
        <v>4626.16021</v>
      </c>
      <c r="P168">
        <v>4627.6728800000001</v>
      </c>
      <c r="Q168">
        <v>4620.9570899999999</v>
      </c>
    </row>
    <row r="169" spans="1:17" x14ac:dyDescent="0.55000000000000004">
      <c r="A169">
        <v>1771257600</v>
      </c>
      <c r="B169" t="s">
        <v>0</v>
      </c>
      <c r="C169" t="s">
        <v>1</v>
      </c>
      <c r="D169">
        <v>4991.57</v>
      </c>
      <c r="E169">
        <v>4988.4647999999997</v>
      </c>
      <c r="F169">
        <v>4990.2921699999997</v>
      </c>
      <c r="G169">
        <v>4995.0953799999997</v>
      </c>
      <c r="H169">
        <v>4982.3316199999999</v>
      </c>
      <c r="J169">
        <v>1775440500</v>
      </c>
      <c r="K169" t="s">
        <v>0</v>
      </c>
      <c r="L169" t="s">
        <v>2</v>
      </c>
      <c r="M169">
        <v>4625.9799999999996</v>
      </c>
      <c r="N169">
        <v>4627.8990000000003</v>
      </c>
      <c r="O169">
        <v>4627.0296099999996</v>
      </c>
      <c r="P169">
        <v>4629.77016</v>
      </c>
      <c r="Q169">
        <v>4622.4919600000003</v>
      </c>
    </row>
    <row r="170" spans="1:17" x14ac:dyDescent="0.55000000000000004">
      <c r="A170">
        <v>1771261200</v>
      </c>
      <c r="B170" t="s">
        <v>0</v>
      </c>
      <c r="C170" t="s">
        <v>1</v>
      </c>
      <c r="D170">
        <v>4994.7299999999996</v>
      </c>
      <c r="E170">
        <v>4986.2338799999998</v>
      </c>
      <c r="F170">
        <v>4988.2630200000003</v>
      </c>
      <c r="G170">
        <v>4995.1813300000003</v>
      </c>
      <c r="H170">
        <v>4980.2255500000001</v>
      </c>
      <c r="J170">
        <v>1775440800</v>
      </c>
      <c r="K170" t="s">
        <v>0</v>
      </c>
      <c r="L170" t="s">
        <v>2</v>
      </c>
      <c r="M170">
        <v>4629.6000000000004</v>
      </c>
      <c r="N170">
        <v>4632.2258899999997</v>
      </c>
      <c r="O170">
        <v>4629.6277499999997</v>
      </c>
      <c r="P170">
        <v>4634.2308800000001</v>
      </c>
      <c r="Q170">
        <v>4625.71144</v>
      </c>
    </row>
    <row r="171" spans="1:17" x14ac:dyDescent="0.55000000000000004">
      <c r="A171">
        <v>1771264800</v>
      </c>
      <c r="B171" t="s">
        <v>0</v>
      </c>
      <c r="C171" t="s">
        <v>1</v>
      </c>
      <c r="D171">
        <v>4991.75</v>
      </c>
      <c r="E171">
        <v>4982.4656299999997</v>
      </c>
      <c r="F171">
        <v>4985.3643300000003</v>
      </c>
      <c r="G171">
        <v>4994.5155800000002</v>
      </c>
      <c r="H171">
        <v>4975.8433000000005</v>
      </c>
      <c r="J171">
        <v>1775441100</v>
      </c>
      <c r="K171" t="s">
        <v>0</v>
      </c>
      <c r="L171" t="s">
        <v>2</v>
      </c>
      <c r="M171">
        <v>4632.28</v>
      </c>
      <c r="N171">
        <v>4637.9561000000003</v>
      </c>
      <c r="O171">
        <v>4633.7919300000003</v>
      </c>
      <c r="P171">
        <v>4640.5057100000004</v>
      </c>
      <c r="Q171">
        <v>4630.4324500000002</v>
      </c>
    </row>
    <row r="172" spans="1:17" x14ac:dyDescent="0.55000000000000004">
      <c r="A172">
        <v>1771279200</v>
      </c>
      <c r="B172" t="s">
        <v>0</v>
      </c>
      <c r="C172" t="s">
        <v>1</v>
      </c>
      <c r="D172">
        <v>4989.79</v>
      </c>
      <c r="E172">
        <v>4976.7347600000003</v>
      </c>
      <c r="F172">
        <v>4981.04954</v>
      </c>
      <c r="G172">
        <v>4992.1954299999998</v>
      </c>
      <c r="H172">
        <v>4968.5187599999999</v>
      </c>
      <c r="J172">
        <v>1775441400</v>
      </c>
      <c r="K172" t="s">
        <v>0</v>
      </c>
      <c r="L172" t="s">
        <v>2</v>
      </c>
      <c r="M172">
        <v>4636.2700000000004</v>
      </c>
      <c r="N172">
        <v>4644.42148</v>
      </c>
      <c r="O172">
        <v>4639.1067000000003</v>
      </c>
      <c r="P172">
        <v>4647.7893299999996</v>
      </c>
      <c r="Q172">
        <v>4636.1905500000003</v>
      </c>
    </row>
    <row r="173" spans="1:17" x14ac:dyDescent="0.55000000000000004">
      <c r="A173">
        <v>1771282800</v>
      </c>
      <c r="B173" t="s">
        <v>0</v>
      </c>
      <c r="C173" t="s">
        <v>1</v>
      </c>
      <c r="D173">
        <v>4935.6400000000003</v>
      </c>
      <c r="E173">
        <v>4968.9703200000004</v>
      </c>
      <c r="F173">
        <v>4975.0099300000002</v>
      </c>
      <c r="G173">
        <v>4987.4331499999998</v>
      </c>
      <c r="H173">
        <v>4958.4504999999999</v>
      </c>
      <c r="J173">
        <v>1775441700</v>
      </c>
      <c r="K173" t="s">
        <v>0</v>
      </c>
      <c r="L173" t="s">
        <v>2</v>
      </c>
      <c r="M173">
        <v>4663.26</v>
      </c>
      <c r="N173">
        <v>4650.7967399999998</v>
      </c>
      <c r="O173">
        <v>4644.95172</v>
      </c>
      <c r="P173">
        <v>4655.0013099999996</v>
      </c>
      <c r="Q173">
        <v>4642.3179899999996</v>
      </c>
    </row>
    <row r="174" spans="1:17" x14ac:dyDescent="0.55000000000000004">
      <c r="A174">
        <v>1771286400</v>
      </c>
      <c r="B174" t="s">
        <v>0</v>
      </c>
      <c r="C174" t="s">
        <v>1</v>
      </c>
      <c r="D174">
        <v>4957.47</v>
      </c>
      <c r="E174">
        <v>4960.8678399999999</v>
      </c>
      <c r="F174">
        <v>4967.9388799999997</v>
      </c>
      <c r="G174">
        <v>4980.2569299999996</v>
      </c>
      <c r="H174">
        <v>4947.6328700000004</v>
      </c>
      <c r="J174">
        <v>1775442000</v>
      </c>
      <c r="K174" t="s">
        <v>0</v>
      </c>
      <c r="L174" t="s">
        <v>2</v>
      </c>
      <c r="M174">
        <v>4665.33</v>
      </c>
      <c r="N174">
        <v>4655.6768199999997</v>
      </c>
      <c r="O174">
        <v>4650.3142699999999</v>
      </c>
      <c r="P174">
        <v>4660.6690399999998</v>
      </c>
      <c r="Q174">
        <v>4648.0223400000004</v>
      </c>
    </row>
    <row r="175" spans="1:17" x14ac:dyDescent="0.55000000000000004">
      <c r="A175">
        <v>1771290000</v>
      </c>
      <c r="B175" t="s">
        <v>0</v>
      </c>
      <c r="C175" t="s">
        <v>1</v>
      </c>
      <c r="D175">
        <v>4967.1899999999996</v>
      </c>
      <c r="E175">
        <v>4952.1824699999997</v>
      </c>
      <c r="F175">
        <v>4960.0606799999996</v>
      </c>
      <c r="G175">
        <v>4971.6385799999998</v>
      </c>
      <c r="H175">
        <v>4937.0660399999997</v>
      </c>
      <c r="J175">
        <v>1775442300</v>
      </c>
      <c r="K175" t="s">
        <v>0</v>
      </c>
      <c r="L175" t="s">
        <v>2</v>
      </c>
      <c r="M175">
        <v>4661.16</v>
      </c>
      <c r="N175">
        <v>4658.5065999999997</v>
      </c>
      <c r="O175">
        <v>4654.4104299999999</v>
      </c>
      <c r="P175">
        <v>4664.0313800000004</v>
      </c>
      <c r="Q175">
        <v>4652.0402899999999</v>
      </c>
    </row>
    <row r="176" spans="1:17" x14ac:dyDescent="0.55000000000000004">
      <c r="A176">
        <v>1771293600</v>
      </c>
      <c r="B176" t="s">
        <v>0</v>
      </c>
      <c r="C176" t="s">
        <v>1</v>
      </c>
      <c r="D176">
        <v>4956.76</v>
      </c>
      <c r="E176">
        <v>4942.9771799999999</v>
      </c>
      <c r="F176">
        <v>4951.5189300000002</v>
      </c>
      <c r="G176">
        <v>4962.0141299999996</v>
      </c>
      <c r="H176">
        <v>4926.6123100000004</v>
      </c>
      <c r="J176">
        <v>1775442600</v>
      </c>
      <c r="K176" t="s">
        <v>0</v>
      </c>
      <c r="L176" t="s">
        <v>2</v>
      </c>
      <c r="M176">
        <v>4654.38</v>
      </c>
      <c r="N176">
        <v>4659.2057599999998</v>
      </c>
      <c r="O176">
        <v>4656.8081000000002</v>
      </c>
      <c r="P176">
        <v>4664.9805500000002</v>
      </c>
      <c r="Q176">
        <v>4654.0630199999996</v>
      </c>
    </row>
    <row r="177" spans="1:17" x14ac:dyDescent="0.55000000000000004">
      <c r="A177">
        <v>1771297200</v>
      </c>
      <c r="B177" t="s">
        <v>0</v>
      </c>
      <c r="C177" t="s">
        <v>1</v>
      </c>
      <c r="D177">
        <v>4953.1400000000003</v>
      </c>
      <c r="E177">
        <v>4934.0653000000002</v>
      </c>
      <c r="F177">
        <v>4942.7921200000001</v>
      </c>
      <c r="G177">
        <v>4952.2582499999999</v>
      </c>
      <c r="H177">
        <v>4917.0724300000002</v>
      </c>
      <c r="J177">
        <v>1775442900</v>
      </c>
      <c r="K177" t="s">
        <v>0</v>
      </c>
      <c r="L177" t="s">
        <v>2</v>
      </c>
      <c r="M177">
        <v>4651.3999999999996</v>
      </c>
      <c r="N177">
        <v>4658.01415</v>
      </c>
      <c r="O177">
        <v>4657.4111300000004</v>
      </c>
      <c r="P177">
        <v>4663.6978200000003</v>
      </c>
      <c r="Q177">
        <v>4654.1077999999998</v>
      </c>
    </row>
    <row r="178" spans="1:17" x14ac:dyDescent="0.55000000000000004">
      <c r="A178">
        <v>1771300800</v>
      </c>
      <c r="B178" t="s">
        <v>0</v>
      </c>
      <c r="C178" t="s">
        <v>1</v>
      </c>
      <c r="D178">
        <v>4888.84</v>
      </c>
      <c r="E178">
        <v>4926.1338699999997</v>
      </c>
      <c r="F178">
        <v>4934.46299</v>
      </c>
      <c r="G178">
        <v>4943.4840800000002</v>
      </c>
      <c r="H178">
        <v>4909.2046200000004</v>
      </c>
      <c r="J178">
        <v>1775443200</v>
      </c>
      <c r="K178" t="s">
        <v>0</v>
      </c>
      <c r="L178" t="s">
        <v>2</v>
      </c>
      <c r="M178">
        <v>4651.07</v>
      </c>
      <c r="N178">
        <v>4655.2921100000003</v>
      </c>
      <c r="O178">
        <v>4656.3516200000004</v>
      </c>
      <c r="P178">
        <v>4660.8784100000003</v>
      </c>
      <c r="Q178">
        <v>4652.5263199999999</v>
      </c>
    </row>
    <row r="179" spans="1:17" x14ac:dyDescent="0.55000000000000004">
      <c r="A179">
        <v>1771304400</v>
      </c>
      <c r="B179" t="s">
        <v>0</v>
      </c>
      <c r="C179" t="s">
        <v>1</v>
      </c>
      <c r="D179">
        <v>4910.3599999999997</v>
      </c>
      <c r="E179">
        <v>4921.2827900000002</v>
      </c>
      <c r="F179">
        <v>4927.8728899999996</v>
      </c>
      <c r="G179">
        <v>4936.4652400000004</v>
      </c>
      <c r="H179">
        <v>4905.6599399999996</v>
      </c>
      <c r="J179">
        <v>1775443500</v>
      </c>
      <c r="K179" t="s">
        <v>0</v>
      </c>
      <c r="L179" t="s">
        <v>2</v>
      </c>
      <c r="M179">
        <v>4652.2700000000004</v>
      </c>
      <c r="N179">
        <v>4651.4528499999997</v>
      </c>
      <c r="O179">
        <v>4653.9022299999997</v>
      </c>
      <c r="P179">
        <v>4657.0416500000001</v>
      </c>
      <c r="Q179">
        <v>4649.4926699999996</v>
      </c>
    </row>
    <row r="180" spans="1:17" x14ac:dyDescent="0.55000000000000004">
      <c r="A180">
        <v>1771308000</v>
      </c>
      <c r="B180" t="s">
        <v>0</v>
      </c>
      <c r="C180" t="s">
        <v>1</v>
      </c>
      <c r="D180">
        <v>4917.21</v>
      </c>
      <c r="E180">
        <v>4918.68559</v>
      </c>
      <c r="F180">
        <v>4923.2792399999998</v>
      </c>
      <c r="G180">
        <v>4932.4758000000002</v>
      </c>
      <c r="H180">
        <v>4905.1067999999996</v>
      </c>
      <c r="J180">
        <v>1775443800</v>
      </c>
      <c r="K180" t="s">
        <v>0</v>
      </c>
      <c r="L180" t="s">
        <v>2</v>
      </c>
      <c r="M180">
        <v>4650.66</v>
      </c>
      <c r="N180">
        <v>4646.9288800000004</v>
      </c>
      <c r="O180">
        <v>4650.4155600000004</v>
      </c>
      <c r="P180">
        <v>4652.6657999999998</v>
      </c>
      <c r="Q180">
        <v>4645.39156</v>
      </c>
    </row>
    <row r="181" spans="1:17" x14ac:dyDescent="0.55000000000000004">
      <c r="A181">
        <v>1771311600</v>
      </c>
      <c r="B181" t="s">
        <v>0</v>
      </c>
      <c r="C181" t="s">
        <v>1</v>
      </c>
      <c r="D181">
        <v>4920.76</v>
      </c>
      <c r="E181">
        <v>4917.3591800000004</v>
      </c>
      <c r="F181">
        <v>4920.3192099999997</v>
      </c>
      <c r="G181">
        <v>4930.9572799999996</v>
      </c>
      <c r="H181">
        <v>4905.86445</v>
      </c>
      <c r="J181">
        <v>1775444100</v>
      </c>
      <c r="K181" t="s">
        <v>0</v>
      </c>
      <c r="L181" t="s">
        <v>2</v>
      </c>
      <c r="M181">
        <v>4648.0600000000004</v>
      </c>
      <c r="N181">
        <v>4642.1920200000004</v>
      </c>
      <c r="O181">
        <v>4646.3037899999999</v>
      </c>
      <c r="P181">
        <v>4648.1373299999996</v>
      </c>
      <c r="Q181">
        <v>4640.7748700000002</v>
      </c>
    </row>
    <row r="182" spans="1:17" x14ac:dyDescent="0.55000000000000004">
      <c r="A182">
        <v>1771315200</v>
      </c>
      <c r="B182" t="s">
        <v>0</v>
      </c>
      <c r="C182" t="s">
        <v>1</v>
      </c>
      <c r="D182">
        <v>4925.91</v>
      </c>
      <c r="E182">
        <v>4916.2557800000004</v>
      </c>
      <c r="F182">
        <v>4918.2875000000004</v>
      </c>
      <c r="G182">
        <v>4930.8795700000001</v>
      </c>
      <c r="H182">
        <v>4906.1438900000003</v>
      </c>
      <c r="J182">
        <v>1775444400</v>
      </c>
      <c r="K182" t="s">
        <v>0</v>
      </c>
      <c r="L182" t="s">
        <v>2</v>
      </c>
      <c r="M182">
        <v>4634.6000000000004</v>
      </c>
      <c r="N182">
        <v>4637.6893399999999</v>
      </c>
      <c r="O182">
        <v>4641.9965700000002</v>
      </c>
      <c r="P182">
        <v>4643.8547200000003</v>
      </c>
      <c r="Q182">
        <v>4636.1070099999997</v>
      </c>
    </row>
    <row r="183" spans="1:17" x14ac:dyDescent="0.55000000000000004">
      <c r="A183">
        <v>1771318800</v>
      </c>
      <c r="B183" t="s">
        <v>0</v>
      </c>
      <c r="C183" t="s">
        <v>1</v>
      </c>
      <c r="D183">
        <v>4913.1899999999996</v>
      </c>
      <c r="E183">
        <v>4914.2340199999999</v>
      </c>
      <c r="F183">
        <v>4916.2607600000001</v>
      </c>
      <c r="G183">
        <v>4931.09591</v>
      </c>
      <c r="H183">
        <v>4904.7898599999999</v>
      </c>
      <c r="J183">
        <v>1775444700</v>
      </c>
      <c r="K183" t="s">
        <v>0</v>
      </c>
      <c r="L183" t="s">
        <v>2</v>
      </c>
      <c r="M183">
        <v>4631.1099999999997</v>
      </c>
      <c r="N183">
        <v>4634.0024899999999</v>
      </c>
      <c r="O183">
        <v>4637.99953</v>
      </c>
      <c r="P183">
        <v>4640.0883700000004</v>
      </c>
      <c r="Q183">
        <v>4632.1372700000002</v>
      </c>
    </row>
    <row r="184" spans="1:17" x14ac:dyDescent="0.55000000000000004">
      <c r="A184">
        <v>1771322400</v>
      </c>
      <c r="B184" t="s">
        <v>0</v>
      </c>
      <c r="C184" t="s">
        <v>1</v>
      </c>
      <c r="D184">
        <v>4929.3900000000003</v>
      </c>
      <c r="E184">
        <v>4910.7888499999999</v>
      </c>
      <c r="F184">
        <v>4913.5248000000001</v>
      </c>
      <c r="G184">
        <v>4930.29432</v>
      </c>
      <c r="H184">
        <v>4901.0704400000004</v>
      </c>
      <c r="J184">
        <v>1775445000</v>
      </c>
      <c r="K184" t="s">
        <v>0</v>
      </c>
      <c r="L184" t="s">
        <v>2</v>
      </c>
      <c r="M184">
        <v>4632.38</v>
      </c>
      <c r="N184">
        <v>4631.3245500000003</v>
      </c>
      <c r="O184">
        <v>4634.6620400000002</v>
      </c>
      <c r="P184">
        <v>4637.1715400000003</v>
      </c>
      <c r="Q184">
        <v>4629.0973199999999</v>
      </c>
    </row>
    <row r="185" spans="1:17" x14ac:dyDescent="0.55000000000000004">
      <c r="A185">
        <v>1771326000</v>
      </c>
      <c r="B185" t="s">
        <v>0</v>
      </c>
      <c r="C185" t="s">
        <v>1</v>
      </c>
      <c r="D185">
        <v>4932.1400000000003</v>
      </c>
      <c r="E185">
        <v>4905.0696799999996</v>
      </c>
      <c r="F185">
        <v>4909.2972399999999</v>
      </c>
      <c r="G185">
        <v>4927.7543299999998</v>
      </c>
      <c r="H185">
        <v>4894.5660200000002</v>
      </c>
      <c r="J185">
        <v>1775445300</v>
      </c>
      <c r="K185" t="s">
        <v>0</v>
      </c>
      <c r="L185" t="s">
        <v>2</v>
      </c>
      <c r="M185">
        <v>4627.22</v>
      </c>
      <c r="N185">
        <v>4629.6078399999997</v>
      </c>
      <c r="O185">
        <v>4632.1349399999999</v>
      </c>
      <c r="P185">
        <v>4634.9827800000003</v>
      </c>
      <c r="Q185">
        <v>4627.0560699999996</v>
      </c>
    </row>
    <row r="186" spans="1:17" x14ac:dyDescent="0.55000000000000004">
      <c r="A186">
        <v>1771329600</v>
      </c>
      <c r="B186" t="s">
        <v>0</v>
      </c>
      <c r="C186" t="s">
        <v>1</v>
      </c>
      <c r="D186">
        <v>4870.97</v>
      </c>
      <c r="E186">
        <v>4897.0982299999996</v>
      </c>
      <c r="F186">
        <v>4903.1977399999996</v>
      </c>
      <c r="G186">
        <v>4922.6786300000003</v>
      </c>
      <c r="H186">
        <v>4885.23927</v>
      </c>
      <c r="J186">
        <v>1775445600</v>
      </c>
      <c r="K186" t="s">
        <v>0</v>
      </c>
      <c r="L186" t="s">
        <v>2</v>
      </c>
      <c r="M186">
        <v>4631.2</v>
      </c>
      <c r="N186">
        <v>4628.9139699999996</v>
      </c>
      <c r="O186">
        <v>4630.5244499999999</v>
      </c>
      <c r="P186">
        <v>4633.4727499999999</v>
      </c>
      <c r="Q186">
        <v>4626.0083599999998</v>
      </c>
    </row>
    <row r="187" spans="1:17" x14ac:dyDescent="0.55000000000000004">
      <c r="A187">
        <v>1771333200</v>
      </c>
      <c r="B187" t="s">
        <v>0</v>
      </c>
      <c r="C187" t="s">
        <v>1</v>
      </c>
      <c r="D187">
        <v>4863.0200000000004</v>
      </c>
      <c r="E187">
        <v>4889.1513199999999</v>
      </c>
      <c r="F187">
        <v>4896.1745300000002</v>
      </c>
      <c r="G187">
        <v>4915.3620600000004</v>
      </c>
      <c r="H187">
        <v>4875.6026700000002</v>
      </c>
      <c r="J187">
        <v>1775445900</v>
      </c>
      <c r="K187" t="s">
        <v>0</v>
      </c>
      <c r="L187" t="s">
        <v>2</v>
      </c>
      <c r="M187">
        <v>4630.59</v>
      </c>
      <c r="N187">
        <v>4629.0318500000003</v>
      </c>
      <c r="O187">
        <v>4629.7781500000001</v>
      </c>
      <c r="P187">
        <v>4632.7016599999997</v>
      </c>
      <c r="Q187">
        <v>4625.8896800000002</v>
      </c>
    </row>
    <row r="188" spans="1:17" x14ac:dyDescent="0.55000000000000004">
      <c r="A188">
        <v>1771336800</v>
      </c>
      <c r="B188" t="s">
        <v>0</v>
      </c>
      <c r="C188" t="s">
        <v>1</v>
      </c>
      <c r="D188">
        <v>4878.8100000000004</v>
      </c>
      <c r="E188">
        <v>4882.0924699999996</v>
      </c>
      <c r="F188">
        <v>4889.1334999999999</v>
      </c>
      <c r="G188">
        <v>4906.9382999999998</v>
      </c>
      <c r="H188">
        <v>4867.50173</v>
      </c>
      <c r="J188">
        <v>1775446200</v>
      </c>
      <c r="K188" t="s">
        <v>0</v>
      </c>
      <c r="L188" t="s">
        <v>2</v>
      </c>
      <c r="M188">
        <v>4631.41</v>
      </c>
      <c r="N188">
        <v>4629.9035999999996</v>
      </c>
      <c r="O188">
        <v>4629.8408799999997</v>
      </c>
      <c r="P188">
        <v>4632.6302999999998</v>
      </c>
      <c r="Q188">
        <v>4626.4681899999996</v>
      </c>
    </row>
    <row r="189" spans="1:17" x14ac:dyDescent="0.55000000000000004">
      <c r="A189">
        <v>1771340400</v>
      </c>
      <c r="B189" t="s">
        <v>0</v>
      </c>
      <c r="C189" t="s">
        <v>1</v>
      </c>
      <c r="D189">
        <v>4869.1899999999996</v>
      </c>
      <c r="E189">
        <v>4876.0085499999996</v>
      </c>
      <c r="F189">
        <v>4882.5710200000003</v>
      </c>
      <c r="G189">
        <v>4898.7369900000003</v>
      </c>
      <c r="H189">
        <v>4861.4690700000001</v>
      </c>
      <c r="J189">
        <v>1775446500</v>
      </c>
      <c r="K189" t="s">
        <v>0</v>
      </c>
      <c r="L189" t="s">
        <v>2</v>
      </c>
      <c r="M189">
        <v>4629.21</v>
      </c>
      <c r="N189">
        <v>4631.4120599999997</v>
      </c>
      <c r="O189">
        <v>4630.6264700000002</v>
      </c>
      <c r="P189">
        <v>4633.3368200000004</v>
      </c>
      <c r="Q189">
        <v>4627.7370899999996</v>
      </c>
    </row>
    <row r="190" spans="1:17" x14ac:dyDescent="0.55000000000000004">
      <c r="A190">
        <v>1771344000</v>
      </c>
      <c r="B190" t="s">
        <v>0</v>
      </c>
      <c r="C190" t="s">
        <v>1</v>
      </c>
      <c r="D190">
        <v>4865.2299999999996</v>
      </c>
      <c r="E190">
        <v>4871.6063700000004</v>
      </c>
      <c r="F190">
        <v>4877.0887000000002</v>
      </c>
      <c r="G190">
        <v>4891.2844800000003</v>
      </c>
      <c r="H190">
        <v>4857.3551900000002</v>
      </c>
      <c r="J190">
        <v>1775446800</v>
      </c>
      <c r="K190" t="s">
        <v>0</v>
      </c>
      <c r="L190" t="s">
        <v>2</v>
      </c>
      <c r="M190">
        <v>4632.92</v>
      </c>
      <c r="N190">
        <v>4633.491</v>
      </c>
      <c r="O190">
        <v>4632.0587299999997</v>
      </c>
      <c r="P190">
        <v>4634.7715099999996</v>
      </c>
      <c r="Q190">
        <v>4629.5054499999997</v>
      </c>
    </row>
    <row r="191" spans="1:17" x14ac:dyDescent="0.55000000000000004">
      <c r="A191">
        <v>1771347600</v>
      </c>
      <c r="B191" t="s">
        <v>0</v>
      </c>
      <c r="C191" t="s">
        <v>1</v>
      </c>
      <c r="D191">
        <v>4898.91</v>
      </c>
      <c r="E191">
        <v>4869.2915800000001</v>
      </c>
      <c r="F191">
        <v>4873.1901399999997</v>
      </c>
      <c r="G191">
        <v>4885.8916300000001</v>
      </c>
      <c r="H191">
        <v>4855.7767400000002</v>
      </c>
      <c r="J191">
        <v>1775447100</v>
      </c>
      <c r="K191" t="s">
        <v>0</v>
      </c>
      <c r="L191" t="s">
        <v>2</v>
      </c>
      <c r="M191">
        <v>4634.92</v>
      </c>
      <c r="N191">
        <v>4635.9068399999996</v>
      </c>
      <c r="O191">
        <v>4633.98279</v>
      </c>
      <c r="P191">
        <v>4636.8733599999996</v>
      </c>
      <c r="Q191">
        <v>4631.7407499999999</v>
      </c>
    </row>
    <row r="192" spans="1:17" x14ac:dyDescent="0.55000000000000004">
      <c r="A192">
        <v>1771351200</v>
      </c>
      <c r="B192" t="s">
        <v>0</v>
      </c>
      <c r="C192" t="s">
        <v>1</v>
      </c>
      <c r="D192">
        <v>4880.29</v>
      </c>
      <c r="E192">
        <v>4868.3644400000003</v>
      </c>
      <c r="F192">
        <v>4870.77729</v>
      </c>
      <c r="G192">
        <v>4882.1628700000001</v>
      </c>
      <c r="H192">
        <v>4856.2966800000004</v>
      </c>
      <c r="J192">
        <v>1775447400</v>
      </c>
      <c r="K192" t="s">
        <v>0</v>
      </c>
      <c r="L192" t="s">
        <v>2</v>
      </c>
      <c r="M192">
        <v>4635.7700000000004</v>
      </c>
      <c r="N192">
        <v>4638.4679800000004</v>
      </c>
      <c r="O192">
        <v>4636.2253799999999</v>
      </c>
      <c r="P192">
        <v>4639.4429099999998</v>
      </c>
      <c r="Q192">
        <v>4634.2</v>
      </c>
    </row>
    <row r="193" spans="1:17" x14ac:dyDescent="0.55000000000000004">
      <c r="A193">
        <v>1771354800</v>
      </c>
      <c r="B193" t="s">
        <v>0</v>
      </c>
      <c r="C193" t="s">
        <v>1</v>
      </c>
      <c r="D193">
        <v>4877.8900000000003</v>
      </c>
      <c r="E193">
        <v>4869.5932499999999</v>
      </c>
      <c r="F193">
        <v>4870.1852699999999</v>
      </c>
      <c r="G193">
        <v>4880.8247899999997</v>
      </c>
      <c r="H193">
        <v>4858.4477699999998</v>
      </c>
      <c r="J193">
        <v>1775447700</v>
      </c>
      <c r="K193" t="s">
        <v>0</v>
      </c>
      <c r="L193" t="s">
        <v>2</v>
      </c>
      <c r="M193">
        <v>4640.55</v>
      </c>
      <c r="N193">
        <v>4640.9539800000002</v>
      </c>
      <c r="O193">
        <v>4638.58968</v>
      </c>
      <c r="P193">
        <v>4642.1633400000001</v>
      </c>
      <c r="Q193">
        <v>4636.66518</v>
      </c>
    </row>
    <row r="194" spans="1:17" x14ac:dyDescent="0.55000000000000004">
      <c r="A194">
        <v>1771358400</v>
      </c>
      <c r="B194" t="s">
        <v>0</v>
      </c>
      <c r="C194" t="s">
        <v>1</v>
      </c>
      <c r="D194">
        <v>4877.46</v>
      </c>
      <c r="E194">
        <v>4873.2648499999996</v>
      </c>
      <c r="F194">
        <v>4871.7250599999998</v>
      </c>
      <c r="G194">
        <v>4882.6381300000003</v>
      </c>
      <c r="H194">
        <v>4862.2971799999996</v>
      </c>
      <c r="J194">
        <v>1775448000</v>
      </c>
      <c r="K194" t="s">
        <v>0</v>
      </c>
      <c r="L194" t="s">
        <v>2</v>
      </c>
      <c r="M194">
        <v>4648.03</v>
      </c>
      <c r="N194">
        <v>4643.0348299999996</v>
      </c>
      <c r="O194">
        <v>4640.8122599999997</v>
      </c>
      <c r="P194">
        <v>4644.6316900000002</v>
      </c>
      <c r="Q194">
        <v>4638.9351100000003</v>
      </c>
    </row>
    <row r="195" spans="1:17" x14ac:dyDescent="0.55000000000000004">
      <c r="A195">
        <v>1771365600</v>
      </c>
      <c r="B195" t="s">
        <v>0</v>
      </c>
      <c r="C195" t="s">
        <v>1</v>
      </c>
      <c r="D195">
        <v>4859.41</v>
      </c>
      <c r="E195">
        <v>4879.3963400000002</v>
      </c>
      <c r="F195">
        <v>4875.5607</v>
      </c>
      <c r="G195">
        <v>4887.4875400000001</v>
      </c>
      <c r="H195">
        <v>4867.8606900000004</v>
      </c>
      <c r="J195">
        <v>1775448300</v>
      </c>
      <c r="K195" t="s">
        <v>0</v>
      </c>
      <c r="L195" t="s">
        <v>2</v>
      </c>
      <c r="M195">
        <v>4646.6099999999997</v>
      </c>
      <c r="N195">
        <v>4644.3952799999997</v>
      </c>
      <c r="O195">
        <v>4642.6037699999997</v>
      </c>
      <c r="P195">
        <v>4646.4269999999997</v>
      </c>
      <c r="Q195">
        <v>4640.7753199999997</v>
      </c>
    </row>
    <row r="196" spans="1:17" x14ac:dyDescent="0.55000000000000004">
      <c r="A196">
        <v>1771369200</v>
      </c>
      <c r="B196" t="s">
        <v>0</v>
      </c>
      <c r="C196" t="s">
        <v>1</v>
      </c>
      <c r="D196">
        <v>4874.8999999999996</v>
      </c>
      <c r="E196">
        <v>4888.1580400000003</v>
      </c>
      <c r="F196">
        <v>4881.8593700000001</v>
      </c>
      <c r="G196">
        <v>4894.9712399999999</v>
      </c>
      <c r="H196">
        <v>4875.67004</v>
      </c>
      <c r="J196">
        <v>1775448600</v>
      </c>
      <c r="K196" t="s">
        <v>0</v>
      </c>
      <c r="L196" t="s">
        <v>2</v>
      </c>
      <c r="M196">
        <v>4643.54</v>
      </c>
      <c r="N196">
        <v>4645.0585899999996</v>
      </c>
      <c r="O196">
        <v>4643.8311800000001</v>
      </c>
      <c r="P196">
        <v>4647.4194799999996</v>
      </c>
      <c r="Q196">
        <v>4642.0506699999996</v>
      </c>
    </row>
    <row r="197" spans="1:17" x14ac:dyDescent="0.55000000000000004">
      <c r="A197">
        <v>1771372800</v>
      </c>
      <c r="B197" t="s">
        <v>0</v>
      </c>
      <c r="C197" t="s">
        <v>1</v>
      </c>
      <c r="D197">
        <v>4889.79</v>
      </c>
      <c r="E197">
        <v>4898.4144500000002</v>
      </c>
      <c r="F197">
        <v>4890.1369100000002</v>
      </c>
      <c r="G197">
        <v>4904.3275700000004</v>
      </c>
      <c r="H197">
        <v>4885.2822500000002</v>
      </c>
      <c r="J197">
        <v>1775448900</v>
      </c>
      <c r="K197" t="s">
        <v>0</v>
      </c>
      <c r="L197" t="s">
        <v>2</v>
      </c>
      <c r="M197">
        <v>4643.5600000000004</v>
      </c>
      <c r="N197">
        <v>4645.2500600000003</v>
      </c>
      <c r="O197">
        <v>4644.5406199999998</v>
      </c>
      <c r="P197">
        <v>4647.6498499999998</v>
      </c>
      <c r="Q197">
        <v>4642.7979500000001</v>
      </c>
    </row>
    <row r="198" spans="1:17" x14ac:dyDescent="0.55000000000000004">
      <c r="A198">
        <v>1771376400</v>
      </c>
      <c r="B198" t="s">
        <v>0</v>
      </c>
      <c r="C198" t="s">
        <v>1</v>
      </c>
      <c r="D198">
        <v>4905.4399999999996</v>
      </c>
      <c r="E198">
        <v>4908.6716999999999</v>
      </c>
      <c r="F198">
        <v>4899.4043099999999</v>
      </c>
      <c r="G198">
        <v>4914.1970300000003</v>
      </c>
      <c r="H198">
        <v>4895.5903799999996</v>
      </c>
      <c r="J198">
        <v>1775449200</v>
      </c>
      <c r="K198" t="s">
        <v>0</v>
      </c>
      <c r="L198" t="s">
        <v>2</v>
      </c>
      <c r="M198">
        <v>4642.1000000000004</v>
      </c>
      <c r="N198">
        <v>4645.2378600000002</v>
      </c>
      <c r="O198">
        <v>4644.8892400000004</v>
      </c>
      <c r="P198">
        <v>4647.4559200000003</v>
      </c>
      <c r="Q198">
        <v>4643.1626399999996</v>
      </c>
    </row>
    <row r="199" spans="1:17" x14ac:dyDescent="0.55000000000000004">
      <c r="A199">
        <v>1771380000</v>
      </c>
      <c r="B199" t="s">
        <v>0</v>
      </c>
      <c r="C199" t="s">
        <v>1</v>
      </c>
      <c r="D199">
        <v>4920.75</v>
      </c>
      <c r="E199">
        <v>4917.3799600000002</v>
      </c>
      <c r="F199">
        <v>4908.3921300000002</v>
      </c>
      <c r="G199">
        <v>4923.0100400000001</v>
      </c>
      <c r="H199">
        <v>4905.3602799999999</v>
      </c>
      <c r="J199">
        <v>1775449500</v>
      </c>
      <c r="K199" t="s">
        <v>0</v>
      </c>
      <c r="L199" t="s">
        <v>2</v>
      </c>
      <c r="M199">
        <v>4646.8</v>
      </c>
      <c r="N199">
        <v>4645.3946699999997</v>
      </c>
      <c r="O199">
        <v>4645.1419599999999</v>
      </c>
      <c r="P199">
        <v>4647.23315</v>
      </c>
      <c r="Q199">
        <v>4643.42994</v>
      </c>
    </row>
    <row r="200" spans="1:17" x14ac:dyDescent="0.55000000000000004">
      <c r="A200">
        <v>1771383600</v>
      </c>
      <c r="B200" t="s">
        <v>0</v>
      </c>
      <c r="C200" t="s">
        <v>1</v>
      </c>
      <c r="D200">
        <v>4934.13</v>
      </c>
      <c r="E200">
        <v>4923.2364399999997</v>
      </c>
      <c r="F200">
        <v>4915.8142900000003</v>
      </c>
      <c r="G200">
        <v>4929.4457400000001</v>
      </c>
      <c r="H200">
        <v>4913.1419900000001</v>
      </c>
      <c r="J200">
        <v>1775449800</v>
      </c>
      <c r="K200" t="s">
        <v>0</v>
      </c>
      <c r="L200" t="s">
        <v>2</v>
      </c>
      <c r="M200">
        <v>4648.5200000000004</v>
      </c>
      <c r="N200">
        <v>4645.9677099999999</v>
      </c>
      <c r="O200">
        <v>4645.5548399999998</v>
      </c>
      <c r="P200">
        <v>4647.3774000000003</v>
      </c>
      <c r="Q200">
        <v>4643.8919100000003</v>
      </c>
    </row>
    <row r="201" spans="1:17" x14ac:dyDescent="0.55000000000000004">
      <c r="A201">
        <v>1771387200</v>
      </c>
      <c r="B201" t="s">
        <v>0</v>
      </c>
      <c r="C201" t="s">
        <v>1</v>
      </c>
      <c r="D201">
        <v>4933.21</v>
      </c>
      <c r="E201">
        <v>4925.5606500000004</v>
      </c>
      <c r="F201">
        <v>4920.6874699999998</v>
      </c>
      <c r="G201">
        <v>4932.6065699999999</v>
      </c>
      <c r="H201">
        <v>4917.8865699999997</v>
      </c>
      <c r="J201">
        <v>1775450100</v>
      </c>
      <c r="K201" t="s">
        <v>0</v>
      </c>
      <c r="L201" t="s">
        <v>2</v>
      </c>
      <c r="M201">
        <v>4648.3900000000003</v>
      </c>
      <c r="N201">
        <v>4647.2563200000004</v>
      </c>
      <c r="O201">
        <v>4646.4055799999996</v>
      </c>
      <c r="P201">
        <v>4648.2711399999998</v>
      </c>
      <c r="Q201">
        <v>4644.83032</v>
      </c>
    </row>
    <row r="202" spans="1:17" x14ac:dyDescent="0.55000000000000004">
      <c r="A202">
        <v>1771390800</v>
      </c>
      <c r="B202" t="s">
        <v>0</v>
      </c>
      <c r="C202" t="s">
        <v>1</v>
      </c>
      <c r="D202">
        <v>4930.63</v>
      </c>
      <c r="E202">
        <v>4924.8470399999997</v>
      </c>
      <c r="F202">
        <v>4922.7672499999999</v>
      </c>
      <c r="G202">
        <v>4932.7725200000004</v>
      </c>
      <c r="H202">
        <v>4919.2228299999997</v>
      </c>
      <c r="J202">
        <v>1775450400</v>
      </c>
      <c r="K202" t="s">
        <v>0</v>
      </c>
      <c r="L202" t="s">
        <v>2</v>
      </c>
      <c r="M202">
        <v>4649</v>
      </c>
      <c r="N202">
        <v>4649.5038400000003</v>
      </c>
      <c r="O202">
        <v>4647.95471</v>
      </c>
      <c r="P202">
        <v>4650.1799600000004</v>
      </c>
      <c r="Q202">
        <v>4646.3878800000002</v>
      </c>
    </row>
    <row r="203" spans="1:17" x14ac:dyDescent="0.55000000000000004">
      <c r="A203">
        <v>1771394400</v>
      </c>
      <c r="B203" t="s">
        <v>0</v>
      </c>
      <c r="C203" t="s">
        <v>1</v>
      </c>
      <c r="D203">
        <v>4930.2700000000004</v>
      </c>
      <c r="E203">
        <v>4922.3945299999996</v>
      </c>
      <c r="F203">
        <v>4922.5808900000002</v>
      </c>
      <c r="G203">
        <v>4931.0603499999997</v>
      </c>
      <c r="H203">
        <v>4918.03006</v>
      </c>
      <c r="J203">
        <v>1775450700</v>
      </c>
      <c r="K203" t="s">
        <v>0</v>
      </c>
      <c r="L203" t="s">
        <v>2</v>
      </c>
      <c r="M203">
        <v>4652.01</v>
      </c>
      <c r="N203">
        <v>4652.7633599999999</v>
      </c>
      <c r="O203">
        <v>4650.3590299999996</v>
      </c>
      <c r="P203">
        <v>4653.2498599999999</v>
      </c>
      <c r="Q203">
        <v>4648.7649199999996</v>
      </c>
    </row>
    <row r="204" spans="1:17" x14ac:dyDescent="0.55000000000000004">
      <c r="A204">
        <v>1771398000</v>
      </c>
      <c r="B204" t="s">
        <v>0</v>
      </c>
      <c r="C204" t="s">
        <v>1</v>
      </c>
      <c r="D204">
        <v>4917.38</v>
      </c>
      <c r="E204">
        <v>4920.0505000000003</v>
      </c>
      <c r="F204">
        <v>4921.3157000000001</v>
      </c>
      <c r="G204">
        <v>4928.9271699999999</v>
      </c>
      <c r="H204">
        <v>4915.6325800000004</v>
      </c>
      <c r="J204">
        <v>1775451000</v>
      </c>
      <c r="K204" t="s">
        <v>0</v>
      </c>
      <c r="L204" t="s">
        <v>2</v>
      </c>
      <c r="M204">
        <v>4656.13</v>
      </c>
      <c r="N204">
        <v>4656.80195</v>
      </c>
      <c r="O204">
        <v>4653.5804900000003</v>
      </c>
      <c r="P204">
        <v>4657.3063300000003</v>
      </c>
      <c r="Q204">
        <v>4651.9996799999999</v>
      </c>
    </row>
    <row r="205" spans="1:17" x14ac:dyDescent="0.55000000000000004">
      <c r="A205">
        <v>1771401600</v>
      </c>
      <c r="B205" t="s">
        <v>0</v>
      </c>
      <c r="C205" t="s">
        <v>1</v>
      </c>
      <c r="D205">
        <v>4917.2700000000004</v>
      </c>
      <c r="E205">
        <v>4919.9406099999997</v>
      </c>
      <c r="F205">
        <v>4920.6281499999996</v>
      </c>
      <c r="G205">
        <v>4928.4783399999997</v>
      </c>
      <c r="H205">
        <v>4914.0095899999997</v>
      </c>
      <c r="J205">
        <v>1775451300</v>
      </c>
      <c r="K205" t="s">
        <v>0</v>
      </c>
      <c r="L205" t="s">
        <v>2</v>
      </c>
      <c r="M205">
        <v>4659.13</v>
      </c>
      <c r="N205">
        <v>4661.2241800000002</v>
      </c>
      <c r="O205">
        <v>4657.4023399999996</v>
      </c>
      <c r="P205">
        <v>4661.93905</v>
      </c>
      <c r="Q205">
        <v>4655.8235500000001</v>
      </c>
    </row>
    <row r="206" spans="1:17" x14ac:dyDescent="0.55000000000000004">
      <c r="A206">
        <v>1771405200</v>
      </c>
      <c r="B206" t="s">
        <v>0</v>
      </c>
      <c r="C206" t="s">
        <v>1</v>
      </c>
      <c r="D206">
        <v>4914.4399999999996</v>
      </c>
      <c r="E206">
        <v>4923.5171300000002</v>
      </c>
      <c r="F206">
        <v>4922.0726400000003</v>
      </c>
      <c r="G206">
        <v>4931.54637</v>
      </c>
      <c r="H206">
        <v>4914.8288599999996</v>
      </c>
      <c r="J206">
        <v>1775451600</v>
      </c>
      <c r="K206" t="s">
        <v>0</v>
      </c>
      <c r="L206" t="s">
        <v>2</v>
      </c>
      <c r="M206">
        <v>4663.03</v>
      </c>
      <c r="N206">
        <v>4665.5538399999996</v>
      </c>
      <c r="O206">
        <v>4661.4780899999996</v>
      </c>
      <c r="P206">
        <v>4666.6234700000005</v>
      </c>
      <c r="Q206">
        <v>4659.8976199999997</v>
      </c>
    </row>
    <row r="207" spans="1:17" x14ac:dyDescent="0.55000000000000004">
      <c r="A207">
        <v>1771408800</v>
      </c>
      <c r="B207" t="s">
        <v>0</v>
      </c>
      <c r="C207" t="s">
        <v>1</v>
      </c>
      <c r="D207">
        <v>4913.09</v>
      </c>
      <c r="E207">
        <v>4931.60214</v>
      </c>
      <c r="F207">
        <v>4926.8373899999997</v>
      </c>
      <c r="G207">
        <v>4939.0472099999997</v>
      </c>
      <c r="H207">
        <v>4919.4311200000002</v>
      </c>
      <c r="J207">
        <v>1775451900</v>
      </c>
      <c r="K207" t="s">
        <v>0</v>
      </c>
      <c r="L207" t="s">
        <v>2</v>
      </c>
      <c r="M207">
        <v>4670.96</v>
      </c>
      <c r="N207">
        <v>4669.2755800000004</v>
      </c>
      <c r="O207">
        <v>4665.3768300000002</v>
      </c>
      <c r="P207">
        <v>4670.7853599999999</v>
      </c>
      <c r="Q207">
        <v>4663.7814900000003</v>
      </c>
    </row>
    <row r="208" spans="1:17" x14ac:dyDescent="0.55000000000000004">
      <c r="A208">
        <v>1771412400</v>
      </c>
      <c r="B208" t="s">
        <v>0</v>
      </c>
      <c r="C208" t="s">
        <v>1</v>
      </c>
      <c r="D208">
        <v>4943.08</v>
      </c>
      <c r="E208">
        <v>4944.0153300000002</v>
      </c>
      <c r="F208">
        <v>4935.4263600000004</v>
      </c>
      <c r="G208">
        <v>4951.1568399999996</v>
      </c>
      <c r="H208">
        <v>4928.4356799999996</v>
      </c>
      <c r="J208">
        <v>1775452200</v>
      </c>
      <c r="K208" t="s">
        <v>0</v>
      </c>
      <c r="L208" t="s">
        <v>2</v>
      </c>
      <c r="M208">
        <v>4673.6899999999996</v>
      </c>
      <c r="N208">
        <v>4671.83583</v>
      </c>
      <c r="O208">
        <v>4668.6063299999996</v>
      </c>
      <c r="P208">
        <v>4673.87482</v>
      </c>
      <c r="Q208">
        <v>4666.9796699999997</v>
      </c>
    </row>
    <row r="209" spans="1:17" x14ac:dyDescent="0.55000000000000004">
      <c r="A209">
        <v>1771416000</v>
      </c>
      <c r="B209" t="s">
        <v>0</v>
      </c>
      <c r="C209" t="s">
        <v>1</v>
      </c>
      <c r="D209">
        <v>4954.25</v>
      </c>
      <c r="E209">
        <v>4958.87788</v>
      </c>
      <c r="F209">
        <v>4947.1521199999997</v>
      </c>
      <c r="G209">
        <v>4966.1014299999997</v>
      </c>
      <c r="H209">
        <v>4941.3633099999997</v>
      </c>
      <c r="J209">
        <v>1775452500</v>
      </c>
      <c r="K209" t="s">
        <v>0</v>
      </c>
      <c r="L209" t="s">
        <v>2</v>
      </c>
      <c r="M209">
        <v>4677.46</v>
      </c>
      <c r="N209">
        <v>4672.9606700000004</v>
      </c>
      <c r="O209">
        <v>4670.7834999999995</v>
      </c>
      <c r="P209">
        <v>4675.5013600000002</v>
      </c>
      <c r="Q209">
        <v>4668.9796800000004</v>
      </c>
    </row>
    <row r="210" spans="1:17" x14ac:dyDescent="0.55000000000000004">
      <c r="A210">
        <v>1771419600</v>
      </c>
      <c r="B210" t="s">
        <v>0</v>
      </c>
      <c r="C210" t="s">
        <v>1</v>
      </c>
      <c r="D210">
        <v>4991.82</v>
      </c>
      <c r="E210">
        <v>4974.0589900000004</v>
      </c>
      <c r="F210">
        <v>4960.60556</v>
      </c>
      <c r="G210">
        <v>4981.6100299999998</v>
      </c>
      <c r="H210">
        <v>4955.9707200000003</v>
      </c>
      <c r="J210">
        <v>1775452800</v>
      </c>
      <c r="K210" t="s">
        <v>0</v>
      </c>
      <c r="L210" t="s">
        <v>2</v>
      </c>
      <c r="M210">
        <v>4673.74</v>
      </c>
      <c r="N210">
        <v>4672.5544099999997</v>
      </c>
      <c r="O210">
        <v>4671.6689500000002</v>
      </c>
      <c r="P210">
        <v>4675.6082299999998</v>
      </c>
      <c r="Q210">
        <v>4669.5083100000002</v>
      </c>
    </row>
    <row r="211" spans="1:17" x14ac:dyDescent="0.55000000000000004">
      <c r="A211">
        <v>1771423200</v>
      </c>
      <c r="B211" t="s">
        <v>0</v>
      </c>
      <c r="C211" t="s">
        <v>1</v>
      </c>
      <c r="D211">
        <v>4998.0200000000004</v>
      </c>
      <c r="E211">
        <v>4986.6266299999997</v>
      </c>
      <c r="F211">
        <v>4973.6161000000002</v>
      </c>
      <c r="G211">
        <v>4995.0310200000004</v>
      </c>
      <c r="H211">
        <v>4970.1202300000004</v>
      </c>
      <c r="J211">
        <v>1775453100</v>
      </c>
      <c r="K211" t="s">
        <v>0</v>
      </c>
      <c r="L211" t="s">
        <v>2</v>
      </c>
      <c r="M211">
        <v>4667.3</v>
      </c>
      <c r="N211">
        <v>4670.9160599999996</v>
      </c>
      <c r="O211">
        <v>4671.2924999999996</v>
      </c>
      <c r="P211">
        <v>4674.3608999999997</v>
      </c>
      <c r="Q211">
        <v>4668.69985</v>
      </c>
    </row>
    <row r="212" spans="1:17" x14ac:dyDescent="0.55000000000000004">
      <c r="A212">
        <v>1771426800</v>
      </c>
      <c r="B212" t="s">
        <v>0</v>
      </c>
      <c r="C212" t="s">
        <v>1</v>
      </c>
      <c r="D212">
        <v>5000.46</v>
      </c>
      <c r="E212">
        <v>4994.91471</v>
      </c>
      <c r="F212">
        <v>4984.26541</v>
      </c>
      <c r="G212">
        <v>5004.2504799999997</v>
      </c>
      <c r="H212">
        <v>4980.8915900000002</v>
      </c>
      <c r="J212">
        <v>1775453400</v>
      </c>
      <c r="K212" t="s">
        <v>0</v>
      </c>
      <c r="L212" t="s">
        <v>2</v>
      </c>
      <c r="M212">
        <v>4667.47</v>
      </c>
      <c r="N212">
        <v>4668.5599499999998</v>
      </c>
      <c r="O212">
        <v>4669.92623</v>
      </c>
      <c r="P212">
        <v>4672.2420099999999</v>
      </c>
      <c r="Q212">
        <v>4666.7853100000002</v>
      </c>
    </row>
    <row r="213" spans="1:17" x14ac:dyDescent="0.55000000000000004">
      <c r="A213">
        <v>1771430400</v>
      </c>
      <c r="B213" t="s">
        <v>0</v>
      </c>
      <c r="C213" t="s">
        <v>1</v>
      </c>
      <c r="D213">
        <v>4999.17</v>
      </c>
      <c r="E213">
        <v>4998.0609400000003</v>
      </c>
      <c r="F213">
        <v>4991.1631699999998</v>
      </c>
      <c r="G213">
        <v>5008.2169199999998</v>
      </c>
      <c r="H213">
        <v>4986.9877999999999</v>
      </c>
      <c r="J213">
        <v>1775453700</v>
      </c>
      <c r="K213" t="s">
        <v>0</v>
      </c>
      <c r="L213" t="s">
        <v>2</v>
      </c>
      <c r="M213">
        <v>4665.83</v>
      </c>
      <c r="N213">
        <v>4665.8797699999996</v>
      </c>
      <c r="O213">
        <v>4667.9030000000002</v>
      </c>
      <c r="P213">
        <v>4669.7848899999999</v>
      </c>
      <c r="Q213">
        <v>4664.1510200000002</v>
      </c>
    </row>
    <row r="214" spans="1:17" x14ac:dyDescent="0.55000000000000004">
      <c r="A214">
        <v>1771434000</v>
      </c>
      <c r="B214" t="s">
        <v>0</v>
      </c>
      <c r="C214" t="s">
        <v>1</v>
      </c>
      <c r="D214">
        <v>4987.25</v>
      </c>
      <c r="E214">
        <v>4996.2822500000002</v>
      </c>
      <c r="F214">
        <v>4993.72271</v>
      </c>
      <c r="G214">
        <v>5007.0978100000002</v>
      </c>
      <c r="H214">
        <v>4987.8868700000003</v>
      </c>
      <c r="J214">
        <v>1775454000</v>
      </c>
      <c r="K214" t="s">
        <v>0</v>
      </c>
      <c r="L214" t="s">
        <v>2</v>
      </c>
      <c r="M214">
        <v>4661.57</v>
      </c>
      <c r="N214">
        <v>4663.2718400000003</v>
      </c>
      <c r="O214">
        <v>4665.5874199999998</v>
      </c>
      <c r="P214">
        <v>4667.3908799999999</v>
      </c>
      <c r="Q214">
        <v>4661.1457300000002</v>
      </c>
    </row>
    <row r="215" spans="1:17" x14ac:dyDescent="0.55000000000000004">
      <c r="A215">
        <v>1771437600</v>
      </c>
      <c r="B215" t="s">
        <v>0</v>
      </c>
      <c r="C215" t="s">
        <v>1</v>
      </c>
      <c r="D215">
        <v>4980.58</v>
      </c>
      <c r="E215">
        <v>4990.8382099999999</v>
      </c>
      <c r="F215">
        <v>4992.2804599999999</v>
      </c>
      <c r="G215">
        <v>5001.73459</v>
      </c>
      <c r="H215">
        <v>4984.4110799999999</v>
      </c>
      <c r="J215">
        <v>1775454300</v>
      </c>
      <c r="K215" t="s">
        <v>0</v>
      </c>
      <c r="L215" t="s">
        <v>2</v>
      </c>
      <c r="M215">
        <v>4660.0600000000004</v>
      </c>
      <c r="N215">
        <v>4661.0600400000003</v>
      </c>
      <c r="O215">
        <v>4663.3237300000001</v>
      </c>
      <c r="P215">
        <v>4665.2981099999997</v>
      </c>
      <c r="Q215">
        <v>4658.2190300000002</v>
      </c>
    </row>
    <row r="216" spans="1:17" x14ac:dyDescent="0.55000000000000004">
      <c r="A216">
        <v>1771441200</v>
      </c>
      <c r="B216" t="s">
        <v>0</v>
      </c>
      <c r="C216" t="s">
        <v>1</v>
      </c>
      <c r="D216">
        <v>4985.3500000000004</v>
      </c>
      <c r="E216">
        <v>4983.4720200000002</v>
      </c>
      <c r="F216">
        <v>4987.8762399999996</v>
      </c>
      <c r="G216">
        <v>4993.8800600000004</v>
      </c>
      <c r="H216">
        <v>4978.0388800000001</v>
      </c>
      <c r="J216">
        <v>1775454600</v>
      </c>
      <c r="K216" t="s">
        <v>0</v>
      </c>
      <c r="L216" t="s">
        <v>2</v>
      </c>
      <c r="M216">
        <v>4667.0200000000004</v>
      </c>
      <c r="N216">
        <v>4659.3645399999996</v>
      </c>
      <c r="O216">
        <v>4661.3441400000002</v>
      </c>
      <c r="P216">
        <v>4663.6478299999999</v>
      </c>
      <c r="Q216">
        <v>4655.6898700000002</v>
      </c>
    </row>
    <row r="217" spans="1:17" x14ac:dyDescent="0.55000000000000004">
      <c r="A217">
        <v>1771444800</v>
      </c>
      <c r="B217" t="s">
        <v>0</v>
      </c>
      <c r="C217" t="s">
        <v>1</v>
      </c>
      <c r="D217">
        <v>4977.29</v>
      </c>
      <c r="E217">
        <v>4975.9388499999995</v>
      </c>
      <c r="F217">
        <v>4981.9075400000002</v>
      </c>
      <c r="G217">
        <v>4985.65805</v>
      </c>
      <c r="H217">
        <v>4970.5559400000002</v>
      </c>
      <c r="J217">
        <v>1775454900</v>
      </c>
      <c r="K217" t="s">
        <v>0</v>
      </c>
      <c r="L217" t="s">
        <v>2</v>
      </c>
      <c r="M217">
        <v>4652.57</v>
      </c>
      <c r="N217">
        <v>4657.9566500000001</v>
      </c>
      <c r="O217">
        <v>4659.6503899999998</v>
      </c>
      <c r="P217">
        <v>4662.2749700000004</v>
      </c>
      <c r="Q217">
        <v>4653.7267599999996</v>
      </c>
    </row>
    <row r="218" spans="1:17" x14ac:dyDescent="0.55000000000000004">
      <c r="A218">
        <v>1771452000</v>
      </c>
      <c r="B218" t="s">
        <v>0</v>
      </c>
      <c r="C218" t="s">
        <v>1</v>
      </c>
      <c r="D218">
        <v>4976.1000000000004</v>
      </c>
      <c r="E218">
        <v>4970.1572800000004</v>
      </c>
      <c r="F218">
        <v>4976.0324099999998</v>
      </c>
      <c r="G218">
        <v>4978.9640399999998</v>
      </c>
      <c r="H218">
        <v>4963.8668100000004</v>
      </c>
      <c r="J218">
        <v>1775455200</v>
      </c>
      <c r="K218" t="s">
        <v>0</v>
      </c>
      <c r="L218" t="s">
        <v>2</v>
      </c>
      <c r="M218">
        <v>4652.78</v>
      </c>
      <c r="N218">
        <v>4657.1085499999999</v>
      </c>
      <c r="O218">
        <v>4658.3794699999999</v>
      </c>
      <c r="P218">
        <v>4661.0401000000002</v>
      </c>
      <c r="Q218">
        <v>4652.5349900000001</v>
      </c>
    </row>
    <row r="219" spans="1:17" x14ac:dyDescent="0.55000000000000004">
      <c r="A219">
        <v>1771455600</v>
      </c>
      <c r="B219" t="s">
        <v>0</v>
      </c>
      <c r="C219" t="s">
        <v>1</v>
      </c>
      <c r="D219">
        <v>4961.4799999999996</v>
      </c>
      <c r="E219">
        <v>4967.41</v>
      </c>
      <c r="F219">
        <v>4971.7212099999997</v>
      </c>
      <c r="G219">
        <v>4975.1424299999999</v>
      </c>
      <c r="H219">
        <v>4959.9575199999999</v>
      </c>
      <c r="J219">
        <v>1775455500</v>
      </c>
      <c r="K219" t="s">
        <v>0</v>
      </c>
      <c r="L219" t="s">
        <v>2</v>
      </c>
      <c r="M219">
        <v>4658.09</v>
      </c>
      <c r="N219">
        <v>4656.6921899999998</v>
      </c>
      <c r="O219">
        <v>4657.5358299999998</v>
      </c>
      <c r="P219">
        <v>4660.19661</v>
      </c>
      <c r="Q219">
        <v>4652.2267300000003</v>
      </c>
    </row>
    <row r="220" spans="1:17" x14ac:dyDescent="0.55000000000000004">
      <c r="A220">
        <v>1771459200</v>
      </c>
      <c r="B220" t="s">
        <v>0</v>
      </c>
      <c r="C220" t="s">
        <v>1</v>
      </c>
      <c r="D220">
        <v>4973.12</v>
      </c>
      <c r="E220">
        <v>4968.7710999999999</v>
      </c>
      <c r="F220">
        <v>4970.2461499999999</v>
      </c>
      <c r="G220">
        <v>4975.22372</v>
      </c>
      <c r="H220">
        <v>4959.7860700000001</v>
      </c>
      <c r="J220">
        <v>1775455800</v>
      </c>
      <c r="K220" t="s">
        <v>0</v>
      </c>
      <c r="L220" t="s">
        <v>2</v>
      </c>
      <c r="M220">
        <v>4660.93</v>
      </c>
      <c r="N220">
        <v>4656.4790400000002</v>
      </c>
      <c r="O220">
        <v>4657.0074299999997</v>
      </c>
      <c r="P220">
        <v>4659.5277900000001</v>
      </c>
      <c r="Q220">
        <v>4652.4116700000004</v>
      </c>
    </row>
    <row r="221" spans="1:17" x14ac:dyDescent="0.55000000000000004">
      <c r="A221">
        <v>1771462800</v>
      </c>
      <c r="B221" t="s">
        <v>0</v>
      </c>
      <c r="C221" t="s">
        <v>1</v>
      </c>
      <c r="D221">
        <v>4968.1400000000003</v>
      </c>
      <c r="E221">
        <v>4973.6890700000004</v>
      </c>
      <c r="F221">
        <v>4971.9676099999997</v>
      </c>
      <c r="G221">
        <v>4979.1728599999997</v>
      </c>
      <c r="H221">
        <v>4963.5457500000002</v>
      </c>
      <c r="J221">
        <v>1775456100</v>
      </c>
      <c r="K221" t="s">
        <v>0</v>
      </c>
      <c r="L221" t="s">
        <v>2</v>
      </c>
      <c r="M221">
        <v>4658.91</v>
      </c>
      <c r="N221">
        <v>4656.3561799999998</v>
      </c>
      <c r="O221">
        <v>4656.68181</v>
      </c>
      <c r="P221">
        <v>4659.0005000000001</v>
      </c>
      <c r="Q221">
        <v>4652.8207400000001</v>
      </c>
    </row>
    <row r="222" spans="1:17" x14ac:dyDescent="0.55000000000000004">
      <c r="A222">
        <v>1771466400</v>
      </c>
      <c r="B222" t="s">
        <v>0</v>
      </c>
      <c r="C222" t="s">
        <v>1</v>
      </c>
      <c r="D222">
        <v>4981.66</v>
      </c>
      <c r="E222">
        <v>4981.3321999999998</v>
      </c>
      <c r="F222">
        <v>4976.6499000000003</v>
      </c>
      <c r="G222">
        <v>4986.0588299999999</v>
      </c>
      <c r="H222">
        <v>4970.4002099999998</v>
      </c>
      <c r="J222">
        <v>1775456400</v>
      </c>
      <c r="K222" t="s">
        <v>0</v>
      </c>
      <c r="L222" t="s">
        <v>2</v>
      </c>
      <c r="M222">
        <v>4655.17</v>
      </c>
      <c r="N222">
        <v>4656.4112100000002</v>
      </c>
      <c r="O222">
        <v>4656.5465100000001</v>
      </c>
      <c r="P222">
        <v>4658.7014600000002</v>
      </c>
      <c r="Q222">
        <v>4653.2994099999996</v>
      </c>
    </row>
    <row r="223" spans="1:17" x14ac:dyDescent="0.55000000000000004">
      <c r="A223">
        <v>1771470000</v>
      </c>
      <c r="B223" t="s">
        <v>0</v>
      </c>
      <c r="C223" t="s">
        <v>1</v>
      </c>
      <c r="D223">
        <v>4984.25</v>
      </c>
      <c r="E223">
        <v>4989.9903400000003</v>
      </c>
      <c r="F223">
        <v>4983.3201200000003</v>
      </c>
      <c r="G223">
        <v>4994.4589100000003</v>
      </c>
      <c r="H223">
        <v>4979.0546599999998</v>
      </c>
      <c r="J223">
        <v>1775456700</v>
      </c>
      <c r="K223" t="s">
        <v>0</v>
      </c>
      <c r="L223" t="s">
        <v>2</v>
      </c>
      <c r="M223">
        <v>4657.25</v>
      </c>
      <c r="N223">
        <v>4656.8074699999997</v>
      </c>
      <c r="O223">
        <v>4656.6769899999999</v>
      </c>
      <c r="P223">
        <v>4658.7958799999997</v>
      </c>
      <c r="Q223">
        <v>4653.9017299999996</v>
      </c>
    </row>
    <row r="224" spans="1:17" x14ac:dyDescent="0.55000000000000004">
      <c r="A224">
        <v>1771473600</v>
      </c>
      <c r="B224" t="s">
        <v>0</v>
      </c>
      <c r="C224" t="s">
        <v>1</v>
      </c>
      <c r="D224">
        <v>4997.17</v>
      </c>
      <c r="E224">
        <v>4998.1667699999998</v>
      </c>
      <c r="F224">
        <v>4990.7434400000002</v>
      </c>
      <c r="G224">
        <v>5002.9098700000004</v>
      </c>
      <c r="H224">
        <v>4987.6634000000004</v>
      </c>
      <c r="J224">
        <v>1775457000</v>
      </c>
      <c r="K224" t="s">
        <v>0</v>
      </c>
      <c r="L224" t="s">
        <v>2</v>
      </c>
      <c r="M224">
        <v>4658.1400000000003</v>
      </c>
      <c r="N224">
        <v>4657.4952800000001</v>
      </c>
      <c r="O224">
        <v>4657.0861299999997</v>
      </c>
      <c r="P224">
        <v>4659.4143999999997</v>
      </c>
      <c r="Q224">
        <v>4654.6052799999998</v>
      </c>
    </row>
    <row r="225" spans="1:17" x14ac:dyDescent="0.55000000000000004">
      <c r="A225">
        <v>1771477200</v>
      </c>
      <c r="B225" t="s">
        <v>0</v>
      </c>
      <c r="C225" t="s">
        <v>1</v>
      </c>
      <c r="D225">
        <v>5018.33</v>
      </c>
      <c r="E225">
        <v>5004.2619599999998</v>
      </c>
      <c r="F225">
        <v>4997.5027</v>
      </c>
      <c r="G225">
        <v>5009.80645</v>
      </c>
      <c r="H225">
        <v>4994.5621700000002</v>
      </c>
      <c r="J225">
        <v>1775457300</v>
      </c>
      <c r="K225" t="s">
        <v>0</v>
      </c>
      <c r="L225" t="s">
        <v>2</v>
      </c>
      <c r="M225">
        <v>4654.8999999999996</v>
      </c>
      <c r="N225">
        <v>4658.3523100000002</v>
      </c>
      <c r="O225">
        <v>4657.71922</v>
      </c>
      <c r="P225">
        <v>4660.4477900000002</v>
      </c>
      <c r="Q225">
        <v>4655.2854299999999</v>
      </c>
    </row>
    <row r="226" spans="1:17" x14ac:dyDescent="0.55000000000000004">
      <c r="A226">
        <v>1771480800</v>
      </c>
      <c r="B226" t="s">
        <v>0</v>
      </c>
      <c r="C226" t="s">
        <v>1</v>
      </c>
      <c r="D226">
        <v>5010.2299999999996</v>
      </c>
      <c r="E226">
        <v>5007.0210500000003</v>
      </c>
      <c r="F226">
        <v>5002.26188</v>
      </c>
      <c r="G226">
        <v>5013.7816199999997</v>
      </c>
      <c r="H226">
        <v>4998.3627100000003</v>
      </c>
      <c r="J226">
        <v>1775457600</v>
      </c>
      <c r="K226" t="s">
        <v>0</v>
      </c>
      <c r="L226" t="s">
        <v>2</v>
      </c>
      <c r="M226">
        <v>4655.58</v>
      </c>
      <c r="N226">
        <v>4659.268</v>
      </c>
      <c r="O226">
        <v>4658.4936100000004</v>
      </c>
      <c r="P226">
        <v>4661.7290999999996</v>
      </c>
      <c r="Q226">
        <v>4655.9269199999999</v>
      </c>
    </row>
    <row r="227" spans="1:17" x14ac:dyDescent="0.55000000000000004">
      <c r="A227">
        <v>1771484400</v>
      </c>
      <c r="B227" t="s">
        <v>0</v>
      </c>
      <c r="C227" t="s">
        <v>1</v>
      </c>
      <c r="D227">
        <v>5017.08</v>
      </c>
      <c r="E227">
        <v>5006.7030000000004</v>
      </c>
      <c r="F227">
        <v>5004.4824399999998</v>
      </c>
      <c r="G227">
        <v>5014.6575199999997</v>
      </c>
      <c r="H227">
        <v>4998.3540300000004</v>
      </c>
      <c r="J227">
        <v>1775457900</v>
      </c>
      <c r="K227" t="s">
        <v>0</v>
      </c>
      <c r="L227" t="s">
        <v>2</v>
      </c>
      <c r="M227">
        <v>4656.3599999999997</v>
      </c>
      <c r="N227">
        <v>4659.9482699999999</v>
      </c>
      <c r="O227">
        <v>4659.2209400000002</v>
      </c>
      <c r="P227">
        <v>4662.9503100000002</v>
      </c>
      <c r="Q227">
        <v>4656.3350700000001</v>
      </c>
    </row>
    <row r="228" spans="1:17" x14ac:dyDescent="0.55000000000000004">
      <c r="A228">
        <v>1771488000</v>
      </c>
      <c r="B228" t="s">
        <v>0</v>
      </c>
      <c r="C228" t="s">
        <v>1</v>
      </c>
      <c r="D228">
        <v>4995.79</v>
      </c>
      <c r="E228">
        <v>5003.8698800000002</v>
      </c>
      <c r="F228">
        <v>5004.17616</v>
      </c>
      <c r="G228">
        <v>5012.9284399999997</v>
      </c>
      <c r="H228">
        <v>4995.0922700000001</v>
      </c>
      <c r="J228">
        <v>1775458200</v>
      </c>
      <c r="K228" t="s">
        <v>0</v>
      </c>
      <c r="L228" t="s">
        <v>2</v>
      </c>
      <c r="M228">
        <v>4662.24</v>
      </c>
      <c r="N228">
        <v>4660.0743899999998</v>
      </c>
      <c r="O228">
        <v>4659.6476700000003</v>
      </c>
      <c r="P228">
        <v>4663.7543400000004</v>
      </c>
      <c r="Q228">
        <v>4656.30962</v>
      </c>
    </row>
    <row r="229" spans="1:17" x14ac:dyDescent="0.55000000000000004">
      <c r="A229">
        <v>1771491600</v>
      </c>
      <c r="B229" t="s">
        <v>0</v>
      </c>
      <c r="C229" t="s">
        <v>1</v>
      </c>
      <c r="D229">
        <v>4993.3</v>
      </c>
      <c r="E229">
        <v>5000.1603100000002</v>
      </c>
      <c r="F229">
        <v>5002.1682300000002</v>
      </c>
      <c r="G229">
        <v>5009.5595199999998</v>
      </c>
      <c r="H229">
        <v>4989.9173700000001</v>
      </c>
      <c r="J229">
        <v>1775458500</v>
      </c>
      <c r="K229" t="s">
        <v>0</v>
      </c>
      <c r="L229" t="s">
        <v>2</v>
      </c>
      <c r="M229">
        <v>4665.9399999999996</v>
      </c>
      <c r="N229">
        <v>4659.2762700000003</v>
      </c>
      <c r="O229">
        <v>4659.4619700000003</v>
      </c>
      <c r="P229">
        <v>4663.5457900000001</v>
      </c>
      <c r="Q229">
        <v>4655.64779</v>
      </c>
    </row>
    <row r="230" spans="1:17" x14ac:dyDescent="0.55000000000000004">
      <c r="A230">
        <v>1771495200</v>
      </c>
      <c r="B230" t="s">
        <v>0</v>
      </c>
      <c r="C230" t="s">
        <v>1</v>
      </c>
      <c r="D230">
        <v>4984.51</v>
      </c>
      <c r="E230">
        <v>4996.7023900000004</v>
      </c>
      <c r="F230">
        <v>4999.4353099999998</v>
      </c>
      <c r="G230">
        <v>5006.2156400000003</v>
      </c>
      <c r="H230">
        <v>4984.4088000000002</v>
      </c>
      <c r="J230">
        <v>1775458800</v>
      </c>
      <c r="K230" t="s">
        <v>0</v>
      </c>
      <c r="L230" t="s">
        <v>2</v>
      </c>
      <c r="M230">
        <v>4658.8999999999996</v>
      </c>
      <c r="N230">
        <v>4657.4237199999998</v>
      </c>
      <c r="O230">
        <v>4658.4428500000004</v>
      </c>
      <c r="P230">
        <v>4662.1893899999995</v>
      </c>
      <c r="Q230">
        <v>4654.21958</v>
      </c>
    </row>
    <row r="231" spans="1:17" x14ac:dyDescent="0.55000000000000004">
      <c r="A231">
        <v>1771498800</v>
      </c>
      <c r="B231" t="s">
        <v>0</v>
      </c>
      <c r="C231" t="s">
        <v>1</v>
      </c>
      <c r="D231">
        <v>4984.91</v>
      </c>
      <c r="E231">
        <v>4994.4840599999998</v>
      </c>
      <c r="F231">
        <v>4996.9596799999999</v>
      </c>
      <c r="G231">
        <v>5003.7264500000001</v>
      </c>
      <c r="H231">
        <v>4979.8561300000001</v>
      </c>
      <c r="J231">
        <v>1775459100</v>
      </c>
      <c r="K231" t="s">
        <v>0</v>
      </c>
      <c r="L231" t="s">
        <v>2</v>
      </c>
      <c r="M231">
        <v>4656.21</v>
      </c>
      <c r="N231">
        <v>4654.92598</v>
      </c>
      <c r="O231">
        <v>4656.6844099999998</v>
      </c>
      <c r="P231">
        <v>4659.7890500000003</v>
      </c>
      <c r="Q231">
        <v>4652.15272</v>
      </c>
    </row>
    <row r="232" spans="1:17" x14ac:dyDescent="0.55000000000000004">
      <c r="A232">
        <v>1771502400</v>
      </c>
      <c r="B232" t="s">
        <v>0</v>
      </c>
      <c r="C232" t="s">
        <v>1</v>
      </c>
      <c r="D232">
        <v>4996.99</v>
      </c>
      <c r="E232">
        <v>4993.7533100000001</v>
      </c>
      <c r="F232">
        <v>4995.3564900000001</v>
      </c>
      <c r="G232">
        <v>5002.5969800000003</v>
      </c>
      <c r="H232">
        <v>4976.98099</v>
      </c>
      <c r="J232">
        <v>1775459400</v>
      </c>
      <c r="K232" t="s">
        <v>0</v>
      </c>
      <c r="L232" t="s">
        <v>2</v>
      </c>
      <c r="M232">
        <v>4651.91</v>
      </c>
      <c r="N232">
        <v>4652.32143</v>
      </c>
      <c r="O232">
        <v>4654.5029199999999</v>
      </c>
      <c r="P232">
        <v>4656.9256999999998</v>
      </c>
      <c r="Q232">
        <v>4649.8316199999999</v>
      </c>
    </row>
    <row r="233" spans="1:17" x14ac:dyDescent="0.55000000000000004">
      <c r="A233">
        <v>1771506000</v>
      </c>
      <c r="B233" t="s">
        <v>0</v>
      </c>
      <c r="C233" t="s">
        <v>1</v>
      </c>
      <c r="D233">
        <v>5005.8100000000004</v>
      </c>
      <c r="E233">
        <v>4993.9384300000002</v>
      </c>
      <c r="F233">
        <v>4994.6474600000001</v>
      </c>
      <c r="G233">
        <v>5002.6303699999999</v>
      </c>
      <c r="H233">
        <v>4976.2833499999997</v>
      </c>
      <c r="J233">
        <v>1775459700</v>
      </c>
      <c r="K233" t="s">
        <v>0</v>
      </c>
      <c r="L233" t="s">
        <v>2</v>
      </c>
      <c r="M233">
        <v>4649.54</v>
      </c>
      <c r="N233">
        <v>4650.32557</v>
      </c>
      <c r="O233">
        <v>4652.4142400000001</v>
      </c>
      <c r="P233">
        <v>4654.3227699999998</v>
      </c>
      <c r="Q233">
        <v>4647.90355</v>
      </c>
    </row>
    <row r="234" spans="1:17" x14ac:dyDescent="0.55000000000000004">
      <c r="A234">
        <v>1771509600</v>
      </c>
      <c r="B234" t="s">
        <v>0</v>
      </c>
      <c r="C234" t="s">
        <v>1</v>
      </c>
      <c r="D234">
        <v>5013.8100000000004</v>
      </c>
      <c r="E234">
        <v>4994.3131299999995</v>
      </c>
      <c r="F234">
        <v>4994.4803000000002</v>
      </c>
      <c r="G234">
        <v>5003.1415500000003</v>
      </c>
      <c r="H234">
        <v>4977.7827100000004</v>
      </c>
      <c r="J234">
        <v>1775460000</v>
      </c>
      <c r="K234" t="s">
        <v>0</v>
      </c>
      <c r="L234" t="s">
        <v>2</v>
      </c>
      <c r="M234">
        <v>4645.37</v>
      </c>
      <c r="N234">
        <v>4649.6109999999999</v>
      </c>
      <c r="O234">
        <v>4651.0126200000004</v>
      </c>
      <c r="P234">
        <v>4652.7426100000002</v>
      </c>
      <c r="Q234">
        <v>4646.9277599999996</v>
      </c>
    </row>
    <row r="235" spans="1:17" x14ac:dyDescent="0.55000000000000004">
      <c r="A235">
        <v>1771513200</v>
      </c>
      <c r="B235" t="s">
        <v>0</v>
      </c>
      <c r="C235" t="s">
        <v>1</v>
      </c>
      <c r="D235">
        <v>4995.28</v>
      </c>
      <c r="E235">
        <v>4994.1544299999996</v>
      </c>
      <c r="F235">
        <v>4994.31736</v>
      </c>
      <c r="G235">
        <v>5003.3260399999999</v>
      </c>
      <c r="H235">
        <v>4979.9716799999997</v>
      </c>
      <c r="J235">
        <v>1775460300</v>
      </c>
      <c r="K235" t="s">
        <v>0</v>
      </c>
      <c r="L235" t="s">
        <v>2</v>
      </c>
      <c r="M235">
        <v>4650.79</v>
      </c>
      <c r="N235">
        <v>4650.7550899999997</v>
      </c>
      <c r="O235">
        <v>4650.8838599999999</v>
      </c>
      <c r="P235">
        <v>4652.9596600000004</v>
      </c>
      <c r="Q235">
        <v>4647.3822099999998</v>
      </c>
    </row>
    <row r="236" spans="1:17" x14ac:dyDescent="0.55000000000000004">
      <c r="A236">
        <v>1771516800</v>
      </c>
      <c r="B236" t="s">
        <v>0</v>
      </c>
      <c r="C236" t="s">
        <v>1</v>
      </c>
      <c r="D236">
        <v>4984.87</v>
      </c>
      <c r="E236">
        <v>4993.85167</v>
      </c>
      <c r="F236">
        <v>4994.0845200000003</v>
      </c>
      <c r="G236">
        <v>5003.1341300000004</v>
      </c>
      <c r="H236">
        <v>4982.2657499999996</v>
      </c>
      <c r="J236">
        <v>1775460600</v>
      </c>
      <c r="K236" t="s">
        <v>0</v>
      </c>
      <c r="L236" t="s">
        <v>2</v>
      </c>
      <c r="M236">
        <v>4653.1899999999996</v>
      </c>
      <c r="N236">
        <v>4653.8248599999997</v>
      </c>
      <c r="O236">
        <v>4652.3543600000003</v>
      </c>
      <c r="P236">
        <v>4655.35401</v>
      </c>
      <c r="Q236">
        <v>4649.5322900000001</v>
      </c>
    </row>
    <row r="237" spans="1:17" x14ac:dyDescent="0.55000000000000004">
      <c r="A237">
        <v>1771520400</v>
      </c>
      <c r="B237" t="s">
        <v>0</v>
      </c>
      <c r="C237" t="s">
        <v>1</v>
      </c>
      <c r="D237">
        <v>4981.72</v>
      </c>
      <c r="E237">
        <v>4993.7087799999999</v>
      </c>
      <c r="F237">
        <v>4993.8966499999997</v>
      </c>
      <c r="G237">
        <v>5002.8251700000001</v>
      </c>
      <c r="H237">
        <v>4984.3479600000001</v>
      </c>
      <c r="J237">
        <v>1775460900</v>
      </c>
      <c r="K237" t="s">
        <v>0</v>
      </c>
      <c r="L237" t="s">
        <v>2</v>
      </c>
      <c r="M237">
        <v>4656.8999999999996</v>
      </c>
      <c r="N237">
        <v>4658.6531999999997</v>
      </c>
      <c r="O237">
        <v>4655.50378</v>
      </c>
      <c r="P237">
        <v>4659.8811500000002</v>
      </c>
      <c r="Q237">
        <v>4653.2668199999998</v>
      </c>
    </row>
    <row r="238" spans="1:17" x14ac:dyDescent="0.55000000000000004">
      <c r="A238">
        <v>1771524000</v>
      </c>
      <c r="B238" t="s">
        <v>0</v>
      </c>
      <c r="C238" t="s">
        <v>1</v>
      </c>
      <c r="D238">
        <v>4987.8599999999997</v>
      </c>
      <c r="E238">
        <v>4993.8540199999998</v>
      </c>
      <c r="F238">
        <v>4993.8753399999996</v>
      </c>
      <c r="G238">
        <v>5002.7958500000004</v>
      </c>
      <c r="H238">
        <v>4986.0983900000001</v>
      </c>
      <c r="J238">
        <v>1775461200</v>
      </c>
      <c r="K238" t="s">
        <v>0</v>
      </c>
      <c r="L238" t="s">
        <v>2</v>
      </c>
      <c r="M238">
        <v>4664.4399999999996</v>
      </c>
      <c r="N238">
        <v>4664.7699199999997</v>
      </c>
      <c r="O238">
        <v>4660.1368499999999</v>
      </c>
      <c r="P238">
        <v>4666.1100800000004</v>
      </c>
      <c r="Q238">
        <v>4658.2961800000003</v>
      </c>
    </row>
    <row r="239" spans="1:17" x14ac:dyDescent="0.55000000000000004">
      <c r="A239">
        <v>1771527600</v>
      </c>
      <c r="B239" t="s">
        <v>0</v>
      </c>
      <c r="C239" t="s">
        <v>1</v>
      </c>
      <c r="D239">
        <v>5001.8100000000004</v>
      </c>
      <c r="E239">
        <v>4994.1166700000003</v>
      </c>
      <c r="F239">
        <v>4993.9960000000001</v>
      </c>
      <c r="G239">
        <v>5003.0752000000002</v>
      </c>
      <c r="H239">
        <v>4987.3122499999999</v>
      </c>
      <c r="J239">
        <v>1775461500</v>
      </c>
      <c r="K239" t="s">
        <v>0</v>
      </c>
      <c r="L239" t="s">
        <v>2</v>
      </c>
      <c r="M239">
        <v>4672.1000000000004</v>
      </c>
      <c r="N239">
        <v>4671.4318000000003</v>
      </c>
      <c r="O239">
        <v>4665.7843199999998</v>
      </c>
      <c r="P239">
        <v>4673.2360900000003</v>
      </c>
      <c r="Q239">
        <v>4664.1387999999997</v>
      </c>
    </row>
    <row r="240" spans="1:17" x14ac:dyDescent="0.55000000000000004">
      <c r="A240">
        <v>1771531200</v>
      </c>
      <c r="B240" t="s">
        <v>0</v>
      </c>
      <c r="C240" t="s">
        <v>1</v>
      </c>
      <c r="D240">
        <v>4996.1099999999997</v>
      </c>
      <c r="E240">
        <v>4994.1692400000002</v>
      </c>
      <c r="F240">
        <v>4994.0826200000001</v>
      </c>
      <c r="G240">
        <v>5003.39905</v>
      </c>
      <c r="H240">
        <v>4987.7614800000001</v>
      </c>
      <c r="J240">
        <v>1775461800</v>
      </c>
      <c r="K240" t="s">
        <v>0</v>
      </c>
      <c r="L240" t="s">
        <v>2</v>
      </c>
      <c r="M240">
        <v>4680.5</v>
      </c>
      <c r="N240">
        <v>4677.8278200000004</v>
      </c>
      <c r="O240">
        <v>4671.8060699999996</v>
      </c>
      <c r="P240">
        <v>4680.38177</v>
      </c>
      <c r="Q240">
        <v>4670.1545800000004</v>
      </c>
    </row>
    <row r="241" spans="1:17" x14ac:dyDescent="0.55000000000000004">
      <c r="A241">
        <v>1771538400</v>
      </c>
      <c r="B241" t="s">
        <v>0</v>
      </c>
      <c r="C241" t="s">
        <v>1</v>
      </c>
      <c r="D241">
        <v>4987.6099999999997</v>
      </c>
      <c r="E241">
        <v>4994.2344700000003</v>
      </c>
      <c r="F241">
        <v>4994.1585500000001</v>
      </c>
      <c r="G241">
        <v>5003.8122300000005</v>
      </c>
      <c r="H241">
        <v>4987.5915999999997</v>
      </c>
      <c r="J241">
        <v>1775462100</v>
      </c>
      <c r="K241" t="s">
        <v>0</v>
      </c>
      <c r="L241" t="s">
        <v>2</v>
      </c>
      <c r="M241">
        <v>4684.83</v>
      </c>
      <c r="N241">
        <v>4683.2451199999996</v>
      </c>
      <c r="O241">
        <v>4677.5255999999999</v>
      </c>
      <c r="P241">
        <v>4686.5291699999998</v>
      </c>
      <c r="Q241">
        <v>4675.6479300000001</v>
      </c>
    </row>
    <row r="242" spans="1:17" x14ac:dyDescent="0.55000000000000004">
      <c r="A242">
        <v>1771542000</v>
      </c>
      <c r="B242" t="s">
        <v>0</v>
      </c>
      <c r="C242" t="s">
        <v>1</v>
      </c>
      <c r="D242">
        <v>5006.63</v>
      </c>
      <c r="E242">
        <v>4994.7327100000002</v>
      </c>
      <c r="F242">
        <v>4994.4456300000002</v>
      </c>
      <c r="G242">
        <v>5004.3222400000004</v>
      </c>
      <c r="H242">
        <v>4987.3603199999998</v>
      </c>
      <c r="J242">
        <v>1775462400</v>
      </c>
      <c r="K242" t="s">
        <v>0</v>
      </c>
      <c r="L242" t="s">
        <v>2</v>
      </c>
      <c r="M242">
        <v>4693.57</v>
      </c>
      <c r="N242">
        <v>4687.2897899999998</v>
      </c>
      <c r="O242">
        <v>4682.4076999999997</v>
      </c>
      <c r="P242">
        <v>4691.1693800000003</v>
      </c>
      <c r="Q242">
        <v>4680.0949700000001</v>
      </c>
    </row>
    <row r="243" spans="1:17" x14ac:dyDescent="0.55000000000000004">
      <c r="A243">
        <v>1771545600</v>
      </c>
      <c r="B243" t="s">
        <v>0</v>
      </c>
      <c r="C243" t="s">
        <v>1</v>
      </c>
      <c r="D243">
        <v>4996.97</v>
      </c>
      <c r="E243">
        <v>4995.3506299999999</v>
      </c>
      <c r="F243">
        <v>4994.8981299999996</v>
      </c>
      <c r="G243">
        <v>5005.1424299999999</v>
      </c>
      <c r="H243">
        <v>4987.59087</v>
      </c>
      <c r="J243">
        <v>1775462700</v>
      </c>
      <c r="K243" t="s">
        <v>0</v>
      </c>
      <c r="L243" t="s">
        <v>2</v>
      </c>
      <c r="M243">
        <v>4684.6000000000004</v>
      </c>
      <c r="N243">
        <v>4689.7232199999999</v>
      </c>
      <c r="O243">
        <v>4686.0654599999998</v>
      </c>
      <c r="P243">
        <v>4694.0077499999998</v>
      </c>
      <c r="Q243">
        <v>4683.3793299999998</v>
      </c>
    </row>
    <row r="244" spans="1:17" x14ac:dyDescent="0.55000000000000004">
      <c r="A244">
        <v>1771549200</v>
      </c>
      <c r="B244" t="s">
        <v>0</v>
      </c>
      <c r="C244" t="s">
        <v>1</v>
      </c>
      <c r="D244">
        <v>4996.16</v>
      </c>
      <c r="E244">
        <v>4996.6304600000003</v>
      </c>
      <c r="F244">
        <v>4995.7642999999998</v>
      </c>
      <c r="G244">
        <v>5006.32672</v>
      </c>
      <c r="H244">
        <v>4988.4582399999999</v>
      </c>
      <c r="J244">
        <v>1775463000</v>
      </c>
      <c r="K244" t="s">
        <v>0</v>
      </c>
      <c r="L244" t="s">
        <v>2</v>
      </c>
      <c r="M244">
        <v>4689.7</v>
      </c>
      <c r="N244">
        <v>4691.0088100000003</v>
      </c>
      <c r="O244">
        <v>4688.5371299999997</v>
      </c>
      <c r="P244">
        <v>4695.2472500000003</v>
      </c>
      <c r="Q244">
        <v>4685.56862</v>
      </c>
    </row>
    <row r="245" spans="1:17" x14ac:dyDescent="0.55000000000000004">
      <c r="A245">
        <v>1771552800</v>
      </c>
      <c r="B245" t="s">
        <v>0</v>
      </c>
      <c r="C245" t="s">
        <v>1</v>
      </c>
      <c r="D245">
        <v>4987.5600000000004</v>
      </c>
      <c r="E245">
        <v>4998.8802800000003</v>
      </c>
      <c r="F245">
        <v>4997.3222900000001</v>
      </c>
      <c r="G245">
        <v>5008.2706799999996</v>
      </c>
      <c r="H245">
        <v>4990.35725</v>
      </c>
      <c r="J245">
        <v>1775463300</v>
      </c>
      <c r="K245" t="s">
        <v>0</v>
      </c>
      <c r="L245" t="s">
        <v>2</v>
      </c>
      <c r="M245">
        <v>4686.7299999999996</v>
      </c>
      <c r="N245">
        <v>4691.4169899999997</v>
      </c>
      <c r="O245">
        <v>4689.9770600000002</v>
      </c>
      <c r="P245">
        <v>4695.3322500000004</v>
      </c>
      <c r="Q245">
        <v>4686.90571</v>
      </c>
    </row>
    <row r="246" spans="1:17" x14ac:dyDescent="0.55000000000000004">
      <c r="A246">
        <v>1771556400</v>
      </c>
      <c r="B246" t="s">
        <v>0</v>
      </c>
      <c r="C246" t="s">
        <v>1</v>
      </c>
      <c r="D246">
        <v>4999.83</v>
      </c>
      <c r="E246">
        <v>5002.4752699999999</v>
      </c>
      <c r="F246">
        <v>4999.8987800000004</v>
      </c>
      <c r="G246">
        <v>5011.3468300000004</v>
      </c>
      <c r="H246">
        <v>4993.7330499999998</v>
      </c>
      <c r="J246">
        <v>1775463600</v>
      </c>
      <c r="K246" t="s">
        <v>0</v>
      </c>
      <c r="L246" t="s">
        <v>2</v>
      </c>
      <c r="M246">
        <v>4692.9799999999996</v>
      </c>
      <c r="N246">
        <v>4691.4688999999998</v>
      </c>
      <c r="O246">
        <v>4690.7229799999996</v>
      </c>
      <c r="P246">
        <v>4694.8019899999999</v>
      </c>
      <c r="Q246">
        <v>4687.6960399999998</v>
      </c>
    </row>
    <row r="247" spans="1:17" x14ac:dyDescent="0.55000000000000004">
      <c r="A247">
        <v>1771560000</v>
      </c>
      <c r="B247" t="s">
        <v>0</v>
      </c>
      <c r="C247" t="s">
        <v>1</v>
      </c>
      <c r="D247">
        <v>5011.87</v>
      </c>
      <c r="E247">
        <v>5007.0015599999997</v>
      </c>
      <c r="F247">
        <v>5003.4501700000001</v>
      </c>
      <c r="G247">
        <v>5015.5024299999995</v>
      </c>
      <c r="H247">
        <v>4998.3050499999999</v>
      </c>
      <c r="J247">
        <v>1775463900</v>
      </c>
      <c r="K247" t="s">
        <v>0</v>
      </c>
      <c r="L247" t="s">
        <v>2</v>
      </c>
      <c r="M247">
        <v>4691.3599999999997</v>
      </c>
      <c r="N247">
        <v>4691.3987800000004</v>
      </c>
      <c r="O247">
        <v>4691.06088</v>
      </c>
      <c r="P247">
        <v>4694.1731499999996</v>
      </c>
      <c r="Q247">
        <v>4688.2948800000004</v>
      </c>
    </row>
    <row r="248" spans="1:17" x14ac:dyDescent="0.55000000000000004">
      <c r="A248">
        <v>1771563600</v>
      </c>
      <c r="B248" t="s">
        <v>0</v>
      </c>
      <c r="C248" t="s">
        <v>1</v>
      </c>
      <c r="D248">
        <v>5020.79</v>
      </c>
      <c r="E248">
        <v>5011.8725599999998</v>
      </c>
      <c r="F248">
        <v>5007.6613600000001</v>
      </c>
      <c r="G248">
        <v>5020.4013500000001</v>
      </c>
      <c r="H248">
        <v>5003.37997</v>
      </c>
      <c r="J248">
        <v>1775464200</v>
      </c>
      <c r="K248" t="s">
        <v>0</v>
      </c>
      <c r="L248" t="s">
        <v>2</v>
      </c>
      <c r="M248">
        <v>4694.6400000000003</v>
      </c>
      <c r="N248">
        <v>4691.55789</v>
      </c>
      <c r="O248">
        <v>4691.3093900000003</v>
      </c>
      <c r="P248">
        <v>4693.80591</v>
      </c>
      <c r="Q248">
        <v>4688.8432400000002</v>
      </c>
    </row>
    <row r="249" spans="1:17" x14ac:dyDescent="0.55000000000000004">
      <c r="A249">
        <v>1771567200</v>
      </c>
      <c r="B249" t="s">
        <v>0</v>
      </c>
      <c r="C249" t="s">
        <v>1</v>
      </c>
      <c r="D249">
        <v>5006.25</v>
      </c>
      <c r="E249">
        <v>5016.6235999999999</v>
      </c>
      <c r="F249">
        <v>5012.1424800000004</v>
      </c>
      <c r="G249">
        <v>5025.3678200000004</v>
      </c>
      <c r="H249">
        <v>5008.11517</v>
      </c>
      <c r="J249">
        <v>1775464500</v>
      </c>
      <c r="K249" t="s">
        <v>0</v>
      </c>
      <c r="L249" t="s">
        <v>2</v>
      </c>
      <c r="M249">
        <v>4690.3500000000004</v>
      </c>
      <c r="N249">
        <v>4692.0177100000001</v>
      </c>
      <c r="O249">
        <v>4691.6635500000002</v>
      </c>
      <c r="P249">
        <v>4693.9978499999997</v>
      </c>
      <c r="Q249">
        <v>4689.5149099999999</v>
      </c>
    </row>
    <row r="250" spans="1:17" x14ac:dyDescent="0.55000000000000004">
      <c r="A250">
        <v>1771570800</v>
      </c>
      <c r="B250" t="s">
        <v>0</v>
      </c>
      <c r="C250" t="s">
        <v>1</v>
      </c>
      <c r="D250">
        <v>5028.93</v>
      </c>
      <c r="E250">
        <v>5021.4118699999999</v>
      </c>
      <c r="F250">
        <v>5016.7771700000003</v>
      </c>
      <c r="G250">
        <v>5030.2124000000003</v>
      </c>
      <c r="H250">
        <v>5012.2084199999999</v>
      </c>
      <c r="J250">
        <v>1775464800</v>
      </c>
      <c r="K250" t="s">
        <v>0</v>
      </c>
      <c r="L250" t="s">
        <v>2</v>
      </c>
      <c r="M250">
        <v>4693.1499999999996</v>
      </c>
      <c r="N250">
        <v>4692.9095699999998</v>
      </c>
      <c r="O250">
        <v>4692.2865599999996</v>
      </c>
      <c r="P250">
        <v>4694.7760900000003</v>
      </c>
      <c r="Q250">
        <v>4690.3755300000003</v>
      </c>
    </row>
    <row r="251" spans="1:17" x14ac:dyDescent="0.55000000000000004">
      <c r="A251">
        <v>1771574400</v>
      </c>
      <c r="B251" t="s">
        <v>0</v>
      </c>
      <c r="C251" t="s">
        <v>1</v>
      </c>
      <c r="D251">
        <v>5027.8100000000004</v>
      </c>
      <c r="E251">
        <v>5025.4877200000001</v>
      </c>
      <c r="F251">
        <v>5021.1324500000001</v>
      </c>
      <c r="G251">
        <v>5034.7239</v>
      </c>
      <c r="H251">
        <v>5015.30753</v>
      </c>
      <c r="J251">
        <v>1775465100</v>
      </c>
      <c r="K251" t="s">
        <v>0</v>
      </c>
      <c r="L251" t="s">
        <v>2</v>
      </c>
      <c r="M251">
        <v>4696.75</v>
      </c>
      <c r="N251">
        <v>4694.0968300000004</v>
      </c>
      <c r="O251">
        <v>4693.1916899999997</v>
      </c>
      <c r="P251">
        <v>4696.0895200000004</v>
      </c>
      <c r="Q251">
        <v>4691.4384399999999</v>
      </c>
    </row>
    <row r="252" spans="1:17" x14ac:dyDescent="0.55000000000000004">
      <c r="A252">
        <v>1771578000</v>
      </c>
      <c r="B252" t="s">
        <v>0</v>
      </c>
      <c r="C252" t="s">
        <v>1</v>
      </c>
      <c r="D252">
        <v>5034.8100000000004</v>
      </c>
      <c r="E252">
        <v>5028.9708499999997</v>
      </c>
      <c r="F252">
        <v>5025.0516500000003</v>
      </c>
      <c r="G252">
        <v>5038.5334999999995</v>
      </c>
      <c r="H252">
        <v>5016.7771000000002</v>
      </c>
      <c r="J252">
        <v>1775465400</v>
      </c>
      <c r="K252" t="s">
        <v>0</v>
      </c>
      <c r="L252" t="s">
        <v>2</v>
      </c>
      <c r="M252">
        <v>4694.03</v>
      </c>
      <c r="N252">
        <v>4695.3877300000004</v>
      </c>
      <c r="O252">
        <v>4694.28971</v>
      </c>
      <c r="P252">
        <v>4697.6624899999997</v>
      </c>
      <c r="Q252">
        <v>4692.6085700000003</v>
      </c>
    </row>
    <row r="253" spans="1:17" x14ac:dyDescent="0.55000000000000004">
      <c r="A253">
        <v>1771581600</v>
      </c>
      <c r="B253" t="s">
        <v>0</v>
      </c>
      <c r="C253" t="s">
        <v>1</v>
      </c>
      <c r="D253">
        <v>5017.5600000000004</v>
      </c>
      <c r="E253">
        <v>5031.9658300000001</v>
      </c>
      <c r="F253">
        <v>5028.5087400000002</v>
      </c>
      <c r="G253">
        <v>5041.8410800000001</v>
      </c>
      <c r="H253">
        <v>5017.1642899999997</v>
      </c>
      <c r="J253">
        <v>1775465700</v>
      </c>
      <c r="K253" t="s">
        <v>0</v>
      </c>
      <c r="L253" t="s">
        <v>2</v>
      </c>
      <c r="M253">
        <v>4695.84</v>
      </c>
      <c r="N253">
        <v>4696.7752499999997</v>
      </c>
      <c r="O253">
        <v>4695.5324799999999</v>
      </c>
      <c r="P253">
        <v>4699.2794100000001</v>
      </c>
      <c r="Q253">
        <v>4693.89437</v>
      </c>
    </row>
    <row r="254" spans="1:17" x14ac:dyDescent="0.55000000000000004">
      <c r="A254">
        <v>1771585200</v>
      </c>
      <c r="B254" t="s">
        <v>0</v>
      </c>
      <c r="C254" t="s">
        <v>1</v>
      </c>
      <c r="D254">
        <v>5025.32</v>
      </c>
      <c r="E254">
        <v>5035.3840399999999</v>
      </c>
      <c r="F254">
        <v>5031.9463900000001</v>
      </c>
      <c r="G254">
        <v>5044.9651999999996</v>
      </c>
      <c r="H254">
        <v>5017.24172</v>
      </c>
      <c r="J254">
        <v>1775466000</v>
      </c>
      <c r="K254" t="s">
        <v>0</v>
      </c>
      <c r="L254" t="s">
        <v>2</v>
      </c>
      <c r="M254">
        <v>4698.93</v>
      </c>
      <c r="N254">
        <v>4698.1577200000002</v>
      </c>
      <c r="O254">
        <v>4696.8450999999995</v>
      </c>
      <c r="P254">
        <v>4700.7673100000002</v>
      </c>
      <c r="Q254">
        <v>4695.23434</v>
      </c>
    </row>
    <row r="255" spans="1:17" x14ac:dyDescent="0.55000000000000004">
      <c r="A255">
        <v>1771588800</v>
      </c>
      <c r="B255" t="s">
        <v>0</v>
      </c>
      <c r="C255" t="s">
        <v>1</v>
      </c>
      <c r="D255">
        <v>5043.5200000000004</v>
      </c>
      <c r="E255">
        <v>5039.3935700000002</v>
      </c>
      <c r="F255">
        <v>5035.6699799999997</v>
      </c>
      <c r="G255">
        <v>5048.4178199999997</v>
      </c>
      <c r="H255">
        <v>5018.0505300000004</v>
      </c>
      <c r="J255">
        <v>1775466300</v>
      </c>
      <c r="K255" t="s">
        <v>0</v>
      </c>
      <c r="L255" t="s">
        <v>2</v>
      </c>
      <c r="M255">
        <v>4699.1099999999997</v>
      </c>
      <c r="N255">
        <v>4699.4322700000002</v>
      </c>
      <c r="O255">
        <v>4698.1386899999998</v>
      </c>
      <c r="P255">
        <v>4701.9471299999996</v>
      </c>
      <c r="Q255">
        <v>4696.5545499999998</v>
      </c>
    </row>
    <row r="256" spans="1:17" x14ac:dyDescent="0.55000000000000004">
      <c r="A256">
        <v>1771592400</v>
      </c>
      <c r="B256" t="s">
        <v>0</v>
      </c>
      <c r="C256" t="s">
        <v>1</v>
      </c>
      <c r="D256">
        <v>5054.6899999999996</v>
      </c>
      <c r="E256">
        <v>5043.8519399999996</v>
      </c>
      <c r="F256">
        <v>5039.7609599999996</v>
      </c>
      <c r="G256">
        <v>5052.0237500000003</v>
      </c>
      <c r="H256">
        <v>5020.09105</v>
      </c>
      <c r="J256">
        <v>1775466600</v>
      </c>
      <c r="K256" t="s">
        <v>0</v>
      </c>
      <c r="L256" t="s">
        <v>2</v>
      </c>
      <c r="M256">
        <v>4701.22</v>
      </c>
      <c r="N256">
        <v>4700.5935300000001</v>
      </c>
      <c r="O256">
        <v>4699.3661099999999</v>
      </c>
      <c r="P256">
        <v>4702.80789</v>
      </c>
      <c r="Q256">
        <v>4697.7913900000003</v>
      </c>
    </row>
    <row r="257" spans="1:17" x14ac:dyDescent="0.55000000000000004">
      <c r="A257">
        <v>1771596000</v>
      </c>
      <c r="B257" t="s">
        <v>0</v>
      </c>
      <c r="C257" t="s">
        <v>1</v>
      </c>
      <c r="D257">
        <v>5042.49</v>
      </c>
      <c r="E257">
        <v>5049.0619900000002</v>
      </c>
      <c r="F257">
        <v>5044.41147</v>
      </c>
      <c r="G257">
        <v>5056.1451500000003</v>
      </c>
      <c r="H257">
        <v>5023.6272600000002</v>
      </c>
      <c r="J257">
        <v>1775466900</v>
      </c>
      <c r="K257" t="s">
        <v>0</v>
      </c>
      <c r="L257" t="s">
        <v>2</v>
      </c>
      <c r="M257">
        <v>4700.28</v>
      </c>
      <c r="N257">
        <v>4701.5826100000004</v>
      </c>
      <c r="O257">
        <v>4700.4743600000002</v>
      </c>
      <c r="P257">
        <v>4703.4660999999996</v>
      </c>
      <c r="Q257">
        <v>4698.9319500000001</v>
      </c>
    </row>
    <row r="258" spans="1:17" x14ac:dyDescent="0.55000000000000004">
      <c r="A258">
        <v>1771599600</v>
      </c>
      <c r="B258" t="s">
        <v>0</v>
      </c>
      <c r="C258" t="s">
        <v>1</v>
      </c>
      <c r="D258">
        <v>5066.82</v>
      </c>
      <c r="E258">
        <v>5056.0441499999997</v>
      </c>
      <c r="F258">
        <v>5050.2278100000003</v>
      </c>
      <c r="G258">
        <v>5061.5358200000001</v>
      </c>
      <c r="H258">
        <v>5030.6157199999998</v>
      </c>
      <c r="J258">
        <v>1775467200</v>
      </c>
      <c r="K258" t="s">
        <v>0</v>
      </c>
      <c r="L258" t="s">
        <v>2</v>
      </c>
      <c r="M258">
        <v>4701.45</v>
      </c>
      <c r="N258">
        <v>4702.3832499999999</v>
      </c>
      <c r="O258">
        <v>4701.4287999999997</v>
      </c>
      <c r="P258">
        <v>4703.9592899999998</v>
      </c>
      <c r="Q258">
        <v>4699.8869500000001</v>
      </c>
    </row>
    <row r="259" spans="1:17" x14ac:dyDescent="0.55000000000000004">
      <c r="A259">
        <v>1771603200</v>
      </c>
      <c r="B259" t="s">
        <v>0</v>
      </c>
      <c r="C259" t="s">
        <v>1</v>
      </c>
      <c r="D259">
        <v>5072.92</v>
      </c>
      <c r="E259">
        <v>5064.85286</v>
      </c>
      <c r="F259">
        <v>5057.5403299999998</v>
      </c>
      <c r="G259">
        <v>5069.0193600000002</v>
      </c>
      <c r="H259">
        <v>5040.1453700000002</v>
      </c>
      <c r="J259">
        <v>1775467500</v>
      </c>
      <c r="K259" t="s">
        <v>0</v>
      </c>
      <c r="L259" t="s">
        <v>2</v>
      </c>
      <c r="M259">
        <v>4702.7</v>
      </c>
      <c r="N259">
        <v>4702.8756899999998</v>
      </c>
      <c r="O259">
        <v>4702.1522500000001</v>
      </c>
      <c r="P259">
        <v>4704.3212599999997</v>
      </c>
      <c r="Q259">
        <v>4700.5789699999996</v>
      </c>
    </row>
    <row r="260" spans="1:17" x14ac:dyDescent="0.55000000000000004">
      <c r="A260">
        <v>1771606800</v>
      </c>
      <c r="B260" t="s">
        <v>0</v>
      </c>
      <c r="C260" t="s">
        <v>1</v>
      </c>
      <c r="D260">
        <v>5071.22</v>
      </c>
      <c r="E260">
        <v>5075.9261100000003</v>
      </c>
      <c r="F260">
        <v>5066.7332200000001</v>
      </c>
      <c r="G260">
        <v>5079.26145</v>
      </c>
      <c r="H260">
        <v>5051.9833900000003</v>
      </c>
      <c r="J260">
        <v>1775467800</v>
      </c>
      <c r="K260" t="s">
        <v>0</v>
      </c>
      <c r="L260" t="s">
        <v>2</v>
      </c>
      <c r="M260">
        <v>4703.76</v>
      </c>
      <c r="N260">
        <v>4702.9218099999998</v>
      </c>
      <c r="O260">
        <v>4702.5370300000004</v>
      </c>
      <c r="P260">
        <v>4704.5103900000004</v>
      </c>
      <c r="Q260">
        <v>4700.8155699999998</v>
      </c>
    </row>
    <row r="261" spans="1:17" x14ac:dyDescent="0.55000000000000004">
      <c r="A261">
        <v>1771610400</v>
      </c>
      <c r="B261" t="s">
        <v>0</v>
      </c>
      <c r="C261" t="s">
        <v>1</v>
      </c>
      <c r="D261">
        <v>5079.53</v>
      </c>
      <c r="E261">
        <v>5089.5076399999998</v>
      </c>
      <c r="F261">
        <v>5078.1204299999999</v>
      </c>
      <c r="G261">
        <v>5092.7182599999996</v>
      </c>
      <c r="H261">
        <v>5065.9718300000004</v>
      </c>
      <c r="J261">
        <v>1775468100</v>
      </c>
      <c r="K261" t="s">
        <v>0</v>
      </c>
      <c r="L261" t="s">
        <v>2</v>
      </c>
      <c r="M261">
        <v>4702.76</v>
      </c>
      <c r="N261">
        <v>4702.4012199999997</v>
      </c>
      <c r="O261">
        <v>4702.4691199999997</v>
      </c>
      <c r="P261">
        <v>4704.3961399999998</v>
      </c>
      <c r="Q261">
        <v>4700.46108</v>
      </c>
    </row>
    <row r="262" spans="1:17" x14ac:dyDescent="0.55000000000000004">
      <c r="A262">
        <v>1771614000</v>
      </c>
      <c r="B262" t="s">
        <v>0</v>
      </c>
      <c r="C262" t="s">
        <v>1</v>
      </c>
      <c r="D262">
        <v>5097.29</v>
      </c>
      <c r="E262">
        <v>5105.13904</v>
      </c>
      <c r="F262">
        <v>5091.6297400000003</v>
      </c>
      <c r="G262">
        <v>5109.02124</v>
      </c>
      <c r="H262">
        <v>5081.3612800000001</v>
      </c>
      <c r="J262">
        <v>1775468400</v>
      </c>
      <c r="K262" t="s">
        <v>0</v>
      </c>
      <c r="L262" t="s">
        <v>2</v>
      </c>
      <c r="M262">
        <v>4703.45</v>
      </c>
      <c r="N262">
        <v>4701.2940399999998</v>
      </c>
      <c r="O262">
        <v>4701.8815800000002</v>
      </c>
      <c r="P262">
        <v>4703.8823700000003</v>
      </c>
      <c r="Q262">
        <v>4699.4340199999997</v>
      </c>
    </row>
    <row r="263" spans="1:17" x14ac:dyDescent="0.55000000000000004">
      <c r="A263">
        <v>1771617600</v>
      </c>
      <c r="B263" t="s">
        <v>0</v>
      </c>
      <c r="C263" t="s">
        <v>1</v>
      </c>
      <c r="D263">
        <v>5105.71</v>
      </c>
      <c r="E263">
        <v>5121.5639000000001</v>
      </c>
      <c r="F263">
        <v>5106.5968199999998</v>
      </c>
      <c r="G263">
        <v>5126.8175000000001</v>
      </c>
      <c r="H263">
        <v>5097.4251199999999</v>
      </c>
      <c r="J263">
        <v>1775468700</v>
      </c>
      <c r="K263" t="s">
        <v>0</v>
      </c>
      <c r="L263" t="s">
        <v>2</v>
      </c>
      <c r="M263">
        <v>4700.6400000000003</v>
      </c>
      <c r="N263">
        <v>4699.6202300000004</v>
      </c>
      <c r="O263">
        <v>4700.7509099999997</v>
      </c>
      <c r="P263">
        <v>4702.8536800000002</v>
      </c>
      <c r="Q263">
        <v>4697.7693900000004</v>
      </c>
    </row>
    <row r="264" spans="1:17" x14ac:dyDescent="0.55000000000000004">
      <c r="A264">
        <v>1771797600</v>
      </c>
      <c r="B264" t="s">
        <v>0</v>
      </c>
      <c r="C264" t="s">
        <v>1</v>
      </c>
      <c r="D264">
        <v>5165.47</v>
      </c>
      <c r="E264">
        <v>5137.4106400000001</v>
      </c>
      <c r="F264">
        <v>5122.0037300000004</v>
      </c>
      <c r="G264">
        <v>5144.4356900000002</v>
      </c>
      <c r="H264">
        <v>5113.1119600000002</v>
      </c>
      <c r="J264">
        <v>1775469000</v>
      </c>
      <c r="K264" t="s">
        <v>0</v>
      </c>
      <c r="L264" t="s">
        <v>2</v>
      </c>
      <c r="M264">
        <v>4693.8100000000004</v>
      </c>
      <c r="N264">
        <v>4697.5598900000005</v>
      </c>
      <c r="O264">
        <v>4699.1553999999996</v>
      </c>
      <c r="P264">
        <v>4701.3393299999998</v>
      </c>
      <c r="Q264">
        <v>4695.6418400000002</v>
      </c>
    </row>
    <row r="265" spans="1:17" x14ac:dyDescent="0.55000000000000004">
      <c r="A265">
        <v>1771801200</v>
      </c>
      <c r="B265" t="s">
        <v>0</v>
      </c>
      <c r="C265" t="s">
        <v>1</v>
      </c>
      <c r="D265">
        <v>5144.58</v>
      </c>
      <c r="E265">
        <v>5149.9188400000003</v>
      </c>
      <c r="F265">
        <v>5135.9612800000004</v>
      </c>
      <c r="G265">
        <v>5158.7529199999999</v>
      </c>
      <c r="H265">
        <v>5127.3606200000004</v>
      </c>
      <c r="J265">
        <v>1775469300</v>
      </c>
      <c r="K265" t="s">
        <v>0</v>
      </c>
      <c r="L265" t="s">
        <v>2</v>
      </c>
      <c r="M265">
        <v>4693.71</v>
      </c>
      <c r="N265">
        <v>4695.4690799999998</v>
      </c>
      <c r="O265">
        <v>4697.3122400000002</v>
      </c>
      <c r="P265">
        <v>4699.5245100000002</v>
      </c>
      <c r="Q265">
        <v>4693.4555499999997</v>
      </c>
    </row>
    <row r="266" spans="1:17" x14ac:dyDescent="0.55000000000000004">
      <c r="A266">
        <v>1771804800</v>
      </c>
      <c r="B266" t="s">
        <v>0</v>
      </c>
      <c r="C266" t="s">
        <v>1</v>
      </c>
      <c r="D266">
        <v>5157.59</v>
      </c>
      <c r="E266">
        <v>5158.9877800000004</v>
      </c>
      <c r="F266">
        <v>5147.4745300000004</v>
      </c>
      <c r="G266">
        <v>5168.81333</v>
      </c>
      <c r="H266">
        <v>5138.8418499999998</v>
      </c>
      <c r="J266">
        <v>1775469600</v>
      </c>
      <c r="K266" t="s">
        <v>0</v>
      </c>
      <c r="L266" t="s">
        <v>2</v>
      </c>
      <c r="M266">
        <v>4697.55</v>
      </c>
      <c r="N266">
        <v>4693.5226499999999</v>
      </c>
      <c r="O266">
        <v>4695.4174400000002</v>
      </c>
      <c r="P266">
        <v>4697.6794399999999</v>
      </c>
      <c r="Q266">
        <v>4691.4215000000004</v>
      </c>
    </row>
    <row r="267" spans="1:17" x14ac:dyDescent="0.55000000000000004">
      <c r="A267">
        <v>1771808400</v>
      </c>
      <c r="B267" t="s">
        <v>0</v>
      </c>
      <c r="C267" t="s">
        <v>1</v>
      </c>
      <c r="D267">
        <v>5173.8500000000004</v>
      </c>
      <c r="E267">
        <v>5164.0585099999998</v>
      </c>
      <c r="F267">
        <v>5155.7665200000001</v>
      </c>
      <c r="G267">
        <v>5174.1531699999996</v>
      </c>
      <c r="H267">
        <v>5146.9099800000004</v>
      </c>
      <c r="J267">
        <v>1775469900</v>
      </c>
      <c r="K267" t="s">
        <v>0</v>
      </c>
      <c r="L267" t="s">
        <v>2</v>
      </c>
      <c r="M267">
        <v>4693.43</v>
      </c>
      <c r="N267">
        <v>4691.77819</v>
      </c>
      <c r="O267">
        <v>4693.59782</v>
      </c>
      <c r="P267">
        <v>4695.8874900000001</v>
      </c>
      <c r="Q267">
        <v>4689.6421600000003</v>
      </c>
    </row>
    <row r="268" spans="1:17" x14ac:dyDescent="0.55000000000000004">
      <c r="A268">
        <v>1771812000</v>
      </c>
      <c r="B268" t="s">
        <v>0</v>
      </c>
      <c r="C268" t="s">
        <v>1</v>
      </c>
      <c r="D268">
        <v>5166.88</v>
      </c>
      <c r="E268">
        <v>5164.9190099999996</v>
      </c>
      <c r="F268">
        <v>5160.3427600000005</v>
      </c>
      <c r="G268">
        <v>5174.7992199999999</v>
      </c>
      <c r="H268">
        <v>5151.0863399999998</v>
      </c>
      <c r="J268">
        <v>1775470200</v>
      </c>
      <c r="K268" t="s">
        <v>0</v>
      </c>
      <c r="L268" t="s">
        <v>2</v>
      </c>
      <c r="M268">
        <v>4686.83</v>
      </c>
      <c r="N268">
        <v>4690.4735499999997</v>
      </c>
      <c r="O268">
        <v>4692.03568</v>
      </c>
      <c r="P268">
        <v>4694.3056699999997</v>
      </c>
      <c r="Q268">
        <v>4688.2656800000004</v>
      </c>
    </row>
    <row r="269" spans="1:17" x14ac:dyDescent="0.55000000000000004">
      <c r="A269">
        <v>1771815600</v>
      </c>
      <c r="B269" t="s">
        <v>0</v>
      </c>
      <c r="C269" t="s">
        <v>1</v>
      </c>
      <c r="D269">
        <v>5160.71</v>
      </c>
      <c r="E269">
        <v>5162.4491099999996</v>
      </c>
      <c r="F269">
        <v>5161.3959400000003</v>
      </c>
      <c r="G269">
        <v>5171.6213900000002</v>
      </c>
      <c r="H269">
        <v>5151.8082599999998</v>
      </c>
      <c r="J269">
        <v>1775470500</v>
      </c>
      <c r="K269" t="s">
        <v>0</v>
      </c>
      <c r="L269" t="s">
        <v>2</v>
      </c>
      <c r="M269">
        <v>4690.57</v>
      </c>
      <c r="N269">
        <v>4689.8444</v>
      </c>
      <c r="O269">
        <v>4690.9400400000004</v>
      </c>
      <c r="P269">
        <v>4693.09141</v>
      </c>
      <c r="Q269">
        <v>4687.47451</v>
      </c>
    </row>
    <row r="270" spans="1:17" x14ac:dyDescent="0.55000000000000004">
      <c r="A270">
        <v>1771819200</v>
      </c>
      <c r="B270" t="s">
        <v>0</v>
      </c>
      <c r="C270" t="s">
        <v>1</v>
      </c>
      <c r="D270">
        <v>5158.3</v>
      </c>
      <c r="E270">
        <v>5157.8388400000003</v>
      </c>
      <c r="F270">
        <v>5159.6173900000003</v>
      </c>
      <c r="G270">
        <v>5166.1099100000001</v>
      </c>
      <c r="H270">
        <v>5149.63267</v>
      </c>
      <c r="J270">
        <v>1775470800</v>
      </c>
      <c r="K270" t="s">
        <v>0</v>
      </c>
      <c r="L270" t="s">
        <v>2</v>
      </c>
      <c r="M270">
        <v>4689.43</v>
      </c>
      <c r="N270">
        <v>4689.76793</v>
      </c>
      <c r="O270">
        <v>4690.3539899999996</v>
      </c>
      <c r="P270">
        <v>4692.4675500000003</v>
      </c>
      <c r="Q270">
        <v>4687.2348300000003</v>
      </c>
    </row>
    <row r="271" spans="1:17" x14ac:dyDescent="0.55000000000000004">
      <c r="A271">
        <v>1771822800</v>
      </c>
      <c r="B271" t="s">
        <v>0</v>
      </c>
      <c r="C271" t="s">
        <v>1</v>
      </c>
      <c r="D271">
        <v>5145.8</v>
      </c>
      <c r="E271">
        <v>5152.3871099999997</v>
      </c>
      <c r="F271">
        <v>5156.0022499999995</v>
      </c>
      <c r="G271">
        <v>5159.9473799999996</v>
      </c>
      <c r="H271">
        <v>5145.5403999999999</v>
      </c>
      <c r="J271">
        <v>1775471100</v>
      </c>
      <c r="K271" t="s">
        <v>0</v>
      </c>
      <c r="L271" t="s">
        <v>2</v>
      </c>
      <c r="M271">
        <v>4689.87</v>
      </c>
      <c r="N271">
        <v>4690.1644800000004</v>
      </c>
      <c r="O271">
        <v>4690.2592299999997</v>
      </c>
      <c r="P271">
        <v>4692.3775800000003</v>
      </c>
      <c r="Q271">
        <v>4687.3735999999999</v>
      </c>
    </row>
    <row r="272" spans="1:17" x14ac:dyDescent="0.55000000000000004">
      <c r="A272">
        <v>1771826400</v>
      </c>
      <c r="B272" t="s">
        <v>0</v>
      </c>
      <c r="C272" t="s">
        <v>1</v>
      </c>
      <c r="D272">
        <v>5136.76</v>
      </c>
      <c r="E272">
        <v>5147.6617800000004</v>
      </c>
      <c r="F272">
        <v>5151.8320100000001</v>
      </c>
      <c r="G272">
        <v>5154.5667700000004</v>
      </c>
      <c r="H272">
        <v>5140.77153</v>
      </c>
      <c r="J272">
        <v>1775471400</v>
      </c>
      <c r="K272" t="s">
        <v>0</v>
      </c>
      <c r="L272" t="s">
        <v>2</v>
      </c>
      <c r="M272">
        <v>4689.84</v>
      </c>
      <c r="N272">
        <v>4690.8590899999999</v>
      </c>
      <c r="O272">
        <v>4690.5591599999998</v>
      </c>
      <c r="P272">
        <v>4692.8178399999997</v>
      </c>
      <c r="Q272">
        <v>4687.8274000000001</v>
      </c>
    </row>
    <row r="273" spans="1:17" x14ac:dyDescent="0.55000000000000004">
      <c r="A273">
        <v>1771830000</v>
      </c>
      <c r="B273" t="s">
        <v>0</v>
      </c>
      <c r="C273" t="s">
        <v>1</v>
      </c>
      <c r="D273">
        <v>5140.32</v>
      </c>
      <c r="E273">
        <v>5144.7879999999996</v>
      </c>
      <c r="F273">
        <v>5148.3100100000001</v>
      </c>
      <c r="G273">
        <v>5151.3011699999997</v>
      </c>
      <c r="H273">
        <v>5136.84519</v>
      </c>
      <c r="J273">
        <v>1775471700</v>
      </c>
      <c r="K273" t="s">
        <v>0</v>
      </c>
      <c r="L273" t="s">
        <v>2</v>
      </c>
      <c r="M273">
        <v>4691.93</v>
      </c>
      <c r="N273">
        <v>4691.6565099999998</v>
      </c>
      <c r="O273">
        <v>4691.1078399999997</v>
      </c>
      <c r="P273">
        <v>4693.52916</v>
      </c>
      <c r="Q273">
        <v>4688.40121</v>
      </c>
    </row>
    <row r="274" spans="1:17" x14ac:dyDescent="0.55000000000000004">
      <c r="A274">
        <v>1771833600</v>
      </c>
      <c r="B274" t="s">
        <v>0</v>
      </c>
      <c r="C274" t="s">
        <v>1</v>
      </c>
      <c r="D274">
        <v>5149.57</v>
      </c>
      <c r="E274">
        <v>5144.3077400000002</v>
      </c>
      <c r="F274">
        <v>5146.3088699999998</v>
      </c>
      <c r="G274">
        <v>5151.1306800000002</v>
      </c>
      <c r="H274">
        <v>5134.5671000000002</v>
      </c>
      <c r="J274">
        <v>1775472000</v>
      </c>
      <c r="K274" t="s">
        <v>0</v>
      </c>
      <c r="L274" t="s">
        <v>2</v>
      </c>
      <c r="M274">
        <v>4695.6099999999997</v>
      </c>
      <c r="N274">
        <v>4692.3330800000003</v>
      </c>
      <c r="O274">
        <v>4691.7204599999995</v>
      </c>
      <c r="P274">
        <v>4694.3688400000001</v>
      </c>
      <c r="Q274">
        <v>4689.00101</v>
      </c>
    </row>
    <row r="275" spans="1:17" x14ac:dyDescent="0.55000000000000004">
      <c r="A275">
        <v>1771837200</v>
      </c>
      <c r="B275" t="s">
        <v>0</v>
      </c>
      <c r="C275" t="s">
        <v>1</v>
      </c>
      <c r="D275">
        <v>5162.93</v>
      </c>
      <c r="E275">
        <v>5146.4306299999998</v>
      </c>
      <c r="F275">
        <v>5146.3697499999998</v>
      </c>
      <c r="G275">
        <v>5154.1065099999996</v>
      </c>
      <c r="H275">
        <v>5134.0241900000001</v>
      </c>
      <c r="J275">
        <v>1775472300</v>
      </c>
      <c r="K275" t="s">
        <v>0</v>
      </c>
      <c r="L275" t="s">
        <v>2</v>
      </c>
      <c r="M275">
        <v>4692.67</v>
      </c>
      <c r="N275">
        <v>4692.6537500000004</v>
      </c>
      <c r="O275">
        <v>4692.1871000000001</v>
      </c>
      <c r="P275">
        <v>4695.0244199999997</v>
      </c>
      <c r="Q275">
        <v>4689.4112100000002</v>
      </c>
    </row>
    <row r="276" spans="1:17" x14ac:dyDescent="0.55000000000000004">
      <c r="A276">
        <v>1771840800</v>
      </c>
      <c r="B276" t="s">
        <v>0</v>
      </c>
      <c r="C276" t="s">
        <v>1</v>
      </c>
      <c r="D276">
        <v>5149.79</v>
      </c>
      <c r="E276">
        <v>5151.0323600000002</v>
      </c>
      <c r="F276">
        <v>5148.7010600000003</v>
      </c>
      <c r="G276">
        <v>5159.7663199999997</v>
      </c>
      <c r="H276">
        <v>5135.5768699999999</v>
      </c>
      <c r="J276">
        <v>1775472600</v>
      </c>
      <c r="K276" t="s">
        <v>0</v>
      </c>
      <c r="L276" t="s">
        <v>2</v>
      </c>
      <c r="M276">
        <v>4691.1099999999997</v>
      </c>
      <c r="N276">
        <v>4692.6391199999998</v>
      </c>
      <c r="O276">
        <v>4692.4131100000004</v>
      </c>
      <c r="P276">
        <v>4695.3691200000003</v>
      </c>
      <c r="Q276">
        <v>4689.7413200000001</v>
      </c>
    </row>
    <row r="277" spans="1:17" x14ac:dyDescent="0.55000000000000004">
      <c r="A277">
        <v>1771844400</v>
      </c>
      <c r="B277" t="s">
        <v>0</v>
      </c>
      <c r="C277" t="s">
        <v>1</v>
      </c>
      <c r="D277">
        <v>5164.08</v>
      </c>
      <c r="E277">
        <v>5158.5431799999997</v>
      </c>
      <c r="F277">
        <v>5153.62212</v>
      </c>
      <c r="G277">
        <v>5167.76638</v>
      </c>
      <c r="H277">
        <v>5139.6609799999997</v>
      </c>
      <c r="J277">
        <v>1775472900</v>
      </c>
      <c r="K277" t="s">
        <v>0</v>
      </c>
      <c r="L277" t="s">
        <v>2</v>
      </c>
      <c r="M277">
        <v>4689.82</v>
      </c>
      <c r="N277">
        <v>4692.3270899999998</v>
      </c>
      <c r="O277">
        <v>4692.3701000000001</v>
      </c>
      <c r="P277">
        <v>4695.3549400000002</v>
      </c>
      <c r="Q277">
        <v>4689.7816700000003</v>
      </c>
    </row>
    <row r="278" spans="1:17" x14ac:dyDescent="0.55000000000000004">
      <c r="A278">
        <v>1771848000</v>
      </c>
      <c r="B278" t="s">
        <v>0</v>
      </c>
      <c r="C278" t="s">
        <v>1</v>
      </c>
      <c r="D278">
        <v>5146.3599999999997</v>
      </c>
      <c r="E278">
        <v>5168.3943900000004</v>
      </c>
      <c r="F278">
        <v>5161.0082599999996</v>
      </c>
      <c r="G278">
        <v>5177.6172200000001</v>
      </c>
      <c r="H278">
        <v>5146.67695</v>
      </c>
      <c r="J278">
        <v>1775473200</v>
      </c>
      <c r="K278" t="s">
        <v>0</v>
      </c>
      <c r="L278" t="s">
        <v>2</v>
      </c>
      <c r="M278">
        <v>4693.0600000000004</v>
      </c>
      <c r="N278">
        <v>4691.82917</v>
      </c>
      <c r="O278">
        <v>4692.0996400000004</v>
      </c>
      <c r="P278">
        <v>4695.0307199999997</v>
      </c>
      <c r="Q278">
        <v>4689.5729000000001</v>
      </c>
    </row>
    <row r="279" spans="1:17" x14ac:dyDescent="0.55000000000000004">
      <c r="A279">
        <v>1771851600</v>
      </c>
      <c r="B279" t="s">
        <v>0</v>
      </c>
      <c r="C279" t="s">
        <v>1</v>
      </c>
      <c r="D279">
        <v>5192.37</v>
      </c>
      <c r="E279">
        <v>5180.5734599999996</v>
      </c>
      <c r="F279">
        <v>5170.7908600000001</v>
      </c>
      <c r="G279">
        <v>5188.7759800000003</v>
      </c>
      <c r="H279">
        <v>5156.72066</v>
      </c>
      <c r="J279">
        <v>1775473500</v>
      </c>
      <c r="K279" t="s">
        <v>0</v>
      </c>
      <c r="L279" t="s">
        <v>2</v>
      </c>
      <c r="M279">
        <v>4692.58</v>
      </c>
      <c r="N279">
        <v>4691.16428</v>
      </c>
      <c r="O279">
        <v>4691.6319599999997</v>
      </c>
      <c r="P279">
        <v>4694.4021599999996</v>
      </c>
      <c r="Q279">
        <v>4689.1510500000004</v>
      </c>
    </row>
    <row r="280" spans="1:17" x14ac:dyDescent="0.55000000000000004">
      <c r="A280">
        <v>1771855200</v>
      </c>
      <c r="B280" t="s">
        <v>0</v>
      </c>
      <c r="C280" t="s">
        <v>1</v>
      </c>
      <c r="D280">
        <v>5196.51</v>
      </c>
      <c r="E280">
        <v>5193.0911999999998</v>
      </c>
      <c r="F280">
        <v>5181.94103</v>
      </c>
      <c r="G280">
        <v>5199.8784100000003</v>
      </c>
      <c r="H280">
        <v>5169.4154799999997</v>
      </c>
      <c r="J280">
        <v>1775473800</v>
      </c>
      <c r="K280" t="s">
        <v>0</v>
      </c>
      <c r="L280" t="s">
        <v>2</v>
      </c>
      <c r="M280">
        <v>4689.57</v>
      </c>
      <c r="N280">
        <v>4690.4626799999996</v>
      </c>
      <c r="O280">
        <v>4691.0473199999997</v>
      </c>
      <c r="P280">
        <v>4693.5891799999999</v>
      </c>
      <c r="Q280">
        <v>4688.5202300000001</v>
      </c>
    </row>
    <row r="281" spans="1:17" x14ac:dyDescent="0.55000000000000004">
      <c r="A281">
        <v>1771858800</v>
      </c>
      <c r="B281" t="s">
        <v>0</v>
      </c>
      <c r="C281" t="s">
        <v>1</v>
      </c>
      <c r="D281">
        <v>5209.97</v>
      </c>
      <c r="E281">
        <v>5204.8827899999997</v>
      </c>
      <c r="F281">
        <v>5193.4119099999998</v>
      </c>
      <c r="G281">
        <v>5210.39588</v>
      </c>
      <c r="H281">
        <v>5182.7712799999999</v>
      </c>
      <c r="J281">
        <v>1775474100</v>
      </c>
      <c r="K281" t="s">
        <v>0</v>
      </c>
      <c r="L281" t="s">
        <v>2</v>
      </c>
      <c r="M281">
        <v>4691.63</v>
      </c>
      <c r="N281">
        <v>4689.89275</v>
      </c>
      <c r="O281">
        <v>4690.4700300000004</v>
      </c>
      <c r="P281">
        <v>4692.8150999999998</v>
      </c>
      <c r="Q281">
        <v>4687.8385399999997</v>
      </c>
    </row>
    <row r="282" spans="1:17" x14ac:dyDescent="0.55000000000000004">
      <c r="A282">
        <v>1771862400</v>
      </c>
      <c r="B282" t="s">
        <v>0</v>
      </c>
      <c r="C282" t="s">
        <v>1</v>
      </c>
      <c r="D282">
        <v>5207.93</v>
      </c>
      <c r="E282">
        <v>5214.7073</v>
      </c>
      <c r="F282">
        <v>5204.0595999999996</v>
      </c>
      <c r="G282">
        <v>5219.5849799999996</v>
      </c>
      <c r="H282">
        <v>5195.5791799999997</v>
      </c>
      <c r="J282">
        <v>1775474400</v>
      </c>
      <c r="K282" t="s">
        <v>0</v>
      </c>
      <c r="L282" t="s">
        <v>2</v>
      </c>
      <c r="M282">
        <v>4688.0600000000004</v>
      </c>
      <c r="N282">
        <v>4689.4188199999999</v>
      </c>
      <c r="O282">
        <v>4689.9444299999996</v>
      </c>
      <c r="P282">
        <v>4692.2205299999996</v>
      </c>
      <c r="Q282">
        <v>4687.1923399999996</v>
      </c>
    </row>
    <row r="283" spans="1:17" x14ac:dyDescent="0.55000000000000004">
      <c r="A283">
        <v>1771866000</v>
      </c>
      <c r="B283" t="s">
        <v>0</v>
      </c>
      <c r="C283" t="s">
        <v>1</v>
      </c>
      <c r="D283">
        <v>5209.6000000000004</v>
      </c>
      <c r="E283">
        <v>5221.8939099999998</v>
      </c>
      <c r="F283">
        <v>5212.9767599999996</v>
      </c>
      <c r="G283">
        <v>5227.1914299999999</v>
      </c>
      <c r="H283">
        <v>5206.0466699999997</v>
      </c>
      <c r="J283">
        <v>1775474700</v>
      </c>
      <c r="K283" t="s">
        <v>0</v>
      </c>
      <c r="L283" t="s">
        <v>2</v>
      </c>
      <c r="M283">
        <v>4688.5</v>
      </c>
      <c r="N283">
        <v>4689.0505300000004</v>
      </c>
      <c r="O283">
        <v>4689.49748</v>
      </c>
      <c r="P283">
        <v>4691.79979</v>
      </c>
      <c r="Q283">
        <v>4686.66111</v>
      </c>
    </row>
    <row r="284" spans="1:17" x14ac:dyDescent="0.55000000000000004">
      <c r="A284">
        <v>1771869600</v>
      </c>
      <c r="B284" t="s">
        <v>0</v>
      </c>
      <c r="C284" t="s">
        <v>1</v>
      </c>
      <c r="D284">
        <v>5215.53</v>
      </c>
      <c r="E284">
        <v>5226.0078899999999</v>
      </c>
      <c r="F284">
        <v>5219.4923200000003</v>
      </c>
      <c r="G284">
        <v>5232.7901899999997</v>
      </c>
      <c r="H284">
        <v>5212.7322800000002</v>
      </c>
      <c r="J284">
        <v>1775475000</v>
      </c>
      <c r="K284" t="s">
        <v>0</v>
      </c>
      <c r="L284" t="s">
        <v>2</v>
      </c>
      <c r="M284">
        <v>4689.41</v>
      </c>
      <c r="N284">
        <v>4688.6322899999996</v>
      </c>
      <c r="O284">
        <v>4689.0648799999999</v>
      </c>
      <c r="P284">
        <v>4691.4970499999999</v>
      </c>
      <c r="Q284">
        <v>4686.1426700000002</v>
      </c>
    </row>
    <row r="285" spans="1:17" x14ac:dyDescent="0.55000000000000004">
      <c r="A285">
        <v>1771873200</v>
      </c>
      <c r="B285" t="s">
        <v>0</v>
      </c>
      <c r="C285" t="s">
        <v>1</v>
      </c>
      <c r="D285">
        <v>5236.3500000000004</v>
      </c>
      <c r="E285">
        <v>5226.7074000000002</v>
      </c>
      <c r="F285">
        <v>5223.0998600000003</v>
      </c>
      <c r="G285">
        <v>5235.9511899999998</v>
      </c>
      <c r="H285">
        <v>5214.8246600000002</v>
      </c>
      <c r="J285">
        <v>1775475300</v>
      </c>
      <c r="K285" t="s">
        <v>0</v>
      </c>
      <c r="L285" t="s">
        <v>2</v>
      </c>
      <c r="M285">
        <v>4689.6499999999996</v>
      </c>
      <c r="N285">
        <v>4687.9613200000003</v>
      </c>
      <c r="O285">
        <v>4688.5131000000001</v>
      </c>
      <c r="P285">
        <v>4691.0984500000004</v>
      </c>
      <c r="Q285">
        <v>4685.4689900000003</v>
      </c>
    </row>
    <row r="286" spans="1:17" x14ac:dyDescent="0.55000000000000004">
      <c r="A286">
        <v>1771876800</v>
      </c>
      <c r="B286" t="s">
        <v>0</v>
      </c>
      <c r="C286" t="s">
        <v>1</v>
      </c>
      <c r="D286">
        <v>5227.66</v>
      </c>
      <c r="E286">
        <v>5223.5316499999999</v>
      </c>
      <c r="F286">
        <v>5223.3157600000004</v>
      </c>
      <c r="G286">
        <v>5235.83619</v>
      </c>
      <c r="H286">
        <v>5212.1075099999998</v>
      </c>
      <c r="J286">
        <v>1775475600</v>
      </c>
      <c r="K286" t="s">
        <v>0</v>
      </c>
      <c r="L286" t="s">
        <v>2</v>
      </c>
      <c r="M286">
        <v>4685.34</v>
      </c>
      <c r="N286">
        <v>4686.8371299999999</v>
      </c>
      <c r="O286">
        <v>4687.6751100000001</v>
      </c>
      <c r="P286">
        <v>4690.3923000000004</v>
      </c>
      <c r="Q286">
        <v>4684.5075399999996</v>
      </c>
    </row>
    <row r="287" spans="1:17" x14ac:dyDescent="0.55000000000000004">
      <c r="A287">
        <v>1771884000</v>
      </c>
      <c r="B287" t="s">
        <v>0</v>
      </c>
      <c r="C287" t="s">
        <v>1</v>
      </c>
      <c r="D287">
        <v>5235.72</v>
      </c>
      <c r="E287">
        <v>5217.2082499999997</v>
      </c>
      <c r="F287">
        <v>5220.2619999999997</v>
      </c>
      <c r="G287">
        <v>5232.3341700000001</v>
      </c>
      <c r="H287">
        <v>5204.9289200000003</v>
      </c>
      <c r="J287">
        <v>1775475900</v>
      </c>
      <c r="K287" t="s">
        <v>0</v>
      </c>
      <c r="L287" t="s">
        <v>2</v>
      </c>
      <c r="M287">
        <v>4682.99</v>
      </c>
      <c r="N287">
        <v>4685.2211399999997</v>
      </c>
      <c r="O287">
        <v>4686.4481299999998</v>
      </c>
      <c r="P287">
        <v>4689.1442500000003</v>
      </c>
      <c r="Q287">
        <v>4683.0767299999998</v>
      </c>
    </row>
    <row r="288" spans="1:17" x14ac:dyDescent="0.55000000000000004">
      <c r="A288">
        <v>1771887600</v>
      </c>
      <c r="B288" t="s">
        <v>0</v>
      </c>
      <c r="C288" t="s">
        <v>1</v>
      </c>
      <c r="D288">
        <v>5224.07</v>
      </c>
      <c r="E288">
        <v>5208.4180299999998</v>
      </c>
      <c r="F288">
        <v>5214.3400099999999</v>
      </c>
      <c r="G288">
        <v>5225.4523099999997</v>
      </c>
      <c r="H288">
        <v>5194.7726199999997</v>
      </c>
      <c r="J288">
        <v>1775476200</v>
      </c>
      <c r="K288" t="s">
        <v>0</v>
      </c>
      <c r="L288" t="s">
        <v>2</v>
      </c>
      <c r="M288">
        <v>4683.3999999999996</v>
      </c>
      <c r="N288">
        <v>4683.1106499999996</v>
      </c>
      <c r="O288">
        <v>4684.7793899999997</v>
      </c>
      <c r="P288">
        <v>4687.4318000000003</v>
      </c>
      <c r="Q288">
        <v>4681.1264300000003</v>
      </c>
    </row>
    <row r="289" spans="1:17" x14ac:dyDescent="0.55000000000000004">
      <c r="A289">
        <v>1771891200</v>
      </c>
      <c r="B289" t="s">
        <v>0</v>
      </c>
      <c r="C289" t="s">
        <v>1</v>
      </c>
      <c r="D289">
        <v>5177.22</v>
      </c>
      <c r="E289">
        <v>5198.5557500000004</v>
      </c>
      <c r="F289">
        <v>5206.4478799999997</v>
      </c>
      <c r="G289">
        <v>5216.2322400000003</v>
      </c>
      <c r="H289">
        <v>5183.3273499999996</v>
      </c>
      <c r="J289">
        <v>1775476500</v>
      </c>
      <c r="K289" t="s">
        <v>0</v>
      </c>
      <c r="L289" t="s">
        <v>2</v>
      </c>
      <c r="M289">
        <v>4678.09</v>
      </c>
      <c r="N289">
        <v>4680.5565699999997</v>
      </c>
      <c r="O289">
        <v>4682.6679800000002</v>
      </c>
      <c r="P289">
        <v>4685.3007100000004</v>
      </c>
      <c r="Q289">
        <v>4678.6751700000004</v>
      </c>
    </row>
    <row r="290" spans="1:17" x14ac:dyDescent="0.55000000000000004">
      <c r="A290">
        <v>1771894800</v>
      </c>
      <c r="B290" t="s">
        <v>0</v>
      </c>
      <c r="C290" t="s">
        <v>1</v>
      </c>
      <c r="D290">
        <v>5190</v>
      </c>
      <c r="E290">
        <v>5189.9738600000001</v>
      </c>
      <c r="F290">
        <v>5198.2108699999999</v>
      </c>
      <c r="G290">
        <v>5206.07816</v>
      </c>
      <c r="H290">
        <v>5174.0939900000003</v>
      </c>
      <c r="J290">
        <v>1775476800</v>
      </c>
      <c r="K290" t="s">
        <v>0</v>
      </c>
      <c r="L290" t="s">
        <v>2</v>
      </c>
      <c r="M290">
        <v>4682.0200000000004</v>
      </c>
      <c r="N290">
        <v>4677.86985</v>
      </c>
      <c r="O290">
        <v>4680.2689200000004</v>
      </c>
      <c r="P290">
        <v>4682.8309200000003</v>
      </c>
      <c r="Q290">
        <v>4675.8438999999998</v>
      </c>
    </row>
    <row r="291" spans="1:17" x14ac:dyDescent="0.55000000000000004">
      <c r="A291">
        <v>1771898400</v>
      </c>
      <c r="B291" t="s">
        <v>0</v>
      </c>
      <c r="C291" t="s">
        <v>1</v>
      </c>
      <c r="D291">
        <v>5172.13</v>
      </c>
      <c r="E291">
        <v>5183.0284099999999</v>
      </c>
      <c r="F291">
        <v>5190.6196399999999</v>
      </c>
      <c r="G291">
        <v>5196.9320299999999</v>
      </c>
      <c r="H291">
        <v>5167.50648</v>
      </c>
      <c r="J291">
        <v>1775477100</v>
      </c>
      <c r="K291" t="s">
        <v>0</v>
      </c>
      <c r="L291" t="s">
        <v>2</v>
      </c>
      <c r="M291">
        <v>4679.3999999999996</v>
      </c>
      <c r="N291">
        <v>4675.1975300000004</v>
      </c>
      <c r="O291">
        <v>4677.7332200000001</v>
      </c>
      <c r="P291">
        <v>4680.2411199999997</v>
      </c>
      <c r="Q291">
        <v>4672.82377</v>
      </c>
    </row>
    <row r="292" spans="1:17" x14ac:dyDescent="0.55000000000000004">
      <c r="A292">
        <v>1771902000</v>
      </c>
      <c r="B292" t="s">
        <v>0</v>
      </c>
      <c r="C292" t="s">
        <v>1</v>
      </c>
      <c r="D292">
        <v>5168.24</v>
      </c>
      <c r="E292">
        <v>5178.4893300000003</v>
      </c>
      <c r="F292">
        <v>5184.5544799999998</v>
      </c>
      <c r="G292">
        <v>5189.5857800000003</v>
      </c>
      <c r="H292">
        <v>5163.6447500000004</v>
      </c>
      <c r="J292">
        <v>1775477400</v>
      </c>
      <c r="K292" t="s">
        <v>0</v>
      </c>
      <c r="L292" t="s">
        <v>2</v>
      </c>
      <c r="M292">
        <v>4672.5200000000004</v>
      </c>
      <c r="N292">
        <v>4672.9005999999999</v>
      </c>
      <c r="O292">
        <v>4675.3169099999996</v>
      </c>
      <c r="P292">
        <v>4677.7300400000004</v>
      </c>
      <c r="Q292">
        <v>4669.9264700000003</v>
      </c>
    </row>
    <row r="293" spans="1:17" x14ac:dyDescent="0.55000000000000004">
      <c r="A293">
        <v>1771905600</v>
      </c>
      <c r="B293" t="s">
        <v>0</v>
      </c>
      <c r="C293" t="s">
        <v>1</v>
      </c>
      <c r="D293">
        <v>5182.53</v>
      </c>
      <c r="E293">
        <v>5176.1428999999998</v>
      </c>
      <c r="F293">
        <v>5180.3486899999998</v>
      </c>
      <c r="G293">
        <v>5184.7933400000002</v>
      </c>
      <c r="H293">
        <v>5162.39509</v>
      </c>
      <c r="J293">
        <v>1775477700</v>
      </c>
      <c r="K293" t="s">
        <v>0</v>
      </c>
      <c r="L293" t="s">
        <v>2</v>
      </c>
      <c r="M293">
        <v>4673.13</v>
      </c>
      <c r="N293">
        <v>4671.3973900000001</v>
      </c>
      <c r="O293">
        <v>4673.3571499999998</v>
      </c>
      <c r="P293">
        <v>4675.7687100000003</v>
      </c>
      <c r="Q293">
        <v>4667.6580100000001</v>
      </c>
    </row>
    <row r="294" spans="1:17" x14ac:dyDescent="0.55000000000000004">
      <c r="A294">
        <v>1771909200</v>
      </c>
      <c r="B294" t="s">
        <v>0</v>
      </c>
      <c r="C294" t="s">
        <v>1</v>
      </c>
      <c r="D294">
        <v>5173.55</v>
      </c>
      <c r="E294">
        <v>5174.8195500000002</v>
      </c>
      <c r="F294">
        <v>5177.5841200000004</v>
      </c>
      <c r="G294">
        <v>5182.04655</v>
      </c>
      <c r="H294">
        <v>5162.6826099999998</v>
      </c>
      <c r="J294">
        <v>1775478000</v>
      </c>
      <c r="K294" t="s">
        <v>0</v>
      </c>
      <c r="L294" t="s">
        <v>2</v>
      </c>
      <c r="M294">
        <v>4664.16</v>
      </c>
      <c r="N294">
        <v>4670.8042100000002</v>
      </c>
      <c r="O294">
        <v>4672.08068</v>
      </c>
      <c r="P294">
        <v>4674.71288</v>
      </c>
      <c r="Q294">
        <v>4666.3496699999996</v>
      </c>
    </row>
    <row r="295" spans="1:17" x14ac:dyDescent="0.55000000000000004">
      <c r="A295">
        <v>1771912800</v>
      </c>
      <c r="B295" t="s">
        <v>0</v>
      </c>
      <c r="C295" t="s">
        <v>1</v>
      </c>
      <c r="D295">
        <v>5179.38</v>
      </c>
      <c r="E295">
        <v>5173.6973900000003</v>
      </c>
      <c r="F295">
        <v>5175.6407600000002</v>
      </c>
      <c r="G295">
        <v>5180.6170199999997</v>
      </c>
      <c r="H295">
        <v>5163.4382299999997</v>
      </c>
      <c r="J295">
        <v>1775478300</v>
      </c>
      <c r="K295" t="s">
        <v>0</v>
      </c>
      <c r="L295" t="s">
        <v>2</v>
      </c>
      <c r="M295">
        <v>4666.07</v>
      </c>
      <c r="N295">
        <v>4671.2931500000004</v>
      </c>
      <c r="O295">
        <v>4671.6869100000004</v>
      </c>
      <c r="P295">
        <v>4674.61751</v>
      </c>
      <c r="Q295">
        <v>4666.2949200000003</v>
      </c>
    </row>
    <row r="296" spans="1:17" x14ac:dyDescent="0.55000000000000004">
      <c r="A296">
        <v>1771916400</v>
      </c>
      <c r="B296" t="s">
        <v>0</v>
      </c>
      <c r="C296" t="s">
        <v>1</v>
      </c>
      <c r="D296">
        <v>5173.59</v>
      </c>
      <c r="E296">
        <v>5171.7610999999997</v>
      </c>
      <c r="F296">
        <v>5173.70093</v>
      </c>
      <c r="G296">
        <v>5179.6835700000001</v>
      </c>
      <c r="H296">
        <v>5163.1838799999996</v>
      </c>
      <c r="J296">
        <v>1775478600</v>
      </c>
      <c r="K296" t="s">
        <v>0</v>
      </c>
      <c r="L296" t="s">
        <v>2</v>
      </c>
      <c r="M296">
        <v>4673.67</v>
      </c>
      <c r="N296">
        <v>4672.5688499999997</v>
      </c>
      <c r="O296">
        <v>4672.12788</v>
      </c>
      <c r="P296">
        <v>4675.4415900000004</v>
      </c>
      <c r="Q296">
        <v>4667.4068299999999</v>
      </c>
    </row>
    <row r="297" spans="1:17" x14ac:dyDescent="0.55000000000000004">
      <c r="A297">
        <v>1771920000</v>
      </c>
      <c r="B297" t="s">
        <v>0</v>
      </c>
      <c r="C297" t="s">
        <v>1</v>
      </c>
      <c r="D297">
        <v>5171.47</v>
      </c>
      <c r="E297">
        <v>5168.55519</v>
      </c>
      <c r="F297">
        <v>5171.12806</v>
      </c>
      <c r="G297">
        <v>5178.45399</v>
      </c>
      <c r="H297">
        <v>5160.89347</v>
      </c>
      <c r="J297">
        <v>1775478900</v>
      </c>
      <c r="K297" t="s">
        <v>0</v>
      </c>
      <c r="L297" t="s">
        <v>2</v>
      </c>
      <c r="M297">
        <v>4676.43</v>
      </c>
      <c r="N297">
        <v>4674.0585099999998</v>
      </c>
      <c r="O297">
        <v>4673.0932000000003</v>
      </c>
      <c r="P297">
        <v>4676.6411399999997</v>
      </c>
      <c r="Q297">
        <v>4669.1795899999997</v>
      </c>
    </row>
    <row r="298" spans="1:17" x14ac:dyDescent="0.55000000000000004">
      <c r="A298">
        <v>1771923600</v>
      </c>
      <c r="B298" t="s">
        <v>0</v>
      </c>
      <c r="C298" t="s">
        <v>1</v>
      </c>
      <c r="D298">
        <v>5172.82</v>
      </c>
      <c r="E298">
        <v>5163.9224899999999</v>
      </c>
      <c r="F298">
        <v>5167.5252799999998</v>
      </c>
      <c r="G298">
        <v>5176.3459999999995</v>
      </c>
      <c r="H298">
        <v>5156.0874100000001</v>
      </c>
      <c r="J298">
        <v>1775479200</v>
      </c>
      <c r="K298" t="s">
        <v>0</v>
      </c>
      <c r="L298" t="s">
        <v>2</v>
      </c>
      <c r="M298">
        <v>4676.87</v>
      </c>
      <c r="N298">
        <v>4675.2919300000003</v>
      </c>
      <c r="O298">
        <v>4674.1925600000004</v>
      </c>
      <c r="P298">
        <v>4677.7691000000004</v>
      </c>
      <c r="Q298">
        <v>4671.0207499999997</v>
      </c>
    </row>
    <row r="299" spans="1:17" x14ac:dyDescent="0.55000000000000004">
      <c r="A299">
        <v>1771927200</v>
      </c>
      <c r="B299" t="s">
        <v>0</v>
      </c>
      <c r="C299" t="s">
        <v>1</v>
      </c>
      <c r="D299">
        <v>5172.6899999999996</v>
      </c>
      <c r="E299">
        <v>5158.1354700000002</v>
      </c>
      <c r="F299">
        <v>5162.8303699999997</v>
      </c>
      <c r="G299">
        <v>5173.0940399999999</v>
      </c>
      <c r="H299">
        <v>5149.11924</v>
      </c>
      <c r="J299">
        <v>1775479500</v>
      </c>
      <c r="K299" t="s">
        <v>0</v>
      </c>
      <c r="L299" t="s">
        <v>2</v>
      </c>
      <c r="M299">
        <v>4678.66</v>
      </c>
      <c r="N299">
        <v>4675.9373800000003</v>
      </c>
      <c r="O299">
        <v>4675.0649700000004</v>
      </c>
      <c r="P299">
        <v>4678.4138999999996</v>
      </c>
      <c r="Q299">
        <v>4672.3702000000003</v>
      </c>
    </row>
    <row r="300" spans="1:17" x14ac:dyDescent="0.55000000000000004">
      <c r="A300">
        <v>1771930800</v>
      </c>
      <c r="B300" t="s">
        <v>0</v>
      </c>
      <c r="C300" t="s">
        <v>1</v>
      </c>
      <c r="D300">
        <v>5150.8500000000004</v>
      </c>
      <c r="E300">
        <v>5151.8544300000003</v>
      </c>
      <c r="F300">
        <v>5157.3424000000005</v>
      </c>
      <c r="G300">
        <v>5168.9185799999996</v>
      </c>
      <c r="H300">
        <v>5140.6676600000001</v>
      </c>
      <c r="J300">
        <v>1775479800</v>
      </c>
      <c r="K300" t="s">
        <v>0</v>
      </c>
      <c r="L300" t="s">
        <v>2</v>
      </c>
      <c r="M300">
        <v>4677.04</v>
      </c>
      <c r="N300">
        <v>4675.7582000000002</v>
      </c>
      <c r="O300">
        <v>4675.4115899999997</v>
      </c>
      <c r="P300">
        <v>4678.2812800000002</v>
      </c>
      <c r="Q300">
        <v>4672.8043799999996</v>
      </c>
    </row>
    <row r="301" spans="1:17" x14ac:dyDescent="0.55000000000000004">
      <c r="A301">
        <v>1771934400</v>
      </c>
      <c r="B301" t="s">
        <v>0</v>
      </c>
      <c r="C301" t="s">
        <v>1</v>
      </c>
      <c r="D301">
        <v>5115.3500000000004</v>
      </c>
      <c r="E301">
        <v>5146.4967200000001</v>
      </c>
      <c r="F301">
        <v>5151.9195600000003</v>
      </c>
      <c r="G301">
        <v>5164.37291</v>
      </c>
      <c r="H301">
        <v>5132.7163399999999</v>
      </c>
      <c r="J301">
        <v>1775480100</v>
      </c>
      <c r="K301" t="s">
        <v>0</v>
      </c>
      <c r="L301" t="s">
        <v>2</v>
      </c>
      <c r="M301">
        <v>4675.88</v>
      </c>
      <c r="N301">
        <v>4674.8075500000004</v>
      </c>
      <c r="O301">
        <v>4675.1095699999996</v>
      </c>
      <c r="P301">
        <v>4677.3864899999999</v>
      </c>
      <c r="Q301">
        <v>4672.2071599999999</v>
      </c>
    </row>
    <row r="302" spans="1:17" x14ac:dyDescent="0.55000000000000004">
      <c r="A302">
        <v>1771938000</v>
      </c>
      <c r="B302" t="s">
        <v>0</v>
      </c>
      <c r="C302" t="s">
        <v>1</v>
      </c>
      <c r="D302">
        <v>5127.7299999999996</v>
      </c>
      <c r="E302">
        <v>5143.7864099999997</v>
      </c>
      <c r="F302">
        <v>5147.8529799999997</v>
      </c>
      <c r="G302">
        <v>5160.3049099999998</v>
      </c>
      <c r="H302">
        <v>5127.4560899999997</v>
      </c>
      <c r="J302">
        <v>1775480400</v>
      </c>
      <c r="K302" t="s">
        <v>0</v>
      </c>
      <c r="L302" t="s">
        <v>2</v>
      </c>
      <c r="M302">
        <v>4671.82</v>
      </c>
      <c r="N302">
        <v>4673.2965899999999</v>
      </c>
      <c r="O302">
        <v>4674.2030800000002</v>
      </c>
      <c r="P302">
        <v>4675.9234900000001</v>
      </c>
      <c r="Q302">
        <v>4670.6663200000003</v>
      </c>
    </row>
    <row r="303" spans="1:17" x14ac:dyDescent="0.55000000000000004">
      <c r="A303">
        <v>1771941600</v>
      </c>
      <c r="B303" t="s">
        <v>0</v>
      </c>
      <c r="C303" t="s">
        <v>1</v>
      </c>
      <c r="D303">
        <v>5150.3</v>
      </c>
      <c r="E303">
        <v>5143.4618600000003</v>
      </c>
      <c r="F303">
        <v>5145.6574199999995</v>
      </c>
      <c r="G303">
        <v>5157.7656999999999</v>
      </c>
      <c r="H303">
        <v>5125.9266900000002</v>
      </c>
      <c r="J303">
        <v>1775480700</v>
      </c>
      <c r="K303" t="s">
        <v>0</v>
      </c>
      <c r="L303" t="s">
        <v>2</v>
      </c>
      <c r="M303">
        <v>4670.1899999999996</v>
      </c>
      <c r="N303">
        <v>4671.61852</v>
      </c>
      <c r="O303">
        <v>4672.9107999999997</v>
      </c>
      <c r="P303">
        <v>4674.2408299999997</v>
      </c>
      <c r="Q303">
        <v>4668.5403399999996</v>
      </c>
    </row>
    <row r="304" spans="1:17" x14ac:dyDescent="0.55000000000000004">
      <c r="A304">
        <v>1771945200</v>
      </c>
      <c r="B304" t="s">
        <v>0</v>
      </c>
      <c r="C304" t="s">
        <v>1</v>
      </c>
      <c r="D304">
        <v>5141.8</v>
      </c>
      <c r="E304">
        <v>5144.5274499999996</v>
      </c>
      <c r="F304">
        <v>5145.0924400000004</v>
      </c>
      <c r="G304">
        <v>5156.5454900000004</v>
      </c>
      <c r="H304">
        <v>5127.2109799999998</v>
      </c>
      <c r="J304">
        <v>1775481000</v>
      </c>
      <c r="K304" t="s">
        <v>0</v>
      </c>
      <c r="L304" t="s">
        <v>2</v>
      </c>
      <c r="M304">
        <v>4668.59</v>
      </c>
      <c r="N304">
        <v>4670.1296000000002</v>
      </c>
      <c r="O304">
        <v>4671.5201999999999</v>
      </c>
      <c r="P304">
        <v>4672.8620499999997</v>
      </c>
      <c r="Q304">
        <v>4666.4454800000003</v>
      </c>
    </row>
    <row r="305" spans="1:17" x14ac:dyDescent="0.55000000000000004">
      <c r="A305">
        <v>1771948800</v>
      </c>
      <c r="B305" t="s">
        <v>0</v>
      </c>
      <c r="C305" t="s">
        <v>1</v>
      </c>
      <c r="D305">
        <v>5163.6400000000003</v>
      </c>
      <c r="E305">
        <v>5146.6443200000003</v>
      </c>
      <c r="F305">
        <v>5145.8683799999999</v>
      </c>
      <c r="G305">
        <v>5156.6539199999997</v>
      </c>
      <c r="H305">
        <v>5130.1400299999996</v>
      </c>
      <c r="J305">
        <v>1775481300</v>
      </c>
      <c r="K305" t="s">
        <v>0</v>
      </c>
      <c r="L305" t="s">
        <v>2</v>
      </c>
      <c r="M305">
        <v>4663.99</v>
      </c>
      <c r="N305">
        <v>4669.0914700000003</v>
      </c>
      <c r="O305">
        <v>4670.3058300000002</v>
      </c>
      <c r="P305">
        <v>4672.1459500000001</v>
      </c>
      <c r="Q305">
        <v>4664.6139300000004</v>
      </c>
    </row>
    <row r="306" spans="1:17" x14ac:dyDescent="0.55000000000000004">
      <c r="A306">
        <v>1771952400</v>
      </c>
      <c r="B306" t="s">
        <v>0</v>
      </c>
      <c r="C306" t="s">
        <v>1</v>
      </c>
      <c r="D306">
        <v>5160.0600000000004</v>
      </c>
      <c r="E306">
        <v>5148.7520299999996</v>
      </c>
      <c r="F306">
        <v>5147.3101999999999</v>
      </c>
      <c r="G306">
        <v>5157.6148199999998</v>
      </c>
      <c r="H306">
        <v>5133.4892900000004</v>
      </c>
      <c r="J306">
        <v>1775481600</v>
      </c>
      <c r="K306" t="s">
        <v>0</v>
      </c>
      <c r="L306" t="s">
        <v>2</v>
      </c>
      <c r="M306">
        <v>4672.75</v>
      </c>
      <c r="N306">
        <v>4668.7197800000004</v>
      </c>
      <c r="O306">
        <v>4669.5128100000002</v>
      </c>
      <c r="P306">
        <v>4672.2961100000002</v>
      </c>
      <c r="Q306">
        <v>4663.3708200000001</v>
      </c>
    </row>
    <row r="307" spans="1:17" x14ac:dyDescent="0.55000000000000004">
      <c r="A307">
        <v>1771956000</v>
      </c>
      <c r="B307" t="s">
        <v>0</v>
      </c>
      <c r="C307" t="s">
        <v>1</v>
      </c>
      <c r="D307">
        <v>5154.01</v>
      </c>
      <c r="E307">
        <v>5150.8360899999998</v>
      </c>
      <c r="F307">
        <v>5149.0731500000002</v>
      </c>
      <c r="G307">
        <v>5159.1586399999997</v>
      </c>
      <c r="H307">
        <v>5136.2996000000003</v>
      </c>
      <c r="J307">
        <v>1775481900</v>
      </c>
      <c r="K307" t="s">
        <v>0</v>
      </c>
      <c r="L307" t="s">
        <v>2</v>
      </c>
      <c r="M307">
        <v>4668.58</v>
      </c>
      <c r="N307">
        <v>4668.7543999999998</v>
      </c>
      <c r="O307">
        <v>4669.1336000000001</v>
      </c>
      <c r="P307">
        <v>4673.20849</v>
      </c>
      <c r="Q307">
        <v>4662.8738700000004</v>
      </c>
    </row>
    <row r="308" spans="1:17" x14ac:dyDescent="0.55000000000000004">
      <c r="A308">
        <v>1771959600</v>
      </c>
      <c r="B308" t="s">
        <v>0</v>
      </c>
      <c r="C308" t="s">
        <v>1</v>
      </c>
      <c r="D308">
        <v>5164.24</v>
      </c>
      <c r="E308">
        <v>5153.1721200000002</v>
      </c>
      <c r="F308">
        <v>5151.1226399999996</v>
      </c>
      <c r="G308">
        <v>5161.5350799999997</v>
      </c>
      <c r="H308">
        <v>5138.6108000000004</v>
      </c>
      <c r="J308">
        <v>1775482200</v>
      </c>
      <c r="K308" t="s">
        <v>0</v>
      </c>
      <c r="L308" t="s">
        <v>2</v>
      </c>
      <c r="M308">
        <v>4671.3</v>
      </c>
      <c r="N308">
        <v>4669.1678099999999</v>
      </c>
      <c r="O308">
        <v>4669.1507099999999</v>
      </c>
      <c r="P308">
        <v>4674.6739500000003</v>
      </c>
      <c r="Q308">
        <v>4662.8700900000003</v>
      </c>
    </row>
    <row r="309" spans="1:17" x14ac:dyDescent="0.55000000000000004">
      <c r="A309">
        <v>1771963200</v>
      </c>
      <c r="B309" t="s">
        <v>0</v>
      </c>
      <c r="C309" t="s">
        <v>1</v>
      </c>
      <c r="D309">
        <v>5143.97</v>
      </c>
      <c r="E309">
        <v>5155.8470900000002</v>
      </c>
      <c r="F309">
        <v>5153.4848599999996</v>
      </c>
      <c r="G309">
        <v>5164.5226499999999</v>
      </c>
      <c r="H309">
        <v>5140.7403599999998</v>
      </c>
      <c r="J309">
        <v>1775482500</v>
      </c>
      <c r="K309" t="s">
        <v>0</v>
      </c>
      <c r="L309" t="s">
        <v>2</v>
      </c>
      <c r="M309">
        <v>4673.97</v>
      </c>
      <c r="N309">
        <v>4669.7300500000001</v>
      </c>
      <c r="O309">
        <v>4669.44038</v>
      </c>
      <c r="P309">
        <v>4676.3116</v>
      </c>
      <c r="Q309">
        <v>4663.3185999999996</v>
      </c>
    </row>
    <row r="310" spans="1:17" x14ac:dyDescent="0.55000000000000004">
      <c r="A310">
        <v>1771970400</v>
      </c>
      <c r="B310" t="s">
        <v>0</v>
      </c>
      <c r="C310" t="s">
        <v>1</v>
      </c>
      <c r="D310">
        <v>5146.72</v>
      </c>
      <c r="E310">
        <v>5159.7098999999998</v>
      </c>
      <c r="F310">
        <v>5156.5973800000002</v>
      </c>
      <c r="G310">
        <v>5168.4090699999997</v>
      </c>
      <c r="H310">
        <v>5143.5128599999998</v>
      </c>
      <c r="J310">
        <v>1775482800</v>
      </c>
      <c r="K310" t="s">
        <v>0</v>
      </c>
      <c r="L310" t="s">
        <v>2</v>
      </c>
      <c r="M310">
        <v>4665.55</v>
      </c>
      <c r="N310">
        <v>4670.2642699999997</v>
      </c>
      <c r="O310">
        <v>4669.8523299999997</v>
      </c>
      <c r="P310">
        <v>4677.84447</v>
      </c>
      <c r="Q310">
        <v>4663.9653600000001</v>
      </c>
    </row>
    <row r="311" spans="1:17" x14ac:dyDescent="0.55000000000000004">
      <c r="A311">
        <v>1771974000</v>
      </c>
      <c r="B311" t="s">
        <v>0</v>
      </c>
      <c r="C311" t="s">
        <v>1</v>
      </c>
      <c r="D311">
        <v>5152.3</v>
      </c>
      <c r="E311">
        <v>5164.8759</v>
      </c>
      <c r="F311">
        <v>5160.7366400000001</v>
      </c>
      <c r="G311">
        <v>5173.6261400000003</v>
      </c>
      <c r="H311">
        <v>5147.9924199999996</v>
      </c>
      <c r="J311">
        <v>1775483100</v>
      </c>
      <c r="K311" t="s">
        <v>0</v>
      </c>
      <c r="L311" t="s">
        <v>2</v>
      </c>
      <c r="M311">
        <v>4664.34</v>
      </c>
      <c r="N311">
        <v>4670.9603299999999</v>
      </c>
      <c r="O311">
        <v>4670.4063299999998</v>
      </c>
      <c r="P311">
        <v>4678.9637000000002</v>
      </c>
      <c r="Q311">
        <v>4664.6325699999998</v>
      </c>
    </row>
    <row r="312" spans="1:17" x14ac:dyDescent="0.55000000000000004">
      <c r="A312">
        <v>1771977600</v>
      </c>
      <c r="B312" t="s">
        <v>0</v>
      </c>
      <c r="C312" t="s">
        <v>1</v>
      </c>
      <c r="D312">
        <v>5176.97</v>
      </c>
      <c r="E312">
        <v>5171.0409600000003</v>
      </c>
      <c r="F312">
        <v>5165.8887999999997</v>
      </c>
      <c r="G312">
        <v>5179.93815</v>
      </c>
      <c r="H312">
        <v>5154.0339100000001</v>
      </c>
      <c r="J312">
        <v>1775483400</v>
      </c>
      <c r="K312" t="s">
        <v>0</v>
      </c>
      <c r="L312" t="s">
        <v>2</v>
      </c>
      <c r="M312">
        <v>4679.01</v>
      </c>
      <c r="N312">
        <v>4671.9072800000004</v>
      </c>
      <c r="O312">
        <v>4671.1567999999997</v>
      </c>
      <c r="P312">
        <v>4679.6675699999996</v>
      </c>
      <c r="Q312">
        <v>4665.3720199999998</v>
      </c>
    </row>
    <row r="313" spans="1:17" x14ac:dyDescent="0.55000000000000004">
      <c r="A313">
        <v>1771981200</v>
      </c>
      <c r="B313" t="s">
        <v>0</v>
      </c>
      <c r="C313" t="s">
        <v>1</v>
      </c>
      <c r="D313">
        <v>5180.66</v>
      </c>
      <c r="E313">
        <v>5177.1143599999996</v>
      </c>
      <c r="F313">
        <v>5171.5015800000001</v>
      </c>
      <c r="G313">
        <v>5186.1275599999999</v>
      </c>
      <c r="H313">
        <v>5161.2108900000003</v>
      </c>
      <c r="J313">
        <v>1775483700</v>
      </c>
      <c r="K313" t="s">
        <v>0</v>
      </c>
      <c r="L313" t="s">
        <v>2</v>
      </c>
      <c r="M313">
        <v>4680.1499999999996</v>
      </c>
      <c r="N313">
        <v>4672.8588900000004</v>
      </c>
      <c r="O313">
        <v>4672.0078400000002</v>
      </c>
      <c r="P313">
        <v>4679.9970700000003</v>
      </c>
      <c r="Q313">
        <v>4666.2259199999999</v>
      </c>
    </row>
    <row r="314" spans="1:17" x14ac:dyDescent="0.55000000000000004">
      <c r="A314">
        <v>1771984800</v>
      </c>
      <c r="B314" t="s">
        <v>0</v>
      </c>
      <c r="C314" t="s">
        <v>1</v>
      </c>
      <c r="D314">
        <v>5181.8100000000004</v>
      </c>
      <c r="E314">
        <v>5182.4680399999997</v>
      </c>
      <c r="F314">
        <v>5176.9848099999999</v>
      </c>
      <c r="G314">
        <v>5191.5918700000002</v>
      </c>
      <c r="H314">
        <v>5168.2892599999996</v>
      </c>
      <c r="J314">
        <v>1775484000</v>
      </c>
      <c r="K314" t="s">
        <v>0</v>
      </c>
      <c r="L314" t="s">
        <v>2</v>
      </c>
      <c r="M314">
        <v>4669.78</v>
      </c>
      <c r="N314">
        <v>4673.9619700000003</v>
      </c>
      <c r="O314">
        <v>4672.9849100000001</v>
      </c>
      <c r="P314">
        <v>4680.1854800000001</v>
      </c>
      <c r="Q314">
        <v>4667.0820599999997</v>
      </c>
    </row>
    <row r="315" spans="1:17" x14ac:dyDescent="0.55000000000000004">
      <c r="A315">
        <v>1771988400</v>
      </c>
      <c r="B315" t="s">
        <v>0</v>
      </c>
      <c r="C315" t="s">
        <v>1</v>
      </c>
      <c r="D315">
        <v>5182.75</v>
      </c>
      <c r="E315">
        <v>5186.6318300000003</v>
      </c>
      <c r="F315">
        <v>5181.8083200000001</v>
      </c>
      <c r="G315">
        <v>5195.9041200000001</v>
      </c>
      <c r="H315">
        <v>5174.1959200000001</v>
      </c>
      <c r="J315">
        <v>1775484300</v>
      </c>
      <c r="K315" t="s">
        <v>0</v>
      </c>
      <c r="L315" t="s">
        <v>2</v>
      </c>
      <c r="M315">
        <v>4670.99</v>
      </c>
      <c r="N315">
        <v>4675.6383599999999</v>
      </c>
      <c r="O315">
        <v>4674.3116300000002</v>
      </c>
      <c r="P315">
        <v>4680.3590100000001</v>
      </c>
      <c r="Q315">
        <v>4668.3067600000004</v>
      </c>
    </row>
    <row r="316" spans="1:17" x14ac:dyDescent="0.55000000000000004">
      <c r="A316">
        <v>1771992000</v>
      </c>
      <c r="B316" t="s">
        <v>0</v>
      </c>
      <c r="C316" t="s">
        <v>1</v>
      </c>
      <c r="D316">
        <v>5201.74</v>
      </c>
      <c r="E316">
        <v>5189.2354699999996</v>
      </c>
      <c r="F316">
        <v>5185.5218999999997</v>
      </c>
      <c r="G316">
        <v>5198.7569299999996</v>
      </c>
      <c r="H316">
        <v>5178.4203900000002</v>
      </c>
      <c r="J316">
        <v>1775484600</v>
      </c>
      <c r="K316" t="s">
        <v>0</v>
      </c>
      <c r="L316" t="s">
        <v>2</v>
      </c>
      <c r="M316">
        <v>4672.8</v>
      </c>
      <c r="N316">
        <v>4677.9144399999996</v>
      </c>
      <c r="O316">
        <v>4676.1130400000002</v>
      </c>
      <c r="P316">
        <v>4681.2409500000003</v>
      </c>
      <c r="Q316">
        <v>4670.1435000000001</v>
      </c>
    </row>
    <row r="317" spans="1:17" x14ac:dyDescent="0.55000000000000004">
      <c r="A317">
        <v>1771995600</v>
      </c>
      <c r="B317" t="s">
        <v>0</v>
      </c>
      <c r="C317" t="s">
        <v>1</v>
      </c>
      <c r="D317">
        <v>5194.6099999999997</v>
      </c>
      <c r="E317">
        <v>5189.6635999999999</v>
      </c>
      <c r="F317">
        <v>5187.5927499999998</v>
      </c>
      <c r="G317">
        <v>5199.3052699999998</v>
      </c>
      <c r="H317">
        <v>5180.3268699999999</v>
      </c>
      <c r="J317">
        <v>1775484900</v>
      </c>
      <c r="K317" t="s">
        <v>0</v>
      </c>
      <c r="L317" t="s">
        <v>2</v>
      </c>
      <c r="M317">
        <v>4682.87</v>
      </c>
      <c r="N317">
        <v>4680.6353399999998</v>
      </c>
      <c r="O317">
        <v>4678.3741900000005</v>
      </c>
      <c r="P317">
        <v>4683.0142299999998</v>
      </c>
      <c r="Q317">
        <v>4672.74863</v>
      </c>
    </row>
    <row r="318" spans="1:17" x14ac:dyDescent="0.55000000000000004">
      <c r="A318">
        <v>1771999200</v>
      </c>
      <c r="B318" t="s">
        <v>0</v>
      </c>
      <c r="C318" t="s">
        <v>1</v>
      </c>
      <c r="D318">
        <v>5184.6899999999996</v>
      </c>
      <c r="E318">
        <v>5188.4550499999996</v>
      </c>
      <c r="F318">
        <v>5188.0239000000001</v>
      </c>
      <c r="G318">
        <v>5197.9445100000003</v>
      </c>
      <c r="H318">
        <v>5179.9779200000003</v>
      </c>
      <c r="J318">
        <v>1775485200</v>
      </c>
      <c r="K318" t="s">
        <v>0</v>
      </c>
      <c r="L318" t="s">
        <v>2</v>
      </c>
      <c r="M318">
        <v>4685.72</v>
      </c>
      <c r="N318">
        <v>4683.2819399999998</v>
      </c>
      <c r="O318">
        <v>4680.8280599999998</v>
      </c>
      <c r="P318">
        <v>4685.3604400000004</v>
      </c>
      <c r="Q318">
        <v>4675.67418</v>
      </c>
    </row>
    <row r="319" spans="1:17" x14ac:dyDescent="0.55000000000000004">
      <c r="A319">
        <v>1772002800</v>
      </c>
      <c r="B319" t="s">
        <v>0</v>
      </c>
      <c r="C319" t="s">
        <v>1</v>
      </c>
      <c r="D319">
        <v>5185.37</v>
      </c>
      <c r="E319">
        <v>5186.57042</v>
      </c>
      <c r="F319">
        <v>5187.2971600000001</v>
      </c>
      <c r="G319">
        <v>5195.4534100000001</v>
      </c>
      <c r="H319">
        <v>5177.9591399999999</v>
      </c>
      <c r="J319">
        <v>1775485500</v>
      </c>
      <c r="K319" t="s">
        <v>0</v>
      </c>
      <c r="L319" t="s">
        <v>2</v>
      </c>
      <c r="M319">
        <v>4686.29</v>
      </c>
      <c r="N319">
        <v>4685.4453400000002</v>
      </c>
      <c r="O319">
        <v>4683.1367</v>
      </c>
      <c r="P319">
        <v>4687.9052600000005</v>
      </c>
      <c r="Q319">
        <v>4678.41273</v>
      </c>
    </row>
    <row r="320" spans="1:17" x14ac:dyDescent="0.55000000000000004">
      <c r="A320">
        <v>1772006400</v>
      </c>
      <c r="B320" t="s">
        <v>0</v>
      </c>
      <c r="C320" t="s">
        <v>1</v>
      </c>
      <c r="D320">
        <v>5193.2700000000004</v>
      </c>
      <c r="E320">
        <v>5184.8198400000001</v>
      </c>
      <c r="F320">
        <v>5186.0585000000001</v>
      </c>
      <c r="G320">
        <v>5192.6060299999999</v>
      </c>
      <c r="H320">
        <v>5175.0916699999998</v>
      </c>
      <c r="J320">
        <v>1775485800</v>
      </c>
      <c r="K320" t="s">
        <v>0</v>
      </c>
      <c r="L320" t="s">
        <v>2</v>
      </c>
      <c r="M320">
        <v>4692.0200000000004</v>
      </c>
      <c r="N320">
        <v>4686.7866000000004</v>
      </c>
      <c r="O320">
        <v>4684.9616500000002</v>
      </c>
      <c r="P320">
        <v>4690.1563800000004</v>
      </c>
      <c r="Q320">
        <v>4680.4225500000002</v>
      </c>
    </row>
    <row r="321" spans="1:17" x14ac:dyDescent="0.55000000000000004">
      <c r="A321">
        <v>1772010000</v>
      </c>
      <c r="B321" t="s">
        <v>0</v>
      </c>
      <c r="C321" t="s">
        <v>1</v>
      </c>
      <c r="D321">
        <v>5175.16</v>
      </c>
      <c r="E321">
        <v>5183.7184800000005</v>
      </c>
      <c r="F321">
        <v>5184.8884900000003</v>
      </c>
      <c r="G321">
        <v>5190.4405100000004</v>
      </c>
      <c r="H321">
        <v>5172.4286300000003</v>
      </c>
      <c r="J321">
        <v>1775486100</v>
      </c>
      <c r="K321" t="s">
        <v>0</v>
      </c>
      <c r="L321" t="s">
        <v>2</v>
      </c>
      <c r="M321">
        <v>4684.53</v>
      </c>
      <c r="N321">
        <v>4686.9125599999998</v>
      </c>
      <c r="O321">
        <v>4685.9371099999998</v>
      </c>
      <c r="P321">
        <v>4691.5571300000001</v>
      </c>
      <c r="Q321">
        <v>4681.3789900000002</v>
      </c>
    </row>
    <row r="322" spans="1:17" x14ac:dyDescent="0.55000000000000004">
      <c r="A322">
        <v>1772013600</v>
      </c>
      <c r="B322" t="s">
        <v>0</v>
      </c>
      <c r="C322" t="s">
        <v>1</v>
      </c>
      <c r="D322">
        <v>5181.67</v>
      </c>
      <c r="E322">
        <v>5184.3823700000003</v>
      </c>
      <c r="F322">
        <v>5184.6354300000003</v>
      </c>
      <c r="G322">
        <v>5189.6987399999998</v>
      </c>
      <c r="H322">
        <v>5171.0070800000003</v>
      </c>
      <c r="J322">
        <v>1775486400</v>
      </c>
      <c r="K322" t="s">
        <v>0</v>
      </c>
      <c r="L322" t="s">
        <v>2</v>
      </c>
      <c r="M322">
        <v>4684.6499999999996</v>
      </c>
      <c r="N322">
        <v>4685.9123</v>
      </c>
      <c r="O322">
        <v>4685.9246999999996</v>
      </c>
      <c r="P322">
        <v>4691.5982100000001</v>
      </c>
      <c r="Q322">
        <v>4681.1737199999998</v>
      </c>
    </row>
    <row r="323" spans="1:17" x14ac:dyDescent="0.55000000000000004">
      <c r="A323">
        <v>1772017200</v>
      </c>
      <c r="B323" t="s">
        <v>0</v>
      </c>
      <c r="C323" t="s">
        <v>1</v>
      </c>
      <c r="D323">
        <v>5182.6499999999996</v>
      </c>
      <c r="E323">
        <v>5186.7363599999999</v>
      </c>
      <c r="F323">
        <v>5185.6858899999997</v>
      </c>
      <c r="G323">
        <v>5191.1107099999999</v>
      </c>
      <c r="H323">
        <v>5171.7637000000004</v>
      </c>
      <c r="J323">
        <v>1775486700</v>
      </c>
      <c r="K323" t="s">
        <v>0</v>
      </c>
      <c r="L323" t="s">
        <v>2</v>
      </c>
      <c r="M323">
        <v>4678.67</v>
      </c>
      <c r="N323">
        <v>4683.8444</v>
      </c>
      <c r="O323">
        <v>4684.8845499999998</v>
      </c>
      <c r="P323">
        <v>4690.2708000000002</v>
      </c>
      <c r="Q323">
        <v>4679.6792400000004</v>
      </c>
    </row>
    <row r="324" spans="1:17" x14ac:dyDescent="0.55000000000000004">
      <c r="A324">
        <v>1772020800</v>
      </c>
      <c r="B324" t="s">
        <v>0</v>
      </c>
      <c r="C324" t="s">
        <v>1</v>
      </c>
      <c r="D324">
        <v>5185.2299999999996</v>
      </c>
      <c r="E324">
        <v>5190.3395399999999</v>
      </c>
      <c r="F324">
        <v>5188.0127199999997</v>
      </c>
      <c r="G324">
        <v>5194.3882199999998</v>
      </c>
      <c r="H324">
        <v>5174.0492100000001</v>
      </c>
      <c r="J324">
        <v>1775487000</v>
      </c>
      <c r="K324" t="s">
        <v>0</v>
      </c>
      <c r="L324" t="s">
        <v>2</v>
      </c>
      <c r="M324">
        <v>4684.8599999999997</v>
      </c>
      <c r="N324">
        <v>4681.0257099999999</v>
      </c>
      <c r="O324">
        <v>4682.9551300000003</v>
      </c>
      <c r="P324">
        <v>4687.8068000000003</v>
      </c>
      <c r="Q324">
        <v>4677.1453199999996</v>
      </c>
    </row>
    <row r="325" spans="1:17" x14ac:dyDescent="0.55000000000000004">
      <c r="A325">
        <v>1772024400</v>
      </c>
      <c r="B325" t="s">
        <v>0</v>
      </c>
      <c r="C325" t="s">
        <v>1</v>
      </c>
      <c r="D325">
        <v>5191.25</v>
      </c>
      <c r="E325">
        <v>5194.3462600000003</v>
      </c>
      <c r="F325">
        <v>5191.1794900000004</v>
      </c>
      <c r="G325">
        <v>5198.8015999999998</v>
      </c>
      <c r="H325">
        <v>5177.2806600000004</v>
      </c>
      <c r="J325">
        <v>1775487300</v>
      </c>
      <c r="K325" t="s">
        <v>0</v>
      </c>
      <c r="L325" t="s">
        <v>2</v>
      </c>
      <c r="M325">
        <v>4682.66</v>
      </c>
      <c r="N325">
        <v>4677.5671899999998</v>
      </c>
      <c r="O325">
        <v>4680.26116</v>
      </c>
      <c r="P325">
        <v>4684.3900199999998</v>
      </c>
      <c r="Q325">
        <v>4673.89077</v>
      </c>
    </row>
    <row r="326" spans="1:17" x14ac:dyDescent="0.55000000000000004">
      <c r="A326">
        <v>1772028000</v>
      </c>
      <c r="B326" t="s">
        <v>0</v>
      </c>
      <c r="C326" t="s">
        <v>1</v>
      </c>
      <c r="D326">
        <v>5194.5</v>
      </c>
      <c r="E326">
        <v>5197.6122699999996</v>
      </c>
      <c r="F326">
        <v>5194.39588</v>
      </c>
      <c r="G326">
        <v>5203.3718399999998</v>
      </c>
      <c r="H326">
        <v>5181.2146000000002</v>
      </c>
      <c r="J326">
        <v>1775487600</v>
      </c>
      <c r="K326" t="s">
        <v>0</v>
      </c>
      <c r="L326" t="s">
        <v>2</v>
      </c>
      <c r="M326">
        <v>4672.25</v>
      </c>
      <c r="N326">
        <v>4673.8274300000003</v>
      </c>
      <c r="O326">
        <v>4677.0442999999996</v>
      </c>
      <c r="P326">
        <v>4680.3301000000001</v>
      </c>
      <c r="Q326">
        <v>4670.1477299999997</v>
      </c>
    </row>
    <row r="327" spans="1:17" x14ac:dyDescent="0.55000000000000004">
      <c r="A327">
        <v>1772031600</v>
      </c>
      <c r="B327" t="s">
        <v>0</v>
      </c>
      <c r="C327" t="s">
        <v>1</v>
      </c>
      <c r="D327">
        <v>5212.3100000000004</v>
      </c>
      <c r="E327">
        <v>5199.1241</v>
      </c>
      <c r="F327">
        <v>5196.7599899999996</v>
      </c>
      <c r="G327">
        <v>5206.8722200000002</v>
      </c>
      <c r="H327">
        <v>5184.3825500000003</v>
      </c>
      <c r="J327">
        <v>1775487900</v>
      </c>
      <c r="K327" t="s">
        <v>0</v>
      </c>
      <c r="L327" t="s">
        <v>2</v>
      </c>
      <c r="M327">
        <v>4667.5600000000004</v>
      </c>
      <c r="N327">
        <v>4670.3488299999999</v>
      </c>
      <c r="O327">
        <v>4673.6965600000003</v>
      </c>
      <c r="P327">
        <v>4676.1398600000002</v>
      </c>
      <c r="Q327">
        <v>4666.53197</v>
      </c>
    </row>
    <row r="328" spans="1:17" x14ac:dyDescent="0.55000000000000004">
      <c r="A328">
        <v>1772035200</v>
      </c>
      <c r="B328" t="s">
        <v>0</v>
      </c>
      <c r="C328" t="s">
        <v>1</v>
      </c>
      <c r="D328">
        <v>5206.82</v>
      </c>
      <c r="E328">
        <v>5197.8388400000003</v>
      </c>
      <c r="F328">
        <v>5197.2994099999996</v>
      </c>
      <c r="G328">
        <v>5208.2192999999997</v>
      </c>
      <c r="H328">
        <v>5185.2683399999996</v>
      </c>
      <c r="J328">
        <v>1775488200</v>
      </c>
      <c r="K328" t="s">
        <v>0</v>
      </c>
      <c r="L328" t="s">
        <v>2</v>
      </c>
      <c r="M328">
        <v>4662.3999999999996</v>
      </c>
      <c r="N328">
        <v>4667.4575800000002</v>
      </c>
      <c r="O328">
        <v>4670.5770700000003</v>
      </c>
      <c r="P328">
        <v>4672.4688999999998</v>
      </c>
      <c r="Q328">
        <v>4663.4490100000003</v>
      </c>
    </row>
    <row r="329" spans="1:17" x14ac:dyDescent="0.55000000000000004">
      <c r="A329">
        <v>1772038800</v>
      </c>
      <c r="B329" t="s">
        <v>0</v>
      </c>
      <c r="C329" t="s">
        <v>1</v>
      </c>
      <c r="D329">
        <v>5202.12</v>
      </c>
      <c r="E329">
        <v>5193.8728000000001</v>
      </c>
      <c r="F329">
        <v>5195.5861000000004</v>
      </c>
      <c r="G329">
        <v>5206.9984999999997</v>
      </c>
      <c r="H329">
        <v>5182.96378</v>
      </c>
      <c r="J329">
        <v>1775488500</v>
      </c>
      <c r="K329" t="s">
        <v>0</v>
      </c>
      <c r="L329" t="s">
        <v>2</v>
      </c>
      <c r="M329">
        <v>4666.55</v>
      </c>
      <c r="N329">
        <v>4665.3791499999998</v>
      </c>
      <c r="O329">
        <v>4667.97811</v>
      </c>
      <c r="P329">
        <v>4669.6450299999997</v>
      </c>
      <c r="Q329">
        <v>4661.13</v>
      </c>
    </row>
    <row r="330" spans="1:17" x14ac:dyDescent="0.55000000000000004">
      <c r="A330">
        <v>1772042400</v>
      </c>
      <c r="B330" t="s">
        <v>0</v>
      </c>
      <c r="C330" t="s">
        <v>1</v>
      </c>
      <c r="D330">
        <v>5204.87</v>
      </c>
      <c r="E330">
        <v>5188.0353400000004</v>
      </c>
      <c r="F330">
        <v>5191.8107200000004</v>
      </c>
      <c r="G330">
        <v>5203.71731</v>
      </c>
      <c r="H330">
        <v>5177.7799699999996</v>
      </c>
      <c r="J330">
        <v>1775488800</v>
      </c>
      <c r="K330" t="s">
        <v>0</v>
      </c>
      <c r="L330" t="s">
        <v>2</v>
      </c>
      <c r="M330">
        <v>4665.8500000000004</v>
      </c>
      <c r="N330">
        <v>4663.9809999999998</v>
      </c>
      <c r="O330">
        <v>4665.9795599999998</v>
      </c>
      <c r="P330">
        <v>4667.7898100000002</v>
      </c>
      <c r="Q330">
        <v>4659.7414799999997</v>
      </c>
    </row>
    <row r="331" spans="1:17" x14ac:dyDescent="0.55000000000000004">
      <c r="A331">
        <v>1772046000</v>
      </c>
      <c r="B331" t="s">
        <v>0</v>
      </c>
      <c r="C331" t="s">
        <v>1</v>
      </c>
      <c r="D331">
        <v>5152.16</v>
      </c>
      <c r="E331">
        <v>5181.5091899999998</v>
      </c>
      <c r="F331">
        <v>5186.65996</v>
      </c>
      <c r="G331">
        <v>5199.1249200000002</v>
      </c>
      <c r="H331">
        <v>5171.0945899999997</v>
      </c>
      <c r="J331">
        <v>1775489100</v>
      </c>
      <c r="K331" t="s">
        <v>0</v>
      </c>
      <c r="L331" t="s">
        <v>2</v>
      </c>
      <c r="M331">
        <v>4667.3900000000003</v>
      </c>
      <c r="N331">
        <v>4663.1682199999996</v>
      </c>
      <c r="O331">
        <v>4664.5738899999997</v>
      </c>
      <c r="P331">
        <v>4666.7425300000004</v>
      </c>
      <c r="Q331">
        <v>4658.9591600000003</v>
      </c>
    </row>
    <row r="332" spans="1:17" x14ac:dyDescent="0.55000000000000004">
      <c r="A332">
        <v>1772049600</v>
      </c>
      <c r="B332" t="s">
        <v>0</v>
      </c>
      <c r="C332" t="s">
        <v>1</v>
      </c>
      <c r="D332">
        <v>5164.8900000000003</v>
      </c>
      <c r="E332">
        <v>5177.1909699999997</v>
      </c>
      <c r="F332">
        <v>5181.9254600000004</v>
      </c>
      <c r="G332">
        <v>5194.3305499999997</v>
      </c>
      <c r="H332">
        <v>5165.7739099999999</v>
      </c>
      <c r="J332">
        <v>1775489400</v>
      </c>
      <c r="K332" t="s">
        <v>0</v>
      </c>
      <c r="L332" t="s">
        <v>2</v>
      </c>
      <c r="M332">
        <v>4667.4799999999996</v>
      </c>
      <c r="N332">
        <v>4662.7752700000001</v>
      </c>
      <c r="O332">
        <v>4663.6745799999999</v>
      </c>
      <c r="P332">
        <v>4666.3479200000002</v>
      </c>
      <c r="Q332">
        <v>4658.6839</v>
      </c>
    </row>
    <row r="333" spans="1:17" x14ac:dyDescent="0.55000000000000004">
      <c r="A333">
        <v>1772056800</v>
      </c>
      <c r="B333" t="s">
        <v>0</v>
      </c>
      <c r="C333" t="s">
        <v>1</v>
      </c>
      <c r="D333">
        <v>5163.13</v>
      </c>
      <c r="E333">
        <v>5175.6192000000001</v>
      </c>
      <c r="F333">
        <v>5178.7723299999998</v>
      </c>
      <c r="G333">
        <v>5191.1650600000003</v>
      </c>
      <c r="H333">
        <v>5163.0788300000004</v>
      </c>
      <c r="J333">
        <v>1775489700</v>
      </c>
      <c r="K333" t="s">
        <v>0</v>
      </c>
      <c r="L333" t="s">
        <v>2</v>
      </c>
      <c r="M333">
        <v>4655.28</v>
      </c>
      <c r="N333">
        <v>4662.6941699999998</v>
      </c>
      <c r="O333">
        <v>4663.1843799999997</v>
      </c>
      <c r="P333">
        <v>4666.3432899999998</v>
      </c>
      <c r="Q333">
        <v>4658.6435099999999</v>
      </c>
    </row>
    <row r="334" spans="1:17" x14ac:dyDescent="0.55000000000000004">
      <c r="A334">
        <v>1772060400</v>
      </c>
      <c r="B334" t="s">
        <v>0</v>
      </c>
      <c r="C334" t="s">
        <v>1</v>
      </c>
      <c r="D334">
        <v>5188.3100000000004</v>
      </c>
      <c r="E334">
        <v>5177.0899600000002</v>
      </c>
      <c r="F334">
        <v>5177.9311500000003</v>
      </c>
      <c r="G334">
        <v>5190.0017900000003</v>
      </c>
      <c r="H334">
        <v>5163.4820900000004</v>
      </c>
      <c r="J334">
        <v>1775490000</v>
      </c>
      <c r="K334" t="s">
        <v>0</v>
      </c>
      <c r="L334" t="s">
        <v>2</v>
      </c>
      <c r="M334">
        <v>4660.82</v>
      </c>
      <c r="N334">
        <v>4663.1391000000003</v>
      </c>
      <c r="O334">
        <v>4663.1617399999996</v>
      </c>
      <c r="P334">
        <v>4666.6157000000003</v>
      </c>
      <c r="Q334">
        <v>4659.0852599999998</v>
      </c>
    </row>
    <row r="335" spans="1:17" x14ac:dyDescent="0.55000000000000004">
      <c r="A335">
        <v>1772064000</v>
      </c>
      <c r="B335" t="s">
        <v>0</v>
      </c>
      <c r="C335" t="s">
        <v>1</v>
      </c>
      <c r="D335">
        <v>5191.71</v>
      </c>
      <c r="E335">
        <v>5180.5517499999996</v>
      </c>
      <c r="F335">
        <v>5179.2414500000004</v>
      </c>
      <c r="G335">
        <v>5190.70496</v>
      </c>
      <c r="H335">
        <v>5167.1321200000002</v>
      </c>
      <c r="J335">
        <v>1775490300</v>
      </c>
      <c r="K335" t="s">
        <v>0</v>
      </c>
      <c r="L335" t="s">
        <v>2</v>
      </c>
      <c r="M335">
        <v>4664.21</v>
      </c>
      <c r="N335">
        <v>4663.8846999999996</v>
      </c>
      <c r="O335">
        <v>4663.52322</v>
      </c>
      <c r="P335">
        <v>4667.1823999999997</v>
      </c>
      <c r="Q335">
        <v>4659.8675700000003</v>
      </c>
    </row>
    <row r="336" spans="1:17" x14ac:dyDescent="0.55000000000000004">
      <c r="A336">
        <v>1772067600</v>
      </c>
      <c r="B336" t="s">
        <v>0</v>
      </c>
      <c r="C336" t="s">
        <v>1</v>
      </c>
      <c r="D336">
        <v>5184.34</v>
      </c>
      <c r="E336">
        <v>5185.0093399999996</v>
      </c>
      <c r="F336">
        <v>5182.1253900000002</v>
      </c>
      <c r="G336">
        <v>5192.7314500000002</v>
      </c>
      <c r="H336">
        <v>5172.6918299999998</v>
      </c>
      <c r="J336">
        <v>1775490600</v>
      </c>
      <c r="K336" t="s">
        <v>0</v>
      </c>
      <c r="L336" t="s">
        <v>2</v>
      </c>
      <c r="M336">
        <v>4665.78</v>
      </c>
      <c r="N336">
        <v>4664.7646800000002</v>
      </c>
      <c r="O336">
        <v>4664.1439499999997</v>
      </c>
      <c r="P336">
        <v>4667.8519399999996</v>
      </c>
      <c r="Q336">
        <v>4660.7769500000004</v>
      </c>
    </row>
    <row r="337" spans="1:17" x14ac:dyDescent="0.55000000000000004">
      <c r="A337">
        <v>1772071200</v>
      </c>
      <c r="B337" t="s">
        <v>0</v>
      </c>
      <c r="C337" t="s">
        <v>1</v>
      </c>
      <c r="D337">
        <v>5192.63</v>
      </c>
      <c r="E337">
        <v>5189.5810899999997</v>
      </c>
      <c r="F337">
        <v>5185.8532400000004</v>
      </c>
      <c r="G337">
        <v>5195.4353099999998</v>
      </c>
      <c r="H337">
        <v>5179.0549899999996</v>
      </c>
      <c r="J337">
        <v>1775490900</v>
      </c>
      <c r="K337" t="s">
        <v>0</v>
      </c>
      <c r="L337" t="s">
        <v>2</v>
      </c>
      <c r="M337">
        <v>4668.12</v>
      </c>
      <c r="N337">
        <v>4665.6655700000001</v>
      </c>
      <c r="O337">
        <v>4664.9047600000004</v>
      </c>
      <c r="P337">
        <v>4668.54043</v>
      </c>
      <c r="Q337">
        <v>4661.7060300000003</v>
      </c>
    </row>
    <row r="338" spans="1:17" x14ac:dyDescent="0.55000000000000004">
      <c r="A338">
        <v>1772074800</v>
      </c>
      <c r="B338" t="s">
        <v>0</v>
      </c>
      <c r="C338" t="s">
        <v>1</v>
      </c>
      <c r="D338">
        <v>5192.6899999999996</v>
      </c>
      <c r="E338">
        <v>5192.9738900000002</v>
      </c>
      <c r="F338">
        <v>5189.4135699999997</v>
      </c>
      <c r="G338">
        <v>5198.0212899999997</v>
      </c>
      <c r="H338">
        <v>5184.6009599999998</v>
      </c>
      <c r="J338">
        <v>1775491200</v>
      </c>
      <c r="K338" t="s">
        <v>0</v>
      </c>
      <c r="L338" t="s">
        <v>2</v>
      </c>
      <c r="M338">
        <v>4666.57</v>
      </c>
      <c r="N338">
        <v>4666.48045</v>
      </c>
      <c r="O338">
        <v>4665.6926000000003</v>
      </c>
      <c r="P338">
        <v>4669.2049100000004</v>
      </c>
      <c r="Q338">
        <v>4662.6413199999997</v>
      </c>
    </row>
    <row r="339" spans="1:17" x14ac:dyDescent="0.55000000000000004">
      <c r="A339">
        <v>1772078400</v>
      </c>
      <c r="B339" t="s">
        <v>0</v>
      </c>
      <c r="C339" t="s">
        <v>1</v>
      </c>
      <c r="D339">
        <v>5198.46</v>
      </c>
      <c r="E339">
        <v>5194.3658699999996</v>
      </c>
      <c r="F339">
        <v>5191.8897200000001</v>
      </c>
      <c r="G339">
        <v>5199.5538299999998</v>
      </c>
      <c r="H339">
        <v>5187.8739599999999</v>
      </c>
      <c r="J339">
        <v>1775491500</v>
      </c>
      <c r="K339" t="s">
        <v>0</v>
      </c>
      <c r="L339" t="s">
        <v>2</v>
      </c>
      <c r="M339">
        <v>4663.43</v>
      </c>
      <c r="N339">
        <v>4667.1881000000003</v>
      </c>
      <c r="O339">
        <v>4666.4403499999999</v>
      </c>
      <c r="P339">
        <v>4669.8033400000004</v>
      </c>
      <c r="Q339">
        <v>4663.5378099999998</v>
      </c>
    </row>
    <row r="340" spans="1:17" x14ac:dyDescent="0.55000000000000004">
      <c r="A340">
        <v>1772082000</v>
      </c>
      <c r="B340" t="s">
        <v>0</v>
      </c>
      <c r="C340" t="s">
        <v>1</v>
      </c>
      <c r="D340">
        <v>5193.26</v>
      </c>
      <c r="E340">
        <v>5193.3076899999996</v>
      </c>
      <c r="F340">
        <v>5192.5986999999996</v>
      </c>
      <c r="G340">
        <v>5199.3889099999997</v>
      </c>
      <c r="H340">
        <v>5188.0987800000003</v>
      </c>
      <c r="J340">
        <v>1775491800</v>
      </c>
      <c r="K340" t="s">
        <v>0</v>
      </c>
      <c r="L340" t="s">
        <v>2</v>
      </c>
      <c r="M340">
        <v>4670.3100000000004</v>
      </c>
      <c r="N340">
        <v>4667.8014400000002</v>
      </c>
      <c r="O340">
        <v>4667.1208999999999</v>
      </c>
      <c r="P340">
        <v>4670.3847500000002</v>
      </c>
      <c r="Q340">
        <v>4664.4207399999996</v>
      </c>
    </row>
    <row r="341" spans="1:17" x14ac:dyDescent="0.55000000000000004">
      <c r="A341">
        <v>1772085600</v>
      </c>
      <c r="B341" t="s">
        <v>0</v>
      </c>
      <c r="C341" t="s">
        <v>1</v>
      </c>
      <c r="D341">
        <v>5186.0200000000004</v>
      </c>
      <c r="E341">
        <v>5190.0649599999997</v>
      </c>
      <c r="F341">
        <v>5191.3318300000001</v>
      </c>
      <c r="G341">
        <v>5197.5386600000002</v>
      </c>
      <c r="H341">
        <v>5185.1509599999999</v>
      </c>
      <c r="J341">
        <v>1775492100</v>
      </c>
      <c r="K341" t="s">
        <v>0</v>
      </c>
      <c r="L341" t="s">
        <v>2</v>
      </c>
      <c r="M341">
        <v>4668.67</v>
      </c>
      <c r="N341">
        <v>4668.0696699999999</v>
      </c>
      <c r="O341">
        <v>4667.5952900000002</v>
      </c>
      <c r="P341">
        <v>4670.7742200000002</v>
      </c>
      <c r="Q341">
        <v>4665.22919</v>
      </c>
    </row>
    <row r="342" spans="1:17" x14ac:dyDescent="0.55000000000000004">
      <c r="A342">
        <v>1772089200</v>
      </c>
      <c r="B342" t="s">
        <v>0</v>
      </c>
      <c r="C342" t="s">
        <v>1</v>
      </c>
      <c r="D342">
        <v>5179.41</v>
      </c>
      <c r="E342">
        <v>5185.4486500000003</v>
      </c>
      <c r="F342">
        <v>5188.3902399999997</v>
      </c>
      <c r="G342">
        <v>5194.4574000000002</v>
      </c>
      <c r="H342">
        <v>5179.6810100000002</v>
      </c>
      <c r="J342">
        <v>1775492400</v>
      </c>
      <c r="K342" t="s">
        <v>0</v>
      </c>
      <c r="L342" t="s">
        <v>2</v>
      </c>
      <c r="M342">
        <v>4668.5600000000004</v>
      </c>
      <c r="N342">
        <v>4667.95784</v>
      </c>
      <c r="O342">
        <v>4667.7765600000002</v>
      </c>
      <c r="P342">
        <v>4670.8331500000004</v>
      </c>
      <c r="Q342">
        <v>4665.7840399999995</v>
      </c>
    </row>
    <row r="343" spans="1:17" x14ac:dyDescent="0.55000000000000004">
      <c r="A343">
        <v>1772092800</v>
      </c>
      <c r="B343" t="s">
        <v>0</v>
      </c>
      <c r="C343" t="s">
        <v>1</v>
      </c>
      <c r="D343">
        <v>5186.32</v>
      </c>
      <c r="E343">
        <v>5180.4013100000002</v>
      </c>
      <c r="F343">
        <v>5184.3957700000001</v>
      </c>
      <c r="G343">
        <v>5190.7790500000001</v>
      </c>
      <c r="H343">
        <v>5172.8311199999998</v>
      </c>
      <c r="J343">
        <v>1775492700</v>
      </c>
      <c r="K343" t="s">
        <v>0</v>
      </c>
      <c r="L343" t="s">
        <v>2</v>
      </c>
      <c r="M343">
        <v>4665.7299999999996</v>
      </c>
      <c r="N343">
        <v>4667.4089899999999</v>
      </c>
      <c r="O343">
        <v>4667.5927700000002</v>
      </c>
      <c r="P343">
        <v>4670.4983400000001</v>
      </c>
      <c r="Q343">
        <v>4665.9255199999998</v>
      </c>
    </row>
    <row r="344" spans="1:17" x14ac:dyDescent="0.55000000000000004">
      <c r="A344">
        <v>1772096400</v>
      </c>
      <c r="B344" t="s">
        <v>0</v>
      </c>
      <c r="C344" t="s">
        <v>1</v>
      </c>
      <c r="D344">
        <v>5171.6099999999997</v>
      </c>
      <c r="E344">
        <v>5175.6016399999999</v>
      </c>
      <c r="F344">
        <v>5179.9987099999998</v>
      </c>
      <c r="G344">
        <v>5187.2154899999996</v>
      </c>
      <c r="H344">
        <v>5165.4237300000004</v>
      </c>
      <c r="J344">
        <v>1775493000</v>
      </c>
      <c r="K344" t="s">
        <v>0</v>
      </c>
      <c r="L344" t="s">
        <v>2</v>
      </c>
      <c r="M344">
        <v>4666.74</v>
      </c>
      <c r="N344">
        <v>4666.4958999999999</v>
      </c>
      <c r="O344">
        <v>4667.0443400000004</v>
      </c>
      <c r="P344">
        <v>4669.7212200000004</v>
      </c>
      <c r="Q344">
        <v>4665.5379199999998</v>
      </c>
    </row>
    <row r="345" spans="1:17" x14ac:dyDescent="0.55000000000000004">
      <c r="A345">
        <v>1772100000</v>
      </c>
      <c r="B345" t="s">
        <v>0</v>
      </c>
      <c r="C345" t="s">
        <v>1</v>
      </c>
      <c r="D345">
        <v>5164.71</v>
      </c>
      <c r="E345">
        <v>5172.1559500000003</v>
      </c>
      <c r="F345">
        <v>5176.0773300000001</v>
      </c>
      <c r="G345">
        <v>5184.4241700000002</v>
      </c>
      <c r="H345">
        <v>5158.6830499999996</v>
      </c>
      <c r="J345">
        <v>1775493300</v>
      </c>
      <c r="K345" t="s">
        <v>0</v>
      </c>
      <c r="L345" t="s">
        <v>2</v>
      </c>
      <c r="M345">
        <v>4664.32</v>
      </c>
      <c r="N345">
        <v>4665.2749199999998</v>
      </c>
      <c r="O345">
        <v>4666.1596300000001</v>
      </c>
      <c r="P345">
        <v>4668.5707700000003</v>
      </c>
      <c r="Q345">
        <v>4664.5756700000002</v>
      </c>
    </row>
    <row r="346" spans="1:17" x14ac:dyDescent="0.55000000000000004">
      <c r="A346">
        <v>1772103600</v>
      </c>
      <c r="B346" t="s">
        <v>0</v>
      </c>
      <c r="C346" t="s">
        <v>1</v>
      </c>
      <c r="D346">
        <v>5183.8500000000004</v>
      </c>
      <c r="E346">
        <v>5170.6103700000003</v>
      </c>
      <c r="F346">
        <v>5173.3438500000002</v>
      </c>
      <c r="G346">
        <v>5183.0791300000001</v>
      </c>
      <c r="H346">
        <v>5153.6587099999997</v>
      </c>
      <c r="J346">
        <v>1775493600</v>
      </c>
      <c r="K346" t="s">
        <v>0</v>
      </c>
      <c r="L346" t="s">
        <v>2</v>
      </c>
      <c r="M346">
        <v>4663.16</v>
      </c>
      <c r="N346">
        <v>4663.9276300000001</v>
      </c>
      <c r="O346">
        <v>4665.0436300000001</v>
      </c>
      <c r="P346">
        <v>4667.0899900000004</v>
      </c>
      <c r="Q346">
        <v>4663.0913300000002</v>
      </c>
    </row>
    <row r="347" spans="1:17" x14ac:dyDescent="0.55000000000000004">
      <c r="A347">
        <v>1772107200</v>
      </c>
      <c r="B347" t="s">
        <v>0</v>
      </c>
      <c r="C347" t="s">
        <v>1</v>
      </c>
      <c r="D347">
        <v>5166.3900000000003</v>
      </c>
      <c r="E347">
        <v>5170.39905</v>
      </c>
      <c r="F347">
        <v>5171.8714499999996</v>
      </c>
      <c r="G347">
        <v>5182.9570400000002</v>
      </c>
      <c r="H347">
        <v>5150.9774299999999</v>
      </c>
      <c r="J347">
        <v>1775493900</v>
      </c>
      <c r="K347" t="s">
        <v>0</v>
      </c>
      <c r="L347" t="s">
        <v>2</v>
      </c>
      <c r="M347">
        <v>4664.8999999999996</v>
      </c>
      <c r="N347">
        <v>4662.60653</v>
      </c>
      <c r="O347">
        <v>4663.8250799999996</v>
      </c>
      <c r="P347">
        <v>4665.5596299999997</v>
      </c>
      <c r="Q347">
        <v>4661.2314500000002</v>
      </c>
    </row>
    <row r="348" spans="1:17" x14ac:dyDescent="0.55000000000000004">
      <c r="A348">
        <v>1772110800</v>
      </c>
      <c r="B348" t="s">
        <v>0</v>
      </c>
      <c r="C348" t="s">
        <v>1</v>
      </c>
      <c r="D348">
        <v>5165.1400000000003</v>
      </c>
      <c r="E348">
        <v>5171.75857</v>
      </c>
      <c r="F348">
        <v>5171.8150100000003</v>
      </c>
      <c r="G348">
        <v>5183.9015399999998</v>
      </c>
      <c r="H348">
        <v>5150.6368400000001</v>
      </c>
      <c r="J348">
        <v>1775494200</v>
      </c>
      <c r="K348" t="s">
        <v>0</v>
      </c>
      <c r="L348" t="s">
        <v>2</v>
      </c>
      <c r="M348">
        <v>4662.88</v>
      </c>
      <c r="N348">
        <v>4661.3651499999996</v>
      </c>
      <c r="O348">
        <v>4662.5951100000002</v>
      </c>
      <c r="P348">
        <v>4664.1372899999997</v>
      </c>
      <c r="Q348">
        <v>4659.2022900000002</v>
      </c>
    </row>
    <row r="349" spans="1:17" x14ac:dyDescent="0.55000000000000004">
      <c r="A349">
        <v>1772114400</v>
      </c>
      <c r="B349" t="s">
        <v>0</v>
      </c>
      <c r="C349" t="s">
        <v>1</v>
      </c>
      <c r="D349">
        <v>5185.8599999999997</v>
      </c>
      <c r="E349">
        <v>5174.2833099999998</v>
      </c>
      <c r="F349">
        <v>5173.0491599999996</v>
      </c>
      <c r="G349">
        <v>5185.78089</v>
      </c>
      <c r="H349">
        <v>5153.0667800000001</v>
      </c>
      <c r="J349">
        <v>1775494500</v>
      </c>
      <c r="K349" t="s">
        <v>0</v>
      </c>
      <c r="L349" t="s">
        <v>2</v>
      </c>
      <c r="M349">
        <v>4660.5600000000004</v>
      </c>
      <c r="N349">
        <v>4660.32521</v>
      </c>
      <c r="O349">
        <v>4661.4601599999996</v>
      </c>
      <c r="P349">
        <v>4662.8912899999996</v>
      </c>
      <c r="Q349">
        <v>4657.1738500000001</v>
      </c>
    </row>
    <row r="350" spans="1:17" x14ac:dyDescent="0.55000000000000004">
      <c r="A350">
        <v>1772118000</v>
      </c>
      <c r="B350" t="s">
        <v>0</v>
      </c>
      <c r="C350" t="s">
        <v>1</v>
      </c>
      <c r="D350">
        <v>5179.6099999999997</v>
      </c>
      <c r="E350">
        <v>5176.7337200000002</v>
      </c>
      <c r="F350">
        <v>5174.8914400000003</v>
      </c>
      <c r="G350">
        <v>5187.6255899999996</v>
      </c>
      <c r="H350">
        <v>5157.8760499999999</v>
      </c>
      <c r="J350">
        <v>1775494800</v>
      </c>
      <c r="K350" t="s">
        <v>0</v>
      </c>
      <c r="L350" t="s">
        <v>2</v>
      </c>
      <c r="M350">
        <v>4659.1099999999997</v>
      </c>
      <c r="N350">
        <v>4659.5567600000004</v>
      </c>
      <c r="O350">
        <v>4660.50846</v>
      </c>
      <c r="P350">
        <v>4661.9460200000003</v>
      </c>
      <c r="Q350">
        <v>4655.4384899999995</v>
      </c>
    </row>
    <row r="351" spans="1:17" x14ac:dyDescent="0.55000000000000004">
      <c r="A351">
        <v>1772121600</v>
      </c>
      <c r="B351" t="s">
        <v>0</v>
      </c>
      <c r="C351" t="s">
        <v>1</v>
      </c>
      <c r="D351">
        <v>5167.22</v>
      </c>
      <c r="E351">
        <v>5179.08187</v>
      </c>
      <c r="F351">
        <v>5176.9866599999996</v>
      </c>
      <c r="G351">
        <v>5189.38454</v>
      </c>
      <c r="H351">
        <v>5163.0572599999996</v>
      </c>
      <c r="J351">
        <v>1775495100</v>
      </c>
      <c r="K351" t="s">
        <v>0</v>
      </c>
      <c r="L351" t="s">
        <v>2</v>
      </c>
      <c r="M351">
        <v>4658.37</v>
      </c>
      <c r="N351">
        <v>4659.0348000000004</v>
      </c>
      <c r="O351">
        <v>4659.7716300000002</v>
      </c>
      <c r="P351">
        <v>4661.3068800000001</v>
      </c>
      <c r="Q351">
        <v>4654.1845700000003</v>
      </c>
    </row>
    <row r="352" spans="1:17" x14ac:dyDescent="0.55000000000000004">
      <c r="A352">
        <v>1772125200</v>
      </c>
      <c r="B352" t="s">
        <v>0</v>
      </c>
      <c r="C352" t="s">
        <v>1</v>
      </c>
      <c r="D352">
        <v>5180.24</v>
      </c>
      <c r="E352">
        <v>5181.6808099999998</v>
      </c>
      <c r="F352">
        <v>5179.3337300000003</v>
      </c>
      <c r="G352">
        <v>5191.0431799999997</v>
      </c>
      <c r="H352">
        <v>5168.2446099999997</v>
      </c>
      <c r="J352">
        <v>1775495400</v>
      </c>
      <c r="K352" t="s">
        <v>0</v>
      </c>
      <c r="L352" t="s">
        <v>2</v>
      </c>
      <c r="M352">
        <v>4654</v>
      </c>
      <c r="N352">
        <v>4658.6833999999999</v>
      </c>
      <c r="O352">
        <v>4659.2275200000004</v>
      </c>
      <c r="P352">
        <v>4660.8867200000004</v>
      </c>
      <c r="Q352">
        <v>4653.4153100000003</v>
      </c>
    </row>
    <row r="353" spans="1:17" x14ac:dyDescent="0.55000000000000004">
      <c r="A353">
        <v>1772128800</v>
      </c>
      <c r="B353" t="s">
        <v>0</v>
      </c>
      <c r="C353" t="s">
        <v>1</v>
      </c>
      <c r="D353">
        <v>5187.0600000000004</v>
      </c>
      <c r="E353">
        <v>5184.0438800000002</v>
      </c>
      <c r="F353">
        <v>5181.6887999999999</v>
      </c>
      <c r="G353">
        <v>5192.82575</v>
      </c>
      <c r="H353">
        <v>5172.9373699999996</v>
      </c>
      <c r="J353">
        <v>1775495700</v>
      </c>
      <c r="K353" t="s">
        <v>0</v>
      </c>
      <c r="L353" t="s">
        <v>2</v>
      </c>
      <c r="M353">
        <v>4659.6099999999997</v>
      </c>
      <c r="N353">
        <v>4658.4777599999998</v>
      </c>
      <c r="O353">
        <v>4658.8526400000001</v>
      </c>
      <c r="P353">
        <v>4660.5579200000002</v>
      </c>
      <c r="Q353">
        <v>4653.2919199999997</v>
      </c>
    </row>
    <row r="354" spans="1:17" x14ac:dyDescent="0.55000000000000004">
      <c r="A354">
        <v>1772132400</v>
      </c>
      <c r="B354" t="s">
        <v>0</v>
      </c>
      <c r="C354" t="s">
        <v>1</v>
      </c>
      <c r="D354">
        <v>5196.6099999999997</v>
      </c>
      <c r="E354">
        <v>5185.8713299999999</v>
      </c>
      <c r="F354">
        <v>5183.7800699999998</v>
      </c>
      <c r="G354">
        <v>5194.5531799999999</v>
      </c>
      <c r="H354">
        <v>5176.2264699999996</v>
      </c>
      <c r="J354">
        <v>1775496000</v>
      </c>
      <c r="K354" t="s">
        <v>0</v>
      </c>
      <c r="L354" t="s">
        <v>2</v>
      </c>
      <c r="M354">
        <v>4659.75</v>
      </c>
      <c r="N354">
        <v>4658.1496299999999</v>
      </c>
      <c r="O354">
        <v>4658.5011299999996</v>
      </c>
      <c r="P354">
        <v>4660.18966</v>
      </c>
      <c r="Q354">
        <v>4653.5242200000002</v>
      </c>
    </row>
    <row r="355" spans="1:17" x14ac:dyDescent="0.55000000000000004">
      <c r="A355">
        <v>1772136000</v>
      </c>
      <c r="B355" t="s">
        <v>0</v>
      </c>
      <c r="C355" t="s">
        <v>1</v>
      </c>
      <c r="D355">
        <v>5185.2</v>
      </c>
      <c r="E355">
        <v>5186.90931</v>
      </c>
      <c r="F355">
        <v>5185.3446899999999</v>
      </c>
      <c r="G355">
        <v>5196.0300699999998</v>
      </c>
      <c r="H355">
        <v>5177.9017000000003</v>
      </c>
      <c r="J355">
        <v>1775496300</v>
      </c>
      <c r="K355" t="s">
        <v>0</v>
      </c>
      <c r="L355" t="s">
        <v>2</v>
      </c>
      <c r="M355">
        <v>4656.26</v>
      </c>
      <c r="N355">
        <v>4657.6184599999997</v>
      </c>
      <c r="O355">
        <v>4658.0598</v>
      </c>
      <c r="P355">
        <v>4659.6799600000004</v>
      </c>
      <c r="Q355">
        <v>4653.7188999999998</v>
      </c>
    </row>
    <row r="356" spans="1:17" x14ac:dyDescent="0.55000000000000004">
      <c r="A356">
        <v>1772143200</v>
      </c>
      <c r="B356" t="s">
        <v>0</v>
      </c>
      <c r="C356" t="s">
        <v>1</v>
      </c>
      <c r="D356">
        <v>5184.6099999999997</v>
      </c>
      <c r="E356">
        <v>5187.4860099999996</v>
      </c>
      <c r="F356">
        <v>5186.4153500000002</v>
      </c>
      <c r="G356">
        <v>5197.13105</v>
      </c>
      <c r="H356">
        <v>5178.3822200000004</v>
      </c>
      <c r="J356">
        <v>1775496600</v>
      </c>
      <c r="K356" t="s">
        <v>0</v>
      </c>
      <c r="L356" t="s">
        <v>2</v>
      </c>
      <c r="M356">
        <v>4659.2</v>
      </c>
      <c r="N356">
        <v>4656.98398</v>
      </c>
      <c r="O356">
        <v>4657.52189</v>
      </c>
      <c r="P356">
        <v>4659.0195999999996</v>
      </c>
      <c r="Q356">
        <v>4653.7873900000004</v>
      </c>
    </row>
    <row r="357" spans="1:17" x14ac:dyDescent="0.55000000000000004">
      <c r="A357">
        <v>1772146800</v>
      </c>
      <c r="B357" t="s">
        <v>0</v>
      </c>
      <c r="C357" t="s">
        <v>1</v>
      </c>
      <c r="D357">
        <v>5174.97</v>
      </c>
      <c r="E357">
        <v>5187.6049499999999</v>
      </c>
      <c r="F357">
        <v>5187.0101500000001</v>
      </c>
      <c r="G357">
        <v>5197.8734000000004</v>
      </c>
      <c r="H357">
        <v>5178.2168499999998</v>
      </c>
      <c r="J357">
        <v>1775496900</v>
      </c>
      <c r="K357" t="s">
        <v>0</v>
      </c>
      <c r="L357" t="s">
        <v>2</v>
      </c>
      <c r="M357">
        <v>4659.6499999999996</v>
      </c>
      <c r="N357">
        <v>4656.2706200000002</v>
      </c>
      <c r="O357">
        <v>4656.8962600000004</v>
      </c>
      <c r="P357">
        <v>4658.3023400000002</v>
      </c>
      <c r="Q357">
        <v>4653.7411599999996</v>
      </c>
    </row>
    <row r="358" spans="1:17" x14ac:dyDescent="0.55000000000000004">
      <c r="A358">
        <v>1772150400</v>
      </c>
      <c r="B358" t="s">
        <v>0</v>
      </c>
      <c r="C358" t="s">
        <v>1</v>
      </c>
      <c r="D358">
        <v>5194.22</v>
      </c>
      <c r="E358">
        <v>5187.4665000000005</v>
      </c>
      <c r="F358">
        <v>5187.2383200000004</v>
      </c>
      <c r="G358">
        <v>5197.8349200000002</v>
      </c>
      <c r="H358">
        <v>5177.8866600000001</v>
      </c>
      <c r="J358">
        <v>1775497200</v>
      </c>
      <c r="K358" t="s">
        <v>0</v>
      </c>
      <c r="L358" t="s">
        <v>2</v>
      </c>
      <c r="M358">
        <v>4656.3100000000004</v>
      </c>
      <c r="N358">
        <v>4655.6137799999997</v>
      </c>
      <c r="O358">
        <v>4656.2550199999996</v>
      </c>
      <c r="P358">
        <v>4657.7051700000002</v>
      </c>
      <c r="Q358">
        <v>4653.4922299999998</v>
      </c>
    </row>
    <row r="359" spans="1:17" x14ac:dyDescent="0.55000000000000004">
      <c r="A359">
        <v>1772154000</v>
      </c>
      <c r="B359" t="s">
        <v>0</v>
      </c>
      <c r="C359" t="s">
        <v>1</v>
      </c>
      <c r="D359">
        <v>5183.68</v>
      </c>
      <c r="E359">
        <v>5186.5573199999999</v>
      </c>
      <c r="F359">
        <v>5186.8978200000001</v>
      </c>
      <c r="G359">
        <v>5196.8588399999999</v>
      </c>
      <c r="H359">
        <v>5177.6859899999999</v>
      </c>
      <c r="J359">
        <v>1775497500</v>
      </c>
      <c r="K359" t="s">
        <v>0</v>
      </c>
      <c r="L359" t="s">
        <v>2</v>
      </c>
      <c r="M359">
        <v>4652.38</v>
      </c>
      <c r="N359">
        <v>4655.2493400000003</v>
      </c>
      <c r="O359">
        <v>4655.7521800000004</v>
      </c>
      <c r="P359">
        <v>4657.3944600000004</v>
      </c>
      <c r="Q359">
        <v>4653.2456599999996</v>
      </c>
    </row>
    <row r="360" spans="1:17" x14ac:dyDescent="0.55000000000000004">
      <c r="A360">
        <v>1772157600</v>
      </c>
      <c r="B360" t="s">
        <v>0</v>
      </c>
      <c r="C360" t="s">
        <v>1</v>
      </c>
      <c r="D360">
        <v>5184</v>
      </c>
      <c r="E360">
        <v>5185.2503100000004</v>
      </c>
      <c r="F360">
        <v>5186.0740699999997</v>
      </c>
      <c r="G360">
        <v>5194.8671999999997</v>
      </c>
      <c r="H360">
        <v>5177.5012299999999</v>
      </c>
      <c r="J360">
        <v>1775497800</v>
      </c>
      <c r="K360" t="s">
        <v>0</v>
      </c>
      <c r="L360" t="s">
        <v>2</v>
      </c>
      <c r="M360">
        <v>4655.76</v>
      </c>
      <c r="N360">
        <v>4655.3725999999997</v>
      </c>
      <c r="O360">
        <v>4655.5623900000001</v>
      </c>
      <c r="P360">
        <v>4657.5559999999996</v>
      </c>
      <c r="Q360">
        <v>4653.2380999999996</v>
      </c>
    </row>
    <row r="361" spans="1:17" x14ac:dyDescent="0.55000000000000004">
      <c r="A361">
        <v>1772161200</v>
      </c>
      <c r="B361" t="s">
        <v>0</v>
      </c>
      <c r="C361" t="s">
        <v>1</v>
      </c>
      <c r="D361">
        <v>5181.88</v>
      </c>
      <c r="E361">
        <v>5183.7113200000003</v>
      </c>
      <c r="F361">
        <v>5184.8926899999997</v>
      </c>
      <c r="G361">
        <v>5192.3450499999999</v>
      </c>
      <c r="H361">
        <v>5177.1422599999996</v>
      </c>
      <c r="J361">
        <v>1775498100</v>
      </c>
      <c r="K361" t="s">
        <v>0</v>
      </c>
      <c r="L361" t="s">
        <v>2</v>
      </c>
      <c r="M361">
        <v>4653.5200000000004</v>
      </c>
      <c r="N361">
        <v>4655.9016499999998</v>
      </c>
      <c r="O361">
        <v>4655.7320200000004</v>
      </c>
      <c r="P361">
        <v>4658.22307</v>
      </c>
      <c r="Q361">
        <v>4653.5670600000003</v>
      </c>
    </row>
    <row r="362" spans="1:17" x14ac:dyDescent="0.55000000000000004">
      <c r="A362">
        <v>1772164800</v>
      </c>
      <c r="B362" t="s">
        <v>0</v>
      </c>
      <c r="C362" t="s">
        <v>1</v>
      </c>
      <c r="D362">
        <v>5197.92</v>
      </c>
      <c r="E362">
        <v>5182.3036899999997</v>
      </c>
      <c r="F362">
        <v>5183.5981899999997</v>
      </c>
      <c r="G362">
        <v>5189.77189</v>
      </c>
      <c r="H362">
        <v>5176.6719599999997</v>
      </c>
      <c r="J362">
        <v>1775498400</v>
      </c>
      <c r="K362" t="s">
        <v>0</v>
      </c>
      <c r="L362" t="s">
        <v>2</v>
      </c>
      <c r="M362">
        <v>4652.88</v>
      </c>
      <c r="N362">
        <v>4656.7877600000002</v>
      </c>
      <c r="O362">
        <v>4656.2598900000003</v>
      </c>
      <c r="P362">
        <v>4659.3208100000002</v>
      </c>
      <c r="Q362">
        <v>4654.2160199999998</v>
      </c>
    </row>
    <row r="363" spans="1:17" x14ac:dyDescent="0.55000000000000004">
      <c r="A363">
        <v>1772168400</v>
      </c>
      <c r="B363" t="s">
        <v>0</v>
      </c>
      <c r="C363" t="s">
        <v>1</v>
      </c>
      <c r="D363">
        <v>5185.71</v>
      </c>
      <c r="E363">
        <v>5180.7764800000004</v>
      </c>
      <c r="F363">
        <v>5182.1873299999997</v>
      </c>
      <c r="G363">
        <v>5187.44434</v>
      </c>
      <c r="H363">
        <v>5176.0638300000001</v>
      </c>
      <c r="J363">
        <v>1775498700</v>
      </c>
      <c r="K363" t="s">
        <v>0</v>
      </c>
      <c r="L363" t="s">
        <v>2</v>
      </c>
      <c r="M363">
        <v>4658.1899999999996</v>
      </c>
      <c r="N363">
        <v>4657.85905</v>
      </c>
      <c r="O363">
        <v>4657.0594700000001</v>
      </c>
      <c r="P363">
        <v>4660.6778599999998</v>
      </c>
      <c r="Q363">
        <v>4655.1519900000003</v>
      </c>
    </row>
    <row r="364" spans="1:17" x14ac:dyDescent="0.55000000000000004">
      <c r="A364">
        <v>1772172000</v>
      </c>
      <c r="B364" t="s">
        <v>0</v>
      </c>
      <c r="C364" t="s">
        <v>1</v>
      </c>
      <c r="D364">
        <v>5176.1000000000004</v>
      </c>
      <c r="E364">
        <v>5179.8568999999998</v>
      </c>
      <c r="F364">
        <v>5181.0221199999996</v>
      </c>
      <c r="G364">
        <v>5185.9262399999998</v>
      </c>
      <c r="H364">
        <v>5175.3148000000001</v>
      </c>
      <c r="J364">
        <v>1775499000</v>
      </c>
      <c r="K364" t="s">
        <v>0</v>
      </c>
      <c r="L364" t="s">
        <v>2</v>
      </c>
      <c r="M364">
        <v>4659.3999999999996</v>
      </c>
      <c r="N364">
        <v>4658.7716499999997</v>
      </c>
      <c r="O364">
        <v>4657.9155600000004</v>
      </c>
      <c r="P364">
        <v>4661.9489400000002</v>
      </c>
      <c r="Q364">
        <v>4656.1814800000002</v>
      </c>
    </row>
    <row r="365" spans="1:17" x14ac:dyDescent="0.55000000000000004">
      <c r="A365">
        <v>1772175600</v>
      </c>
      <c r="B365" t="s">
        <v>0</v>
      </c>
      <c r="C365" t="s">
        <v>1</v>
      </c>
      <c r="D365">
        <v>5178.76</v>
      </c>
      <c r="E365">
        <v>5180.29583</v>
      </c>
      <c r="F365">
        <v>5180.6589700000004</v>
      </c>
      <c r="G365">
        <v>5186.0151599999999</v>
      </c>
      <c r="H365">
        <v>5175.0489100000004</v>
      </c>
      <c r="J365">
        <v>1775499300</v>
      </c>
      <c r="K365" t="s">
        <v>0</v>
      </c>
      <c r="L365" t="s">
        <v>2</v>
      </c>
      <c r="M365">
        <v>4662.9399999999996</v>
      </c>
      <c r="N365">
        <v>4659.28035</v>
      </c>
      <c r="O365">
        <v>4658.5979500000003</v>
      </c>
      <c r="P365">
        <v>4662.7121200000001</v>
      </c>
      <c r="Q365">
        <v>4656.9423699999998</v>
      </c>
    </row>
    <row r="366" spans="1:17" x14ac:dyDescent="0.55000000000000004">
      <c r="A366">
        <v>1772179200</v>
      </c>
      <c r="B366" t="s">
        <v>0</v>
      </c>
      <c r="C366" t="s">
        <v>1</v>
      </c>
      <c r="D366">
        <v>5175.96</v>
      </c>
      <c r="E366">
        <v>5182.3182800000004</v>
      </c>
      <c r="F366">
        <v>5181.4886299999998</v>
      </c>
      <c r="G366">
        <v>5188.2976900000003</v>
      </c>
      <c r="H366">
        <v>5175.5890300000001</v>
      </c>
      <c r="J366">
        <v>1775499600</v>
      </c>
      <c r="K366" t="s">
        <v>0</v>
      </c>
      <c r="L366" t="s">
        <v>2</v>
      </c>
      <c r="M366">
        <v>4662.55</v>
      </c>
      <c r="N366">
        <v>4659.1694699999998</v>
      </c>
      <c r="O366">
        <v>4658.8837100000001</v>
      </c>
      <c r="P366">
        <v>4662.8626599999998</v>
      </c>
      <c r="Q366">
        <v>4657.1799899999996</v>
      </c>
    </row>
    <row r="367" spans="1:17" x14ac:dyDescent="0.55000000000000004">
      <c r="A367">
        <v>1772182800</v>
      </c>
      <c r="B367" t="s">
        <v>0</v>
      </c>
      <c r="C367" t="s">
        <v>1</v>
      </c>
      <c r="D367">
        <v>5177.67</v>
      </c>
      <c r="E367">
        <v>5186.1225999999997</v>
      </c>
      <c r="F367">
        <v>5183.8056100000003</v>
      </c>
      <c r="G367">
        <v>5192.8329299999996</v>
      </c>
      <c r="H367">
        <v>5177.3336499999996</v>
      </c>
      <c r="J367">
        <v>1775499900</v>
      </c>
      <c r="K367" t="s">
        <v>0</v>
      </c>
      <c r="L367" t="s">
        <v>2</v>
      </c>
      <c r="M367">
        <v>4660.3599999999997</v>
      </c>
      <c r="N367">
        <v>4658.4362899999996</v>
      </c>
      <c r="O367">
        <v>4658.66</v>
      </c>
      <c r="P367">
        <v>4662.3530199999996</v>
      </c>
      <c r="Q367">
        <v>4656.7460199999996</v>
      </c>
    </row>
    <row r="368" spans="1:17" x14ac:dyDescent="0.55000000000000004">
      <c r="A368">
        <v>1772186400</v>
      </c>
      <c r="B368" t="s">
        <v>0</v>
      </c>
      <c r="C368" t="s">
        <v>1</v>
      </c>
      <c r="D368">
        <v>5185.66</v>
      </c>
      <c r="E368">
        <v>5191.5375199999999</v>
      </c>
      <c r="F368">
        <v>5187.6715700000004</v>
      </c>
      <c r="G368">
        <v>5199.3497200000002</v>
      </c>
      <c r="H368">
        <v>5180.4937799999998</v>
      </c>
      <c r="J368">
        <v>1775500200</v>
      </c>
      <c r="K368" t="s">
        <v>0</v>
      </c>
      <c r="L368" t="s">
        <v>2</v>
      </c>
      <c r="M368">
        <v>4659.16</v>
      </c>
      <c r="N368">
        <v>4657.2427900000002</v>
      </c>
      <c r="O368">
        <v>4657.9513900000002</v>
      </c>
      <c r="P368">
        <v>4661.2453100000002</v>
      </c>
      <c r="Q368">
        <v>4655.6776900000004</v>
      </c>
    </row>
    <row r="369" spans="1:17" x14ac:dyDescent="0.55000000000000004">
      <c r="A369">
        <v>1772190000</v>
      </c>
      <c r="B369" t="s">
        <v>0</v>
      </c>
      <c r="C369" t="s">
        <v>1</v>
      </c>
      <c r="D369">
        <v>5187.66</v>
      </c>
      <c r="E369">
        <v>5198.1662299999998</v>
      </c>
      <c r="F369">
        <v>5192.9188999999997</v>
      </c>
      <c r="G369">
        <v>5207.2197399999995</v>
      </c>
      <c r="H369">
        <v>5185.0414799999999</v>
      </c>
      <c r="J369">
        <v>1775500500</v>
      </c>
      <c r="K369" t="s">
        <v>0</v>
      </c>
      <c r="L369" t="s">
        <v>2</v>
      </c>
      <c r="M369">
        <v>4649.76</v>
      </c>
      <c r="N369">
        <v>4655.7980200000002</v>
      </c>
      <c r="O369">
        <v>4656.8747100000001</v>
      </c>
      <c r="P369">
        <v>4659.71288</v>
      </c>
      <c r="Q369">
        <v>4654.1870900000004</v>
      </c>
    </row>
    <row r="370" spans="1:17" x14ac:dyDescent="0.55000000000000004">
      <c r="A370">
        <v>1772193600</v>
      </c>
      <c r="B370" t="s">
        <v>0</v>
      </c>
      <c r="C370" t="s">
        <v>1</v>
      </c>
      <c r="D370">
        <v>5223.18</v>
      </c>
      <c r="E370">
        <v>5205.7578400000002</v>
      </c>
      <c r="F370">
        <v>5199.3383700000004</v>
      </c>
      <c r="G370">
        <v>5215.7898400000004</v>
      </c>
      <c r="H370">
        <v>5190.7364299999999</v>
      </c>
      <c r="J370">
        <v>1775500800</v>
      </c>
      <c r="K370" t="s">
        <v>0</v>
      </c>
      <c r="L370" t="s">
        <v>2</v>
      </c>
      <c r="M370">
        <v>4650.55</v>
      </c>
      <c r="N370">
        <v>4654.5413500000004</v>
      </c>
      <c r="O370">
        <v>4655.7080299999998</v>
      </c>
      <c r="P370">
        <v>4658.0696900000003</v>
      </c>
      <c r="Q370">
        <v>4652.6658399999997</v>
      </c>
    </row>
    <row r="371" spans="1:17" x14ac:dyDescent="0.55000000000000004">
      <c r="A371">
        <v>1772197200</v>
      </c>
      <c r="B371" t="s">
        <v>0</v>
      </c>
      <c r="C371" t="s">
        <v>1</v>
      </c>
      <c r="D371">
        <v>5223.76</v>
      </c>
      <c r="E371">
        <v>5213.38</v>
      </c>
      <c r="F371">
        <v>5206.3591900000001</v>
      </c>
      <c r="G371">
        <v>5223.60059</v>
      </c>
      <c r="H371">
        <v>5197.5821800000003</v>
      </c>
      <c r="J371">
        <v>1775501100</v>
      </c>
      <c r="K371" t="s">
        <v>0</v>
      </c>
      <c r="L371" t="s">
        <v>2</v>
      </c>
      <c r="M371">
        <v>4650.84</v>
      </c>
      <c r="N371">
        <v>4653.5935099999997</v>
      </c>
      <c r="O371">
        <v>4654.6507700000002</v>
      </c>
      <c r="P371">
        <v>4656.7276899999997</v>
      </c>
      <c r="Q371">
        <v>4651.3221199999998</v>
      </c>
    </row>
    <row r="372" spans="1:17" x14ac:dyDescent="0.55000000000000004">
      <c r="A372">
        <v>1772200800</v>
      </c>
      <c r="B372" t="s">
        <v>0</v>
      </c>
      <c r="C372" t="s">
        <v>1</v>
      </c>
      <c r="D372">
        <v>5239.32</v>
      </c>
      <c r="E372">
        <v>5221.4473500000004</v>
      </c>
      <c r="F372">
        <v>5213.9032699999998</v>
      </c>
      <c r="G372">
        <v>5231.1443099999997</v>
      </c>
      <c r="H372">
        <v>5205.0963400000001</v>
      </c>
      <c r="J372">
        <v>1775501400</v>
      </c>
      <c r="K372" t="s">
        <v>0</v>
      </c>
      <c r="L372" t="s">
        <v>2</v>
      </c>
      <c r="M372">
        <v>4651.3999999999996</v>
      </c>
      <c r="N372">
        <v>4652.9905500000004</v>
      </c>
      <c r="O372">
        <v>4653.8206600000003</v>
      </c>
      <c r="P372">
        <v>4655.8178500000004</v>
      </c>
      <c r="Q372">
        <v>4650.29097</v>
      </c>
    </row>
    <row r="373" spans="1:17" x14ac:dyDescent="0.55000000000000004">
      <c r="A373">
        <v>1772204400</v>
      </c>
      <c r="B373" t="s">
        <v>0</v>
      </c>
      <c r="C373" t="s">
        <v>1</v>
      </c>
      <c r="D373">
        <v>5229.01</v>
      </c>
      <c r="E373">
        <v>5230.1751999999997</v>
      </c>
      <c r="F373">
        <v>5222.0392400000001</v>
      </c>
      <c r="G373">
        <v>5239.0148200000003</v>
      </c>
      <c r="H373">
        <v>5213.6344799999997</v>
      </c>
      <c r="J373">
        <v>1775501700</v>
      </c>
      <c r="K373" t="s">
        <v>0</v>
      </c>
      <c r="L373" t="s">
        <v>2</v>
      </c>
      <c r="M373">
        <v>4658.3500000000004</v>
      </c>
      <c r="N373">
        <v>4652.6651300000003</v>
      </c>
      <c r="O373">
        <v>4653.2428900000004</v>
      </c>
      <c r="P373">
        <v>4655.3218200000001</v>
      </c>
      <c r="Q373">
        <v>4649.6294399999997</v>
      </c>
    </row>
    <row r="374" spans="1:17" x14ac:dyDescent="0.55000000000000004">
      <c r="A374">
        <v>1772208000</v>
      </c>
      <c r="B374" t="s">
        <v>0</v>
      </c>
      <c r="C374" t="s">
        <v>1</v>
      </c>
      <c r="D374">
        <v>5234.71</v>
      </c>
      <c r="E374">
        <v>5240.5961399999997</v>
      </c>
      <c r="F374">
        <v>5231.3176899999999</v>
      </c>
      <c r="G374">
        <v>5248.0135499999997</v>
      </c>
      <c r="H374">
        <v>5223.3449499999997</v>
      </c>
      <c r="J374">
        <v>1775502000</v>
      </c>
      <c r="K374" t="s">
        <v>0</v>
      </c>
      <c r="L374" t="s">
        <v>2</v>
      </c>
      <c r="M374">
        <v>4658.47</v>
      </c>
      <c r="N374">
        <v>4652.32287</v>
      </c>
      <c r="O374">
        <v>4652.7828799999997</v>
      </c>
      <c r="P374">
        <v>4654.9682700000003</v>
      </c>
      <c r="Q374">
        <v>4649.2996800000001</v>
      </c>
    </row>
    <row r="375" spans="1:17" x14ac:dyDescent="0.55000000000000004">
      <c r="A375">
        <v>1772211600</v>
      </c>
      <c r="B375" t="s">
        <v>0</v>
      </c>
      <c r="C375" t="s">
        <v>1</v>
      </c>
      <c r="D375">
        <v>5245.42</v>
      </c>
      <c r="E375">
        <v>5253.20064</v>
      </c>
      <c r="F375">
        <v>5242.2591599999996</v>
      </c>
      <c r="G375">
        <v>5259.71137</v>
      </c>
      <c r="H375">
        <v>5234.5237999999999</v>
      </c>
      <c r="J375">
        <v>1775502300</v>
      </c>
      <c r="K375" t="s">
        <v>0</v>
      </c>
      <c r="L375" t="s">
        <v>2</v>
      </c>
      <c r="M375">
        <v>4651.45</v>
      </c>
      <c r="N375">
        <v>4651.8481899999997</v>
      </c>
      <c r="O375">
        <v>4652.3155399999996</v>
      </c>
      <c r="P375">
        <v>4654.5974999999999</v>
      </c>
      <c r="Q375">
        <v>4649.03053</v>
      </c>
    </row>
    <row r="376" spans="1:17" x14ac:dyDescent="0.55000000000000004">
      <c r="A376">
        <v>1772215200</v>
      </c>
      <c r="B376" t="s">
        <v>0</v>
      </c>
      <c r="C376" t="s">
        <v>1</v>
      </c>
      <c r="D376">
        <v>5250.07</v>
      </c>
      <c r="E376">
        <v>5267.8650699999998</v>
      </c>
      <c r="F376">
        <v>5255.0621199999996</v>
      </c>
      <c r="G376">
        <v>5274.4928</v>
      </c>
      <c r="H376">
        <v>5247.2140600000002</v>
      </c>
      <c r="J376">
        <v>1775502600</v>
      </c>
      <c r="K376" t="s">
        <v>0</v>
      </c>
      <c r="L376" t="s">
        <v>2</v>
      </c>
      <c r="M376">
        <v>4650.8500000000004</v>
      </c>
      <c r="N376">
        <v>4651.3575199999996</v>
      </c>
      <c r="O376">
        <v>4651.8365299999996</v>
      </c>
      <c r="P376">
        <v>4654.08061</v>
      </c>
      <c r="Q376">
        <v>4648.85545</v>
      </c>
    </row>
    <row r="377" spans="1:17" x14ac:dyDescent="0.55000000000000004">
      <c r="A377">
        <v>1772218800</v>
      </c>
      <c r="B377" t="s">
        <v>0</v>
      </c>
      <c r="C377" t="s">
        <v>1</v>
      </c>
      <c r="D377">
        <v>5263.32</v>
      </c>
      <c r="E377">
        <v>5284.2454500000003</v>
      </c>
      <c r="F377">
        <v>5269.6537799999996</v>
      </c>
      <c r="G377">
        <v>5292.0821999999998</v>
      </c>
      <c r="H377">
        <v>5260.7952699999996</v>
      </c>
      <c r="J377">
        <v>1775502900</v>
      </c>
      <c r="K377" t="s">
        <v>0</v>
      </c>
      <c r="L377" t="s">
        <v>2</v>
      </c>
      <c r="M377">
        <v>4647.9399999999996</v>
      </c>
      <c r="N377">
        <v>4650.8649599999999</v>
      </c>
      <c r="O377">
        <v>4651.3507499999996</v>
      </c>
      <c r="P377">
        <v>4653.5109599999996</v>
      </c>
      <c r="Q377">
        <v>4648.6971800000001</v>
      </c>
    </row>
    <row r="378" spans="1:17" x14ac:dyDescent="0.55000000000000004">
      <c r="A378">
        <v>1772222400</v>
      </c>
      <c r="B378" t="s">
        <v>0</v>
      </c>
      <c r="C378" t="s">
        <v>1</v>
      </c>
      <c r="D378">
        <v>5279.01</v>
      </c>
      <c r="E378">
        <v>5301.52261</v>
      </c>
      <c r="F378">
        <v>5285.5882000000001</v>
      </c>
      <c r="G378">
        <v>5311.3578399999997</v>
      </c>
      <c r="H378">
        <v>5274.8494600000004</v>
      </c>
      <c r="J378">
        <v>1775503200</v>
      </c>
      <c r="K378" t="s">
        <v>0</v>
      </c>
      <c r="L378" t="s">
        <v>2</v>
      </c>
      <c r="M378">
        <v>4647.3900000000003</v>
      </c>
      <c r="N378">
        <v>4650.4910600000003</v>
      </c>
      <c r="O378">
        <v>4650.9209099999998</v>
      </c>
      <c r="P378">
        <v>4652.9633700000004</v>
      </c>
      <c r="Q378">
        <v>4648.6421600000003</v>
      </c>
    </row>
    <row r="379" spans="1:17" x14ac:dyDescent="0.55000000000000004">
      <c r="A379">
        <v>1772402400</v>
      </c>
      <c r="B379" t="s">
        <v>0</v>
      </c>
      <c r="C379" t="s">
        <v>1</v>
      </c>
      <c r="D379">
        <v>5386.86</v>
      </c>
      <c r="E379">
        <v>5318.6073200000001</v>
      </c>
      <c r="F379">
        <v>5302.0977599999997</v>
      </c>
      <c r="G379">
        <v>5330.6985199999999</v>
      </c>
      <c r="H379">
        <v>5289.09998</v>
      </c>
      <c r="J379">
        <v>1775503500</v>
      </c>
      <c r="K379" t="s">
        <v>0</v>
      </c>
      <c r="L379" t="s">
        <v>2</v>
      </c>
      <c r="M379">
        <v>4650.38</v>
      </c>
      <c r="N379">
        <v>4650.3474399999996</v>
      </c>
      <c r="O379">
        <v>4650.6341700000003</v>
      </c>
      <c r="P379">
        <v>4652.5781500000003</v>
      </c>
      <c r="Q379">
        <v>4648.6860299999998</v>
      </c>
    </row>
    <row r="380" spans="1:17" x14ac:dyDescent="0.55000000000000004">
      <c r="A380">
        <v>1772406000</v>
      </c>
      <c r="B380" t="s">
        <v>0</v>
      </c>
      <c r="C380" t="s">
        <v>1</v>
      </c>
      <c r="D380">
        <v>5347.47</v>
      </c>
      <c r="E380">
        <v>5331.9251100000001</v>
      </c>
      <c r="F380">
        <v>5317.0114299999996</v>
      </c>
      <c r="G380">
        <v>5346.1224400000001</v>
      </c>
      <c r="H380">
        <v>5302.2731700000004</v>
      </c>
      <c r="J380">
        <v>1775503800</v>
      </c>
      <c r="K380" t="s">
        <v>0</v>
      </c>
      <c r="L380" t="s">
        <v>2</v>
      </c>
      <c r="M380">
        <v>4651.51</v>
      </c>
      <c r="N380">
        <v>4650.4634400000004</v>
      </c>
      <c r="O380">
        <v>4650.5487999999996</v>
      </c>
      <c r="P380">
        <v>4652.4500900000003</v>
      </c>
      <c r="Q380">
        <v>4648.89426</v>
      </c>
    </row>
    <row r="381" spans="1:17" x14ac:dyDescent="0.55000000000000004">
      <c r="A381">
        <v>1772409600</v>
      </c>
      <c r="B381" t="s">
        <v>0</v>
      </c>
      <c r="C381" t="s">
        <v>1</v>
      </c>
      <c r="D381">
        <v>5325.2</v>
      </c>
      <c r="E381">
        <v>5342.7053100000003</v>
      </c>
      <c r="F381">
        <v>5329.8583699999999</v>
      </c>
      <c r="G381">
        <v>5357.2882200000004</v>
      </c>
      <c r="H381">
        <v>5313.5470299999997</v>
      </c>
      <c r="J381">
        <v>1775504100</v>
      </c>
      <c r="K381" t="s">
        <v>0</v>
      </c>
      <c r="L381" t="s">
        <v>2</v>
      </c>
      <c r="M381">
        <v>4650.84</v>
      </c>
      <c r="N381">
        <v>4650.8965699999999</v>
      </c>
      <c r="O381">
        <v>4650.7226899999996</v>
      </c>
      <c r="P381">
        <v>4652.6142799999998</v>
      </c>
      <c r="Q381">
        <v>4649.24881</v>
      </c>
    </row>
    <row r="382" spans="1:17" x14ac:dyDescent="0.55000000000000004">
      <c r="A382">
        <v>1772413200</v>
      </c>
      <c r="B382" t="s">
        <v>0</v>
      </c>
      <c r="C382" t="s">
        <v>1</v>
      </c>
      <c r="D382">
        <v>5346.71</v>
      </c>
      <c r="E382">
        <v>5352.3761000000004</v>
      </c>
      <c r="F382">
        <v>5341.1172399999996</v>
      </c>
      <c r="G382">
        <v>5365.6352399999996</v>
      </c>
      <c r="H382">
        <v>5324.6165300000002</v>
      </c>
      <c r="J382">
        <v>1775504400</v>
      </c>
      <c r="K382" t="s">
        <v>0</v>
      </c>
      <c r="L382" t="s">
        <v>2</v>
      </c>
      <c r="M382">
        <v>4651.8599999999997</v>
      </c>
      <c r="N382">
        <v>4651.7039000000004</v>
      </c>
      <c r="O382">
        <v>4651.2133000000003</v>
      </c>
      <c r="P382">
        <v>4653.1696000000002</v>
      </c>
      <c r="Q382">
        <v>4649.8019400000003</v>
      </c>
    </row>
    <row r="383" spans="1:17" x14ac:dyDescent="0.55000000000000004">
      <c r="A383">
        <v>1772416800</v>
      </c>
      <c r="B383" t="s">
        <v>0</v>
      </c>
      <c r="C383" t="s">
        <v>1</v>
      </c>
      <c r="D383">
        <v>5366.3</v>
      </c>
      <c r="E383">
        <v>5361.1722300000001</v>
      </c>
      <c r="F383">
        <v>5351.14473</v>
      </c>
      <c r="G383">
        <v>5372.1408199999996</v>
      </c>
      <c r="H383">
        <v>5335.9038200000005</v>
      </c>
      <c r="J383">
        <v>1775504700</v>
      </c>
      <c r="K383" t="s">
        <v>0</v>
      </c>
      <c r="L383" t="s">
        <v>2</v>
      </c>
      <c r="M383">
        <v>4655.57</v>
      </c>
      <c r="N383">
        <v>4652.8321299999998</v>
      </c>
      <c r="O383">
        <v>4652.0227100000002</v>
      </c>
      <c r="P383">
        <v>4654.1382199999998</v>
      </c>
      <c r="Q383">
        <v>4650.6502700000001</v>
      </c>
    </row>
    <row r="384" spans="1:17" x14ac:dyDescent="0.55000000000000004">
      <c r="A384">
        <v>1772420400</v>
      </c>
      <c r="B384" t="s">
        <v>0</v>
      </c>
      <c r="C384" t="s">
        <v>1</v>
      </c>
      <c r="D384">
        <v>5355.9</v>
      </c>
      <c r="E384">
        <v>5369.2995199999996</v>
      </c>
      <c r="F384">
        <v>5360.2221300000001</v>
      </c>
      <c r="G384">
        <v>5377.7240400000001</v>
      </c>
      <c r="H384">
        <v>5347.10214</v>
      </c>
      <c r="J384">
        <v>1775505000</v>
      </c>
      <c r="K384" t="s">
        <v>0</v>
      </c>
      <c r="L384" t="s">
        <v>2</v>
      </c>
      <c r="M384">
        <v>4654.33</v>
      </c>
      <c r="N384">
        <v>4654.0720600000004</v>
      </c>
      <c r="O384">
        <v>4653.0473899999997</v>
      </c>
      <c r="P384">
        <v>4655.3504199999998</v>
      </c>
      <c r="Q384">
        <v>4651.7011499999999</v>
      </c>
    </row>
    <row r="385" spans="1:17" x14ac:dyDescent="0.55000000000000004">
      <c r="A385">
        <v>1772424000</v>
      </c>
      <c r="B385" t="s">
        <v>0</v>
      </c>
      <c r="C385" t="s">
        <v>1</v>
      </c>
      <c r="D385">
        <v>5366.23</v>
      </c>
      <c r="E385">
        <v>5377.6697000000004</v>
      </c>
      <c r="F385">
        <v>5368.9459100000004</v>
      </c>
      <c r="G385">
        <v>5383.6172800000004</v>
      </c>
      <c r="H385">
        <v>5358.5520500000002</v>
      </c>
      <c r="J385">
        <v>1775505300</v>
      </c>
      <c r="K385" t="s">
        <v>0</v>
      </c>
      <c r="L385" t="s">
        <v>2</v>
      </c>
      <c r="M385">
        <v>4655.6000000000004</v>
      </c>
      <c r="N385">
        <v>4655.2972399999999</v>
      </c>
      <c r="O385">
        <v>4654.1723099999999</v>
      </c>
      <c r="P385">
        <v>4656.6181200000001</v>
      </c>
      <c r="Q385">
        <v>4652.8223600000001</v>
      </c>
    </row>
    <row r="386" spans="1:17" x14ac:dyDescent="0.55000000000000004">
      <c r="A386">
        <v>1772427600</v>
      </c>
      <c r="B386" t="s">
        <v>0</v>
      </c>
      <c r="C386" t="s">
        <v>1</v>
      </c>
      <c r="D386">
        <v>5387.56</v>
      </c>
      <c r="E386">
        <v>5385.8137100000004</v>
      </c>
      <c r="F386">
        <v>5377.3798100000004</v>
      </c>
      <c r="G386">
        <v>5390.6276799999996</v>
      </c>
      <c r="H386">
        <v>5369.9259400000001</v>
      </c>
      <c r="J386">
        <v>1775505600</v>
      </c>
      <c r="K386" t="s">
        <v>0</v>
      </c>
      <c r="L386" t="s">
        <v>2</v>
      </c>
      <c r="M386">
        <v>4655.42</v>
      </c>
      <c r="N386">
        <v>4656.2939100000003</v>
      </c>
      <c r="O386">
        <v>4655.2331100000001</v>
      </c>
      <c r="P386">
        <v>4657.6973200000002</v>
      </c>
      <c r="Q386">
        <v>4653.89066</v>
      </c>
    </row>
    <row r="387" spans="1:17" x14ac:dyDescent="0.55000000000000004">
      <c r="A387">
        <v>1772431200</v>
      </c>
      <c r="B387" t="s">
        <v>0</v>
      </c>
      <c r="C387" t="s">
        <v>1</v>
      </c>
      <c r="D387">
        <v>5408.31</v>
      </c>
      <c r="E387">
        <v>5392.7159700000002</v>
      </c>
      <c r="F387">
        <v>5385.0478899999998</v>
      </c>
      <c r="G387">
        <v>5398.1695499999996</v>
      </c>
      <c r="H387">
        <v>5379.7078499999998</v>
      </c>
      <c r="J387">
        <v>1775505900</v>
      </c>
      <c r="K387" t="s">
        <v>0</v>
      </c>
      <c r="L387" t="s">
        <v>2</v>
      </c>
      <c r="M387">
        <v>4653.21</v>
      </c>
      <c r="N387">
        <v>4656.8952099999997</v>
      </c>
      <c r="O387">
        <v>4656.0641599999999</v>
      </c>
      <c r="P387">
        <v>4658.4143999999997</v>
      </c>
      <c r="Q387">
        <v>4654.78755</v>
      </c>
    </row>
    <row r="388" spans="1:17" x14ac:dyDescent="0.55000000000000004">
      <c r="A388">
        <v>1772434800</v>
      </c>
      <c r="B388" t="s">
        <v>0</v>
      </c>
      <c r="C388" t="s">
        <v>1</v>
      </c>
      <c r="D388">
        <v>5394.08</v>
      </c>
      <c r="E388">
        <v>5397.1629199999998</v>
      </c>
      <c r="F388">
        <v>5391.1054000000004</v>
      </c>
      <c r="G388">
        <v>5404.8492699999997</v>
      </c>
      <c r="H388">
        <v>5386.2835400000004</v>
      </c>
      <c r="J388">
        <v>1775506200</v>
      </c>
      <c r="K388" t="s">
        <v>0</v>
      </c>
      <c r="L388" t="s">
        <v>2</v>
      </c>
      <c r="M388">
        <v>4657.2299999999996</v>
      </c>
      <c r="N388">
        <v>4657.0463300000001</v>
      </c>
      <c r="O388">
        <v>4656.5552399999997</v>
      </c>
      <c r="P388">
        <v>4658.6725299999998</v>
      </c>
      <c r="Q388">
        <v>4655.3781799999997</v>
      </c>
    </row>
    <row r="389" spans="1:17" x14ac:dyDescent="0.55000000000000004">
      <c r="A389">
        <v>1772438400</v>
      </c>
      <c r="B389" t="s">
        <v>0</v>
      </c>
      <c r="C389" t="s">
        <v>1</v>
      </c>
      <c r="D389">
        <v>5391.99</v>
      </c>
      <c r="E389">
        <v>5398.4083899999996</v>
      </c>
      <c r="F389">
        <v>5394.7569000000003</v>
      </c>
      <c r="G389">
        <v>5409.6509100000003</v>
      </c>
      <c r="H389">
        <v>5388.3595699999996</v>
      </c>
      <c r="J389">
        <v>1775506500</v>
      </c>
      <c r="K389" t="s">
        <v>0</v>
      </c>
      <c r="L389" t="s">
        <v>2</v>
      </c>
      <c r="M389">
        <v>4656.78</v>
      </c>
      <c r="N389">
        <v>4656.6307399999996</v>
      </c>
      <c r="O389">
        <v>4656.5929900000001</v>
      </c>
      <c r="P389">
        <v>4658.3759899999995</v>
      </c>
      <c r="Q389">
        <v>4655.5305099999996</v>
      </c>
    </row>
    <row r="390" spans="1:17" x14ac:dyDescent="0.55000000000000004">
      <c r="A390">
        <v>1772442000</v>
      </c>
      <c r="B390" t="s">
        <v>0</v>
      </c>
      <c r="C390" t="s">
        <v>1</v>
      </c>
      <c r="D390">
        <v>5389.45</v>
      </c>
      <c r="E390">
        <v>5395.6433299999999</v>
      </c>
      <c r="F390">
        <v>5395.2001099999998</v>
      </c>
      <c r="G390">
        <v>5411.4568399999998</v>
      </c>
      <c r="H390">
        <v>5385.0781999999999</v>
      </c>
      <c r="J390">
        <v>1775506800</v>
      </c>
      <c r="K390" t="s">
        <v>0</v>
      </c>
      <c r="L390" t="s">
        <v>2</v>
      </c>
      <c r="M390">
        <v>4656.43</v>
      </c>
      <c r="N390">
        <v>4655.7565500000001</v>
      </c>
      <c r="O390">
        <v>4656.1747699999996</v>
      </c>
      <c r="P390">
        <v>4657.5968300000004</v>
      </c>
      <c r="Q390">
        <v>4655.1378400000003</v>
      </c>
    </row>
    <row r="391" spans="1:17" x14ac:dyDescent="0.55000000000000004">
      <c r="A391">
        <v>1772445600</v>
      </c>
      <c r="B391" t="s">
        <v>0</v>
      </c>
      <c r="C391" t="s">
        <v>1</v>
      </c>
      <c r="D391">
        <v>5385.31</v>
      </c>
      <c r="E391">
        <v>5388.58115</v>
      </c>
      <c r="F391">
        <v>5391.8906299999999</v>
      </c>
      <c r="G391">
        <v>5409.1014699999996</v>
      </c>
      <c r="H391">
        <v>5376.4238400000004</v>
      </c>
      <c r="J391">
        <v>1775507100</v>
      </c>
      <c r="K391" t="s">
        <v>0</v>
      </c>
      <c r="L391" t="s">
        <v>2</v>
      </c>
      <c r="M391">
        <v>4655.9799999999996</v>
      </c>
      <c r="N391">
        <v>4654.62889</v>
      </c>
      <c r="O391">
        <v>4655.4018299999998</v>
      </c>
      <c r="P391">
        <v>4656.53478</v>
      </c>
      <c r="Q391">
        <v>4654.2874700000002</v>
      </c>
    </row>
    <row r="392" spans="1:17" x14ac:dyDescent="0.55000000000000004">
      <c r="A392">
        <v>1772449200</v>
      </c>
      <c r="B392" t="s">
        <v>0</v>
      </c>
      <c r="C392" t="s">
        <v>1</v>
      </c>
      <c r="D392">
        <v>5397.38</v>
      </c>
      <c r="E392">
        <v>5377.3732900000005</v>
      </c>
      <c r="F392">
        <v>5384.6319599999997</v>
      </c>
      <c r="G392">
        <v>5401.8539600000004</v>
      </c>
      <c r="H392">
        <v>5362.97991</v>
      </c>
      <c r="J392">
        <v>1775507400</v>
      </c>
      <c r="K392" t="s">
        <v>0</v>
      </c>
      <c r="L392" t="s">
        <v>2</v>
      </c>
      <c r="M392">
        <v>4656.87</v>
      </c>
      <c r="N392">
        <v>4653.5383400000001</v>
      </c>
      <c r="O392">
        <v>4654.4700899999998</v>
      </c>
      <c r="P392">
        <v>4655.49982</v>
      </c>
      <c r="Q392">
        <v>4653.1485499999999</v>
      </c>
    </row>
    <row r="393" spans="1:17" x14ac:dyDescent="0.55000000000000004">
      <c r="A393">
        <v>1772452800</v>
      </c>
      <c r="B393" t="s">
        <v>0</v>
      </c>
      <c r="C393" t="s">
        <v>1</v>
      </c>
      <c r="D393">
        <v>5393.99</v>
      </c>
      <c r="E393">
        <v>5362.4651899999999</v>
      </c>
      <c r="F393">
        <v>5373.5485799999997</v>
      </c>
      <c r="G393">
        <v>5389.8505800000003</v>
      </c>
      <c r="H393">
        <v>5345.8916600000002</v>
      </c>
      <c r="J393">
        <v>1775507700</v>
      </c>
      <c r="K393" t="s">
        <v>0</v>
      </c>
      <c r="L393" t="s">
        <v>2</v>
      </c>
      <c r="M393">
        <v>4652.55</v>
      </c>
      <c r="N393">
        <v>4652.7583400000003</v>
      </c>
      <c r="O393">
        <v>4653.6142200000004</v>
      </c>
      <c r="P393">
        <v>4654.7878199999996</v>
      </c>
      <c r="Q393">
        <v>4651.9781899999998</v>
      </c>
    </row>
    <row r="394" spans="1:17" x14ac:dyDescent="0.55000000000000004">
      <c r="A394">
        <v>1772456400</v>
      </c>
      <c r="B394" t="s">
        <v>0</v>
      </c>
      <c r="C394" t="s">
        <v>1</v>
      </c>
      <c r="D394">
        <v>5333.34</v>
      </c>
      <c r="E394">
        <v>5345.4906700000001</v>
      </c>
      <c r="F394">
        <v>5359.51962</v>
      </c>
      <c r="G394">
        <v>5373.7478899999996</v>
      </c>
      <c r="H394">
        <v>5327.00828</v>
      </c>
      <c r="J394">
        <v>1775508000</v>
      </c>
      <c r="K394" t="s">
        <v>0</v>
      </c>
      <c r="L394" t="s">
        <v>2</v>
      </c>
      <c r="M394">
        <v>4653.28</v>
      </c>
      <c r="N394">
        <v>4652.6294200000002</v>
      </c>
      <c r="O394">
        <v>4653.1218200000003</v>
      </c>
      <c r="P394">
        <v>4654.6930700000003</v>
      </c>
      <c r="Q394">
        <v>4651.1508100000001</v>
      </c>
    </row>
    <row r="395" spans="1:17" x14ac:dyDescent="0.55000000000000004">
      <c r="A395">
        <v>1772460000</v>
      </c>
      <c r="B395" t="s">
        <v>0</v>
      </c>
      <c r="C395" t="s">
        <v>1</v>
      </c>
      <c r="D395">
        <v>5315.97</v>
      </c>
      <c r="E395">
        <v>5330.0475699999997</v>
      </c>
      <c r="F395">
        <v>5344.78359</v>
      </c>
      <c r="G395">
        <v>5356.1021099999998</v>
      </c>
      <c r="H395">
        <v>5310.58698</v>
      </c>
      <c r="J395">
        <v>1775508300</v>
      </c>
      <c r="K395" t="s">
        <v>0</v>
      </c>
      <c r="L395" t="s">
        <v>2</v>
      </c>
      <c r="M395">
        <v>4650.3900000000003</v>
      </c>
      <c r="N395">
        <v>4653.2496000000001</v>
      </c>
      <c r="O395">
        <v>4653.1857099999997</v>
      </c>
      <c r="P395">
        <v>4655.4048300000004</v>
      </c>
      <c r="Q395">
        <v>4650.9196499999998</v>
      </c>
    </row>
    <row r="396" spans="1:17" x14ac:dyDescent="0.55000000000000004">
      <c r="A396">
        <v>1772463600</v>
      </c>
      <c r="B396" t="s">
        <v>0</v>
      </c>
      <c r="C396" t="s">
        <v>1</v>
      </c>
      <c r="D396">
        <v>5290.11</v>
      </c>
      <c r="E396">
        <v>5318.2290800000001</v>
      </c>
      <c r="F396">
        <v>5331.5063399999999</v>
      </c>
      <c r="G396">
        <v>5340.4360699999997</v>
      </c>
      <c r="H396">
        <v>5298.3774700000004</v>
      </c>
      <c r="J396">
        <v>1775508600</v>
      </c>
      <c r="K396" t="s">
        <v>0</v>
      </c>
      <c r="L396" t="s">
        <v>2</v>
      </c>
      <c r="M396">
        <v>4652.0600000000004</v>
      </c>
      <c r="N396">
        <v>4654.6657100000002</v>
      </c>
      <c r="O396">
        <v>4653.9257100000004</v>
      </c>
      <c r="P396">
        <v>4656.9016799999999</v>
      </c>
      <c r="Q396">
        <v>4651.4384</v>
      </c>
    </row>
    <row r="397" spans="1:17" x14ac:dyDescent="0.55000000000000004">
      <c r="A397">
        <v>1772467200</v>
      </c>
      <c r="B397" t="s">
        <v>0</v>
      </c>
      <c r="C397" t="s">
        <v>1</v>
      </c>
      <c r="D397">
        <v>5306.85</v>
      </c>
      <c r="E397">
        <v>5311.8617999999997</v>
      </c>
      <c r="F397">
        <v>5321.6840700000002</v>
      </c>
      <c r="G397">
        <v>5329.6428299999998</v>
      </c>
      <c r="H397">
        <v>5292.7234500000004</v>
      </c>
      <c r="J397">
        <v>1775508900</v>
      </c>
      <c r="K397" t="s">
        <v>0</v>
      </c>
      <c r="L397" t="s">
        <v>2</v>
      </c>
      <c r="M397">
        <v>4650.67</v>
      </c>
      <c r="N397">
        <v>4656.67058</v>
      </c>
      <c r="O397">
        <v>4655.2981499999996</v>
      </c>
      <c r="P397">
        <v>4659.0718299999999</v>
      </c>
      <c r="Q397">
        <v>4652.7112999999999</v>
      </c>
    </row>
    <row r="398" spans="1:17" x14ac:dyDescent="0.55000000000000004">
      <c r="A398">
        <v>1772470800</v>
      </c>
      <c r="B398" t="s">
        <v>0</v>
      </c>
      <c r="C398" t="s">
        <v>1</v>
      </c>
      <c r="D398">
        <v>5315.59</v>
      </c>
      <c r="E398">
        <v>5310.7831399999995</v>
      </c>
      <c r="F398">
        <v>5316.2336100000002</v>
      </c>
      <c r="G398">
        <v>5324.8160500000004</v>
      </c>
      <c r="H398">
        <v>5292.99928</v>
      </c>
      <c r="J398">
        <v>1775512800</v>
      </c>
      <c r="K398" t="s">
        <v>0</v>
      </c>
      <c r="L398" t="s">
        <v>2</v>
      </c>
      <c r="M398">
        <v>4661.8</v>
      </c>
      <c r="N398">
        <v>4659.0190899999998</v>
      </c>
      <c r="O398">
        <v>4657.1586200000002</v>
      </c>
      <c r="P398">
        <v>4661.6051299999999</v>
      </c>
      <c r="Q398">
        <v>4654.5937999999996</v>
      </c>
    </row>
    <row r="399" spans="1:17" x14ac:dyDescent="0.55000000000000004">
      <c r="A399">
        <v>1772474400</v>
      </c>
      <c r="B399" t="s">
        <v>0</v>
      </c>
      <c r="C399" t="s">
        <v>1</v>
      </c>
      <c r="D399">
        <v>5330.5</v>
      </c>
      <c r="E399">
        <v>5314.3853499999996</v>
      </c>
      <c r="F399">
        <v>5315.3094799999999</v>
      </c>
      <c r="G399">
        <v>5326.2296900000001</v>
      </c>
      <c r="H399">
        <v>5298.4052099999999</v>
      </c>
      <c r="J399">
        <v>1775513100</v>
      </c>
      <c r="K399" t="s">
        <v>0</v>
      </c>
      <c r="L399" t="s">
        <v>2</v>
      </c>
      <c r="M399">
        <v>4667.33</v>
      </c>
      <c r="N399">
        <v>4661.1002900000003</v>
      </c>
      <c r="O399">
        <v>4659.1294500000004</v>
      </c>
      <c r="P399">
        <v>4663.7860499999997</v>
      </c>
      <c r="Q399">
        <v>4656.8014599999997</v>
      </c>
    </row>
    <row r="400" spans="1:17" x14ac:dyDescent="0.55000000000000004">
      <c r="A400">
        <v>1772478000</v>
      </c>
      <c r="B400" t="s">
        <v>0</v>
      </c>
      <c r="C400" t="s">
        <v>1</v>
      </c>
      <c r="D400">
        <v>5332.36</v>
      </c>
      <c r="E400">
        <v>5321.2764299999999</v>
      </c>
      <c r="F400">
        <v>5318.29295</v>
      </c>
      <c r="G400">
        <v>5332.5890799999997</v>
      </c>
      <c r="H400">
        <v>5307.0568999999996</v>
      </c>
      <c r="J400">
        <v>1775513400</v>
      </c>
      <c r="K400" t="s">
        <v>0</v>
      </c>
      <c r="L400" t="s">
        <v>2</v>
      </c>
      <c r="M400">
        <v>4663.66</v>
      </c>
      <c r="N400">
        <v>4662.5143399999997</v>
      </c>
      <c r="O400">
        <v>4660.8218900000002</v>
      </c>
      <c r="P400">
        <v>4665.2850600000002</v>
      </c>
      <c r="Q400">
        <v>4658.7492499999998</v>
      </c>
    </row>
    <row r="401" spans="1:17" x14ac:dyDescent="0.55000000000000004">
      <c r="A401">
        <v>1772481600</v>
      </c>
      <c r="B401" t="s">
        <v>0</v>
      </c>
      <c r="C401" t="s">
        <v>1</v>
      </c>
      <c r="D401">
        <v>5321.99</v>
      </c>
      <c r="E401">
        <v>5330.1356599999999</v>
      </c>
      <c r="F401">
        <v>5324.2143100000003</v>
      </c>
      <c r="G401">
        <v>5341.9041900000002</v>
      </c>
      <c r="H401">
        <v>5317.14959</v>
      </c>
      <c r="J401">
        <v>1775513700</v>
      </c>
      <c r="K401" t="s">
        <v>0</v>
      </c>
      <c r="L401" t="s">
        <v>2</v>
      </c>
      <c r="M401">
        <v>4664.7</v>
      </c>
      <c r="N401">
        <v>4663.2135399999997</v>
      </c>
      <c r="O401">
        <v>4662.0177199999998</v>
      </c>
      <c r="P401">
        <v>4665.9584299999997</v>
      </c>
      <c r="Q401">
        <v>4660.1241900000005</v>
      </c>
    </row>
    <row r="402" spans="1:17" x14ac:dyDescent="0.55000000000000004">
      <c r="A402">
        <v>1772488800</v>
      </c>
      <c r="B402" t="s">
        <v>0</v>
      </c>
      <c r="C402" t="s">
        <v>1</v>
      </c>
      <c r="D402">
        <v>5345.9</v>
      </c>
      <c r="E402">
        <v>5339.8781499999996</v>
      </c>
      <c r="F402">
        <v>5332.0462299999999</v>
      </c>
      <c r="G402">
        <v>5352.4502199999997</v>
      </c>
      <c r="H402">
        <v>5327.48351</v>
      </c>
      <c r="J402">
        <v>1775514000</v>
      </c>
      <c r="K402" t="s">
        <v>0</v>
      </c>
      <c r="L402" t="s">
        <v>2</v>
      </c>
      <c r="M402">
        <v>4660.88</v>
      </c>
      <c r="N402">
        <v>4663.1814299999996</v>
      </c>
      <c r="O402">
        <v>4662.5995800000001</v>
      </c>
      <c r="P402">
        <v>4665.8425900000002</v>
      </c>
      <c r="Q402">
        <v>4660.8329999999996</v>
      </c>
    </row>
    <row r="403" spans="1:17" x14ac:dyDescent="0.55000000000000004">
      <c r="A403">
        <v>1772492400</v>
      </c>
      <c r="B403" t="s">
        <v>0</v>
      </c>
      <c r="C403" t="s">
        <v>1</v>
      </c>
      <c r="D403">
        <v>5350.26</v>
      </c>
      <c r="E403">
        <v>5348.5006700000004</v>
      </c>
      <c r="F403">
        <v>5340.2734499999997</v>
      </c>
      <c r="G403">
        <v>5362.2190300000002</v>
      </c>
      <c r="H403">
        <v>5336.85653</v>
      </c>
      <c r="J403">
        <v>1775514300</v>
      </c>
      <c r="K403" t="s">
        <v>0</v>
      </c>
      <c r="L403" t="s">
        <v>2</v>
      </c>
      <c r="M403">
        <v>4662.25</v>
      </c>
      <c r="N403">
        <v>4662.6431599999996</v>
      </c>
      <c r="O403">
        <v>4662.6213699999998</v>
      </c>
      <c r="P403">
        <v>4665.0964199999999</v>
      </c>
      <c r="Q403">
        <v>4660.94085</v>
      </c>
    </row>
    <row r="404" spans="1:17" x14ac:dyDescent="0.55000000000000004">
      <c r="A404">
        <v>1772496000</v>
      </c>
      <c r="B404" t="s">
        <v>0</v>
      </c>
      <c r="C404" t="s">
        <v>1</v>
      </c>
      <c r="D404">
        <v>5338.89</v>
      </c>
      <c r="E404">
        <v>5354.8414300000004</v>
      </c>
      <c r="F404">
        <v>5347.5574399999996</v>
      </c>
      <c r="G404">
        <v>5369.3643000000002</v>
      </c>
      <c r="H404">
        <v>5343.8546800000004</v>
      </c>
      <c r="J404">
        <v>1775514600</v>
      </c>
      <c r="K404" t="s">
        <v>0</v>
      </c>
      <c r="L404" t="s">
        <v>2</v>
      </c>
      <c r="M404">
        <v>4660.1099999999997</v>
      </c>
      <c r="N404">
        <v>4661.7600400000001</v>
      </c>
      <c r="O404">
        <v>4662.1907099999999</v>
      </c>
      <c r="P404">
        <v>4663.9898700000003</v>
      </c>
      <c r="Q404">
        <v>4660.5215200000002</v>
      </c>
    </row>
    <row r="405" spans="1:17" x14ac:dyDescent="0.55000000000000004">
      <c r="A405">
        <v>1772499600</v>
      </c>
      <c r="B405" t="s">
        <v>0</v>
      </c>
      <c r="C405" t="s">
        <v>1</v>
      </c>
      <c r="D405">
        <v>5366.24</v>
      </c>
      <c r="E405">
        <v>5358.4672499999997</v>
      </c>
      <c r="F405">
        <v>5353.0123400000002</v>
      </c>
      <c r="G405">
        <v>5372.6658100000004</v>
      </c>
      <c r="H405">
        <v>5347.5978599999999</v>
      </c>
      <c r="J405">
        <v>1775514900</v>
      </c>
      <c r="K405" t="s">
        <v>0</v>
      </c>
      <c r="L405" t="s">
        <v>2</v>
      </c>
      <c r="M405">
        <v>4660.41</v>
      </c>
      <c r="N405">
        <v>4660.7992999999997</v>
      </c>
      <c r="O405">
        <v>4661.4949999999999</v>
      </c>
      <c r="P405">
        <v>4662.7609899999998</v>
      </c>
      <c r="Q405">
        <v>4659.8108599999996</v>
      </c>
    </row>
    <row r="406" spans="1:17" x14ac:dyDescent="0.55000000000000004">
      <c r="A406">
        <v>1772503200</v>
      </c>
      <c r="B406" t="s">
        <v>0</v>
      </c>
      <c r="C406" t="s">
        <v>1</v>
      </c>
      <c r="D406">
        <v>5367.15</v>
      </c>
      <c r="E406">
        <v>5357.9779900000003</v>
      </c>
      <c r="F406">
        <v>5355.4951700000001</v>
      </c>
      <c r="G406">
        <v>5372.25828</v>
      </c>
      <c r="H406">
        <v>5347.4084199999998</v>
      </c>
      <c r="J406">
        <v>1775515200</v>
      </c>
      <c r="K406" t="s">
        <v>0</v>
      </c>
      <c r="L406" t="s">
        <v>2</v>
      </c>
      <c r="M406">
        <v>4659.13</v>
      </c>
      <c r="N406">
        <v>4659.96389</v>
      </c>
      <c r="O406">
        <v>4660.7294499999998</v>
      </c>
      <c r="P406">
        <v>4661.6581399999995</v>
      </c>
      <c r="Q406">
        <v>4659.0070900000001</v>
      </c>
    </row>
    <row r="407" spans="1:17" x14ac:dyDescent="0.55000000000000004">
      <c r="A407">
        <v>1772506800</v>
      </c>
      <c r="B407" t="s">
        <v>0</v>
      </c>
      <c r="C407" t="s">
        <v>1</v>
      </c>
      <c r="D407">
        <v>5360.84</v>
      </c>
      <c r="E407">
        <v>5352.9338900000002</v>
      </c>
      <c r="F407">
        <v>5354.2145300000002</v>
      </c>
      <c r="G407">
        <v>5368.2201599999999</v>
      </c>
      <c r="H407">
        <v>5341.7093599999998</v>
      </c>
      <c r="J407">
        <v>1775515500</v>
      </c>
      <c r="K407" t="s">
        <v>0</v>
      </c>
      <c r="L407" t="s">
        <v>2</v>
      </c>
      <c r="M407">
        <v>4660.99</v>
      </c>
      <c r="N407">
        <v>4659.38328</v>
      </c>
      <c r="O407">
        <v>4660.0563599999996</v>
      </c>
      <c r="P407">
        <v>4660.8632500000003</v>
      </c>
      <c r="Q407">
        <v>4658.2694700000002</v>
      </c>
    </row>
    <row r="408" spans="1:17" x14ac:dyDescent="0.55000000000000004">
      <c r="A408">
        <v>1772510400</v>
      </c>
      <c r="B408" t="s">
        <v>0</v>
      </c>
      <c r="C408" t="s">
        <v>1</v>
      </c>
      <c r="D408">
        <v>5319.21</v>
      </c>
      <c r="E408">
        <v>5343.2707</v>
      </c>
      <c r="F408">
        <v>5348.7426100000002</v>
      </c>
      <c r="G408">
        <v>5360.8514800000003</v>
      </c>
      <c r="H408">
        <v>5329.7806099999998</v>
      </c>
      <c r="J408">
        <v>1775515800</v>
      </c>
      <c r="K408" t="s">
        <v>0</v>
      </c>
      <c r="L408" t="s">
        <v>2</v>
      </c>
      <c r="M408">
        <v>4657.68</v>
      </c>
      <c r="N408">
        <v>4658.9925899999998</v>
      </c>
      <c r="O408">
        <v>4659.52448</v>
      </c>
      <c r="P408">
        <v>4660.3729000000003</v>
      </c>
      <c r="Q408">
        <v>4657.7040800000004</v>
      </c>
    </row>
    <row r="409" spans="1:17" x14ac:dyDescent="0.55000000000000004">
      <c r="A409">
        <v>1772514000</v>
      </c>
      <c r="B409" t="s">
        <v>0</v>
      </c>
      <c r="C409" t="s">
        <v>1</v>
      </c>
      <c r="D409">
        <v>5310.67</v>
      </c>
      <c r="E409">
        <v>5329.8635299999996</v>
      </c>
      <c r="F409">
        <v>5339.3030699999999</v>
      </c>
      <c r="G409">
        <v>5350.5776900000001</v>
      </c>
      <c r="H409">
        <v>5312.6048899999996</v>
      </c>
      <c r="J409">
        <v>1775516100</v>
      </c>
      <c r="K409" t="s">
        <v>0</v>
      </c>
      <c r="L409" t="s">
        <v>2</v>
      </c>
      <c r="M409">
        <v>4658.29</v>
      </c>
      <c r="N409">
        <v>4658.7952100000002</v>
      </c>
      <c r="O409">
        <v>4659.1598400000003</v>
      </c>
      <c r="P409">
        <v>4660.1166199999998</v>
      </c>
      <c r="Q409">
        <v>4657.3250600000001</v>
      </c>
    </row>
    <row r="410" spans="1:17" x14ac:dyDescent="0.55000000000000004">
      <c r="A410">
        <v>1772517600</v>
      </c>
      <c r="B410" t="s">
        <v>0</v>
      </c>
      <c r="C410" t="s">
        <v>1</v>
      </c>
      <c r="D410">
        <v>5327.76</v>
      </c>
      <c r="E410">
        <v>5312.2157399999996</v>
      </c>
      <c r="F410">
        <v>5325.7594099999997</v>
      </c>
      <c r="G410">
        <v>5338.2501199999997</v>
      </c>
      <c r="H410">
        <v>5290.2592599999998</v>
      </c>
      <c r="J410">
        <v>1775516400</v>
      </c>
      <c r="K410" t="s">
        <v>0</v>
      </c>
      <c r="L410" t="s">
        <v>2</v>
      </c>
      <c r="M410">
        <v>4659.3900000000003</v>
      </c>
      <c r="N410">
        <v>4658.6447900000003</v>
      </c>
      <c r="O410">
        <v>4658.9023200000001</v>
      </c>
      <c r="P410">
        <v>4660.03485</v>
      </c>
      <c r="Q410">
        <v>4657.0942599999998</v>
      </c>
    </row>
    <row r="411" spans="1:17" x14ac:dyDescent="0.55000000000000004">
      <c r="A411">
        <v>1772521200</v>
      </c>
      <c r="B411" t="s">
        <v>0</v>
      </c>
      <c r="C411" t="s">
        <v>1</v>
      </c>
      <c r="D411">
        <v>5295.69</v>
      </c>
      <c r="E411">
        <v>5289.4238999999998</v>
      </c>
      <c r="F411">
        <v>5307.5916500000003</v>
      </c>
      <c r="G411">
        <v>5323.1635699999997</v>
      </c>
      <c r="H411">
        <v>5261.5726400000003</v>
      </c>
      <c r="J411">
        <v>1775516700</v>
      </c>
      <c r="K411" t="s">
        <v>0</v>
      </c>
      <c r="L411" t="s">
        <v>2</v>
      </c>
      <c r="M411">
        <v>4660.3</v>
      </c>
      <c r="N411">
        <v>4658.3919100000003</v>
      </c>
      <c r="O411">
        <v>4658.6471199999996</v>
      </c>
      <c r="P411">
        <v>4659.9218300000002</v>
      </c>
      <c r="Q411">
        <v>4656.91021</v>
      </c>
    </row>
    <row r="412" spans="1:17" x14ac:dyDescent="0.55000000000000004">
      <c r="A412">
        <v>1772524800</v>
      </c>
      <c r="B412" t="s">
        <v>0</v>
      </c>
      <c r="C412" t="s">
        <v>1</v>
      </c>
      <c r="D412">
        <v>5275.27</v>
      </c>
      <c r="E412">
        <v>5262.1804899999997</v>
      </c>
      <c r="F412">
        <v>5284.8860699999996</v>
      </c>
      <c r="G412">
        <v>5304.5373499999996</v>
      </c>
      <c r="H412">
        <v>5227.1836000000003</v>
      </c>
      <c r="J412">
        <v>1775517000</v>
      </c>
      <c r="K412" t="s">
        <v>0</v>
      </c>
      <c r="L412" t="s">
        <v>2</v>
      </c>
      <c r="M412">
        <v>4660.17</v>
      </c>
      <c r="N412">
        <v>4657.9663700000001</v>
      </c>
      <c r="O412">
        <v>4658.30674</v>
      </c>
      <c r="P412">
        <v>4659.6194800000003</v>
      </c>
      <c r="Q412">
        <v>4656.6643800000002</v>
      </c>
    </row>
    <row r="413" spans="1:17" x14ac:dyDescent="0.55000000000000004">
      <c r="A413">
        <v>1772528400</v>
      </c>
      <c r="B413" t="s">
        <v>0</v>
      </c>
      <c r="C413" t="s">
        <v>1</v>
      </c>
      <c r="D413">
        <v>5248.3</v>
      </c>
      <c r="E413">
        <v>5231.2836299999999</v>
      </c>
      <c r="F413">
        <v>5258.0848500000002</v>
      </c>
      <c r="G413">
        <v>5282.51055</v>
      </c>
      <c r="H413">
        <v>5189.7221600000003</v>
      </c>
      <c r="J413">
        <v>1775517300</v>
      </c>
      <c r="K413" t="s">
        <v>0</v>
      </c>
      <c r="L413" t="s">
        <v>2</v>
      </c>
      <c r="M413">
        <v>4658.43</v>
      </c>
      <c r="N413">
        <v>4657.36301</v>
      </c>
      <c r="O413">
        <v>4657.8348699999997</v>
      </c>
      <c r="P413">
        <v>4659.1038200000003</v>
      </c>
      <c r="Q413">
        <v>4656.2752700000001</v>
      </c>
    </row>
    <row r="414" spans="1:17" x14ac:dyDescent="0.55000000000000004">
      <c r="A414">
        <v>1772532000</v>
      </c>
      <c r="B414" t="s">
        <v>0</v>
      </c>
      <c r="C414" t="s">
        <v>1</v>
      </c>
      <c r="D414">
        <v>5144.95</v>
      </c>
      <c r="E414">
        <v>5198.3725599999998</v>
      </c>
      <c r="F414">
        <v>5228.2287100000003</v>
      </c>
      <c r="G414">
        <v>5257.1333100000002</v>
      </c>
      <c r="H414">
        <v>5150.5484699999997</v>
      </c>
      <c r="J414">
        <v>1775517600</v>
      </c>
      <c r="K414" t="s">
        <v>0</v>
      </c>
      <c r="L414" t="s">
        <v>2</v>
      </c>
      <c r="M414">
        <v>4653.78</v>
      </c>
      <c r="N414">
        <v>4656.6836199999998</v>
      </c>
      <c r="O414">
        <v>4657.2592500000001</v>
      </c>
      <c r="P414">
        <v>4658.4009100000003</v>
      </c>
      <c r="Q414">
        <v>4655.74125</v>
      </c>
    </row>
    <row r="415" spans="1:17" x14ac:dyDescent="0.55000000000000004">
      <c r="A415">
        <v>1772535600</v>
      </c>
      <c r="B415" t="s">
        <v>0</v>
      </c>
      <c r="C415" t="s">
        <v>1</v>
      </c>
      <c r="D415">
        <v>5224.79</v>
      </c>
      <c r="E415">
        <v>5167.66986</v>
      </c>
      <c r="F415">
        <v>5197.9492799999998</v>
      </c>
      <c r="G415">
        <v>5229.2544200000002</v>
      </c>
      <c r="H415">
        <v>5116.2077600000002</v>
      </c>
      <c r="J415">
        <v>1775517900</v>
      </c>
      <c r="K415" t="s">
        <v>0</v>
      </c>
      <c r="L415" t="s">
        <v>2</v>
      </c>
      <c r="M415">
        <v>4654.49</v>
      </c>
      <c r="N415">
        <v>4656.1345799999999</v>
      </c>
      <c r="O415">
        <v>4656.6969099999997</v>
      </c>
      <c r="P415">
        <v>4657.6696300000003</v>
      </c>
      <c r="Q415">
        <v>4655.1777599999996</v>
      </c>
    </row>
    <row r="416" spans="1:17" x14ac:dyDescent="0.55000000000000004">
      <c r="A416">
        <v>1772539200</v>
      </c>
      <c r="B416" t="s">
        <v>0</v>
      </c>
      <c r="C416" t="s">
        <v>1</v>
      </c>
      <c r="D416">
        <v>5156.8599999999997</v>
      </c>
      <c r="E416">
        <v>5138.3091100000001</v>
      </c>
      <c r="F416">
        <v>5168.1292000000003</v>
      </c>
      <c r="G416">
        <v>5200.6758200000004</v>
      </c>
      <c r="H416">
        <v>5086.7980500000003</v>
      </c>
      <c r="J416">
        <v>1775518200</v>
      </c>
      <c r="K416" t="s">
        <v>0</v>
      </c>
      <c r="L416" t="s">
        <v>2</v>
      </c>
      <c r="M416">
        <v>4653.93</v>
      </c>
      <c r="N416">
        <v>4655.7560400000002</v>
      </c>
      <c r="O416">
        <v>4656.2264800000003</v>
      </c>
      <c r="P416">
        <v>4657.1056699999999</v>
      </c>
      <c r="Q416">
        <v>4654.5855000000001</v>
      </c>
    </row>
    <row r="417" spans="1:17" x14ac:dyDescent="0.55000000000000004">
      <c r="A417">
        <v>1772542800</v>
      </c>
      <c r="B417" t="s">
        <v>0</v>
      </c>
      <c r="C417" t="s">
        <v>1</v>
      </c>
      <c r="D417">
        <v>5037.68</v>
      </c>
      <c r="E417">
        <v>5113.6467000000002</v>
      </c>
      <c r="F417">
        <v>5140.8879500000003</v>
      </c>
      <c r="G417">
        <v>5172.7705999999998</v>
      </c>
      <c r="H417">
        <v>5064.0281299999997</v>
      </c>
      <c r="J417">
        <v>1775518500</v>
      </c>
      <c r="K417" t="s">
        <v>0</v>
      </c>
      <c r="L417" t="s">
        <v>2</v>
      </c>
      <c r="M417">
        <v>4655.13</v>
      </c>
      <c r="N417">
        <v>4655.5821599999999</v>
      </c>
      <c r="O417">
        <v>4655.9043199999996</v>
      </c>
      <c r="P417">
        <v>4656.7937099999999</v>
      </c>
      <c r="Q417">
        <v>4653.9447899999996</v>
      </c>
    </row>
    <row r="418" spans="1:17" x14ac:dyDescent="0.55000000000000004">
      <c r="A418">
        <v>1772546400</v>
      </c>
      <c r="B418" t="s">
        <v>0</v>
      </c>
      <c r="C418" t="s">
        <v>1</v>
      </c>
      <c r="D418">
        <v>5095.58</v>
      </c>
      <c r="E418">
        <v>5098.0918199999996</v>
      </c>
      <c r="F418">
        <v>5119.4898800000001</v>
      </c>
      <c r="G418">
        <v>5148.3900800000001</v>
      </c>
      <c r="H418">
        <v>5051.7368900000001</v>
      </c>
      <c r="J418">
        <v>1775518800</v>
      </c>
      <c r="K418" t="s">
        <v>0</v>
      </c>
      <c r="L418" t="s">
        <v>2</v>
      </c>
      <c r="M418">
        <v>4655.38</v>
      </c>
      <c r="N418">
        <v>4655.57521</v>
      </c>
      <c r="O418">
        <v>4655.7397600000004</v>
      </c>
      <c r="P418">
        <v>4656.7661699999999</v>
      </c>
      <c r="Q418">
        <v>4653.3311700000004</v>
      </c>
    </row>
    <row r="419" spans="1:17" x14ac:dyDescent="0.55000000000000004">
      <c r="A419">
        <v>1772550000</v>
      </c>
      <c r="B419" t="s">
        <v>0</v>
      </c>
      <c r="C419" t="s">
        <v>1</v>
      </c>
      <c r="D419">
        <v>5106.79</v>
      </c>
      <c r="E419">
        <v>5090.1457</v>
      </c>
      <c r="F419">
        <v>5104.8177900000001</v>
      </c>
      <c r="G419">
        <v>5130.9602400000003</v>
      </c>
      <c r="H419">
        <v>5050.0640400000002</v>
      </c>
      <c r="J419">
        <v>1775519100</v>
      </c>
      <c r="K419" t="s">
        <v>0</v>
      </c>
      <c r="L419" t="s">
        <v>2</v>
      </c>
      <c r="M419">
        <v>4656.54</v>
      </c>
      <c r="N419">
        <v>4655.7082499999997</v>
      </c>
      <c r="O419">
        <v>4655.7240099999999</v>
      </c>
      <c r="P419">
        <v>4656.9847200000004</v>
      </c>
      <c r="Q419">
        <v>4652.7690000000002</v>
      </c>
    </row>
    <row r="420" spans="1:17" x14ac:dyDescent="0.55000000000000004">
      <c r="A420">
        <v>1772553600</v>
      </c>
      <c r="B420" t="s">
        <v>0</v>
      </c>
      <c r="C420" t="s">
        <v>1</v>
      </c>
      <c r="D420">
        <v>5079.4399999999996</v>
      </c>
      <c r="E420">
        <v>5088.7257900000004</v>
      </c>
      <c r="F420">
        <v>5096.7717899999998</v>
      </c>
      <c r="G420">
        <v>5120.3087699999996</v>
      </c>
      <c r="H420">
        <v>5054.8467199999996</v>
      </c>
      <c r="J420">
        <v>1775519400</v>
      </c>
      <c r="K420" t="s">
        <v>0</v>
      </c>
      <c r="L420" t="s">
        <v>2</v>
      </c>
      <c r="M420">
        <v>4659.8</v>
      </c>
      <c r="N420">
        <v>4655.9291800000001</v>
      </c>
      <c r="O420">
        <v>4655.8265899999997</v>
      </c>
      <c r="P420">
        <v>4657.3849499999997</v>
      </c>
      <c r="Q420">
        <v>4652.31113</v>
      </c>
    </row>
    <row r="421" spans="1:17" x14ac:dyDescent="0.55000000000000004">
      <c r="A421">
        <v>1772557200</v>
      </c>
      <c r="B421" t="s">
        <v>0</v>
      </c>
      <c r="C421" t="s">
        <v>1</v>
      </c>
      <c r="D421">
        <v>5136.08</v>
      </c>
      <c r="E421">
        <v>5093.3304399999997</v>
      </c>
      <c r="F421">
        <v>5095.0511200000001</v>
      </c>
      <c r="G421">
        <v>5117.0051999999996</v>
      </c>
      <c r="H421">
        <v>5064.6365299999998</v>
      </c>
      <c r="J421">
        <v>1775519700</v>
      </c>
      <c r="K421" t="s">
        <v>0</v>
      </c>
      <c r="L421" t="s">
        <v>2</v>
      </c>
      <c r="M421">
        <v>4658.88</v>
      </c>
      <c r="N421">
        <v>4656.1626999999999</v>
      </c>
      <c r="O421">
        <v>4655.9946499999996</v>
      </c>
      <c r="P421">
        <v>4657.8641600000001</v>
      </c>
      <c r="Q421">
        <v>4652.0821599999999</v>
      </c>
    </row>
    <row r="422" spans="1:17" x14ac:dyDescent="0.55000000000000004">
      <c r="A422">
        <v>1772560800</v>
      </c>
      <c r="B422" t="s">
        <v>0</v>
      </c>
      <c r="C422" t="s">
        <v>1</v>
      </c>
      <c r="D422">
        <v>5113.17</v>
      </c>
      <c r="E422">
        <v>5100.7720399999998</v>
      </c>
      <c r="F422">
        <v>5097.91158</v>
      </c>
      <c r="G422">
        <v>5119.4534199999998</v>
      </c>
      <c r="H422">
        <v>5076.8374800000001</v>
      </c>
      <c r="J422">
        <v>1775520000</v>
      </c>
      <c r="K422" t="s">
        <v>0</v>
      </c>
      <c r="L422" t="s">
        <v>2</v>
      </c>
      <c r="M422">
        <v>4654.95</v>
      </c>
      <c r="N422">
        <v>4656.4670699999997</v>
      </c>
      <c r="O422">
        <v>4656.2308599999997</v>
      </c>
      <c r="P422">
        <v>4658.3867200000004</v>
      </c>
      <c r="Q422">
        <v>4652.1872000000003</v>
      </c>
    </row>
    <row r="423" spans="1:17" x14ac:dyDescent="0.55000000000000004">
      <c r="A423">
        <v>1772564400</v>
      </c>
      <c r="B423" t="s">
        <v>0</v>
      </c>
      <c r="C423" t="s">
        <v>1</v>
      </c>
      <c r="D423">
        <v>5097.1000000000004</v>
      </c>
      <c r="E423">
        <v>5110.1917999999996</v>
      </c>
      <c r="F423">
        <v>5104.0516900000002</v>
      </c>
      <c r="G423">
        <v>5125.9247800000003</v>
      </c>
      <c r="H423">
        <v>5089.0895899999996</v>
      </c>
      <c r="J423">
        <v>1775520300</v>
      </c>
      <c r="K423" t="s">
        <v>0</v>
      </c>
      <c r="L423" t="s">
        <v>2</v>
      </c>
      <c r="M423">
        <v>4653.8</v>
      </c>
      <c r="N423">
        <v>4656.9921100000001</v>
      </c>
      <c r="O423">
        <v>4656.6114799999996</v>
      </c>
      <c r="P423">
        <v>4658.96443</v>
      </c>
      <c r="Q423">
        <v>4652.9569300000003</v>
      </c>
    </row>
    <row r="424" spans="1:17" x14ac:dyDescent="0.55000000000000004">
      <c r="A424">
        <v>1772568000</v>
      </c>
      <c r="B424" t="s">
        <v>0</v>
      </c>
      <c r="C424" t="s">
        <v>1</v>
      </c>
      <c r="D424">
        <v>5088.3599999999997</v>
      </c>
      <c r="E424">
        <v>5120.8555900000001</v>
      </c>
      <c r="F424">
        <v>5112.4536399999997</v>
      </c>
      <c r="G424">
        <v>5135.1495400000003</v>
      </c>
      <c r="H424">
        <v>5100.6072299999996</v>
      </c>
      <c r="J424">
        <v>1775520600</v>
      </c>
      <c r="K424" t="s">
        <v>0</v>
      </c>
      <c r="L424" t="s">
        <v>2</v>
      </c>
      <c r="M424">
        <v>4657.66</v>
      </c>
      <c r="N424">
        <v>4657.78586</v>
      </c>
      <c r="O424">
        <v>4657.1986699999998</v>
      </c>
      <c r="P424">
        <v>4659.6688100000001</v>
      </c>
      <c r="Q424">
        <v>4654.3656199999996</v>
      </c>
    </row>
    <row r="425" spans="1:17" x14ac:dyDescent="0.55000000000000004">
      <c r="A425">
        <v>1772575200</v>
      </c>
      <c r="B425" t="s">
        <v>0</v>
      </c>
      <c r="C425" t="s">
        <v>1</v>
      </c>
      <c r="D425">
        <v>5125.37</v>
      </c>
      <c r="E425">
        <v>5132.1685500000003</v>
      </c>
      <c r="F425">
        <v>5122.3110900000001</v>
      </c>
      <c r="G425">
        <v>5145.9473399999997</v>
      </c>
      <c r="H425">
        <v>5111.0355799999998</v>
      </c>
      <c r="J425">
        <v>1775520900</v>
      </c>
      <c r="K425" t="s">
        <v>0</v>
      </c>
      <c r="L425" t="s">
        <v>2</v>
      </c>
      <c r="M425">
        <v>4658.59</v>
      </c>
      <c r="N425">
        <v>4658.6952600000004</v>
      </c>
      <c r="O425">
        <v>4657.9469600000002</v>
      </c>
      <c r="P425">
        <v>4660.3547500000004</v>
      </c>
      <c r="Q425">
        <v>4656.1934700000002</v>
      </c>
    </row>
    <row r="426" spans="1:17" x14ac:dyDescent="0.55000000000000004">
      <c r="A426">
        <v>1772578800</v>
      </c>
      <c r="B426" t="s">
        <v>0</v>
      </c>
      <c r="C426" t="s">
        <v>1</v>
      </c>
      <c r="D426">
        <v>5138.7700000000004</v>
      </c>
      <c r="E426">
        <v>5142.3145699999995</v>
      </c>
      <c r="F426">
        <v>5132.3128299999998</v>
      </c>
      <c r="G426">
        <v>5156.3441000000003</v>
      </c>
      <c r="H426">
        <v>5120.2673400000003</v>
      </c>
      <c r="J426">
        <v>1775521200</v>
      </c>
      <c r="K426" t="s">
        <v>0</v>
      </c>
      <c r="L426" t="s">
        <v>2</v>
      </c>
      <c r="M426">
        <v>4659.26</v>
      </c>
      <c r="N426">
        <v>4659.5822799999996</v>
      </c>
      <c r="O426">
        <v>4658.7646199999999</v>
      </c>
      <c r="P426">
        <v>4660.9479099999999</v>
      </c>
      <c r="Q426">
        <v>4657.9968399999998</v>
      </c>
    </row>
    <row r="427" spans="1:17" x14ac:dyDescent="0.55000000000000004">
      <c r="A427">
        <v>1772582400</v>
      </c>
      <c r="B427" t="s">
        <v>0</v>
      </c>
      <c r="C427" t="s">
        <v>1</v>
      </c>
      <c r="D427">
        <v>5174.95</v>
      </c>
      <c r="E427">
        <v>5150.5840799999996</v>
      </c>
      <c r="F427">
        <v>5141.4484499999999</v>
      </c>
      <c r="G427">
        <v>5164.9869200000003</v>
      </c>
      <c r="H427">
        <v>5127.9158699999998</v>
      </c>
      <c r="J427">
        <v>1775521500</v>
      </c>
      <c r="K427" t="s">
        <v>0</v>
      </c>
      <c r="L427" t="s">
        <v>2</v>
      </c>
      <c r="M427">
        <v>4659.25</v>
      </c>
      <c r="N427">
        <v>4660.2746299999999</v>
      </c>
      <c r="O427">
        <v>4659.51962</v>
      </c>
      <c r="P427">
        <v>4661.4212699999998</v>
      </c>
      <c r="Q427">
        <v>4659.38382</v>
      </c>
    </row>
    <row r="428" spans="1:17" x14ac:dyDescent="0.55000000000000004">
      <c r="A428">
        <v>1772586000</v>
      </c>
      <c r="B428" t="s">
        <v>0</v>
      </c>
      <c r="C428" t="s">
        <v>1</v>
      </c>
      <c r="D428">
        <v>5156.41</v>
      </c>
      <c r="E428">
        <v>5156.0198700000001</v>
      </c>
      <c r="F428">
        <v>5148.73416</v>
      </c>
      <c r="G428">
        <v>5170.4502499999999</v>
      </c>
      <c r="H428">
        <v>5133.48459</v>
      </c>
      <c r="J428">
        <v>1775521800</v>
      </c>
      <c r="K428" t="s">
        <v>0</v>
      </c>
      <c r="L428" t="s">
        <v>2</v>
      </c>
      <c r="M428">
        <v>4660.8900000000003</v>
      </c>
      <c r="N428">
        <v>4660.6069500000003</v>
      </c>
      <c r="O428">
        <v>4660.0632900000001</v>
      </c>
      <c r="P428">
        <v>4661.6824200000001</v>
      </c>
      <c r="Q428">
        <v>4659.90535</v>
      </c>
    </row>
    <row r="429" spans="1:17" x14ac:dyDescent="0.55000000000000004">
      <c r="A429">
        <v>1772589600</v>
      </c>
      <c r="B429" t="s">
        <v>0</v>
      </c>
      <c r="C429" t="s">
        <v>1</v>
      </c>
      <c r="D429">
        <v>5174.33</v>
      </c>
      <c r="E429">
        <v>5159.7117900000003</v>
      </c>
      <c r="F429">
        <v>5154.2229699999998</v>
      </c>
      <c r="G429">
        <v>5172.7687599999999</v>
      </c>
      <c r="H429">
        <v>5137.2824000000001</v>
      </c>
      <c r="J429">
        <v>1775522100</v>
      </c>
      <c r="K429" t="s">
        <v>0</v>
      </c>
      <c r="L429" t="s">
        <v>2</v>
      </c>
      <c r="M429">
        <v>4660.3999999999996</v>
      </c>
      <c r="N429">
        <v>4660.3906399999996</v>
      </c>
      <c r="O429">
        <v>4660.22696</v>
      </c>
      <c r="P429">
        <v>4661.6199200000001</v>
      </c>
      <c r="Q429">
        <v>4659.2553600000001</v>
      </c>
    </row>
    <row r="430" spans="1:17" x14ac:dyDescent="0.55000000000000004">
      <c r="A430">
        <v>1772593200</v>
      </c>
      <c r="B430" t="s">
        <v>0</v>
      </c>
      <c r="C430" t="s">
        <v>1</v>
      </c>
      <c r="D430">
        <v>5156.8900000000003</v>
      </c>
      <c r="E430">
        <v>5162.0615799999996</v>
      </c>
      <c r="F430">
        <v>5158.14228</v>
      </c>
      <c r="G430">
        <v>5173.3563800000002</v>
      </c>
      <c r="H430">
        <v>5140.6172200000001</v>
      </c>
      <c r="J430">
        <v>1775522400</v>
      </c>
      <c r="K430" t="s">
        <v>0</v>
      </c>
      <c r="L430" t="s">
        <v>2</v>
      </c>
      <c r="M430">
        <v>4660.87</v>
      </c>
      <c r="N430">
        <v>4659.5775700000004</v>
      </c>
      <c r="O430">
        <v>4659.9022699999996</v>
      </c>
      <c r="P430">
        <v>4661.2052199999998</v>
      </c>
      <c r="Q430">
        <v>4657.2602200000001</v>
      </c>
    </row>
    <row r="431" spans="1:17" x14ac:dyDescent="0.55000000000000004">
      <c r="A431">
        <v>1772596800</v>
      </c>
      <c r="B431" t="s">
        <v>0</v>
      </c>
      <c r="C431" t="s">
        <v>1</v>
      </c>
      <c r="D431">
        <v>5159.84</v>
      </c>
      <c r="E431">
        <v>5164.54792</v>
      </c>
      <c r="F431">
        <v>5161.3450999999995</v>
      </c>
      <c r="G431">
        <v>5173.5295599999999</v>
      </c>
      <c r="H431">
        <v>5144.0910100000001</v>
      </c>
      <c r="J431">
        <v>1775522700</v>
      </c>
      <c r="K431" t="s">
        <v>0</v>
      </c>
      <c r="L431" t="s">
        <v>2</v>
      </c>
      <c r="M431">
        <v>4658.75</v>
      </c>
      <c r="N431">
        <v>4658.2193299999999</v>
      </c>
      <c r="O431">
        <v>4659.0608000000002</v>
      </c>
      <c r="P431">
        <v>4660.4739799999998</v>
      </c>
      <c r="Q431">
        <v>4654.0951299999997</v>
      </c>
    </row>
    <row r="432" spans="1:17" x14ac:dyDescent="0.55000000000000004">
      <c r="A432">
        <v>1772600400</v>
      </c>
      <c r="B432" t="s">
        <v>0</v>
      </c>
      <c r="C432" t="s">
        <v>1</v>
      </c>
      <c r="D432">
        <v>5160.47</v>
      </c>
      <c r="E432">
        <v>5167.7911299999996</v>
      </c>
      <c r="F432">
        <v>5164.5681100000002</v>
      </c>
      <c r="G432">
        <v>5174.9377800000002</v>
      </c>
      <c r="H432">
        <v>5148.3465800000004</v>
      </c>
      <c r="J432">
        <v>1775523000</v>
      </c>
      <c r="K432" t="s">
        <v>0</v>
      </c>
      <c r="L432" t="s">
        <v>2</v>
      </c>
      <c r="M432">
        <v>4657.4799999999996</v>
      </c>
      <c r="N432">
        <v>4656.5333700000001</v>
      </c>
      <c r="O432">
        <v>4657.7970800000003</v>
      </c>
      <c r="P432">
        <v>4659.5262700000003</v>
      </c>
      <c r="Q432">
        <v>4650.1778000000004</v>
      </c>
    </row>
    <row r="433" spans="1:17" x14ac:dyDescent="0.55000000000000004">
      <c r="A433">
        <v>1772604000</v>
      </c>
      <c r="B433" t="s">
        <v>0</v>
      </c>
      <c r="C433" t="s">
        <v>1</v>
      </c>
      <c r="D433">
        <v>5168.45</v>
      </c>
      <c r="E433">
        <v>5171.9449500000001</v>
      </c>
      <c r="F433">
        <v>5168.2565299999997</v>
      </c>
      <c r="G433">
        <v>5178.5717100000002</v>
      </c>
      <c r="H433">
        <v>5154.4718000000003</v>
      </c>
      <c r="J433">
        <v>1775523300</v>
      </c>
      <c r="K433" t="s">
        <v>0</v>
      </c>
      <c r="L433" t="s">
        <v>2</v>
      </c>
      <c r="M433">
        <v>4655.2</v>
      </c>
      <c r="N433">
        <v>4654.7712300000003</v>
      </c>
      <c r="O433">
        <v>4656.2841500000004</v>
      </c>
      <c r="P433">
        <v>4658.5642200000002</v>
      </c>
      <c r="Q433">
        <v>4646.1220000000003</v>
      </c>
    </row>
    <row r="434" spans="1:17" x14ac:dyDescent="0.55000000000000004">
      <c r="A434">
        <v>1772607600</v>
      </c>
      <c r="B434" t="s">
        <v>0</v>
      </c>
      <c r="C434" t="s">
        <v>1</v>
      </c>
      <c r="D434">
        <v>5167.79</v>
      </c>
      <c r="E434">
        <v>5176.3428299999996</v>
      </c>
      <c r="F434">
        <v>5172.2996800000001</v>
      </c>
      <c r="G434">
        <v>5184.0449900000003</v>
      </c>
      <c r="H434">
        <v>5160.8469100000002</v>
      </c>
      <c r="J434">
        <v>1775523600</v>
      </c>
      <c r="K434" t="s">
        <v>0</v>
      </c>
      <c r="L434" t="s">
        <v>2</v>
      </c>
      <c r="M434">
        <v>4661.29</v>
      </c>
      <c r="N434">
        <v>4653.1870900000004</v>
      </c>
      <c r="O434">
        <v>4654.7356200000004</v>
      </c>
      <c r="P434">
        <v>4657.78006</v>
      </c>
      <c r="Q434">
        <v>4642.5091899999998</v>
      </c>
    </row>
    <row r="435" spans="1:17" x14ac:dyDescent="0.55000000000000004">
      <c r="A435">
        <v>1772611200</v>
      </c>
      <c r="B435" t="s">
        <v>0</v>
      </c>
      <c r="C435" t="s">
        <v>1</v>
      </c>
      <c r="D435">
        <v>5182.25</v>
      </c>
      <c r="E435">
        <v>5180.0937299999996</v>
      </c>
      <c r="F435">
        <v>5176.1967000000004</v>
      </c>
      <c r="G435">
        <v>5190.3496299999997</v>
      </c>
      <c r="H435">
        <v>5166.6849300000003</v>
      </c>
      <c r="J435">
        <v>1775523900</v>
      </c>
      <c r="K435" t="s">
        <v>0</v>
      </c>
      <c r="L435" t="s">
        <v>2</v>
      </c>
      <c r="M435">
        <v>4644.51</v>
      </c>
      <c r="N435">
        <v>4651.7572300000002</v>
      </c>
      <c r="O435">
        <v>4653.2464300000001</v>
      </c>
      <c r="P435">
        <v>4657.1738599999999</v>
      </c>
      <c r="Q435">
        <v>4640.3879200000001</v>
      </c>
    </row>
    <row r="436" spans="1:17" x14ac:dyDescent="0.55000000000000004">
      <c r="A436">
        <v>1772614800</v>
      </c>
      <c r="B436" t="s">
        <v>0</v>
      </c>
      <c r="C436" t="s">
        <v>1</v>
      </c>
      <c r="D436">
        <v>5189.92</v>
      </c>
      <c r="E436">
        <v>5181.6475200000004</v>
      </c>
      <c r="F436">
        <v>5178.9221100000004</v>
      </c>
      <c r="G436">
        <v>5196.0423899999996</v>
      </c>
      <c r="H436">
        <v>5170.2868799999997</v>
      </c>
      <c r="J436">
        <v>1775524200</v>
      </c>
      <c r="K436" t="s">
        <v>0</v>
      </c>
      <c r="L436" t="s">
        <v>2</v>
      </c>
      <c r="M436">
        <v>4641.13</v>
      </c>
      <c r="N436">
        <v>4650.9205899999997</v>
      </c>
      <c r="O436">
        <v>4652.0835100000004</v>
      </c>
      <c r="P436">
        <v>4656.7174100000002</v>
      </c>
      <c r="Q436">
        <v>4639.5827399999998</v>
      </c>
    </row>
    <row r="437" spans="1:17" x14ac:dyDescent="0.55000000000000004">
      <c r="A437">
        <v>1772618400</v>
      </c>
      <c r="B437" t="s">
        <v>0</v>
      </c>
      <c r="C437" t="s">
        <v>1</v>
      </c>
      <c r="D437">
        <v>5192.2</v>
      </c>
      <c r="E437">
        <v>5179.9598400000004</v>
      </c>
      <c r="F437">
        <v>5179.4409800000003</v>
      </c>
      <c r="G437">
        <v>5199.1156899999996</v>
      </c>
      <c r="H437">
        <v>5169.9111400000002</v>
      </c>
      <c r="J437">
        <v>1775524500</v>
      </c>
      <c r="K437" t="s">
        <v>0</v>
      </c>
      <c r="L437" t="s">
        <v>2</v>
      </c>
      <c r="M437">
        <v>4651.33</v>
      </c>
      <c r="N437">
        <v>4650.5928400000003</v>
      </c>
      <c r="O437">
        <v>4651.33817</v>
      </c>
      <c r="P437">
        <v>4656.7620800000004</v>
      </c>
      <c r="Q437">
        <v>4640.0118700000003</v>
      </c>
    </row>
    <row r="438" spans="1:17" x14ac:dyDescent="0.55000000000000004">
      <c r="A438">
        <v>1772622000</v>
      </c>
      <c r="B438" t="s">
        <v>0</v>
      </c>
      <c r="C438" t="s">
        <v>1</v>
      </c>
      <c r="D438">
        <v>5171.13</v>
      </c>
      <c r="E438">
        <v>5174.7651800000003</v>
      </c>
      <c r="F438">
        <v>5177.1030799999999</v>
      </c>
      <c r="G438">
        <v>5198.3564800000004</v>
      </c>
      <c r="H438">
        <v>5164.97577</v>
      </c>
      <c r="J438">
        <v>1775524800</v>
      </c>
      <c r="K438" t="s">
        <v>0</v>
      </c>
      <c r="L438" t="s">
        <v>2</v>
      </c>
      <c r="M438">
        <v>4649.8999999999996</v>
      </c>
      <c r="N438">
        <v>4650.17796</v>
      </c>
      <c r="O438">
        <v>4650.7580699999999</v>
      </c>
      <c r="P438">
        <v>4656.8975499999997</v>
      </c>
      <c r="Q438">
        <v>4640.8892900000001</v>
      </c>
    </row>
    <row r="439" spans="1:17" x14ac:dyDescent="0.55000000000000004">
      <c r="A439">
        <v>1772625600</v>
      </c>
      <c r="B439" t="s">
        <v>0</v>
      </c>
      <c r="C439" t="s">
        <v>1</v>
      </c>
      <c r="D439">
        <v>5167.88</v>
      </c>
      <c r="E439">
        <v>5167.1938700000001</v>
      </c>
      <c r="F439">
        <v>5172.1484799999998</v>
      </c>
      <c r="G439">
        <v>5193.1285500000004</v>
      </c>
      <c r="H439">
        <v>5156.9295400000001</v>
      </c>
      <c r="J439">
        <v>1775525100</v>
      </c>
      <c r="K439" t="s">
        <v>0</v>
      </c>
      <c r="L439" t="s">
        <v>2</v>
      </c>
      <c r="M439">
        <v>4654.8599999999997</v>
      </c>
      <c r="N439">
        <v>4649.3176100000001</v>
      </c>
      <c r="O439">
        <v>4650.03784</v>
      </c>
      <c r="P439">
        <v>4656.58968</v>
      </c>
      <c r="Q439">
        <v>4641.2531099999997</v>
      </c>
    </row>
    <row r="440" spans="1:17" x14ac:dyDescent="0.55000000000000004">
      <c r="A440">
        <v>1772629200</v>
      </c>
      <c r="B440" t="s">
        <v>0</v>
      </c>
      <c r="C440" t="s">
        <v>1</v>
      </c>
      <c r="D440">
        <v>5147.21</v>
      </c>
      <c r="E440">
        <v>5158.2806300000002</v>
      </c>
      <c r="F440">
        <v>5165.2145499999997</v>
      </c>
      <c r="G440">
        <v>5184.0997699999998</v>
      </c>
      <c r="H440">
        <v>5146.5975799999997</v>
      </c>
      <c r="J440">
        <v>1775525400</v>
      </c>
      <c r="K440" t="s">
        <v>0</v>
      </c>
      <c r="L440" t="s">
        <v>2</v>
      </c>
      <c r="M440">
        <v>4657.66</v>
      </c>
      <c r="N440">
        <v>4647.53989</v>
      </c>
      <c r="O440">
        <v>4648.7888700000003</v>
      </c>
      <c r="P440">
        <v>4655.5137699999996</v>
      </c>
      <c r="Q440">
        <v>4640.5688200000004</v>
      </c>
    </row>
    <row r="441" spans="1:17" x14ac:dyDescent="0.55000000000000004">
      <c r="A441">
        <v>1772632800</v>
      </c>
      <c r="B441" t="s">
        <v>0</v>
      </c>
      <c r="C441" t="s">
        <v>1</v>
      </c>
      <c r="D441">
        <v>5151.3100000000004</v>
      </c>
      <c r="E441">
        <v>5149.77016</v>
      </c>
      <c r="F441">
        <v>5157.4923600000002</v>
      </c>
      <c r="G441">
        <v>5172.7494900000002</v>
      </c>
      <c r="H441">
        <v>5136.1944400000002</v>
      </c>
      <c r="J441">
        <v>1775525700</v>
      </c>
      <c r="K441" t="s">
        <v>0</v>
      </c>
      <c r="L441" t="s">
        <v>2</v>
      </c>
      <c r="M441">
        <v>4639.53</v>
      </c>
      <c r="N441">
        <v>4644.5977000000003</v>
      </c>
      <c r="O441">
        <v>4646.6932800000004</v>
      </c>
      <c r="P441">
        <v>4653.1985599999998</v>
      </c>
      <c r="Q441">
        <v>4638.3731600000001</v>
      </c>
    </row>
    <row r="442" spans="1:17" x14ac:dyDescent="0.55000000000000004">
      <c r="A442">
        <v>1772636400</v>
      </c>
      <c r="B442" t="s">
        <v>0</v>
      </c>
      <c r="C442" t="s">
        <v>1</v>
      </c>
      <c r="D442">
        <v>5149.6899999999996</v>
      </c>
      <c r="E442">
        <v>5142.7295800000002</v>
      </c>
      <c r="F442">
        <v>5150.1109699999997</v>
      </c>
      <c r="G442">
        <v>5161.2271099999998</v>
      </c>
      <c r="H442">
        <v>5127.4479099999999</v>
      </c>
      <c r="J442">
        <v>1775526000</v>
      </c>
      <c r="K442" t="s">
        <v>0</v>
      </c>
      <c r="L442" t="s">
        <v>2</v>
      </c>
      <c r="M442">
        <v>4642.03</v>
      </c>
      <c r="N442">
        <v>4640.9912400000003</v>
      </c>
      <c r="O442">
        <v>4643.8422600000004</v>
      </c>
      <c r="P442">
        <v>4649.6217699999997</v>
      </c>
      <c r="Q442">
        <v>4635.1774999999998</v>
      </c>
    </row>
    <row r="443" spans="1:17" x14ac:dyDescent="0.55000000000000004">
      <c r="A443">
        <v>1772640000</v>
      </c>
      <c r="B443" t="s">
        <v>0</v>
      </c>
      <c r="C443" t="s">
        <v>1</v>
      </c>
      <c r="D443">
        <v>5141.2299999999996</v>
      </c>
      <c r="E443">
        <v>5138.1245200000003</v>
      </c>
      <c r="F443">
        <v>5144.1177500000003</v>
      </c>
      <c r="G443">
        <v>5151.5354600000001</v>
      </c>
      <c r="H443">
        <v>5121.4889000000003</v>
      </c>
      <c r="J443">
        <v>1775526300</v>
      </c>
      <c r="K443" t="s">
        <v>0</v>
      </c>
      <c r="L443" t="s">
        <v>2</v>
      </c>
      <c r="M443">
        <v>4634.29</v>
      </c>
      <c r="N443">
        <v>4636.89426</v>
      </c>
      <c r="O443">
        <v>4640.3682600000002</v>
      </c>
      <c r="P443">
        <v>4645.2283600000001</v>
      </c>
      <c r="Q443">
        <v>4631.1117000000004</v>
      </c>
    </row>
    <row r="444" spans="1:17" x14ac:dyDescent="0.55000000000000004">
      <c r="A444">
        <v>1772643600</v>
      </c>
      <c r="B444" t="s">
        <v>0</v>
      </c>
      <c r="C444" t="s">
        <v>1</v>
      </c>
      <c r="D444">
        <v>5133.6000000000004</v>
      </c>
      <c r="E444">
        <v>5136.68703</v>
      </c>
      <c r="F444">
        <v>5140.4023900000002</v>
      </c>
      <c r="G444">
        <v>5145.3943399999998</v>
      </c>
      <c r="H444">
        <v>5119.51872</v>
      </c>
      <c r="J444">
        <v>1775526600</v>
      </c>
      <c r="K444" t="s">
        <v>0</v>
      </c>
      <c r="L444" t="s">
        <v>2</v>
      </c>
      <c r="M444">
        <v>4627.92</v>
      </c>
      <c r="N444">
        <v>4632.8778499999999</v>
      </c>
      <c r="O444">
        <v>4636.6230599999999</v>
      </c>
      <c r="P444">
        <v>4640.3917700000002</v>
      </c>
      <c r="Q444">
        <v>4626.7209700000003</v>
      </c>
    </row>
    <row r="445" spans="1:17" x14ac:dyDescent="0.55000000000000004">
      <c r="A445">
        <v>1772647200</v>
      </c>
      <c r="B445" t="s">
        <v>0</v>
      </c>
      <c r="C445" t="s">
        <v>1</v>
      </c>
      <c r="D445">
        <v>5137.91</v>
      </c>
      <c r="E445">
        <v>5138.8786099999998</v>
      </c>
      <c r="F445">
        <v>5139.6405000000004</v>
      </c>
      <c r="G445">
        <v>5143.9644200000002</v>
      </c>
      <c r="H445">
        <v>5122.06088</v>
      </c>
      <c r="J445">
        <v>1775526900</v>
      </c>
      <c r="K445" t="s">
        <v>0</v>
      </c>
      <c r="L445" t="s">
        <v>2</v>
      </c>
      <c r="M445">
        <v>4627.1400000000003</v>
      </c>
      <c r="N445">
        <v>4629.5489500000003</v>
      </c>
      <c r="O445">
        <v>4633.0860000000002</v>
      </c>
      <c r="P445">
        <v>4635.8693000000003</v>
      </c>
      <c r="Q445">
        <v>4622.95111</v>
      </c>
    </row>
    <row r="446" spans="1:17" x14ac:dyDescent="0.55000000000000004">
      <c r="A446">
        <v>1772650800</v>
      </c>
      <c r="B446" t="s">
        <v>0</v>
      </c>
      <c r="C446" t="s">
        <v>1</v>
      </c>
      <c r="D446">
        <v>5134.88</v>
      </c>
      <c r="E446">
        <v>5143.9411899999996</v>
      </c>
      <c r="F446">
        <v>5141.7908399999997</v>
      </c>
      <c r="G446">
        <v>5147.3883800000003</v>
      </c>
      <c r="H446">
        <v>5128.0225099999998</v>
      </c>
      <c r="J446">
        <v>1775527200</v>
      </c>
      <c r="K446" t="s">
        <v>0</v>
      </c>
      <c r="L446" t="s">
        <v>2</v>
      </c>
      <c r="M446">
        <v>4628.32</v>
      </c>
      <c r="N446">
        <v>4627.3237099999997</v>
      </c>
      <c r="O446">
        <v>4630.2048599999998</v>
      </c>
      <c r="P446">
        <v>4632.3976700000003</v>
      </c>
      <c r="Q446">
        <v>4620.4564600000003</v>
      </c>
    </row>
    <row r="447" spans="1:17" x14ac:dyDescent="0.55000000000000004">
      <c r="A447">
        <v>1772654400</v>
      </c>
      <c r="B447" t="s">
        <v>0</v>
      </c>
      <c r="C447" t="s">
        <v>1</v>
      </c>
      <c r="D447">
        <v>5141.3500000000004</v>
      </c>
      <c r="E447">
        <v>5151.2171900000003</v>
      </c>
      <c r="F447">
        <v>5146.5040200000003</v>
      </c>
      <c r="G447">
        <v>5154.6309099999999</v>
      </c>
      <c r="H447">
        <v>5136.3772399999998</v>
      </c>
      <c r="J447">
        <v>1775527500</v>
      </c>
      <c r="K447" t="s">
        <v>0</v>
      </c>
      <c r="L447" t="s">
        <v>2</v>
      </c>
      <c r="M447">
        <v>4631.6099999999997</v>
      </c>
      <c r="N447">
        <v>4626.4400599999999</v>
      </c>
      <c r="O447">
        <v>4628.3224600000003</v>
      </c>
      <c r="P447">
        <v>4630.2571900000003</v>
      </c>
      <c r="Q447">
        <v>4619.4282899999998</v>
      </c>
    </row>
    <row r="448" spans="1:17" x14ac:dyDescent="0.55000000000000004">
      <c r="A448">
        <v>1772661600</v>
      </c>
      <c r="B448" t="s">
        <v>0</v>
      </c>
      <c r="C448" t="s">
        <v>1</v>
      </c>
      <c r="D448">
        <v>5165.29</v>
      </c>
      <c r="E448">
        <v>5159.5941000000003</v>
      </c>
      <c r="F448">
        <v>5153.0490600000003</v>
      </c>
      <c r="G448">
        <v>5164.3082100000001</v>
      </c>
      <c r="H448">
        <v>5145.8448099999996</v>
      </c>
      <c r="J448">
        <v>1775527800</v>
      </c>
      <c r="K448" t="s">
        <v>0</v>
      </c>
      <c r="L448" t="s">
        <v>2</v>
      </c>
      <c r="M448">
        <v>4626.9399999999996</v>
      </c>
      <c r="N448">
        <v>4626.9356100000005</v>
      </c>
      <c r="O448">
        <v>4627.6290300000001</v>
      </c>
      <c r="P448">
        <v>4629.6924799999997</v>
      </c>
      <c r="Q448">
        <v>4620.1099299999996</v>
      </c>
    </row>
    <row r="449" spans="1:17" x14ac:dyDescent="0.55000000000000004">
      <c r="A449">
        <v>1772665200</v>
      </c>
      <c r="B449" t="s">
        <v>0</v>
      </c>
      <c r="C449" t="s">
        <v>1</v>
      </c>
      <c r="D449">
        <v>5172.63</v>
      </c>
      <c r="E449">
        <v>5167.0494500000004</v>
      </c>
      <c r="F449">
        <v>5160.04925</v>
      </c>
      <c r="G449">
        <v>5174.15092</v>
      </c>
      <c r="H449">
        <v>5154.6595100000004</v>
      </c>
      <c r="J449">
        <v>1775528100</v>
      </c>
      <c r="K449" t="s">
        <v>0</v>
      </c>
      <c r="L449" t="s">
        <v>2</v>
      </c>
      <c r="M449">
        <v>4631.01</v>
      </c>
      <c r="N449">
        <v>4628.8801899999999</v>
      </c>
      <c r="O449">
        <v>4628.25461</v>
      </c>
      <c r="P449">
        <v>4630.68786</v>
      </c>
      <c r="Q449">
        <v>4622.3222699999997</v>
      </c>
    </row>
    <row r="450" spans="1:17" x14ac:dyDescent="0.55000000000000004">
      <c r="A450">
        <v>1772668800</v>
      </c>
      <c r="B450" t="s">
        <v>0</v>
      </c>
      <c r="C450" t="s">
        <v>1</v>
      </c>
      <c r="D450">
        <v>5172.6400000000003</v>
      </c>
      <c r="E450">
        <v>5172.3493900000003</v>
      </c>
      <c r="F450">
        <v>5166.1993199999997</v>
      </c>
      <c r="G450">
        <v>5182.0671499999999</v>
      </c>
      <c r="H450">
        <v>5161.1243299999996</v>
      </c>
      <c r="J450">
        <v>1775528400</v>
      </c>
      <c r="K450" t="s">
        <v>0</v>
      </c>
      <c r="L450" t="s">
        <v>2</v>
      </c>
      <c r="M450">
        <v>4630.3900000000003</v>
      </c>
      <c r="N450">
        <v>4631.9551099999999</v>
      </c>
      <c r="O450">
        <v>4630.1048600000004</v>
      </c>
      <c r="P450">
        <v>4633.1532500000003</v>
      </c>
      <c r="Q450">
        <v>4625.8137299999999</v>
      </c>
    </row>
    <row r="451" spans="1:17" x14ac:dyDescent="0.55000000000000004">
      <c r="A451">
        <v>1772672400</v>
      </c>
      <c r="B451" t="s">
        <v>0</v>
      </c>
      <c r="C451" t="s">
        <v>1</v>
      </c>
      <c r="D451">
        <v>5192.0600000000004</v>
      </c>
      <c r="E451">
        <v>5175.08302</v>
      </c>
      <c r="F451">
        <v>5170.6411699999999</v>
      </c>
      <c r="G451">
        <v>5186.8236999999999</v>
      </c>
      <c r="H451">
        <v>5164.3818899999997</v>
      </c>
      <c r="J451">
        <v>1775528700</v>
      </c>
      <c r="K451" t="s">
        <v>0</v>
      </c>
      <c r="L451" t="s">
        <v>2</v>
      </c>
      <c r="M451">
        <v>4634.87</v>
      </c>
      <c r="N451">
        <v>4635.81639</v>
      </c>
      <c r="O451">
        <v>4632.9606299999996</v>
      </c>
      <c r="P451">
        <v>4636.7464600000003</v>
      </c>
      <c r="Q451">
        <v>4630.0922099999998</v>
      </c>
    </row>
    <row r="452" spans="1:17" x14ac:dyDescent="0.55000000000000004">
      <c r="A452">
        <v>1772676000</v>
      </c>
      <c r="B452" t="s">
        <v>0</v>
      </c>
      <c r="C452" t="s">
        <v>1</v>
      </c>
      <c r="D452">
        <v>5180.24</v>
      </c>
      <c r="E452">
        <v>5174.7813699999997</v>
      </c>
      <c r="F452">
        <v>5172.7112699999998</v>
      </c>
      <c r="G452">
        <v>5187.9658900000004</v>
      </c>
      <c r="H452">
        <v>5164.3508199999997</v>
      </c>
      <c r="J452">
        <v>1775529000</v>
      </c>
      <c r="K452" t="s">
        <v>0</v>
      </c>
      <c r="L452" t="s">
        <v>2</v>
      </c>
      <c r="M452">
        <v>4638.1000000000004</v>
      </c>
      <c r="N452">
        <v>4639.9252399999996</v>
      </c>
      <c r="O452">
        <v>4636.4429300000002</v>
      </c>
      <c r="P452">
        <v>4640.9250099999999</v>
      </c>
      <c r="Q452">
        <v>4634.64167</v>
      </c>
    </row>
    <row r="453" spans="1:17" x14ac:dyDescent="0.55000000000000004">
      <c r="A453">
        <v>1772679600</v>
      </c>
      <c r="B453" t="s">
        <v>0</v>
      </c>
      <c r="C453" t="s">
        <v>1</v>
      </c>
      <c r="D453">
        <v>5171.6899999999996</v>
      </c>
      <c r="E453">
        <v>5172.5484800000004</v>
      </c>
      <c r="F453">
        <v>5172.6298800000004</v>
      </c>
      <c r="G453">
        <v>5186.00299</v>
      </c>
      <c r="H453">
        <v>5161.558</v>
      </c>
      <c r="J453">
        <v>1775529300</v>
      </c>
      <c r="K453" t="s">
        <v>0</v>
      </c>
      <c r="L453" t="s">
        <v>2</v>
      </c>
      <c r="M453">
        <v>4642.49</v>
      </c>
      <c r="N453">
        <v>4643.7705100000003</v>
      </c>
      <c r="O453">
        <v>4640.1067199999998</v>
      </c>
      <c r="P453">
        <v>4645.0485600000002</v>
      </c>
      <c r="Q453">
        <v>4638.9175800000003</v>
      </c>
    </row>
    <row r="454" spans="1:17" x14ac:dyDescent="0.55000000000000004">
      <c r="A454">
        <v>1772683200</v>
      </c>
      <c r="B454" t="s">
        <v>0</v>
      </c>
      <c r="C454" t="s">
        <v>1</v>
      </c>
      <c r="D454">
        <v>5148.53</v>
      </c>
      <c r="E454">
        <v>5169.7360699999999</v>
      </c>
      <c r="F454">
        <v>5171.1829699999998</v>
      </c>
      <c r="G454">
        <v>5182.3177599999999</v>
      </c>
      <c r="H454">
        <v>5157.5116900000003</v>
      </c>
      <c r="J454">
        <v>1775529600</v>
      </c>
      <c r="K454" t="s">
        <v>0</v>
      </c>
      <c r="L454" t="s">
        <v>2</v>
      </c>
      <c r="M454">
        <v>4646.32</v>
      </c>
      <c r="N454">
        <v>4646.8734299999996</v>
      </c>
      <c r="O454">
        <v>4643.4900799999996</v>
      </c>
      <c r="P454">
        <v>4648.5947699999997</v>
      </c>
      <c r="Q454">
        <v>4642.5212199999996</v>
      </c>
    </row>
    <row r="455" spans="1:17" x14ac:dyDescent="0.55000000000000004">
      <c r="A455">
        <v>1772686800</v>
      </c>
      <c r="B455" t="s">
        <v>0</v>
      </c>
      <c r="C455" t="s">
        <v>1</v>
      </c>
      <c r="D455">
        <v>5167.75</v>
      </c>
      <c r="E455">
        <v>5167.8675499999999</v>
      </c>
      <c r="F455">
        <v>5169.5252600000003</v>
      </c>
      <c r="G455">
        <v>5178.5064000000002</v>
      </c>
      <c r="H455">
        <v>5153.7854200000002</v>
      </c>
      <c r="J455">
        <v>1775529900</v>
      </c>
      <c r="K455" t="s">
        <v>0</v>
      </c>
      <c r="L455" t="s">
        <v>2</v>
      </c>
      <c r="M455">
        <v>4651.12</v>
      </c>
      <c r="N455">
        <v>4648.8921899999996</v>
      </c>
      <c r="O455">
        <v>4646.1911300000002</v>
      </c>
      <c r="P455">
        <v>4651.1296499999999</v>
      </c>
      <c r="Q455">
        <v>4645.0746799999997</v>
      </c>
    </row>
    <row r="456" spans="1:17" x14ac:dyDescent="0.55000000000000004">
      <c r="A456">
        <v>1772690400</v>
      </c>
      <c r="B456" t="s">
        <v>0</v>
      </c>
      <c r="C456" t="s">
        <v>1</v>
      </c>
      <c r="D456">
        <v>5162.13</v>
      </c>
      <c r="E456">
        <v>5166.6164699999999</v>
      </c>
      <c r="F456">
        <v>5168.0708699999996</v>
      </c>
      <c r="G456">
        <v>5175.66842</v>
      </c>
      <c r="H456">
        <v>5151.6857099999997</v>
      </c>
      <c r="J456">
        <v>1775530200</v>
      </c>
      <c r="K456" t="s">
        <v>0</v>
      </c>
      <c r="L456" t="s">
        <v>2</v>
      </c>
      <c r="M456">
        <v>4650.62</v>
      </c>
      <c r="N456">
        <v>4649.6400899999999</v>
      </c>
      <c r="O456">
        <v>4647.91561</v>
      </c>
      <c r="P456">
        <v>4652.3278099999998</v>
      </c>
      <c r="Q456">
        <v>4646.3930099999998</v>
      </c>
    </row>
    <row r="457" spans="1:17" x14ac:dyDescent="0.55000000000000004">
      <c r="A457">
        <v>1772694000</v>
      </c>
      <c r="B457" t="s">
        <v>0</v>
      </c>
      <c r="C457" t="s">
        <v>1</v>
      </c>
      <c r="D457">
        <v>5165.6899999999996</v>
      </c>
      <c r="E457">
        <v>5165.6515799999997</v>
      </c>
      <c r="F457">
        <v>5166.8612199999998</v>
      </c>
      <c r="G457">
        <v>5173.9925000000003</v>
      </c>
      <c r="H457">
        <v>5149.8622100000002</v>
      </c>
      <c r="J457">
        <v>1775530500</v>
      </c>
      <c r="K457" t="s">
        <v>0</v>
      </c>
      <c r="L457" t="s">
        <v>2</v>
      </c>
      <c r="M457">
        <v>4650.53</v>
      </c>
      <c r="N457">
        <v>4649.2686400000002</v>
      </c>
      <c r="O457">
        <v>4648.59213</v>
      </c>
      <c r="P457">
        <v>4652.2803599999997</v>
      </c>
      <c r="Q457">
        <v>4646.4634299999998</v>
      </c>
    </row>
    <row r="458" spans="1:17" x14ac:dyDescent="0.55000000000000004">
      <c r="A458">
        <v>1772697600</v>
      </c>
      <c r="B458" t="s">
        <v>0</v>
      </c>
      <c r="C458" t="s">
        <v>1</v>
      </c>
      <c r="D458">
        <v>5161.03</v>
      </c>
      <c r="E458">
        <v>5163.8984200000004</v>
      </c>
      <c r="F458">
        <v>5165.3798200000001</v>
      </c>
      <c r="G458">
        <v>5172.9783299999999</v>
      </c>
      <c r="H458">
        <v>5147.8070500000003</v>
      </c>
      <c r="J458">
        <v>1775530800</v>
      </c>
      <c r="K458" t="s">
        <v>0</v>
      </c>
      <c r="L458" t="s">
        <v>2</v>
      </c>
      <c r="M458">
        <v>4648.2299999999996</v>
      </c>
      <c r="N458">
        <v>4648.0839299999998</v>
      </c>
      <c r="O458">
        <v>4648.3380299999999</v>
      </c>
      <c r="P458">
        <v>4651.32557</v>
      </c>
      <c r="Q458">
        <v>4645.5983900000001</v>
      </c>
    </row>
    <row r="459" spans="1:17" x14ac:dyDescent="0.55000000000000004">
      <c r="A459">
        <v>1772701200</v>
      </c>
      <c r="B459" t="s">
        <v>0</v>
      </c>
      <c r="C459" t="s">
        <v>1</v>
      </c>
      <c r="D459">
        <v>5164.58</v>
      </c>
      <c r="E459">
        <v>5160.3751499999998</v>
      </c>
      <c r="F459">
        <v>5162.8774899999999</v>
      </c>
      <c r="G459">
        <v>5171.3262699999996</v>
      </c>
      <c r="H459">
        <v>5143.7746100000004</v>
      </c>
      <c r="J459">
        <v>1775531100</v>
      </c>
      <c r="K459" t="s">
        <v>0</v>
      </c>
      <c r="L459" t="s">
        <v>2</v>
      </c>
      <c r="M459">
        <v>4646.3599999999997</v>
      </c>
      <c r="N459">
        <v>4646.51566</v>
      </c>
      <c r="O459">
        <v>4647.4268400000001</v>
      </c>
      <c r="P459">
        <v>4649.7790100000002</v>
      </c>
      <c r="Q459">
        <v>4644.1517199999998</v>
      </c>
    </row>
    <row r="460" spans="1:17" x14ac:dyDescent="0.55000000000000004">
      <c r="A460">
        <v>1772704800</v>
      </c>
      <c r="B460" t="s">
        <v>0</v>
      </c>
      <c r="C460" t="s">
        <v>1</v>
      </c>
      <c r="D460">
        <v>5163.99</v>
      </c>
      <c r="E460">
        <v>5153.8388299999997</v>
      </c>
      <c r="F460">
        <v>5158.3581599999998</v>
      </c>
      <c r="G460">
        <v>5168.0623500000002</v>
      </c>
      <c r="H460">
        <v>5136.7320900000004</v>
      </c>
      <c r="J460">
        <v>1775531400</v>
      </c>
      <c r="K460" t="s">
        <v>0</v>
      </c>
      <c r="L460" t="s">
        <v>2</v>
      </c>
      <c r="M460">
        <v>4645.2299999999996</v>
      </c>
      <c r="N460">
        <v>4644.9843499999997</v>
      </c>
      <c r="O460">
        <v>4646.2056000000002</v>
      </c>
      <c r="P460">
        <v>4648.1789600000002</v>
      </c>
      <c r="Q460">
        <v>4642.65852</v>
      </c>
    </row>
    <row r="461" spans="1:17" x14ac:dyDescent="0.55000000000000004">
      <c r="A461">
        <v>1772708400</v>
      </c>
      <c r="B461" t="s">
        <v>0</v>
      </c>
      <c r="C461" t="s">
        <v>1</v>
      </c>
      <c r="D461">
        <v>5162.66</v>
      </c>
      <c r="E461">
        <v>5143.5759600000001</v>
      </c>
      <c r="F461">
        <v>5150.9670599999999</v>
      </c>
      <c r="G461">
        <v>5161.9165199999998</v>
      </c>
      <c r="H461">
        <v>5125.6201899999996</v>
      </c>
      <c r="J461">
        <v>1775531700</v>
      </c>
      <c r="K461" t="s">
        <v>0</v>
      </c>
      <c r="L461" t="s">
        <v>2</v>
      </c>
      <c r="M461">
        <v>4641.99</v>
      </c>
      <c r="N461">
        <v>4643.8481899999997</v>
      </c>
      <c r="O461">
        <v>4645.0268900000001</v>
      </c>
      <c r="P461">
        <v>4646.8767200000002</v>
      </c>
      <c r="Q461">
        <v>4641.4352500000005</v>
      </c>
    </row>
    <row r="462" spans="1:17" x14ac:dyDescent="0.55000000000000004">
      <c r="A462">
        <v>1772712000</v>
      </c>
      <c r="B462" t="s">
        <v>0</v>
      </c>
      <c r="C462" t="s">
        <v>1</v>
      </c>
      <c r="D462">
        <v>5118.21</v>
      </c>
      <c r="E462">
        <v>5129.5786900000003</v>
      </c>
      <c r="F462">
        <v>5140.2728699999998</v>
      </c>
      <c r="G462">
        <v>5152.0471299999999</v>
      </c>
      <c r="H462">
        <v>5110.4054699999997</v>
      </c>
      <c r="J462">
        <v>1775532000</v>
      </c>
      <c r="K462" t="s">
        <v>0</v>
      </c>
      <c r="L462" t="s">
        <v>2</v>
      </c>
      <c r="M462">
        <v>4642.3100000000004</v>
      </c>
      <c r="N462">
        <v>4643.3868599999996</v>
      </c>
      <c r="O462">
        <v>4644.2068799999997</v>
      </c>
      <c r="P462">
        <v>4646.0978100000002</v>
      </c>
      <c r="Q462">
        <v>4640.7829000000002</v>
      </c>
    </row>
    <row r="463" spans="1:17" x14ac:dyDescent="0.55000000000000004">
      <c r="A463">
        <v>1772715600</v>
      </c>
      <c r="B463" t="s">
        <v>0</v>
      </c>
      <c r="C463" t="s">
        <v>1</v>
      </c>
      <c r="D463">
        <v>5102.2299999999996</v>
      </c>
      <c r="E463">
        <v>5113.7900399999999</v>
      </c>
      <c r="F463">
        <v>5127.0314600000002</v>
      </c>
      <c r="G463">
        <v>5138.6896299999999</v>
      </c>
      <c r="H463">
        <v>5094.1937200000002</v>
      </c>
      <c r="J463">
        <v>1775532300</v>
      </c>
      <c r="K463" t="s">
        <v>0</v>
      </c>
      <c r="L463" t="s">
        <v>2</v>
      </c>
      <c r="M463">
        <v>4642.84</v>
      </c>
      <c r="N463">
        <v>4643.6322200000004</v>
      </c>
      <c r="O463">
        <v>4643.9195499999996</v>
      </c>
      <c r="P463">
        <v>4645.9893099999999</v>
      </c>
      <c r="Q463">
        <v>4640.8633499999996</v>
      </c>
    </row>
    <row r="464" spans="1:17" x14ac:dyDescent="0.55000000000000004">
      <c r="A464">
        <v>1772719200</v>
      </c>
      <c r="B464" t="s">
        <v>0</v>
      </c>
      <c r="C464" t="s">
        <v>1</v>
      </c>
      <c r="D464">
        <v>5102.62</v>
      </c>
      <c r="E464">
        <v>5097.7865899999997</v>
      </c>
      <c r="F464">
        <v>5112.4090200000001</v>
      </c>
      <c r="G464">
        <v>5123.4899100000002</v>
      </c>
      <c r="H464">
        <v>5078.0972899999997</v>
      </c>
      <c r="J464">
        <v>1775532600</v>
      </c>
      <c r="K464" t="s">
        <v>0</v>
      </c>
      <c r="L464" t="s">
        <v>2</v>
      </c>
      <c r="M464">
        <v>4645.9399999999996</v>
      </c>
      <c r="N464">
        <v>4644.4570299999996</v>
      </c>
      <c r="O464">
        <v>4644.1882900000001</v>
      </c>
      <c r="P464">
        <v>4646.4790599999997</v>
      </c>
      <c r="Q464">
        <v>4641.6499199999998</v>
      </c>
    </row>
    <row r="465" spans="1:17" x14ac:dyDescent="0.55000000000000004">
      <c r="A465">
        <v>1772722800</v>
      </c>
      <c r="B465" t="s">
        <v>0</v>
      </c>
      <c r="C465" t="s">
        <v>1</v>
      </c>
      <c r="D465">
        <v>5077.7</v>
      </c>
      <c r="E465">
        <v>5083.1462700000002</v>
      </c>
      <c r="F465">
        <v>5097.77765</v>
      </c>
      <c r="G465">
        <v>5108.1964799999996</v>
      </c>
      <c r="H465">
        <v>5064.5204100000001</v>
      </c>
      <c r="J465">
        <v>1775532900</v>
      </c>
      <c r="K465" t="s">
        <v>0</v>
      </c>
      <c r="L465" t="s">
        <v>2</v>
      </c>
      <c r="M465">
        <v>4645.42</v>
      </c>
      <c r="N465">
        <v>4645.5632400000004</v>
      </c>
      <c r="O465">
        <v>4644.8757699999996</v>
      </c>
      <c r="P465">
        <v>4647.2830299999996</v>
      </c>
      <c r="Q465">
        <v>4642.94254</v>
      </c>
    </row>
    <row r="466" spans="1:17" x14ac:dyDescent="0.55000000000000004">
      <c r="A466">
        <v>1772726400</v>
      </c>
      <c r="B466" t="s">
        <v>0</v>
      </c>
      <c r="C466" t="s">
        <v>1</v>
      </c>
      <c r="D466">
        <v>5063.2</v>
      </c>
      <c r="E466">
        <v>5071.9435599999997</v>
      </c>
      <c r="F466">
        <v>5084.8606</v>
      </c>
      <c r="G466">
        <v>5094.97426</v>
      </c>
      <c r="H466">
        <v>5054.80134</v>
      </c>
      <c r="J466">
        <v>1775533200</v>
      </c>
      <c r="K466" t="s">
        <v>0</v>
      </c>
      <c r="L466" t="s">
        <v>2</v>
      </c>
      <c r="M466">
        <v>4648.1000000000004</v>
      </c>
      <c r="N466">
        <v>4646.7434400000002</v>
      </c>
      <c r="O466">
        <v>4645.8095999999996</v>
      </c>
      <c r="P466">
        <v>4648.2227700000003</v>
      </c>
      <c r="Q466">
        <v>4644.4582899999996</v>
      </c>
    </row>
    <row r="467" spans="1:17" x14ac:dyDescent="0.55000000000000004">
      <c r="A467">
        <v>1772730000</v>
      </c>
      <c r="B467" t="s">
        <v>0</v>
      </c>
      <c r="C467" t="s">
        <v>1</v>
      </c>
      <c r="D467">
        <v>5069.37</v>
      </c>
      <c r="E467">
        <v>5065.56844</v>
      </c>
      <c r="F467">
        <v>5075.2145200000004</v>
      </c>
      <c r="G467">
        <v>5085.7312899999997</v>
      </c>
      <c r="H467">
        <v>5049.57798</v>
      </c>
      <c r="J467">
        <v>1775533500</v>
      </c>
      <c r="K467" t="s">
        <v>0</v>
      </c>
      <c r="L467" t="s">
        <v>2</v>
      </c>
      <c r="M467">
        <v>4647.5200000000004</v>
      </c>
      <c r="N467">
        <v>4647.7143999999998</v>
      </c>
      <c r="O467">
        <v>4646.7619999999997</v>
      </c>
      <c r="P467">
        <v>4649.0798000000004</v>
      </c>
      <c r="Q467">
        <v>4645.90272</v>
      </c>
    </row>
    <row r="468" spans="1:17" x14ac:dyDescent="0.55000000000000004">
      <c r="A468">
        <v>1772733600</v>
      </c>
      <c r="B468" t="s">
        <v>0</v>
      </c>
      <c r="C468" t="s">
        <v>1</v>
      </c>
      <c r="D468">
        <v>5065.91</v>
      </c>
      <c r="E468">
        <v>5064.3584000000001</v>
      </c>
      <c r="F468">
        <v>5069.7864600000003</v>
      </c>
      <c r="G468">
        <v>5081.6336799999999</v>
      </c>
      <c r="H468">
        <v>5049.1327799999999</v>
      </c>
      <c r="J468">
        <v>1775533800</v>
      </c>
      <c r="K468" t="s">
        <v>0</v>
      </c>
      <c r="L468" t="s">
        <v>2</v>
      </c>
      <c r="M468">
        <v>4647.74</v>
      </c>
      <c r="N468">
        <v>4648.3485499999997</v>
      </c>
      <c r="O468">
        <v>4647.5552799999996</v>
      </c>
      <c r="P468">
        <v>4649.6764300000004</v>
      </c>
      <c r="Q468">
        <v>4646.9503100000002</v>
      </c>
    </row>
    <row r="469" spans="1:17" x14ac:dyDescent="0.55000000000000004">
      <c r="A469">
        <v>1772737200</v>
      </c>
      <c r="B469" t="s">
        <v>0</v>
      </c>
      <c r="C469" t="s">
        <v>1</v>
      </c>
      <c r="D469">
        <v>5076.9399999999996</v>
      </c>
      <c r="E469">
        <v>5068.4864100000004</v>
      </c>
      <c r="F469">
        <v>5069.1364299999996</v>
      </c>
      <c r="G469">
        <v>5083.1484899999996</v>
      </c>
      <c r="H469">
        <v>5053.2101000000002</v>
      </c>
      <c r="J469">
        <v>1775534100</v>
      </c>
      <c r="K469" t="s">
        <v>0</v>
      </c>
      <c r="L469" t="s">
        <v>2</v>
      </c>
      <c r="M469">
        <v>4649.4399999999996</v>
      </c>
      <c r="N469">
        <v>4648.6243199999999</v>
      </c>
      <c r="O469">
        <v>4648.0897999999997</v>
      </c>
      <c r="P469">
        <v>4649.9743500000004</v>
      </c>
      <c r="Q469">
        <v>4647.4778200000001</v>
      </c>
    </row>
    <row r="470" spans="1:17" x14ac:dyDescent="0.55000000000000004">
      <c r="A470">
        <v>1772740800</v>
      </c>
      <c r="B470" t="s">
        <v>0</v>
      </c>
      <c r="C470" t="s">
        <v>1</v>
      </c>
      <c r="D470">
        <v>5081.08</v>
      </c>
      <c r="E470">
        <v>5077.0978500000001</v>
      </c>
      <c r="F470">
        <v>5073.1171400000003</v>
      </c>
      <c r="G470">
        <v>5089.5513300000002</v>
      </c>
      <c r="H470">
        <v>5061.1865900000003</v>
      </c>
      <c r="J470">
        <v>1775534400</v>
      </c>
      <c r="K470" t="s">
        <v>0</v>
      </c>
      <c r="L470" t="s">
        <v>2</v>
      </c>
      <c r="M470">
        <v>4649.18</v>
      </c>
      <c r="N470">
        <v>4648.5993799999997</v>
      </c>
      <c r="O470">
        <v>4648.3445899999997</v>
      </c>
      <c r="P470">
        <v>4650.0064899999998</v>
      </c>
      <c r="Q470">
        <v>4647.5075900000002</v>
      </c>
    </row>
    <row r="471" spans="1:17" x14ac:dyDescent="0.55000000000000004">
      <c r="A471">
        <v>1772748000</v>
      </c>
      <c r="B471" t="s">
        <v>0</v>
      </c>
      <c r="C471" t="s">
        <v>1</v>
      </c>
      <c r="D471">
        <v>5086.2</v>
      </c>
      <c r="E471">
        <v>5088.9772999999996</v>
      </c>
      <c r="F471">
        <v>5081.0472200000004</v>
      </c>
      <c r="G471">
        <v>5099.9132</v>
      </c>
      <c r="H471">
        <v>5072.1208200000001</v>
      </c>
      <c r="J471">
        <v>1775534700</v>
      </c>
      <c r="K471" t="s">
        <v>0</v>
      </c>
      <c r="L471" t="s">
        <v>2</v>
      </c>
      <c r="M471">
        <v>4648.6899999999996</v>
      </c>
      <c r="N471">
        <v>4648.4868699999997</v>
      </c>
      <c r="O471">
        <v>4648.4157299999997</v>
      </c>
      <c r="P471">
        <v>4649.9293600000001</v>
      </c>
      <c r="Q471">
        <v>4647.2023300000001</v>
      </c>
    </row>
    <row r="472" spans="1:17" x14ac:dyDescent="0.55000000000000004">
      <c r="A472">
        <v>1772751600</v>
      </c>
      <c r="B472" t="s">
        <v>0</v>
      </c>
      <c r="C472" t="s">
        <v>1</v>
      </c>
      <c r="D472">
        <v>5084.6499999999996</v>
      </c>
      <c r="E472">
        <v>5102.5283399999998</v>
      </c>
      <c r="F472">
        <v>5091.7877799999997</v>
      </c>
      <c r="G472">
        <v>5112.1984199999997</v>
      </c>
      <c r="H472">
        <v>5084.7599799999998</v>
      </c>
      <c r="J472">
        <v>1775535000</v>
      </c>
      <c r="K472" t="s">
        <v>0</v>
      </c>
      <c r="L472" t="s">
        <v>2</v>
      </c>
      <c r="M472">
        <v>4646.25</v>
      </c>
      <c r="N472">
        <v>4648.5910299999996</v>
      </c>
      <c r="O472">
        <v>4648.5033800000001</v>
      </c>
      <c r="P472">
        <v>4650.0206200000002</v>
      </c>
      <c r="Q472">
        <v>4646.8915299999999</v>
      </c>
    </row>
    <row r="473" spans="1:17" x14ac:dyDescent="0.55000000000000004">
      <c r="A473">
        <v>1772755200</v>
      </c>
      <c r="B473" t="s">
        <v>0</v>
      </c>
      <c r="C473" t="s">
        <v>1</v>
      </c>
      <c r="D473">
        <v>5134.5</v>
      </c>
      <c r="E473">
        <v>5115.9798799999999</v>
      </c>
      <c r="F473">
        <v>5103.8838299999998</v>
      </c>
      <c r="G473">
        <v>5124.7692399999996</v>
      </c>
      <c r="H473">
        <v>5098.0007599999999</v>
      </c>
      <c r="J473">
        <v>1775535300</v>
      </c>
      <c r="K473" t="s">
        <v>0</v>
      </c>
      <c r="L473" t="s">
        <v>2</v>
      </c>
      <c r="M473">
        <v>4649.3999999999996</v>
      </c>
      <c r="N473">
        <v>4649.2227400000002</v>
      </c>
      <c r="O473">
        <v>4648.8630599999997</v>
      </c>
      <c r="P473">
        <v>4650.5370199999998</v>
      </c>
      <c r="Q473">
        <v>4646.9499100000003</v>
      </c>
    </row>
    <row r="474" spans="1:17" x14ac:dyDescent="0.55000000000000004">
      <c r="A474">
        <v>1772758800</v>
      </c>
      <c r="B474" t="s">
        <v>0</v>
      </c>
      <c r="C474" t="s">
        <v>1</v>
      </c>
      <c r="D474">
        <v>5126.34</v>
      </c>
      <c r="E474">
        <v>5126.1313799999998</v>
      </c>
      <c r="F474">
        <v>5115.0075999999999</v>
      </c>
      <c r="G474">
        <v>5134.4547499999999</v>
      </c>
      <c r="H474">
        <v>5110.5045200000004</v>
      </c>
      <c r="J474">
        <v>1775535600</v>
      </c>
      <c r="K474" t="s">
        <v>0</v>
      </c>
      <c r="L474" t="s">
        <v>2</v>
      </c>
      <c r="M474">
        <v>4649.76</v>
      </c>
      <c r="N474">
        <v>4650.4913500000002</v>
      </c>
      <c r="O474">
        <v>4649.6772000000001</v>
      </c>
      <c r="P474">
        <v>4651.6712299999999</v>
      </c>
      <c r="Q474">
        <v>4647.6670100000001</v>
      </c>
    </row>
    <row r="475" spans="1:17" x14ac:dyDescent="0.55000000000000004">
      <c r="A475">
        <v>1772762400</v>
      </c>
      <c r="B475" t="s">
        <v>0</v>
      </c>
      <c r="C475" t="s">
        <v>1</v>
      </c>
      <c r="D475">
        <v>5130.97</v>
      </c>
      <c r="E475">
        <v>5131.8251399999999</v>
      </c>
      <c r="F475">
        <v>5123.4163699999999</v>
      </c>
      <c r="G475">
        <v>5139.9640799999997</v>
      </c>
      <c r="H475">
        <v>5119.1288100000002</v>
      </c>
      <c r="J475">
        <v>1775535900</v>
      </c>
      <c r="K475" t="s">
        <v>0</v>
      </c>
      <c r="L475" t="s">
        <v>2</v>
      </c>
      <c r="M475">
        <v>4650.08</v>
      </c>
      <c r="N475">
        <v>4652.4430300000004</v>
      </c>
      <c r="O475">
        <v>4651.0601200000001</v>
      </c>
      <c r="P475">
        <v>4653.5068000000001</v>
      </c>
      <c r="Q475">
        <v>4649.1671500000002</v>
      </c>
    </row>
    <row r="476" spans="1:17" x14ac:dyDescent="0.55000000000000004">
      <c r="A476">
        <v>1772766000</v>
      </c>
      <c r="B476" t="s">
        <v>0</v>
      </c>
      <c r="C476" t="s">
        <v>1</v>
      </c>
      <c r="D476">
        <v>5127.51</v>
      </c>
      <c r="E476">
        <v>5132.2725799999998</v>
      </c>
      <c r="F476">
        <v>5127.84447</v>
      </c>
      <c r="G476">
        <v>5140.5831799999996</v>
      </c>
      <c r="H476">
        <v>5122.5541700000003</v>
      </c>
      <c r="J476">
        <v>1775536200</v>
      </c>
      <c r="K476" t="s">
        <v>0</v>
      </c>
      <c r="L476" t="s">
        <v>2</v>
      </c>
      <c r="M476">
        <v>4658.8100000000004</v>
      </c>
      <c r="N476">
        <v>4654.9628700000003</v>
      </c>
      <c r="O476">
        <v>4653.0114899999999</v>
      </c>
      <c r="P476">
        <v>4655.9501799999998</v>
      </c>
      <c r="Q476">
        <v>4651.4213600000003</v>
      </c>
    </row>
    <row r="477" spans="1:17" x14ac:dyDescent="0.55000000000000004">
      <c r="A477">
        <v>1772769600</v>
      </c>
      <c r="B477" t="s">
        <v>0</v>
      </c>
      <c r="C477" t="s">
        <v>1</v>
      </c>
      <c r="D477">
        <v>5117.28</v>
      </c>
      <c r="E477">
        <v>5127.67652</v>
      </c>
      <c r="F477">
        <v>5127.7605000000003</v>
      </c>
      <c r="G477">
        <v>5136.5909799999999</v>
      </c>
      <c r="H477">
        <v>5120.2328699999998</v>
      </c>
      <c r="J477">
        <v>1775536500</v>
      </c>
      <c r="K477" t="s">
        <v>0</v>
      </c>
      <c r="L477" t="s">
        <v>2</v>
      </c>
      <c r="M477">
        <v>4658.4799999999996</v>
      </c>
      <c r="N477">
        <v>4657.5779499999999</v>
      </c>
      <c r="O477">
        <v>4655.2947199999999</v>
      </c>
      <c r="P477">
        <v>4658.5821100000003</v>
      </c>
      <c r="Q477">
        <v>4654.2368299999998</v>
      </c>
    </row>
    <row r="478" spans="1:17" x14ac:dyDescent="0.55000000000000004">
      <c r="A478">
        <v>1772773200</v>
      </c>
      <c r="B478" t="s">
        <v>0</v>
      </c>
      <c r="C478" t="s">
        <v>1</v>
      </c>
      <c r="D478">
        <v>5115.79</v>
      </c>
      <c r="E478">
        <v>5119.2075100000002</v>
      </c>
      <c r="F478">
        <v>5123.4840000000004</v>
      </c>
      <c r="G478">
        <v>5129.0445399999999</v>
      </c>
      <c r="H478">
        <v>5112.9136699999999</v>
      </c>
      <c r="J478">
        <v>1775536800</v>
      </c>
      <c r="K478" t="s">
        <v>0</v>
      </c>
      <c r="L478" t="s">
        <v>2</v>
      </c>
      <c r="M478">
        <v>4661.8100000000004</v>
      </c>
      <c r="N478">
        <v>4659.9480299999996</v>
      </c>
      <c r="O478">
        <v>4657.6213799999996</v>
      </c>
      <c r="P478">
        <v>4661.0434299999997</v>
      </c>
      <c r="Q478">
        <v>4657.0763100000004</v>
      </c>
    </row>
    <row r="479" spans="1:17" x14ac:dyDescent="0.55000000000000004">
      <c r="A479">
        <v>1772776800</v>
      </c>
      <c r="B479" t="s">
        <v>0</v>
      </c>
      <c r="C479" t="s">
        <v>1</v>
      </c>
      <c r="D479">
        <v>5119.6000000000004</v>
      </c>
      <c r="E479">
        <v>5108.4631900000004</v>
      </c>
      <c r="F479">
        <v>5115.9736000000003</v>
      </c>
      <c r="G479">
        <v>5119.6401500000002</v>
      </c>
      <c r="H479">
        <v>5102.0500400000001</v>
      </c>
      <c r="J479">
        <v>1775537100</v>
      </c>
      <c r="K479" t="s">
        <v>0</v>
      </c>
      <c r="L479" t="s">
        <v>2</v>
      </c>
      <c r="M479">
        <v>4660.8900000000003</v>
      </c>
      <c r="N479">
        <v>4661.6254600000002</v>
      </c>
      <c r="O479">
        <v>4659.6234199999999</v>
      </c>
      <c r="P479">
        <v>4662.9305299999996</v>
      </c>
      <c r="Q479">
        <v>4659.4564200000004</v>
      </c>
    </row>
    <row r="480" spans="1:17" x14ac:dyDescent="0.55000000000000004">
      <c r="A480">
        <v>1772780400</v>
      </c>
      <c r="B480" t="s">
        <v>0</v>
      </c>
      <c r="C480" t="s">
        <v>1</v>
      </c>
      <c r="D480">
        <v>5108.6499999999996</v>
      </c>
      <c r="E480">
        <v>5097.2525599999999</v>
      </c>
      <c r="F480">
        <v>5106.6130800000001</v>
      </c>
      <c r="G480">
        <v>5110.3143300000002</v>
      </c>
      <c r="H480">
        <v>5089.6643000000004</v>
      </c>
      <c r="J480">
        <v>1775537400</v>
      </c>
      <c r="K480" t="s">
        <v>0</v>
      </c>
      <c r="L480" t="s">
        <v>2</v>
      </c>
      <c r="M480">
        <v>4661.75</v>
      </c>
      <c r="N480">
        <v>4662.29007</v>
      </c>
      <c r="O480">
        <v>4660.9567399999996</v>
      </c>
      <c r="P480">
        <v>4663.9657100000004</v>
      </c>
      <c r="Q480">
        <v>4660.8723300000001</v>
      </c>
    </row>
    <row r="481" spans="1:17" x14ac:dyDescent="0.55000000000000004">
      <c r="A481">
        <v>1772784000</v>
      </c>
      <c r="B481" t="s">
        <v>0</v>
      </c>
      <c r="C481" t="s">
        <v>1</v>
      </c>
      <c r="D481">
        <v>5085.7700000000004</v>
      </c>
      <c r="E481">
        <v>5087.9671200000003</v>
      </c>
      <c r="F481">
        <v>5097.2901000000002</v>
      </c>
      <c r="G481">
        <v>5102.9708899999996</v>
      </c>
      <c r="H481">
        <v>5078.2092499999999</v>
      </c>
      <c r="J481">
        <v>1775537700</v>
      </c>
      <c r="K481" t="s">
        <v>0</v>
      </c>
      <c r="L481" t="s">
        <v>2</v>
      </c>
      <c r="M481">
        <v>4659.3500000000004</v>
      </c>
      <c r="N481">
        <v>4661.68433</v>
      </c>
      <c r="O481">
        <v>4661.3205399999997</v>
      </c>
      <c r="P481">
        <v>4663.9423100000004</v>
      </c>
      <c r="Q481">
        <v>4660.9095699999998</v>
      </c>
    </row>
    <row r="482" spans="1:17" x14ac:dyDescent="0.55000000000000004">
      <c r="A482">
        <v>1772787600</v>
      </c>
      <c r="B482" t="s">
        <v>0</v>
      </c>
      <c r="C482" t="s">
        <v>1</v>
      </c>
      <c r="D482">
        <v>5090.92</v>
      </c>
      <c r="E482">
        <v>5083.0590499999998</v>
      </c>
      <c r="F482">
        <v>5090.1745700000001</v>
      </c>
      <c r="G482">
        <v>5099.6332599999996</v>
      </c>
      <c r="H482">
        <v>5070.1907000000001</v>
      </c>
      <c r="J482">
        <v>1775538000</v>
      </c>
      <c r="K482" t="s">
        <v>0</v>
      </c>
      <c r="L482" t="s">
        <v>2</v>
      </c>
      <c r="M482">
        <v>4656.76</v>
      </c>
      <c r="N482">
        <v>4659.77477</v>
      </c>
      <c r="O482">
        <v>4660.5476500000004</v>
      </c>
      <c r="P482">
        <v>4662.7821599999997</v>
      </c>
      <c r="Q482">
        <v>4659.3690699999997</v>
      </c>
    </row>
    <row r="483" spans="1:17" x14ac:dyDescent="0.55000000000000004">
      <c r="A483">
        <v>1772791200</v>
      </c>
      <c r="B483" t="s">
        <v>0</v>
      </c>
      <c r="C483" t="s">
        <v>1</v>
      </c>
      <c r="D483">
        <v>5077.1000000000004</v>
      </c>
      <c r="E483">
        <v>5083.6351100000002</v>
      </c>
      <c r="F483">
        <v>5086.9048400000001</v>
      </c>
      <c r="G483">
        <v>5101.7770899999996</v>
      </c>
      <c r="H483">
        <v>5067.5508399999999</v>
      </c>
      <c r="J483">
        <v>1775538300</v>
      </c>
      <c r="K483" t="s">
        <v>0</v>
      </c>
      <c r="L483" t="s">
        <v>2</v>
      </c>
      <c r="M483">
        <v>4655.67</v>
      </c>
      <c r="N483">
        <v>4656.6874100000005</v>
      </c>
      <c r="O483">
        <v>4658.6175300000004</v>
      </c>
      <c r="P483">
        <v>4660.5622599999997</v>
      </c>
      <c r="Q483">
        <v>4656.2900600000003</v>
      </c>
    </row>
    <row r="484" spans="1:17" x14ac:dyDescent="0.55000000000000004">
      <c r="A484">
        <v>1772794800</v>
      </c>
      <c r="B484" t="s">
        <v>0</v>
      </c>
      <c r="C484" t="s">
        <v>1</v>
      </c>
      <c r="D484">
        <v>5083.58</v>
      </c>
      <c r="E484">
        <v>5090.35574</v>
      </c>
      <c r="F484">
        <v>5088.6302900000001</v>
      </c>
      <c r="G484">
        <v>5109.3677100000004</v>
      </c>
      <c r="H484">
        <v>5071.5629900000004</v>
      </c>
      <c r="J484">
        <v>1775538600</v>
      </c>
      <c r="K484" t="s">
        <v>0</v>
      </c>
      <c r="L484" t="s">
        <v>2</v>
      </c>
      <c r="M484">
        <v>4655.6400000000003</v>
      </c>
      <c r="N484">
        <v>4652.6714700000002</v>
      </c>
      <c r="O484">
        <v>4655.6445000000003</v>
      </c>
      <c r="P484">
        <v>4657.5164299999997</v>
      </c>
      <c r="Q484">
        <v>4651.8870999999999</v>
      </c>
    </row>
    <row r="485" spans="1:17" x14ac:dyDescent="0.55000000000000004">
      <c r="A485">
        <v>1772798400</v>
      </c>
      <c r="B485" t="s">
        <v>0</v>
      </c>
      <c r="C485" t="s">
        <v>1</v>
      </c>
      <c r="D485">
        <v>5085.07</v>
      </c>
      <c r="E485">
        <v>5102.3873000000003</v>
      </c>
      <c r="F485">
        <v>5095.5087899999999</v>
      </c>
      <c r="G485">
        <v>5121.6733100000001</v>
      </c>
      <c r="H485">
        <v>5081.6850999999997</v>
      </c>
      <c r="J485">
        <v>1775538900</v>
      </c>
      <c r="K485" t="s">
        <v>0</v>
      </c>
      <c r="L485" t="s">
        <v>2</v>
      </c>
      <c r="M485">
        <v>4654.5600000000004</v>
      </c>
      <c r="N485">
        <v>4648.0995999999996</v>
      </c>
      <c r="O485">
        <v>4651.8720499999999</v>
      </c>
      <c r="P485">
        <v>4653.9523600000002</v>
      </c>
      <c r="Q485">
        <v>4646.57042</v>
      </c>
    </row>
    <row r="486" spans="1:17" x14ac:dyDescent="0.55000000000000004">
      <c r="A486">
        <v>1772802000</v>
      </c>
      <c r="B486" t="s">
        <v>0</v>
      </c>
      <c r="C486" t="s">
        <v>1</v>
      </c>
      <c r="D486">
        <v>5130.21</v>
      </c>
      <c r="E486">
        <v>5118.0439399999996</v>
      </c>
      <c r="F486">
        <v>5106.7763699999996</v>
      </c>
      <c r="G486">
        <v>5136.2452700000003</v>
      </c>
      <c r="H486">
        <v>5096.8883599999999</v>
      </c>
      <c r="J486">
        <v>1775539200</v>
      </c>
      <c r="K486" t="s">
        <v>0</v>
      </c>
      <c r="L486" t="s">
        <v>2</v>
      </c>
      <c r="M486">
        <v>4647.17</v>
      </c>
      <c r="N486">
        <v>4643.4617099999996</v>
      </c>
      <c r="O486">
        <v>4647.6668799999998</v>
      </c>
      <c r="P486">
        <v>4650.1521300000004</v>
      </c>
      <c r="Q486">
        <v>4640.9180800000004</v>
      </c>
    </row>
    <row r="487" spans="1:17" x14ac:dyDescent="0.55000000000000004">
      <c r="A487">
        <v>1772805600</v>
      </c>
      <c r="B487" t="s">
        <v>0</v>
      </c>
      <c r="C487" t="s">
        <v>1</v>
      </c>
      <c r="D487">
        <v>5141.7299999999996</v>
      </c>
      <c r="E487">
        <v>5133.7585099999997</v>
      </c>
      <c r="F487">
        <v>5120.2674399999996</v>
      </c>
      <c r="G487">
        <v>5150.9624000000003</v>
      </c>
      <c r="H487">
        <v>5114.3034399999997</v>
      </c>
      <c r="J487">
        <v>1775539500</v>
      </c>
      <c r="K487" t="s">
        <v>0</v>
      </c>
      <c r="L487" t="s">
        <v>2</v>
      </c>
      <c r="M487">
        <v>4633.25</v>
      </c>
      <c r="N487">
        <v>4639.43181</v>
      </c>
      <c r="O487">
        <v>4643.5493500000002</v>
      </c>
      <c r="P487">
        <v>4646.5595499999999</v>
      </c>
      <c r="Q487">
        <v>4635.7244899999996</v>
      </c>
    </row>
    <row r="488" spans="1:17" x14ac:dyDescent="0.55000000000000004">
      <c r="A488">
        <v>1772809200</v>
      </c>
      <c r="B488" t="s">
        <v>0</v>
      </c>
      <c r="C488" t="s">
        <v>1</v>
      </c>
      <c r="D488">
        <v>5139.88</v>
      </c>
      <c r="E488">
        <v>5146.7438400000001</v>
      </c>
      <c r="F488">
        <v>5133.5056400000003</v>
      </c>
      <c r="G488">
        <v>5162.6661999999997</v>
      </c>
      <c r="H488">
        <v>5129.6599800000004</v>
      </c>
      <c r="J488">
        <v>1775539800</v>
      </c>
      <c r="K488" t="s">
        <v>0</v>
      </c>
      <c r="L488" t="s">
        <v>2</v>
      </c>
      <c r="M488">
        <v>4631.95</v>
      </c>
      <c r="N488">
        <v>4636.7388600000004</v>
      </c>
      <c r="O488">
        <v>4640.1441000000004</v>
      </c>
      <c r="P488">
        <v>4643.6649600000001</v>
      </c>
      <c r="Q488">
        <v>4631.9469300000001</v>
      </c>
    </row>
    <row r="489" spans="1:17" x14ac:dyDescent="0.55000000000000004">
      <c r="A489">
        <v>1772812800</v>
      </c>
      <c r="B489" t="s">
        <v>0</v>
      </c>
      <c r="C489" t="s">
        <v>1</v>
      </c>
      <c r="D489">
        <v>5140.67</v>
      </c>
      <c r="E489">
        <v>5154.8860999999997</v>
      </c>
      <c r="F489">
        <v>5144.1958699999996</v>
      </c>
      <c r="G489">
        <v>5169.9464699999999</v>
      </c>
      <c r="H489">
        <v>5140.0722299999998</v>
      </c>
      <c r="J489">
        <v>1775540100</v>
      </c>
      <c r="K489" t="s">
        <v>0</v>
      </c>
      <c r="L489" t="s">
        <v>2</v>
      </c>
      <c r="M489">
        <v>4639.8900000000003</v>
      </c>
      <c r="N489">
        <v>4635.5851000000002</v>
      </c>
      <c r="O489">
        <v>4637.8645999999999</v>
      </c>
      <c r="P489">
        <v>4641.8576700000003</v>
      </c>
      <c r="Q489">
        <v>4630.0859600000003</v>
      </c>
    </row>
    <row r="490" spans="1:17" x14ac:dyDescent="0.55000000000000004">
      <c r="A490">
        <v>1772816400</v>
      </c>
      <c r="B490" t="s">
        <v>0</v>
      </c>
      <c r="C490" t="s">
        <v>1</v>
      </c>
      <c r="D490">
        <v>5161.05</v>
      </c>
      <c r="E490">
        <v>5156.84609</v>
      </c>
      <c r="F490">
        <v>5150.5209800000002</v>
      </c>
      <c r="G490">
        <v>5171.72012</v>
      </c>
      <c r="H490">
        <v>5143.2080699999997</v>
      </c>
      <c r="J490">
        <v>1775540400</v>
      </c>
      <c r="K490" t="s">
        <v>0</v>
      </c>
      <c r="L490" t="s">
        <v>2</v>
      </c>
      <c r="M490">
        <v>4631.75</v>
      </c>
      <c r="N490">
        <v>4635.7014799999997</v>
      </c>
      <c r="O490">
        <v>4636.7830400000003</v>
      </c>
      <c r="P490">
        <v>4641.1380600000002</v>
      </c>
      <c r="Q490">
        <v>4629.9880300000004</v>
      </c>
    </row>
    <row r="491" spans="1:17" x14ac:dyDescent="0.55000000000000004">
      <c r="A491">
        <v>1772820000</v>
      </c>
      <c r="B491" t="s">
        <v>0</v>
      </c>
      <c r="C491" t="s">
        <v>1</v>
      </c>
      <c r="D491">
        <v>5159.76</v>
      </c>
      <c r="E491">
        <v>5151.7346699999998</v>
      </c>
      <c r="F491">
        <v>5151.1278300000004</v>
      </c>
      <c r="G491">
        <v>5167.3508199999997</v>
      </c>
      <c r="H491">
        <v>5137.8247000000001</v>
      </c>
      <c r="J491">
        <v>1775540700</v>
      </c>
      <c r="K491" t="s">
        <v>0</v>
      </c>
      <c r="L491" t="s">
        <v>2</v>
      </c>
      <c r="M491">
        <v>4635.7700000000004</v>
      </c>
      <c r="N491">
        <v>4637.0112200000003</v>
      </c>
      <c r="O491">
        <v>4636.8971300000003</v>
      </c>
      <c r="P491">
        <v>4641.38076</v>
      </c>
      <c r="Q491">
        <v>4631.3592600000002</v>
      </c>
    </row>
    <row r="492" spans="1:17" x14ac:dyDescent="0.55000000000000004">
      <c r="A492">
        <v>1772823600</v>
      </c>
      <c r="B492" t="s">
        <v>0</v>
      </c>
      <c r="C492" t="s">
        <v>1</v>
      </c>
      <c r="D492">
        <v>5153.3900000000003</v>
      </c>
      <c r="E492">
        <v>5140.4051099999997</v>
      </c>
      <c r="F492">
        <v>5145.7664699999996</v>
      </c>
      <c r="G492">
        <v>5157.3595800000003</v>
      </c>
      <c r="H492">
        <v>5124.0441300000002</v>
      </c>
      <c r="J492">
        <v>1775541000</v>
      </c>
      <c r="K492" t="s">
        <v>0</v>
      </c>
      <c r="L492" t="s">
        <v>2</v>
      </c>
      <c r="M492">
        <v>4639.16</v>
      </c>
      <c r="N492">
        <v>4639.0051899999999</v>
      </c>
      <c r="O492">
        <v>4637.9511599999996</v>
      </c>
      <c r="P492">
        <v>4642.3899700000002</v>
      </c>
      <c r="Q492">
        <v>4633.7172799999998</v>
      </c>
    </row>
    <row r="493" spans="1:17" x14ac:dyDescent="0.55000000000000004">
      <c r="A493">
        <v>1772827200</v>
      </c>
      <c r="B493" t="s">
        <v>0</v>
      </c>
      <c r="C493" t="s">
        <v>1</v>
      </c>
      <c r="D493">
        <v>5174.22</v>
      </c>
      <c r="E493">
        <v>5124.92875</v>
      </c>
      <c r="F493">
        <v>5135.3476099999998</v>
      </c>
      <c r="G493">
        <v>5143.5917799999997</v>
      </c>
      <c r="H493">
        <v>5104.37284</v>
      </c>
      <c r="J493">
        <v>1775541300</v>
      </c>
      <c r="K493" t="s">
        <v>0</v>
      </c>
      <c r="L493" t="s">
        <v>2</v>
      </c>
      <c r="M493">
        <v>4642.99</v>
      </c>
      <c r="N493">
        <v>4641.1146900000003</v>
      </c>
      <c r="O493">
        <v>4639.5329300000003</v>
      </c>
      <c r="P493">
        <v>4643.7481900000002</v>
      </c>
      <c r="Q493">
        <v>4636.3355600000004</v>
      </c>
    </row>
    <row r="494" spans="1:17" x14ac:dyDescent="0.55000000000000004">
      <c r="A494">
        <v>1773007200</v>
      </c>
      <c r="B494" t="s">
        <v>0</v>
      </c>
      <c r="C494" t="s">
        <v>1</v>
      </c>
      <c r="D494">
        <v>5075.8599999999997</v>
      </c>
      <c r="E494">
        <v>5107.3032899999998</v>
      </c>
      <c r="F494">
        <v>5121.3254500000003</v>
      </c>
      <c r="G494">
        <v>5127.8812699999999</v>
      </c>
      <c r="H494">
        <v>5082.1761299999998</v>
      </c>
      <c r="J494">
        <v>1775541600</v>
      </c>
      <c r="K494" t="s">
        <v>0</v>
      </c>
      <c r="L494" t="s">
        <v>2</v>
      </c>
      <c r="M494">
        <v>4645.7</v>
      </c>
      <c r="N494">
        <v>4642.8723099999997</v>
      </c>
      <c r="O494">
        <v>4641.20262</v>
      </c>
      <c r="P494">
        <v>4645.0262599999996</v>
      </c>
      <c r="Q494">
        <v>4638.62435</v>
      </c>
    </row>
    <row r="495" spans="1:17" x14ac:dyDescent="0.55000000000000004">
      <c r="A495">
        <v>1773010800</v>
      </c>
      <c r="B495" t="s">
        <v>0</v>
      </c>
      <c r="C495" t="s">
        <v>1</v>
      </c>
      <c r="D495">
        <v>5049.97</v>
      </c>
      <c r="E495">
        <v>5092.9398199999996</v>
      </c>
      <c r="F495">
        <v>5107.1326300000001</v>
      </c>
      <c r="G495">
        <v>5113.5476600000002</v>
      </c>
      <c r="H495">
        <v>5064.11715</v>
      </c>
      <c r="J495">
        <v>1775541900</v>
      </c>
      <c r="K495" t="s">
        <v>0</v>
      </c>
      <c r="L495" t="s">
        <v>2</v>
      </c>
      <c r="M495">
        <v>4644.26</v>
      </c>
      <c r="N495">
        <v>4643.9902599999996</v>
      </c>
      <c r="O495">
        <v>4642.5964400000003</v>
      </c>
      <c r="P495">
        <v>4646.0207600000003</v>
      </c>
      <c r="Q495">
        <v>4640.2620500000003</v>
      </c>
    </row>
    <row r="496" spans="1:17" x14ac:dyDescent="0.55000000000000004">
      <c r="A496">
        <v>1773014400</v>
      </c>
      <c r="B496" t="s">
        <v>0</v>
      </c>
      <c r="C496" t="s">
        <v>1</v>
      </c>
      <c r="D496">
        <v>5070.17</v>
      </c>
      <c r="E496">
        <v>5084.52621</v>
      </c>
      <c r="F496">
        <v>5095.82942</v>
      </c>
      <c r="G496">
        <v>5103.8974500000004</v>
      </c>
      <c r="H496">
        <v>5053.4170700000004</v>
      </c>
      <c r="J496">
        <v>1775542200</v>
      </c>
      <c r="K496" t="s">
        <v>0</v>
      </c>
      <c r="L496" t="s">
        <v>2</v>
      </c>
      <c r="M496">
        <v>4647.34</v>
      </c>
      <c r="N496">
        <v>4644.5057900000002</v>
      </c>
      <c r="O496">
        <v>4643.5511100000003</v>
      </c>
      <c r="P496">
        <v>4646.6522000000004</v>
      </c>
      <c r="Q496">
        <v>4641.0758500000002</v>
      </c>
    </row>
    <row r="497" spans="1:17" x14ac:dyDescent="0.55000000000000004">
      <c r="A497">
        <v>1773018000</v>
      </c>
      <c r="B497" t="s">
        <v>0</v>
      </c>
      <c r="C497" t="s">
        <v>1</v>
      </c>
      <c r="D497">
        <v>5095.08</v>
      </c>
      <c r="E497">
        <v>5082.0880900000002</v>
      </c>
      <c r="F497">
        <v>5088.9587600000004</v>
      </c>
      <c r="G497">
        <v>5099.6850299999996</v>
      </c>
      <c r="H497">
        <v>5051.5401400000001</v>
      </c>
      <c r="J497">
        <v>1775542500</v>
      </c>
      <c r="K497" t="s">
        <v>0</v>
      </c>
      <c r="L497" t="s">
        <v>2</v>
      </c>
      <c r="M497">
        <v>4643.3500000000004</v>
      </c>
      <c r="N497">
        <v>4644.5200000000004</v>
      </c>
      <c r="O497">
        <v>4644.0355600000003</v>
      </c>
      <c r="P497">
        <v>4646.9374100000005</v>
      </c>
      <c r="Q497">
        <v>4641.2401399999999</v>
      </c>
    </row>
    <row r="498" spans="1:17" x14ac:dyDescent="0.55000000000000004">
      <c r="A498">
        <v>1773021600</v>
      </c>
      <c r="B498" t="s">
        <v>0</v>
      </c>
      <c r="C498" t="s">
        <v>1</v>
      </c>
      <c r="D498">
        <v>5091.3599999999997</v>
      </c>
      <c r="E498">
        <v>5084.2534599999999</v>
      </c>
      <c r="F498">
        <v>5086.6061099999997</v>
      </c>
      <c r="G498">
        <v>5100.4441200000001</v>
      </c>
      <c r="H498">
        <v>5056.7296299999998</v>
      </c>
      <c r="J498">
        <v>1775542800</v>
      </c>
      <c r="K498" t="s">
        <v>0</v>
      </c>
      <c r="L498" t="s">
        <v>2</v>
      </c>
      <c r="M498">
        <v>4642.46</v>
      </c>
      <c r="N498">
        <v>4644.44211</v>
      </c>
      <c r="O498">
        <v>4644.2388300000002</v>
      </c>
      <c r="P498">
        <v>4647.0237299999999</v>
      </c>
      <c r="Q498">
        <v>4641.11805</v>
      </c>
    </row>
    <row r="499" spans="1:17" x14ac:dyDescent="0.55000000000000004">
      <c r="A499">
        <v>1773025200</v>
      </c>
      <c r="B499" t="s">
        <v>0</v>
      </c>
      <c r="C499" t="s">
        <v>1</v>
      </c>
      <c r="D499">
        <v>5090.32</v>
      </c>
      <c r="E499">
        <v>5089.6139499999999</v>
      </c>
      <c r="F499">
        <v>5088.1100299999998</v>
      </c>
      <c r="G499">
        <v>5104.9857000000002</v>
      </c>
      <c r="H499">
        <v>5066.2107599999999</v>
      </c>
      <c r="J499">
        <v>1775543100</v>
      </c>
      <c r="K499" t="s">
        <v>0</v>
      </c>
      <c r="L499" t="s">
        <v>2</v>
      </c>
      <c r="M499">
        <v>4641.3</v>
      </c>
      <c r="N499">
        <v>4644.6211999999996</v>
      </c>
      <c r="O499">
        <v>4644.4300199999998</v>
      </c>
      <c r="P499">
        <v>4647.2703899999997</v>
      </c>
      <c r="Q499">
        <v>4641.2037300000002</v>
      </c>
    </row>
    <row r="500" spans="1:17" x14ac:dyDescent="0.55000000000000004">
      <c r="A500">
        <v>1773028800</v>
      </c>
      <c r="B500" t="s">
        <v>0</v>
      </c>
      <c r="C500" t="s">
        <v>1</v>
      </c>
      <c r="D500">
        <v>5124.42</v>
      </c>
      <c r="E500">
        <v>5096.1796000000004</v>
      </c>
      <c r="F500">
        <v>5092.1448099999998</v>
      </c>
      <c r="G500">
        <v>5111.7100899999996</v>
      </c>
      <c r="H500">
        <v>5077.2362300000004</v>
      </c>
      <c r="J500">
        <v>1775543400</v>
      </c>
      <c r="K500" t="s">
        <v>0</v>
      </c>
      <c r="L500" t="s">
        <v>2</v>
      </c>
      <c r="M500">
        <v>4643.43</v>
      </c>
      <c r="N500">
        <v>4645.3357900000001</v>
      </c>
      <c r="O500">
        <v>4644.8828999999996</v>
      </c>
      <c r="P500">
        <v>4647.8689199999999</v>
      </c>
      <c r="Q500">
        <v>4641.79486</v>
      </c>
    </row>
    <row r="501" spans="1:17" x14ac:dyDescent="0.55000000000000004">
      <c r="A501">
        <v>1773032400</v>
      </c>
      <c r="B501" t="s">
        <v>0</v>
      </c>
      <c r="C501" t="s">
        <v>1</v>
      </c>
      <c r="D501">
        <v>5097.6899999999996</v>
      </c>
      <c r="E501">
        <v>5101.0715200000004</v>
      </c>
      <c r="F501">
        <v>5096.6081700000004</v>
      </c>
      <c r="G501">
        <v>5117.6066600000004</v>
      </c>
      <c r="H501">
        <v>5087.3058700000001</v>
      </c>
      <c r="J501">
        <v>1775543700</v>
      </c>
      <c r="K501" t="s">
        <v>0</v>
      </c>
      <c r="L501" t="s">
        <v>2</v>
      </c>
      <c r="M501">
        <v>4646</v>
      </c>
      <c r="N501">
        <v>4646.6381099999999</v>
      </c>
      <c r="O501">
        <v>4645.7605100000001</v>
      </c>
      <c r="P501">
        <v>4648.9227199999996</v>
      </c>
      <c r="Q501">
        <v>4643.0070900000001</v>
      </c>
    </row>
    <row r="502" spans="1:17" x14ac:dyDescent="0.55000000000000004">
      <c r="A502">
        <v>1773036000</v>
      </c>
      <c r="B502" t="s">
        <v>0</v>
      </c>
      <c r="C502" t="s">
        <v>1</v>
      </c>
      <c r="D502">
        <v>5098.8900000000003</v>
      </c>
      <c r="E502">
        <v>5103.7409600000001</v>
      </c>
      <c r="F502">
        <v>5100.1745700000001</v>
      </c>
      <c r="G502">
        <v>5121.3770299999996</v>
      </c>
      <c r="H502">
        <v>5093.9890400000004</v>
      </c>
      <c r="J502">
        <v>1775544000</v>
      </c>
      <c r="K502" t="s">
        <v>0</v>
      </c>
      <c r="L502" t="s">
        <v>2</v>
      </c>
      <c r="M502">
        <v>4652.47</v>
      </c>
      <c r="N502">
        <v>4648.3979399999998</v>
      </c>
      <c r="O502">
        <v>4647.0792199999996</v>
      </c>
      <c r="P502">
        <v>4650.44668</v>
      </c>
      <c r="Q502">
        <v>4644.77639</v>
      </c>
    </row>
    <row r="503" spans="1:17" x14ac:dyDescent="0.55000000000000004">
      <c r="A503">
        <v>1773039600</v>
      </c>
      <c r="B503" t="s">
        <v>0</v>
      </c>
      <c r="C503" t="s">
        <v>1</v>
      </c>
      <c r="D503">
        <v>5096.59</v>
      </c>
      <c r="E503">
        <v>5103.6268099999998</v>
      </c>
      <c r="F503">
        <v>5101.9006900000004</v>
      </c>
      <c r="G503">
        <v>5122.8487699999996</v>
      </c>
      <c r="H503">
        <v>5096.5166600000002</v>
      </c>
      <c r="J503">
        <v>1775544300</v>
      </c>
      <c r="K503" t="s">
        <v>0</v>
      </c>
      <c r="L503" t="s">
        <v>2</v>
      </c>
      <c r="M503">
        <v>4651.05</v>
      </c>
      <c r="N503">
        <v>4650.2602999999999</v>
      </c>
      <c r="O503">
        <v>4648.6697599999998</v>
      </c>
      <c r="P503">
        <v>4652.1937099999996</v>
      </c>
      <c r="Q503">
        <v>4646.8589700000002</v>
      </c>
    </row>
    <row r="504" spans="1:17" x14ac:dyDescent="0.55000000000000004">
      <c r="A504">
        <v>1773043200</v>
      </c>
      <c r="B504" t="s">
        <v>0</v>
      </c>
      <c r="C504" t="s">
        <v>1</v>
      </c>
      <c r="D504">
        <v>5105.28</v>
      </c>
      <c r="E504">
        <v>5100.9549999999999</v>
      </c>
      <c r="F504">
        <v>5101.4278400000003</v>
      </c>
      <c r="G504">
        <v>5121.7342699999999</v>
      </c>
      <c r="H504">
        <v>5094.97613</v>
      </c>
      <c r="J504">
        <v>1775544600</v>
      </c>
      <c r="K504" t="s">
        <v>0</v>
      </c>
      <c r="L504" t="s">
        <v>2</v>
      </c>
      <c r="M504">
        <v>4653.72</v>
      </c>
      <c r="N504">
        <v>4651.9858199999999</v>
      </c>
      <c r="O504">
        <v>4650.3277900000003</v>
      </c>
      <c r="P504">
        <v>4654.0127700000003</v>
      </c>
      <c r="Q504">
        <v>4648.8061699999998</v>
      </c>
    </row>
    <row r="505" spans="1:17" x14ac:dyDescent="0.55000000000000004">
      <c r="A505">
        <v>1773046800</v>
      </c>
      <c r="B505" t="s">
        <v>0</v>
      </c>
      <c r="C505" t="s">
        <v>1</v>
      </c>
      <c r="D505">
        <v>5087.28</v>
      </c>
      <c r="E505">
        <v>5096.3888500000003</v>
      </c>
      <c r="F505">
        <v>5098.9083499999997</v>
      </c>
      <c r="G505">
        <v>5117.9882299999999</v>
      </c>
      <c r="H505">
        <v>5090.0416599999999</v>
      </c>
      <c r="J505">
        <v>1775544900</v>
      </c>
      <c r="K505" t="s">
        <v>0</v>
      </c>
      <c r="L505" t="s">
        <v>2</v>
      </c>
      <c r="M505">
        <v>4653.55</v>
      </c>
      <c r="N505">
        <v>4653.2307300000002</v>
      </c>
      <c r="O505">
        <v>4651.7792600000002</v>
      </c>
      <c r="P505">
        <v>4655.5997299999999</v>
      </c>
      <c r="Q505">
        <v>4650.2298300000002</v>
      </c>
    </row>
    <row r="506" spans="1:17" x14ac:dyDescent="0.55000000000000004">
      <c r="A506">
        <v>1773050400</v>
      </c>
      <c r="B506" t="s">
        <v>0</v>
      </c>
      <c r="C506" t="s">
        <v>1</v>
      </c>
      <c r="D506">
        <v>5088.1400000000003</v>
      </c>
      <c r="E506">
        <v>5091.7317000000003</v>
      </c>
      <c r="F506">
        <v>5095.3200200000001</v>
      </c>
      <c r="G506">
        <v>5113.16615</v>
      </c>
      <c r="H506">
        <v>5083.6686799999998</v>
      </c>
      <c r="J506">
        <v>1775545200</v>
      </c>
      <c r="K506" t="s">
        <v>0</v>
      </c>
      <c r="L506" t="s">
        <v>2</v>
      </c>
      <c r="M506">
        <v>4652.0600000000004</v>
      </c>
      <c r="N506">
        <v>4653.7868500000004</v>
      </c>
      <c r="O506">
        <v>4652.78305</v>
      </c>
      <c r="P506">
        <v>4656.6736899999996</v>
      </c>
      <c r="Q506">
        <v>4650.8216700000003</v>
      </c>
    </row>
    <row r="507" spans="1:17" x14ac:dyDescent="0.55000000000000004">
      <c r="A507">
        <v>1773054000</v>
      </c>
      <c r="B507" t="s">
        <v>0</v>
      </c>
      <c r="C507" t="s">
        <v>1</v>
      </c>
      <c r="D507">
        <v>5095.05</v>
      </c>
      <c r="E507">
        <v>5088.2028300000002</v>
      </c>
      <c r="F507">
        <v>5091.7614199999998</v>
      </c>
      <c r="G507">
        <v>5108.83842</v>
      </c>
      <c r="H507">
        <v>5077.6983099999998</v>
      </c>
      <c r="J507">
        <v>1775545500</v>
      </c>
      <c r="K507" t="s">
        <v>0</v>
      </c>
      <c r="L507" t="s">
        <v>2</v>
      </c>
      <c r="M507">
        <v>4654.2</v>
      </c>
      <c r="N507">
        <v>4653.5519000000004</v>
      </c>
      <c r="O507">
        <v>4653.1674800000001</v>
      </c>
      <c r="P507">
        <v>4657.0304299999998</v>
      </c>
      <c r="Q507">
        <v>4650.5318399999996</v>
      </c>
    </row>
    <row r="508" spans="1:17" x14ac:dyDescent="0.55000000000000004">
      <c r="A508">
        <v>1773057600</v>
      </c>
      <c r="B508" t="s">
        <v>0</v>
      </c>
      <c r="C508" t="s">
        <v>1</v>
      </c>
      <c r="D508">
        <v>5074.2700000000004</v>
      </c>
      <c r="E508">
        <v>5086.6671500000002</v>
      </c>
      <c r="F508">
        <v>5089.2142899999999</v>
      </c>
      <c r="G508">
        <v>5105.7083199999997</v>
      </c>
      <c r="H508">
        <v>5073.4221699999998</v>
      </c>
      <c r="J508">
        <v>1775545800</v>
      </c>
      <c r="K508" t="s">
        <v>0</v>
      </c>
      <c r="L508" t="s">
        <v>2</v>
      </c>
      <c r="M508">
        <v>4651.5600000000004</v>
      </c>
      <c r="N508">
        <v>4652.4474700000001</v>
      </c>
      <c r="O508">
        <v>4652.8074699999997</v>
      </c>
      <c r="P508">
        <v>4656.4923900000003</v>
      </c>
      <c r="Q508">
        <v>4649.4132799999998</v>
      </c>
    </row>
    <row r="509" spans="1:17" x14ac:dyDescent="0.55000000000000004">
      <c r="A509">
        <v>1773061200</v>
      </c>
      <c r="B509" t="s">
        <v>0</v>
      </c>
      <c r="C509" t="s">
        <v>1</v>
      </c>
      <c r="D509">
        <v>5093.95</v>
      </c>
      <c r="E509">
        <v>5088.31837</v>
      </c>
      <c r="F509">
        <v>5088.7663300000004</v>
      </c>
      <c r="G509">
        <v>5104.6126899999999</v>
      </c>
      <c r="H509">
        <v>5072.5203499999998</v>
      </c>
      <c r="J509">
        <v>1775546100</v>
      </c>
      <c r="K509" t="s">
        <v>0</v>
      </c>
      <c r="L509" t="s">
        <v>2</v>
      </c>
      <c r="M509">
        <v>4651.8100000000004</v>
      </c>
      <c r="N509">
        <v>4650.6280800000004</v>
      </c>
      <c r="O509">
        <v>4651.7177799999999</v>
      </c>
      <c r="P509">
        <v>4654.9931699999997</v>
      </c>
      <c r="Q509">
        <v>4647.6204500000003</v>
      </c>
    </row>
    <row r="510" spans="1:17" x14ac:dyDescent="0.55000000000000004">
      <c r="A510">
        <v>1773064800</v>
      </c>
      <c r="B510" t="s">
        <v>0</v>
      </c>
      <c r="C510" t="s">
        <v>1</v>
      </c>
      <c r="D510">
        <v>5099.62</v>
      </c>
      <c r="E510">
        <v>5092.7070299999996</v>
      </c>
      <c r="F510">
        <v>5090.73668</v>
      </c>
      <c r="G510">
        <v>5105.8864999999996</v>
      </c>
      <c r="H510">
        <v>5075.64563</v>
      </c>
      <c r="J510">
        <v>1775546400</v>
      </c>
      <c r="K510" t="s">
        <v>0</v>
      </c>
      <c r="L510" t="s">
        <v>2</v>
      </c>
      <c r="M510">
        <v>4647.92</v>
      </c>
      <c r="N510">
        <v>4648.2619100000002</v>
      </c>
      <c r="O510">
        <v>4649.9898400000002</v>
      </c>
      <c r="P510">
        <v>4652.7263300000004</v>
      </c>
      <c r="Q510">
        <v>4645.3857900000003</v>
      </c>
    </row>
    <row r="511" spans="1:17" x14ac:dyDescent="0.55000000000000004">
      <c r="A511">
        <v>1773068400</v>
      </c>
      <c r="B511" t="s">
        <v>0</v>
      </c>
      <c r="C511" t="s">
        <v>1</v>
      </c>
      <c r="D511">
        <v>5104.6099999999997</v>
      </c>
      <c r="E511">
        <v>5099.4865</v>
      </c>
      <c r="F511">
        <v>5095.1115900000004</v>
      </c>
      <c r="G511">
        <v>5110.0072099999998</v>
      </c>
      <c r="H511">
        <v>5082.0998300000001</v>
      </c>
      <c r="J511">
        <v>1775546700</v>
      </c>
      <c r="K511" t="s">
        <v>0</v>
      </c>
      <c r="L511" t="s">
        <v>2</v>
      </c>
      <c r="M511">
        <v>4639.75</v>
      </c>
      <c r="N511">
        <v>4645.69614</v>
      </c>
      <c r="O511">
        <v>4647.8429900000001</v>
      </c>
      <c r="P511">
        <v>4649.9297699999997</v>
      </c>
      <c r="Q511">
        <v>4643.0246500000003</v>
      </c>
    </row>
    <row r="512" spans="1:17" x14ac:dyDescent="0.55000000000000004">
      <c r="A512">
        <v>1773072000</v>
      </c>
      <c r="B512" t="s">
        <v>0</v>
      </c>
      <c r="C512" t="s">
        <v>1</v>
      </c>
      <c r="D512">
        <v>5096.04</v>
      </c>
      <c r="E512">
        <v>5108.1407200000003</v>
      </c>
      <c r="F512">
        <v>5101.6261599999998</v>
      </c>
      <c r="G512">
        <v>5116.6914299999999</v>
      </c>
      <c r="H512">
        <v>5090.8591399999996</v>
      </c>
      <c r="J512">
        <v>1775547000</v>
      </c>
      <c r="K512" t="s">
        <v>0</v>
      </c>
      <c r="L512" t="s">
        <v>2</v>
      </c>
      <c r="M512">
        <v>4643.1899999999996</v>
      </c>
      <c r="N512">
        <v>4643.4455900000003</v>
      </c>
      <c r="O512">
        <v>4645.6442900000002</v>
      </c>
      <c r="P512">
        <v>4647.0916699999998</v>
      </c>
      <c r="Q512">
        <v>4640.9342699999997</v>
      </c>
    </row>
    <row r="513" spans="1:17" x14ac:dyDescent="0.55000000000000004">
      <c r="A513">
        <v>1773075600</v>
      </c>
      <c r="B513" t="s">
        <v>0</v>
      </c>
      <c r="C513" t="s">
        <v>1</v>
      </c>
      <c r="D513">
        <v>5123.07</v>
      </c>
      <c r="E513">
        <v>5118.3383199999998</v>
      </c>
      <c r="F513">
        <v>5109.9822400000003</v>
      </c>
      <c r="G513">
        <v>5125.6757799999996</v>
      </c>
      <c r="H513">
        <v>5101.2298499999997</v>
      </c>
      <c r="J513">
        <v>1775547300</v>
      </c>
      <c r="K513" t="s">
        <v>0</v>
      </c>
      <c r="L513" t="s">
        <v>2</v>
      </c>
      <c r="M513">
        <v>4646.3</v>
      </c>
      <c r="N513">
        <v>4641.7407700000003</v>
      </c>
      <c r="O513">
        <v>4643.6925300000003</v>
      </c>
      <c r="P513">
        <v>4644.7985500000004</v>
      </c>
      <c r="Q513">
        <v>4639.3752599999998</v>
      </c>
    </row>
    <row r="514" spans="1:17" x14ac:dyDescent="0.55000000000000004">
      <c r="A514">
        <v>1773079200</v>
      </c>
      <c r="B514" t="s">
        <v>0</v>
      </c>
      <c r="C514" t="s">
        <v>1</v>
      </c>
      <c r="D514">
        <v>5141.09</v>
      </c>
      <c r="E514">
        <v>5128.6796999999997</v>
      </c>
      <c r="F514">
        <v>5119.33097</v>
      </c>
      <c r="G514">
        <v>5135.87032</v>
      </c>
      <c r="H514">
        <v>5112.2439199999999</v>
      </c>
      <c r="J514">
        <v>1775547600</v>
      </c>
      <c r="K514" t="s">
        <v>0</v>
      </c>
      <c r="L514" t="s">
        <v>2</v>
      </c>
      <c r="M514">
        <v>4643.76</v>
      </c>
      <c r="N514">
        <v>4640.8253599999998</v>
      </c>
      <c r="O514">
        <v>4642.2589500000004</v>
      </c>
      <c r="P514">
        <v>4643.4688699999997</v>
      </c>
      <c r="Q514">
        <v>4638.38231</v>
      </c>
    </row>
    <row r="515" spans="1:17" x14ac:dyDescent="0.55000000000000004">
      <c r="A515">
        <v>1773082800</v>
      </c>
      <c r="B515" t="s">
        <v>0</v>
      </c>
      <c r="C515" t="s">
        <v>1</v>
      </c>
      <c r="D515">
        <v>5136.72</v>
      </c>
      <c r="E515">
        <v>5138.1445700000004</v>
      </c>
      <c r="F515">
        <v>5128.7377699999997</v>
      </c>
      <c r="G515">
        <v>5146.1528900000003</v>
      </c>
      <c r="H515">
        <v>5122.5021999999999</v>
      </c>
      <c r="J515">
        <v>1775547900</v>
      </c>
      <c r="K515" t="s">
        <v>0</v>
      </c>
      <c r="L515" t="s">
        <v>2</v>
      </c>
      <c r="M515">
        <v>4643.1899999999996</v>
      </c>
      <c r="N515">
        <v>4641.0659699999997</v>
      </c>
      <c r="O515">
        <v>4641.6624599999996</v>
      </c>
      <c r="P515">
        <v>4643.54151</v>
      </c>
      <c r="Q515">
        <v>4638.1927100000003</v>
      </c>
    </row>
    <row r="516" spans="1:17" x14ac:dyDescent="0.55000000000000004">
      <c r="A516">
        <v>1773093600</v>
      </c>
      <c r="B516" t="s">
        <v>0</v>
      </c>
      <c r="C516" t="s">
        <v>1</v>
      </c>
      <c r="D516">
        <v>5139.71</v>
      </c>
      <c r="E516">
        <v>5146.6129199999996</v>
      </c>
      <c r="F516">
        <v>5137.6753399999998</v>
      </c>
      <c r="G516">
        <v>5155.7702499999996</v>
      </c>
      <c r="H516">
        <v>5131.2540300000001</v>
      </c>
      <c r="J516">
        <v>1775548200</v>
      </c>
      <c r="K516" t="s">
        <v>0</v>
      </c>
      <c r="L516" t="s">
        <v>2</v>
      </c>
      <c r="M516">
        <v>4639.78</v>
      </c>
      <c r="N516">
        <v>4642.7150099999999</v>
      </c>
      <c r="O516">
        <v>4642.1887399999996</v>
      </c>
      <c r="P516">
        <v>4645.3575799999999</v>
      </c>
      <c r="Q516">
        <v>4638.9630800000004</v>
      </c>
    </row>
    <row r="517" spans="1:17" x14ac:dyDescent="0.55000000000000004">
      <c r="A517">
        <v>1773097200</v>
      </c>
      <c r="B517" t="s">
        <v>0</v>
      </c>
      <c r="C517" t="s">
        <v>1</v>
      </c>
      <c r="D517">
        <v>5131.4399999999996</v>
      </c>
      <c r="E517">
        <v>5153.8868700000003</v>
      </c>
      <c r="F517">
        <v>5145.7811099999999</v>
      </c>
      <c r="G517">
        <v>5164.0714200000002</v>
      </c>
      <c r="H517">
        <v>5138.5071600000001</v>
      </c>
      <c r="J517">
        <v>1775548500</v>
      </c>
      <c r="K517" t="s">
        <v>0</v>
      </c>
      <c r="L517" t="s">
        <v>2</v>
      </c>
      <c r="M517">
        <v>4646.1000000000004</v>
      </c>
      <c r="N517">
        <v>4645.9839700000002</v>
      </c>
      <c r="O517">
        <v>4644.0863499999996</v>
      </c>
      <c r="P517">
        <v>4648.9930800000002</v>
      </c>
      <c r="Q517">
        <v>4640.9263099999998</v>
      </c>
    </row>
    <row r="518" spans="1:17" x14ac:dyDescent="0.55000000000000004">
      <c r="A518">
        <v>1773100800</v>
      </c>
      <c r="B518" t="s">
        <v>0</v>
      </c>
      <c r="C518" t="s">
        <v>1</v>
      </c>
      <c r="D518">
        <v>5184.26</v>
      </c>
      <c r="E518">
        <v>5160.2750999999998</v>
      </c>
      <c r="F518">
        <v>5153.0281000000004</v>
      </c>
      <c r="G518">
        <v>5171.0929900000001</v>
      </c>
      <c r="H518">
        <v>5144.8393500000002</v>
      </c>
      <c r="J518">
        <v>1775548800</v>
      </c>
      <c r="K518" t="s">
        <v>0</v>
      </c>
      <c r="L518" t="s">
        <v>2</v>
      </c>
      <c r="M518">
        <v>4650.37</v>
      </c>
      <c r="N518">
        <v>4650.6610199999996</v>
      </c>
      <c r="O518">
        <v>4647.3736900000004</v>
      </c>
      <c r="P518">
        <v>4654.2536399999999</v>
      </c>
      <c r="Q518">
        <v>4644.1935899999999</v>
      </c>
    </row>
    <row r="519" spans="1:17" x14ac:dyDescent="0.55000000000000004">
      <c r="A519">
        <v>1773104400</v>
      </c>
      <c r="B519" t="s">
        <v>0</v>
      </c>
      <c r="C519" t="s">
        <v>1</v>
      </c>
      <c r="D519">
        <v>5166.01</v>
      </c>
      <c r="E519">
        <v>5164.5219999999999</v>
      </c>
      <c r="F519">
        <v>5158.7750500000002</v>
      </c>
      <c r="G519">
        <v>5175.6362399999998</v>
      </c>
      <c r="H519">
        <v>5150.6407600000002</v>
      </c>
      <c r="J519">
        <v>1775549100</v>
      </c>
      <c r="K519" t="s">
        <v>0</v>
      </c>
      <c r="L519" t="s">
        <v>2</v>
      </c>
      <c r="M519">
        <v>4651.55</v>
      </c>
      <c r="N519">
        <v>4656.3765899999999</v>
      </c>
      <c r="O519">
        <v>4651.8751400000001</v>
      </c>
      <c r="P519">
        <v>4660.4736499999999</v>
      </c>
      <c r="Q519">
        <v>4648.5843100000002</v>
      </c>
    </row>
    <row r="520" spans="1:17" x14ac:dyDescent="0.55000000000000004">
      <c r="A520">
        <v>1773108000</v>
      </c>
      <c r="B520" t="s">
        <v>0</v>
      </c>
      <c r="C520" t="s">
        <v>1</v>
      </c>
      <c r="D520">
        <v>5157.5</v>
      </c>
      <c r="E520">
        <v>5167.5054499999997</v>
      </c>
      <c r="F520">
        <v>5163.1402500000004</v>
      </c>
      <c r="G520">
        <v>5177.9089599999998</v>
      </c>
      <c r="H520">
        <v>5155.1094899999998</v>
      </c>
      <c r="J520">
        <v>1775549400</v>
      </c>
      <c r="K520" t="s">
        <v>0</v>
      </c>
      <c r="L520" t="s">
        <v>2</v>
      </c>
      <c r="M520">
        <v>4663.43</v>
      </c>
      <c r="N520">
        <v>4662.6843200000003</v>
      </c>
      <c r="O520">
        <v>4657.2797300000002</v>
      </c>
      <c r="P520">
        <v>4667.2751500000004</v>
      </c>
      <c r="Q520">
        <v>4653.8036499999998</v>
      </c>
    </row>
    <row r="521" spans="1:17" x14ac:dyDescent="0.55000000000000004">
      <c r="A521">
        <v>1773111600</v>
      </c>
      <c r="B521" t="s">
        <v>0</v>
      </c>
      <c r="C521" t="s">
        <v>1</v>
      </c>
      <c r="D521">
        <v>5163.8500000000004</v>
      </c>
      <c r="E521">
        <v>5169.8694599999999</v>
      </c>
      <c r="F521">
        <v>5166.50486</v>
      </c>
      <c r="G521">
        <v>5178.7277899999999</v>
      </c>
      <c r="H521">
        <v>5158.6321500000004</v>
      </c>
      <c r="J521">
        <v>1775549700</v>
      </c>
      <c r="K521" t="s">
        <v>0</v>
      </c>
      <c r="L521" t="s">
        <v>2</v>
      </c>
      <c r="M521">
        <v>4661.58</v>
      </c>
      <c r="N521">
        <v>4668.8171400000001</v>
      </c>
      <c r="O521">
        <v>4663.0484299999998</v>
      </c>
      <c r="P521">
        <v>4673.7921100000003</v>
      </c>
      <c r="Q521">
        <v>4659.5071099999996</v>
      </c>
    </row>
    <row r="522" spans="1:17" x14ac:dyDescent="0.55000000000000004">
      <c r="A522">
        <v>1773115200</v>
      </c>
      <c r="B522" t="s">
        <v>0</v>
      </c>
      <c r="C522" t="s">
        <v>1</v>
      </c>
      <c r="D522">
        <v>5178.1000000000004</v>
      </c>
      <c r="E522">
        <v>5171.8263699999998</v>
      </c>
      <c r="F522">
        <v>5169.16561</v>
      </c>
      <c r="G522">
        <v>5178.9551000000001</v>
      </c>
      <c r="H522">
        <v>5161.3819199999998</v>
      </c>
      <c r="J522">
        <v>1775550000</v>
      </c>
      <c r="K522" t="s">
        <v>0</v>
      </c>
      <c r="L522" t="s">
        <v>2</v>
      </c>
      <c r="M522">
        <v>4684.4799999999996</v>
      </c>
      <c r="N522">
        <v>4674.3835399999998</v>
      </c>
      <c r="O522">
        <v>4668.7159899999997</v>
      </c>
      <c r="P522">
        <v>4679.5384599999998</v>
      </c>
      <c r="Q522">
        <v>4665.1736199999996</v>
      </c>
    </row>
    <row r="523" spans="1:17" x14ac:dyDescent="0.55000000000000004">
      <c r="A523">
        <v>1773118800</v>
      </c>
      <c r="B523" t="s">
        <v>0</v>
      </c>
      <c r="C523" t="s">
        <v>1</v>
      </c>
      <c r="D523">
        <v>5175.0600000000004</v>
      </c>
      <c r="E523">
        <v>5173.2865199999997</v>
      </c>
      <c r="F523">
        <v>5171.22606</v>
      </c>
      <c r="G523">
        <v>5179.08133</v>
      </c>
      <c r="H523">
        <v>5163.3046400000003</v>
      </c>
      <c r="J523">
        <v>1775550300</v>
      </c>
      <c r="K523" t="s">
        <v>0</v>
      </c>
      <c r="L523" t="s">
        <v>2</v>
      </c>
      <c r="M523">
        <v>4678.26</v>
      </c>
      <c r="N523">
        <v>4678.49539</v>
      </c>
      <c r="O523">
        <v>4673.6056900000003</v>
      </c>
      <c r="P523">
        <v>4683.5375000000004</v>
      </c>
      <c r="Q523">
        <v>4670.38292</v>
      </c>
    </row>
    <row r="524" spans="1:17" x14ac:dyDescent="0.55000000000000004">
      <c r="A524">
        <v>1773122400</v>
      </c>
      <c r="B524" t="s">
        <v>0</v>
      </c>
      <c r="C524" t="s">
        <v>1</v>
      </c>
      <c r="D524">
        <v>5181</v>
      </c>
      <c r="E524">
        <v>5174.6917400000002</v>
      </c>
      <c r="F524">
        <v>5172.9588999999996</v>
      </c>
      <c r="G524">
        <v>5179.8228399999998</v>
      </c>
      <c r="H524">
        <v>5164.4948400000003</v>
      </c>
      <c r="J524">
        <v>1775550600</v>
      </c>
      <c r="K524" t="s">
        <v>0</v>
      </c>
      <c r="L524" t="s">
        <v>2</v>
      </c>
      <c r="M524">
        <v>4684.92</v>
      </c>
      <c r="N524">
        <v>4681.25882</v>
      </c>
      <c r="O524">
        <v>4677.4322499999998</v>
      </c>
      <c r="P524">
        <v>4685.8406699999996</v>
      </c>
      <c r="Q524">
        <v>4674.47469</v>
      </c>
    </row>
    <row r="525" spans="1:17" x14ac:dyDescent="0.55000000000000004">
      <c r="A525">
        <v>1773126000</v>
      </c>
      <c r="B525" t="s">
        <v>0</v>
      </c>
      <c r="C525" t="s">
        <v>1</v>
      </c>
      <c r="D525">
        <v>5183.33</v>
      </c>
      <c r="E525">
        <v>5176.6113699999996</v>
      </c>
      <c r="F525">
        <v>5174.78514</v>
      </c>
      <c r="G525">
        <v>5181.9529599999996</v>
      </c>
      <c r="H525">
        <v>5165.97019</v>
      </c>
      <c r="J525">
        <v>1775550900</v>
      </c>
      <c r="K525" t="s">
        <v>0</v>
      </c>
      <c r="L525" t="s">
        <v>2</v>
      </c>
      <c r="M525">
        <v>4681.8999999999996</v>
      </c>
      <c r="N525">
        <v>4682.7228400000004</v>
      </c>
      <c r="O525">
        <v>4680.07755</v>
      </c>
      <c r="P525">
        <v>4686.7672499999999</v>
      </c>
      <c r="Q525">
        <v>4677.4465099999998</v>
      </c>
    </row>
    <row r="526" spans="1:17" x14ac:dyDescent="0.55000000000000004">
      <c r="A526">
        <v>1773129600</v>
      </c>
      <c r="B526" t="s">
        <v>0</v>
      </c>
      <c r="C526" t="s">
        <v>1</v>
      </c>
      <c r="D526">
        <v>5182.67</v>
      </c>
      <c r="E526">
        <v>5179.5280700000003</v>
      </c>
      <c r="F526">
        <v>5177.1566000000003</v>
      </c>
      <c r="G526">
        <v>5185.7202799999995</v>
      </c>
      <c r="H526">
        <v>5167.8495199999998</v>
      </c>
      <c r="J526">
        <v>1775551200</v>
      </c>
      <c r="K526" t="s">
        <v>0</v>
      </c>
      <c r="L526" t="s">
        <v>2</v>
      </c>
      <c r="M526">
        <v>4683.16</v>
      </c>
      <c r="N526">
        <v>4683.3863099999999</v>
      </c>
      <c r="O526">
        <v>4681.7319299999999</v>
      </c>
      <c r="P526">
        <v>4686.8251399999999</v>
      </c>
      <c r="Q526">
        <v>4679.3682099999996</v>
      </c>
    </row>
    <row r="527" spans="1:17" x14ac:dyDescent="0.55000000000000004">
      <c r="A527">
        <v>1773133200</v>
      </c>
      <c r="B527" t="s">
        <v>0</v>
      </c>
      <c r="C527" t="s">
        <v>1</v>
      </c>
      <c r="D527">
        <v>5177.32</v>
      </c>
      <c r="E527">
        <v>5183.7431200000001</v>
      </c>
      <c r="F527">
        <v>5180.4498599999997</v>
      </c>
      <c r="G527">
        <v>5191.4282000000003</v>
      </c>
      <c r="H527">
        <v>5170.4740400000001</v>
      </c>
      <c r="J527">
        <v>1775551500</v>
      </c>
      <c r="K527" t="s">
        <v>0</v>
      </c>
      <c r="L527" t="s">
        <v>2</v>
      </c>
      <c r="M527">
        <v>4682.1899999999996</v>
      </c>
      <c r="N527">
        <v>4683.7238799999996</v>
      </c>
      <c r="O527">
        <v>4682.7278999999999</v>
      </c>
      <c r="P527">
        <v>4686.7123199999996</v>
      </c>
      <c r="Q527">
        <v>4680.6297199999999</v>
      </c>
    </row>
    <row r="528" spans="1:17" x14ac:dyDescent="0.55000000000000004">
      <c r="A528">
        <v>1773136800</v>
      </c>
      <c r="B528" t="s">
        <v>0</v>
      </c>
      <c r="C528" t="s">
        <v>1</v>
      </c>
      <c r="D528">
        <v>5175.2700000000004</v>
      </c>
      <c r="E528">
        <v>5189.3771699999998</v>
      </c>
      <c r="F528">
        <v>5184.9135100000003</v>
      </c>
      <c r="G528">
        <v>5198.9540800000004</v>
      </c>
      <c r="H528">
        <v>5174.63598</v>
      </c>
      <c r="J528">
        <v>1775551800</v>
      </c>
      <c r="K528" t="s">
        <v>0</v>
      </c>
      <c r="L528" t="s">
        <v>2</v>
      </c>
      <c r="M528">
        <v>4684.96</v>
      </c>
      <c r="N528">
        <v>4684.1785499999996</v>
      </c>
      <c r="O528">
        <v>4683.4532300000001</v>
      </c>
      <c r="P528">
        <v>4686.8649299999997</v>
      </c>
      <c r="Q528">
        <v>4681.5932400000002</v>
      </c>
    </row>
    <row r="529" spans="1:17" x14ac:dyDescent="0.55000000000000004">
      <c r="A529">
        <v>1773140400</v>
      </c>
      <c r="B529" t="s">
        <v>0</v>
      </c>
      <c r="C529" t="s">
        <v>1</v>
      </c>
      <c r="D529">
        <v>5187.01</v>
      </c>
      <c r="E529">
        <v>5196.1529</v>
      </c>
      <c r="F529">
        <v>5190.5331999999999</v>
      </c>
      <c r="G529">
        <v>5207.4156999999996</v>
      </c>
      <c r="H529">
        <v>5179.7484100000001</v>
      </c>
      <c r="J529">
        <v>1775552100</v>
      </c>
      <c r="K529" t="s">
        <v>0</v>
      </c>
      <c r="L529" t="s">
        <v>2</v>
      </c>
      <c r="M529">
        <v>4683.07</v>
      </c>
      <c r="N529">
        <v>4684.9126800000004</v>
      </c>
      <c r="O529">
        <v>4684.1829500000003</v>
      </c>
      <c r="P529">
        <v>4687.6211400000002</v>
      </c>
      <c r="Q529">
        <v>4682.5110699999996</v>
      </c>
    </row>
    <row r="530" spans="1:17" x14ac:dyDescent="0.55000000000000004">
      <c r="A530">
        <v>1773144000</v>
      </c>
      <c r="B530" t="s">
        <v>0</v>
      </c>
      <c r="C530" t="s">
        <v>1</v>
      </c>
      <c r="D530">
        <v>5205.43</v>
      </c>
      <c r="E530">
        <v>5203.1261400000003</v>
      </c>
      <c r="F530">
        <v>5196.8296700000001</v>
      </c>
      <c r="G530">
        <v>5215.9368400000003</v>
      </c>
      <c r="H530">
        <v>5185.6254600000002</v>
      </c>
      <c r="J530">
        <v>1775552400</v>
      </c>
      <c r="K530" t="s">
        <v>0</v>
      </c>
      <c r="L530" t="s">
        <v>2</v>
      </c>
      <c r="M530">
        <v>4683.3500000000004</v>
      </c>
      <c r="N530">
        <v>4685.9762600000004</v>
      </c>
      <c r="O530">
        <v>4685.0796099999998</v>
      </c>
      <c r="P530">
        <v>4688.9395000000004</v>
      </c>
      <c r="Q530">
        <v>4683.4725600000002</v>
      </c>
    </row>
    <row r="531" spans="1:17" x14ac:dyDescent="0.55000000000000004">
      <c r="A531">
        <v>1773147600</v>
      </c>
      <c r="B531" t="s">
        <v>0</v>
      </c>
      <c r="C531" t="s">
        <v>1</v>
      </c>
      <c r="D531">
        <v>5206.78</v>
      </c>
      <c r="E531">
        <v>5209.0115400000004</v>
      </c>
      <c r="F531">
        <v>5202.9206100000001</v>
      </c>
      <c r="G531">
        <v>5222.5167700000002</v>
      </c>
      <c r="H531">
        <v>5191.0489900000002</v>
      </c>
      <c r="J531">
        <v>1775552700</v>
      </c>
      <c r="K531" t="s">
        <v>0</v>
      </c>
      <c r="L531" t="s">
        <v>2</v>
      </c>
      <c r="M531">
        <v>4686.03</v>
      </c>
      <c r="N531">
        <v>4687.1313499999997</v>
      </c>
      <c r="O531">
        <v>4686.1054800000002</v>
      </c>
      <c r="P531">
        <v>4690.5211900000004</v>
      </c>
      <c r="Q531">
        <v>4684.3503499999997</v>
      </c>
    </row>
    <row r="532" spans="1:17" x14ac:dyDescent="0.55000000000000004">
      <c r="A532">
        <v>1773151200</v>
      </c>
      <c r="B532" t="s">
        <v>0</v>
      </c>
      <c r="C532" t="s">
        <v>1</v>
      </c>
      <c r="D532">
        <v>5228.63</v>
      </c>
      <c r="E532">
        <v>5213.0879800000002</v>
      </c>
      <c r="F532">
        <v>5208.0042899999999</v>
      </c>
      <c r="G532">
        <v>5226.8140100000001</v>
      </c>
      <c r="H532">
        <v>5195.3725000000004</v>
      </c>
      <c r="J532">
        <v>1775553000</v>
      </c>
      <c r="K532" t="s">
        <v>0</v>
      </c>
      <c r="L532" t="s">
        <v>2</v>
      </c>
      <c r="M532">
        <v>4685.16</v>
      </c>
      <c r="N532">
        <v>4687.9198800000004</v>
      </c>
      <c r="O532">
        <v>4687.0126799999998</v>
      </c>
      <c r="P532">
        <v>4691.9361900000004</v>
      </c>
      <c r="Q532">
        <v>4684.9215700000004</v>
      </c>
    </row>
    <row r="533" spans="1:17" x14ac:dyDescent="0.55000000000000004">
      <c r="A533">
        <v>1773154800</v>
      </c>
      <c r="B533" t="s">
        <v>0</v>
      </c>
      <c r="C533" t="s">
        <v>1</v>
      </c>
      <c r="D533">
        <v>5227.57</v>
      </c>
      <c r="E533">
        <v>5214.4215800000002</v>
      </c>
      <c r="F533">
        <v>5211.2129299999997</v>
      </c>
      <c r="G533">
        <v>5227.9840100000001</v>
      </c>
      <c r="H533">
        <v>5197.62806</v>
      </c>
      <c r="J533">
        <v>1775553300</v>
      </c>
      <c r="K533" t="s">
        <v>0</v>
      </c>
      <c r="L533" t="s">
        <v>2</v>
      </c>
      <c r="M533">
        <v>4690.28</v>
      </c>
      <c r="N533">
        <v>4687.9494999999997</v>
      </c>
      <c r="O533">
        <v>4687.4810900000002</v>
      </c>
      <c r="P533">
        <v>4692.5073300000004</v>
      </c>
      <c r="Q533">
        <v>4684.7638399999996</v>
      </c>
    </row>
    <row r="534" spans="1:17" x14ac:dyDescent="0.55000000000000004">
      <c r="A534">
        <v>1773158400</v>
      </c>
      <c r="B534" t="s">
        <v>0</v>
      </c>
      <c r="C534" t="s">
        <v>1</v>
      </c>
      <c r="D534">
        <v>5227.72</v>
      </c>
      <c r="E534">
        <v>5213.1904199999999</v>
      </c>
      <c r="F534">
        <v>5212.2016800000001</v>
      </c>
      <c r="G534">
        <v>5226.3396000000002</v>
      </c>
      <c r="H534">
        <v>5197.24118</v>
      </c>
      <c r="J534">
        <v>1775553600</v>
      </c>
      <c r="K534" t="s">
        <v>0</v>
      </c>
      <c r="L534" t="s">
        <v>2</v>
      </c>
      <c r="M534">
        <v>4693.93</v>
      </c>
      <c r="N534">
        <v>4686.8208299999997</v>
      </c>
      <c r="O534">
        <v>4687.1509599999999</v>
      </c>
      <c r="P534">
        <v>4691.8504400000002</v>
      </c>
      <c r="Q534">
        <v>4683.6489899999997</v>
      </c>
    </row>
    <row r="535" spans="1:17" x14ac:dyDescent="0.55000000000000004">
      <c r="A535">
        <v>1773162000</v>
      </c>
      <c r="B535" t="s">
        <v>0</v>
      </c>
      <c r="C535" t="s">
        <v>1</v>
      </c>
      <c r="D535">
        <v>5191.59</v>
      </c>
      <c r="E535">
        <v>5210.0868700000001</v>
      </c>
      <c r="F535">
        <v>5211.1442699999998</v>
      </c>
      <c r="G535">
        <v>5222.6024799999996</v>
      </c>
      <c r="H535">
        <v>5194.6953800000001</v>
      </c>
      <c r="J535">
        <v>1775553900</v>
      </c>
      <c r="K535" t="s">
        <v>0</v>
      </c>
      <c r="L535" t="s">
        <v>2</v>
      </c>
      <c r="M535">
        <v>4686.92</v>
      </c>
      <c r="N535">
        <v>4684.4017299999996</v>
      </c>
      <c r="O535">
        <v>4685.7763400000003</v>
      </c>
      <c r="P535">
        <v>4689.8253500000001</v>
      </c>
      <c r="Q535">
        <v>4681.2986799999999</v>
      </c>
    </row>
    <row r="536" spans="1:17" x14ac:dyDescent="0.55000000000000004">
      <c r="A536">
        <v>1773165600</v>
      </c>
      <c r="B536" t="s">
        <v>0</v>
      </c>
      <c r="C536" t="s">
        <v>1</v>
      </c>
      <c r="D536">
        <v>5198.6400000000003</v>
      </c>
      <c r="E536">
        <v>5207.0748599999997</v>
      </c>
      <c r="F536">
        <v>5209.1095699999996</v>
      </c>
      <c r="G536">
        <v>5218.0728300000001</v>
      </c>
      <c r="H536">
        <v>5192.6035199999997</v>
      </c>
      <c r="J536">
        <v>1775554200</v>
      </c>
      <c r="K536" t="s">
        <v>0</v>
      </c>
      <c r="L536" t="s">
        <v>2</v>
      </c>
      <c r="M536">
        <v>4683.05</v>
      </c>
      <c r="N536">
        <v>4681.0976600000004</v>
      </c>
      <c r="O536">
        <v>4683.4369999999999</v>
      </c>
      <c r="P536">
        <v>4686.5962900000004</v>
      </c>
      <c r="Q536">
        <v>4677.9365100000005</v>
      </c>
    </row>
    <row r="537" spans="1:17" x14ac:dyDescent="0.55000000000000004">
      <c r="A537">
        <v>1773169200</v>
      </c>
      <c r="B537" t="s">
        <v>0</v>
      </c>
      <c r="C537" t="s">
        <v>1</v>
      </c>
      <c r="D537">
        <v>5192.8500000000004</v>
      </c>
      <c r="E537">
        <v>5204.8074299999998</v>
      </c>
      <c r="F537">
        <v>5206.9584999999997</v>
      </c>
      <c r="G537">
        <v>5214.3203999999996</v>
      </c>
      <c r="H537">
        <v>5191.2835500000001</v>
      </c>
      <c r="J537">
        <v>1775554500</v>
      </c>
      <c r="K537" t="s">
        <v>0</v>
      </c>
      <c r="L537" t="s">
        <v>2</v>
      </c>
      <c r="M537">
        <v>4676.8599999999997</v>
      </c>
      <c r="N537">
        <v>4677.4494199999999</v>
      </c>
      <c r="O537">
        <v>4680.4432100000004</v>
      </c>
      <c r="P537">
        <v>4682.7701399999996</v>
      </c>
      <c r="Q537">
        <v>4674.0716599999996</v>
      </c>
    </row>
    <row r="538" spans="1:17" x14ac:dyDescent="0.55000000000000004">
      <c r="A538">
        <v>1773180000</v>
      </c>
      <c r="B538" t="s">
        <v>0</v>
      </c>
      <c r="C538" t="s">
        <v>1</v>
      </c>
      <c r="D538">
        <v>5197.38</v>
      </c>
      <c r="E538">
        <v>5203.8940000000002</v>
      </c>
      <c r="F538">
        <v>5205.4262500000004</v>
      </c>
      <c r="G538">
        <v>5212.21522</v>
      </c>
      <c r="H538">
        <v>5190.8956099999996</v>
      </c>
      <c r="J538">
        <v>1775554800</v>
      </c>
      <c r="K538" t="s">
        <v>0</v>
      </c>
      <c r="L538" t="s">
        <v>2</v>
      </c>
      <c r="M538">
        <v>4667.28</v>
      </c>
      <c r="N538">
        <v>4674.1346199999998</v>
      </c>
      <c r="O538">
        <v>4677.28892</v>
      </c>
      <c r="P538">
        <v>4678.9695599999995</v>
      </c>
      <c r="Q538">
        <v>4670.3186500000002</v>
      </c>
    </row>
    <row r="539" spans="1:17" x14ac:dyDescent="0.55000000000000004">
      <c r="A539">
        <v>1773183600</v>
      </c>
      <c r="B539" t="s">
        <v>0</v>
      </c>
      <c r="C539" t="s">
        <v>1</v>
      </c>
      <c r="D539">
        <v>5215.4799999999996</v>
      </c>
      <c r="E539">
        <v>5204.2551100000001</v>
      </c>
      <c r="F539">
        <v>5204.8406800000002</v>
      </c>
      <c r="G539">
        <v>5211.9285799999998</v>
      </c>
      <c r="H539">
        <v>5191.6910200000002</v>
      </c>
      <c r="J539">
        <v>1775555100</v>
      </c>
      <c r="K539" t="s">
        <v>0</v>
      </c>
      <c r="L539" t="s">
        <v>2</v>
      </c>
      <c r="M539">
        <v>4666.75</v>
      </c>
      <c r="N539">
        <v>4671.8441300000004</v>
      </c>
      <c r="O539">
        <v>4674.5665200000003</v>
      </c>
      <c r="P539">
        <v>4675.9345300000004</v>
      </c>
      <c r="Q539">
        <v>4667.36553</v>
      </c>
    </row>
    <row r="540" spans="1:17" x14ac:dyDescent="0.55000000000000004">
      <c r="A540">
        <v>1773187200</v>
      </c>
      <c r="B540" t="s">
        <v>0</v>
      </c>
      <c r="C540" t="s">
        <v>1</v>
      </c>
      <c r="D540">
        <v>5208.51</v>
      </c>
      <c r="E540">
        <v>5204.9870499999997</v>
      </c>
      <c r="F540">
        <v>5204.9138599999997</v>
      </c>
      <c r="G540">
        <v>5212.5407699999996</v>
      </c>
      <c r="H540">
        <v>5193.4248399999997</v>
      </c>
      <c r="J540">
        <v>1775555400</v>
      </c>
      <c r="K540" t="s">
        <v>0</v>
      </c>
      <c r="L540" t="s">
        <v>2</v>
      </c>
      <c r="M540">
        <v>4670.3999999999996</v>
      </c>
      <c r="N540">
        <v>4670.8110299999998</v>
      </c>
      <c r="O540">
        <v>4672.6887800000004</v>
      </c>
      <c r="P540">
        <v>4674.2605100000001</v>
      </c>
      <c r="Q540">
        <v>4665.6940000000004</v>
      </c>
    </row>
    <row r="541" spans="1:17" x14ac:dyDescent="0.55000000000000004">
      <c r="A541">
        <v>1773190800</v>
      </c>
      <c r="B541" t="s">
        <v>0</v>
      </c>
      <c r="C541" t="s">
        <v>1</v>
      </c>
      <c r="D541">
        <v>5217.42</v>
      </c>
      <c r="E541">
        <v>5205.7689</v>
      </c>
      <c r="F541">
        <v>5205.3413799999998</v>
      </c>
      <c r="G541">
        <v>5213.37896</v>
      </c>
      <c r="H541">
        <v>5194.9583400000001</v>
      </c>
      <c r="J541">
        <v>1775555700</v>
      </c>
      <c r="K541" t="s">
        <v>0</v>
      </c>
      <c r="L541" t="s">
        <v>2</v>
      </c>
      <c r="M541">
        <v>4670.88</v>
      </c>
      <c r="N541">
        <v>4670.8940899999998</v>
      </c>
      <c r="O541">
        <v>4671.7914300000002</v>
      </c>
      <c r="P541">
        <v>4673.9265699999996</v>
      </c>
      <c r="Q541">
        <v>4665.2532000000001</v>
      </c>
    </row>
    <row r="542" spans="1:17" x14ac:dyDescent="0.55000000000000004">
      <c r="A542">
        <v>1773194400</v>
      </c>
      <c r="B542" t="s">
        <v>0</v>
      </c>
      <c r="C542" t="s">
        <v>1</v>
      </c>
      <c r="D542">
        <v>5203.41</v>
      </c>
      <c r="E542">
        <v>5205.7980600000001</v>
      </c>
      <c r="F542">
        <v>5205.5697200000004</v>
      </c>
      <c r="G542">
        <v>5213.8442599999998</v>
      </c>
      <c r="H542">
        <v>5196.0855199999996</v>
      </c>
      <c r="J542">
        <v>1775556000</v>
      </c>
      <c r="K542" t="s">
        <v>0</v>
      </c>
      <c r="L542" t="s">
        <v>2</v>
      </c>
      <c r="M542">
        <v>4674.91</v>
      </c>
      <c r="N542">
        <v>4671.8048500000004</v>
      </c>
      <c r="O542">
        <v>4671.7981399999999</v>
      </c>
      <c r="P542">
        <v>4674.6446500000002</v>
      </c>
      <c r="Q542">
        <v>4665.6729400000004</v>
      </c>
    </row>
    <row r="543" spans="1:17" x14ac:dyDescent="0.55000000000000004">
      <c r="A543">
        <v>1773198000</v>
      </c>
      <c r="B543" t="s">
        <v>0</v>
      </c>
      <c r="C543" t="s">
        <v>1</v>
      </c>
      <c r="D543">
        <v>5204.4799999999996</v>
      </c>
      <c r="E543">
        <v>5205.0502800000004</v>
      </c>
      <c r="F543">
        <v>5205.3100000000004</v>
      </c>
      <c r="G543">
        <v>5213.3906900000002</v>
      </c>
      <c r="H543">
        <v>5196.13051</v>
      </c>
      <c r="J543">
        <v>1775556300</v>
      </c>
      <c r="K543" t="s">
        <v>0</v>
      </c>
      <c r="L543" t="s">
        <v>2</v>
      </c>
      <c r="M543">
        <v>4675.0200000000004</v>
      </c>
      <c r="N543">
        <v>4672.9896099999996</v>
      </c>
      <c r="O543">
        <v>4672.3938699999999</v>
      </c>
      <c r="P543">
        <v>4676.0024299999995</v>
      </c>
      <c r="Q543">
        <v>4666.6598999999997</v>
      </c>
    </row>
    <row r="544" spans="1:17" x14ac:dyDescent="0.55000000000000004">
      <c r="A544">
        <v>1773201600</v>
      </c>
      <c r="B544" t="s">
        <v>0</v>
      </c>
      <c r="C544" t="s">
        <v>1</v>
      </c>
      <c r="D544">
        <v>5199.7</v>
      </c>
      <c r="E544">
        <v>5203.1605600000003</v>
      </c>
      <c r="F544">
        <v>5204.2352799999999</v>
      </c>
      <c r="G544">
        <v>5211.9725799999997</v>
      </c>
      <c r="H544">
        <v>5194.7229600000001</v>
      </c>
      <c r="J544">
        <v>1775556600</v>
      </c>
      <c r="K544" t="s">
        <v>0</v>
      </c>
      <c r="L544" t="s">
        <v>2</v>
      </c>
      <c r="M544">
        <v>4676.7299999999996</v>
      </c>
      <c r="N544">
        <v>4673.9242199999999</v>
      </c>
      <c r="O544">
        <v>4673.1590500000002</v>
      </c>
      <c r="P544">
        <v>4677.3617700000004</v>
      </c>
      <c r="Q544">
        <v>4667.8288000000002</v>
      </c>
    </row>
    <row r="545" spans="1:17" x14ac:dyDescent="0.55000000000000004">
      <c r="A545">
        <v>1773205200</v>
      </c>
      <c r="B545" t="s">
        <v>0</v>
      </c>
      <c r="C545" t="s">
        <v>1</v>
      </c>
      <c r="D545">
        <v>5197.62</v>
      </c>
      <c r="E545">
        <v>5200.1066899999996</v>
      </c>
      <c r="F545">
        <v>5202.1709799999999</v>
      </c>
      <c r="G545">
        <v>5209.4892</v>
      </c>
      <c r="H545">
        <v>5191.9302799999996</v>
      </c>
      <c r="J545">
        <v>1775556900</v>
      </c>
      <c r="K545" t="s">
        <v>0</v>
      </c>
      <c r="L545" t="s">
        <v>2</v>
      </c>
      <c r="M545">
        <v>4677.1499999999996</v>
      </c>
      <c r="N545">
        <v>4674.1193700000003</v>
      </c>
      <c r="O545">
        <v>4673.6392100000003</v>
      </c>
      <c r="P545">
        <v>4678.2082499999997</v>
      </c>
      <c r="Q545">
        <v>4668.4770900000003</v>
      </c>
    </row>
    <row r="546" spans="1:17" x14ac:dyDescent="0.55000000000000004">
      <c r="A546">
        <v>1773208800</v>
      </c>
      <c r="B546" t="s">
        <v>0</v>
      </c>
      <c r="C546" t="s">
        <v>1</v>
      </c>
      <c r="D546">
        <v>5195.79</v>
      </c>
      <c r="E546">
        <v>5196.0843299999997</v>
      </c>
      <c r="F546">
        <v>5199.1276600000001</v>
      </c>
      <c r="G546">
        <v>5206.0326800000003</v>
      </c>
      <c r="H546">
        <v>5187.8437899999999</v>
      </c>
      <c r="J546">
        <v>1775557200</v>
      </c>
      <c r="K546" t="s">
        <v>0</v>
      </c>
      <c r="L546" t="s">
        <v>2</v>
      </c>
      <c r="M546">
        <v>4672.33</v>
      </c>
      <c r="N546">
        <v>4673.2681300000004</v>
      </c>
      <c r="O546">
        <v>4673.4536699999999</v>
      </c>
      <c r="P546">
        <v>4678.10581</v>
      </c>
      <c r="Q546">
        <v>4668.1823000000004</v>
      </c>
    </row>
    <row r="547" spans="1:17" x14ac:dyDescent="0.55000000000000004">
      <c r="A547">
        <v>1773212400</v>
      </c>
      <c r="B547" t="s">
        <v>0</v>
      </c>
      <c r="C547" t="s">
        <v>1</v>
      </c>
      <c r="D547">
        <v>5187.7</v>
      </c>
      <c r="E547">
        <v>5191.3945999999996</v>
      </c>
      <c r="F547">
        <v>5195.2611299999999</v>
      </c>
      <c r="G547">
        <v>5202.1804400000001</v>
      </c>
      <c r="H547">
        <v>5182.9436800000003</v>
      </c>
      <c r="J547">
        <v>1775557500</v>
      </c>
      <c r="K547" t="s">
        <v>0</v>
      </c>
      <c r="L547" t="s">
        <v>2</v>
      </c>
      <c r="M547">
        <v>4668.12</v>
      </c>
      <c r="N547">
        <v>4671.3645299999998</v>
      </c>
      <c r="O547">
        <v>4672.4090999999999</v>
      </c>
      <c r="P547">
        <v>4676.8599400000003</v>
      </c>
      <c r="Q547">
        <v>4666.83842</v>
      </c>
    </row>
    <row r="548" spans="1:17" x14ac:dyDescent="0.55000000000000004">
      <c r="A548">
        <v>1773216000</v>
      </c>
      <c r="B548" t="s">
        <v>0</v>
      </c>
      <c r="C548" t="s">
        <v>1</v>
      </c>
      <c r="D548">
        <v>5187.67</v>
      </c>
      <c r="E548">
        <v>5186.6290099999997</v>
      </c>
      <c r="F548">
        <v>5190.9450699999998</v>
      </c>
      <c r="G548">
        <v>5198.4369699999997</v>
      </c>
      <c r="H548">
        <v>5177.94157</v>
      </c>
      <c r="J548">
        <v>1775557800</v>
      </c>
      <c r="K548" t="s">
        <v>0</v>
      </c>
      <c r="L548" t="s">
        <v>2</v>
      </c>
      <c r="M548">
        <v>4667.3500000000004</v>
      </c>
      <c r="N548">
        <v>4668.54601</v>
      </c>
      <c r="O548">
        <v>4670.4775600000003</v>
      </c>
      <c r="P548">
        <v>4674.5125500000004</v>
      </c>
      <c r="Q548">
        <v>4664.6642400000001</v>
      </c>
    </row>
    <row r="549" spans="1:17" x14ac:dyDescent="0.55000000000000004">
      <c r="A549">
        <v>1773219600</v>
      </c>
      <c r="B549" t="s">
        <v>0</v>
      </c>
      <c r="C549" t="s">
        <v>1</v>
      </c>
      <c r="D549">
        <v>5186.07</v>
      </c>
      <c r="E549">
        <v>5182.0759099999996</v>
      </c>
      <c r="F549">
        <v>5186.5104899999997</v>
      </c>
      <c r="G549">
        <v>5195.0658700000004</v>
      </c>
      <c r="H549">
        <v>5173.1199399999996</v>
      </c>
      <c r="J549">
        <v>1775558100</v>
      </c>
      <c r="K549" t="s">
        <v>0</v>
      </c>
      <c r="L549" t="s">
        <v>2</v>
      </c>
      <c r="M549">
        <v>4663.3900000000003</v>
      </c>
      <c r="N549">
        <v>4664.9771700000001</v>
      </c>
      <c r="O549">
        <v>4667.7273599999999</v>
      </c>
      <c r="P549">
        <v>4671.2408599999999</v>
      </c>
      <c r="Q549">
        <v>4661.5032899999997</v>
      </c>
    </row>
    <row r="550" spans="1:17" x14ac:dyDescent="0.55000000000000004">
      <c r="A550">
        <v>1773223200</v>
      </c>
      <c r="B550" t="s">
        <v>0</v>
      </c>
      <c r="C550" t="s">
        <v>1</v>
      </c>
      <c r="D550">
        <v>5181.4399999999996</v>
      </c>
      <c r="E550">
        <v>5178.2141099999999</v>
      </c>
      <c r="F550">
        <v>5182.3622999999998</v>
      </c>
      <c r="G550">
        <v>5192.2745999999997</v>
      </c>
      <c r="H550">
        <v>5168.91374</v>
      </c>
      <c r="J550">
        <v>1775558400</v>
      </c>
      <c r="K550" t="s">
        <v>0</v>
      </c>
      <c r="L550" t="s">
        <v>2</v>
      </c>
      <c r="M550">
        <v>4662.3</v>
      </c>
      <c r="N550">
        <v>4660.9828600000001</v>
      </c>
      <c r="O550">
        <v>4664.3551100000004</v>
      </c>
      <c r="P550">
        <v>4667.34962</v>
      </c>
      <c r="Q550">
        <v>4657.6107899999997</v>
      </c>
    </row>
    <row r="551" spans="1:17" x14ac:dyDescent="0.55000000000000004">
      <c r="A551">
        <v>1773226800</v>
      </c>
      <c r="B551" t="s">
        <v>0</v>
      </c>
      <c r="C551" t="s">
        <v>1</v>
      </c>
      <c r="D551">
        <v>5167.6000000000004</v>
      </c>
      <c r="E551">
        <v>5175.5009300000002</v>
      </c>
      <c r="F551">
        <v>5178.9316200000003</v>
      </c>
      <c r="G551">
        <v>5190.1526400000002</v>
      </c>
      <c r="H551">
        <v>5165.7376100000001</v>
      </c>
      <c r="J551">
        <v>1775558700</v>
      </c>
      <c r="K551" t="s">
        <v>0</v>
      </c>
      <c r="L551" t="s">
        <v>2</v>
      </c>
      <c r="M551">
        <v>4650.38</v>
      </c>
      <c r="N551">
        <v>4656.8412099999996</v>
      </c>
      <c r="O551">
        <v>4660.5981599999996</v>
      </c>
      <c r="P551">
        <v>4663.2308000000003</v>
      </c>
      <c r="Q551">
        <v>4653.3888999999999</v>
      </c>
    </row>
    <row r="552" spans="1:17" x14ac:dyDescent="0.55000000000000004">
      <c r="A552">
        <v>1773230400</v>
      </c>
      <c r="B552" t="s">
        <v>0</v>
      </c>
      <c r="C552" t="s">
        <v>1</v>
      </c>
      <c r="D552">
        <v>5176.9799999999996</v>
      </c>
      <c r="E552">
        <v>5174.37219</v>
      </c>
      <c r="F552">
        <v>5176.6518999999998</v>
      </c>
      <c r="G552">
        <v>5188.5239600000004</v>
      </c>
      <c r="H552">
        <v>5164.0222999999996</v>
      </c>
      <c r="J552">
        <v>1775559000</v>
      </c>
      <c r="K552" t="s">
        <v>0</v>
      </c>
      <c r="L552" t="s">
        <v>2</v>
      </c>
      <c r="M552">
        <v>4655.8500000000004</v>
      </c>
      <c r="N552">
        <v>4653.1121800000001</v>
      </c>
      <c r="O552">
        <v>4656.8551699999998</v>
      </c>
      <c r="P552">
        <v>4659.2921800000004</v>
      </c>
      <c r="Q552">
        <v>4649.2285599999996</v>
      </c>
    </row>
    <row r="553" spans="1:17" x14ac:dyDescent="0.55000000000000004">
      <c r="A553">
        <v>1773234000</v>
      </c>
      <c r="B553" t="s">
        <v>0</v>
      </c>
      <c r="C553" t="s">
        <v>1</v>
      </c>
      <c r="D553">
        <v>5183.2</v>
      </c>
      <c r="E553">
        <v>5174.2670399999997</v>
      </c>
      <c r="F553">
        <v>5175.4594699999998</v>
      </c>
      <c r="G553">
        <v>5187.4246800000001</v>
      </c>
      <c r="H553">
        <v>5164.0652700000001</v>
      </c>
      <c r="J553">
        <v>1775559300</v>
      </c>
      <c r="K553" t="s">
        <v>0</v>
      </c>
      <c r="L553" t="s">
        <v>2</v>
      </c>
      <c r="M553">
        <v>4652.0600000000004</v>
      </c>
      <c r="N553">
        <v>4649.8206300000002</v>
      </c>
      <c r="O553">
        <v>4653.3379000000004</v>
      </c>
      <c r="P553">
        <v>4655.8226400000003</v>
      </c>
      <c r="Q553">
        <v>4645.3721100000002</v>
      </c>
    </row>
    <row r="554" spans="1:17" x14ac:dyDescent="0.55000000000000004">
      <c r="A554">
        <v>1773237600</v>
      </c>
      <c r="B554" t="s">
        <v>0</v>
      </c>
      <c r="C554" t="s">
        <v>1</v>
      </c>
      <c r="D554">
        <v>5166.34</v>
      </c>
      <c r="E554">
        <v>5174.4656299999997</v>
      </c>
      <c r="F554">
        <v>5174.9625500000002</v>
      </c>
      <c r="G554">
        <v>5186.1495199999999</v>
      </c>
      <c r="H554">
        <v>5164.5861699999996</v>
      </c>
      <c r="J554">
        <v>1775559600</v>
      </c>
      <c r="K554" t="s">
        <v>0</v>
      </c>
      <c r="L554" t="s">
        <v>2</v>
      </c>
      <c r="M554">
        <v>4654.3999999999996</v>
      </c>
      <c r="N554">
        <v>4647.2282800000003</v>
      </c>
      <c r="O554">
        <v>4650.2830899999999</v>
      </c>
      <c r="P554">
        <v>4653.0171399999999</v>
      </c>
      <c r="Q554">
        <v>4642.0777600000001</v>
      </c>
    </row>
    <row r="555" spans="1:17" x14ac:dyDescent="0.55000000000000004">
      <c r="A555">
        <v>1773241200</v>
      </c>
      <c r="B555" t="s">
        <v>0</v>
      </c>
      <c r="C555" t="s">
        <v>1</v>
      </c>
      <c r="D555">
        <v>5175.68</v>
      </c>
      <c r="E555">
        <v>5174.8286799999996</v>
      </c>
      <c r="F555">
        <v>5174.8956200000002</v>
      </c>
      <c r="G555">
        <v>5184.6258600000001</v>
      </c>
      <c r="H555">
        <v>5165.1208500000002</v>
      </c>
      <c r="J555">
        <v>1775559900</v>
      </c>
      <c r="K555" t="s">
        <v>0</v>
      </c>
      <c r="L555" t="s">
        <v>2</v>
      </c>
      <c r="M555">
        <v>4651.3900000000003</v>
      </c>
      <c r="N555">
        <v>4645.4040400000004</v>
      </c>
      <c r="O555">
        <v>4647.8435600000003</v>
      </c>
      <c r="P555">
        <v>4651.04684</v>
      </c>
      <c r="Q555">
        <v>4639.6665999999996</v>
      </c>
    </row>
    <row r="556" spans="1:17" x14ac:dyDescent="0.55000000000000004">
      <c r="A556">
        <v>1773244800</v>
      </c>
      <c r="B556" t="s">
        <v>0</v>
      </c>
      <c r="C556" t="s">
        <v>1</v>
      </c>
      <c r="D556">
        <v>5169.88</v>
      </c>
      <c r="E556">
        <v>5174.5032499999998</v>
      </c>
      <c r="F556">
        <v>5174.6994299999997</v>
      </c>
      <c r="G556">
        <v>5182.7755999999999</v>
      </c>
      <c r="H556">
        <v>5164.9903400000003</v>
      </c>
      <c r="J556">
        <v>1775560200</v>
      </c>
      <c r="K556" t="s">
        <v>0</v>
      </c>
      <c r="L556" t="s">
        <v>2</v>
      </c>
      <c r="M556">
        <v>4635.79</v>
      </c>
      <c r="N556">
        <v>4644.5082400000001</v>
      </c>
      <c r="O556">
        <v>4646.1759000000002</v>
      </c>
      <c r="P556">
        <v>4649.9437200000002</v>
      </c>
      <c r="Q556">
        <v>4638.3171300000004</v>
      </c>
    </row>
    <row r="557" spans="1:17" x14ac:dyDescent="0.55000000000000004">
      <c r="A557">
        <v>1773248400</v>
      </c>
      <c r="B557" t="s">
        <v>0</v>
      </c>
      <c r="C557" t="s">
        <v>1</v>
      </c>
      <c r="D557">
        <v>5172.34</v>
      </c>
      <c r="E557">
        <v>5173.22289</v>
      </c>
      <c r="F557">
        <v>5173.9611599999998</v>
      </c>
      <c r="G557">
        <v>5180.3912899999996</v>
      </c>
      <c r="H557">
        <v>5163.91698</v>
      </c>
      <c r="J557">
        <v>1775560500</v>
      </c>
      <c r="K557" t="s">
        <v>0</v>
      </c>
      <c r="L557" t="s">
        <v>2</v>
      </c>
      <c r="M557">
        <v>4639.88</v>
      </c>
      <c r="N557">
        <v>4644.9469900000004</v>
      </c>
      <c r="O557">
        <v>4645.5614500000001</v>
      </c>
      <c r="P557">
        <v>4649.8049799999999</v>
      </c>
      <c r="Q557">
        <v>4638.5486199999996</v>
      </c>
    </row>
    <row r="558" spans="1:17" x14ac:dyDescent="0.55000000000000004">
      <c r="A558">
        <v>1773252000</v>
      </c>
      <c r="B558" t="s">
        <v>0</v>
      </c>
      <c r="C558" t="s">
        <v>1</v>
      </c>
      <c r="D558">
        <v>5183.32</v>
      </c>
      <c r="E558">
        <v>5170.7588999999998</v>
      </c>
      <c r="F558">
        <v>5172.3600299999998</v>
      </c>
      <c r="G558">
        <v>5177.5233799999996</v>
      </c>
      <c r="H558">
        <v>5161.2928400000001</v>
      </c>
      <c r="J558">
        <v>1775560800</v>
      </c>
      <c r="K558" t="s">
        <v>0</v>
      </c>
      <c r="L558" t="s">
        <v>2</v>
      </c>
      <c r="M558">
        <v>4645.3</v>
      </c>
      <c r="N558">
        <v>4646.4829099999997</v>
      </c>
      <c r="O558">
        <v>4646.0221799999999</v>
      </c>
      <c r="P558">
        <v>4650.7445200000002</v>
      </c>
      <c r="Q558">
        <v>4640.1692700000003</v>
      </c>
    </row>
    <row r="559" spans="1:17" x14ac:dyDescent="0.55000000000000004">
      <c r="A559">
        <v>1773255600</v>
      </c>
      <c r="B559" t="s">
        <v>0</v>
      </c>
      <c r="C559" t="s">
        <v>1</v>
      </c>
      <c r="D559">
        <v>5175.96</v>
      </c>
      <c r="E559">
        <v>5166.8675800000001</v>
      </c>
      <c r="F559">
        <v>5169.6138099999998</v>
      </c>
      <c r="G559">
        <v>5174.1167699999996</v>
      </c>
      <c r="H559">
        <v>5157.1864400000004</v>
      </c>
      <c r="J559">
        <v>1775561100</v>
      </c>
      <c r="K559" t="s">
        <v>0</v>
      </c>
      <c r="L559" t="s">
        <v>2</v>
      </c>
      <c r="M559">
        <v>4648.16</v>
      </c>
      <c r="N559">
        <v>4648.7297399999998</v>
      </c>
      <c r="O559">
        <v>4647.3759600000003</v>
      </c>
      <c r="P559">
        <v>4652.44337</v>
      </c>
      <c r="Q559">
        <v>4642.7890500000003</v>
      </c>
    </row>
    <row r="560" spans="1:17" x14ac:dyDescent="0.55000000000000004">
      <c r="A560">
        <v>1773266400</v>
      </c>
      <c r="B560" t="s">
        <v>0</v>
      </c>
      <c r="C560" t="s">
        <v>1</v>
      </c>
      <c r="D560">
        <v>5134.08</v>
      </c>
      <c r="E560">
        <v>5162.0903200000002</v>
      </c>
      <c r="F560">
        <v>5165.8520600000002</v>
      </c>
      <c r="G560">
        <v>5170.3196699999999</v>
      </c>
      <c r="H560">
        <v>5151.8920900000003</v>
      </c>
      <c r="J560">
        <v>1775561400</v>
      </c>
      <c r="K560" t="s">
        <v>0</v>
      </c>
      <c r="L560" t="s">
        <v>2</v>
      </c>
      <c r="M560">
        <v>4649.76</v>
      </c>
      <c r="N560">
        <v>4651.3382700000002</v>
      </c>
      <c r="O560">
        <v>4649.3571199999997</v>
      </c>
      <c r="P560">
        <v>4654.5179500000004</v>
      </c>
      <c r="Q560">
        <v>4645.8674499999997</v>
      </c>
    </row>
    <row r="561" spans="1:17" x14ac:dyDescent="0.55000000000000004">
      <c r="A561">
        <v>1773270000</v>
      </c>
      <c r="B561" t="s">
        <v>0</v>
      </c>
      <c r="C561" t="s">
        <v>1</v>
      </c>
      <c r="D561">
        <v>5161.29</v>
      </c>
      <c r="E561">
        <v>5158.0452999999998</v>
      </c>
      <c r="F561">
        <v>5161.9486800000004</v>
      </c>
      <c r="G561">
        <v>5166.9394499999999</v>
      </c>
      <c r="H561">
        <v>5147.1509800000003</v>
      </c>
      <c r="J561">
        <v>1775561700</v>
      </c>
      <c r="K561" t="s">
        <v>0</v>
      </c>
      <c r="L561" t="s">
        <v>2</v>
      </c>
      <c r="M561">
        <v>4654.79</v>
      </c>
      <c r="N561">
        <v>4653.9975199999999</v>
      </c>
      <c r="O561">
        <v>4651.6773199999998</v>
      </c>
      <c r="P561">
        <v>4656.7390100000002</v>
      </c>
      <c r="Q561">
        <v>4648.9659899999997</v>
      </c>
    </row>
    <row r="562" spans="1:17" x14ac:dyDescent="0.55000000000000004">
      <c r="A562">
        <v>1773273600</v>
      </c>
      <c r="B562" t="s">
        <v>0</v>
      </c>
      <c r="C562" t="s">
        <v>1</v>
      </c>
      <c r="D562">
        <v>5152.96</v>
      </c>
      <c r="E562">
        <v>5154.4331599999996</v>
      </c>
      <c r="F562">
        <v>5158.19092</v>
      </c>
      <c r="G562">
        <v>5164.1113999999998</v>
      </c>
      <c r="H562">
        <v>5143.7179400000005</v>
      </c>
      <c r="J562">
        <v>1775562000</v>
      </c>
      <c r="K562" t="s">
        <v>0</v>
      </c>
      <c r="L562" t="s">
        <v>2</v>
      </c>
      <c r="M562">
        <v>4663.1000000000004</v>
      </c>
      <c r="N562">
        <v>4656.3387899999998</v>
      </c>
      <c r="O562">
        <v>4654.0080500000004</v>
      </c>
      <c r="P562">
        <v>4658.8073000000004</v>
      </c>
      <c r="Q562">
        <v>4651.7584299999999</v>
      </c>
    </row>
    <row r="563" spans="1:17" x14ac:dyDescent="0.55000000000000004">
      <c r="A563">
        <v>1773277200</v>
      </c>
      <c r="B563" t="s">
        <v>0</v>
      </c>
      <c r="C563" t="s">
        <v>1</v>
      </c>
      <c r="D563">
        <v>5168.51</v>
      </c>
      <c r="E563">
        <v>5151.85502</v>
      </c>
      <c r="F563">
        <v>5155.02297</v>
      </c>
      <c r="G563">
        <v>5162.08896</v>
      </c>
      <c r="H563">
        <v>5141.2727000000004</v>
      </c>
      <c r="J563">
        <v>1775562300</v>
      </c>
      <c r="K563" t="s">
        <v>0</v>
      </c>
      <c r="L563" t="s">
        <v>2</v>
      </c>
      <c r="M563">
        <v>4660.67</v>
      </c>
      <c r="N563">
        <v>4657.9901399999999</v>
      </c>
      <c r="O563">
        <v>4655.9991</v>
      </c>
      <c r="P563">
        <v>4660.4619300000004</v>
      </c>
      <c r="Q563">
        <v>4653.8915100000004</v>
      </c>
    </row>
    <row r="564" spans="1:17" x14ac:dyDescent="0.55000000000000004">
      <c r="A564">
        <v>1773280800</v>
      </c>
      <c r="B564" t="s">
        <v>0</v>
      </c>
      <c r="C564" t="s">
        <v>1</v>
      </c>
      <c r="D564">
        <v>5150.7299999999996</v>
      </c>
      <c r="E564">
        <v>5150.3267500000002</v>
      </c>
      <c r="F564">
        <v>5152.6748600000001</v>
      </c>
      <c r="G564">
        <v>5160.7682000000004</v>
      </c>
      <c r="H564">
        <v>5140.0657600000004</v>
      </c>
      <c r="J564">
        <v>1775562600</v>
      </c>
      <c r="K564" t="s">
        <v>0</v>
      </c>
      <c r="L564" t="s">
        <v>2</v>
      </c>
      <c r="M564">
        <v>4658.6499999999996</v>
      </c>
      <c r="N564">
        <v>4659.0090200000004</v>
      </c>
      <c r="O564">
        <v>4657.5040600000002</v>
      </c>
      <c r="P564">
        <v>4661.6678300000003</v>
      </c>
      <c r="Q564">
        <v>4655.2328100000004</v>
      </c>
    </row>
    <row r="565" spans="1:17" x14ac:dyDescent="0.55000000000000004">
      <c r="A565">
        <v>1773284400</v>
      </c>
      <c r="B565" t="s">
        <v>0</v>
      </c>
      <c r="C565" t="s">
        <v>1</v>
      </c>
      <c r="D565">
        <v>5153</v>
      </c>
      <c r="E565">
        <v>5150.8161700000001</v>
      </c>
      <c r="F565">
        <v>5151.7455200000004</v>
      </c>
      <c r="G565">
        <v>5160.4264000000003</v>
      </c>
      <c r="H565">
        <v>5140.5487499999999</v>
      </c>
      <c r="J565">
        <v>1775562900</v>
      </c>
      <c r="K565" t="s">
        <v>0</v>
      </c>
      <c r="L565" t="s">
        <v>2</v>
      </c>
      <c r="M565">
        <v>4659.8100000000004</v>
      </c>
      <c r="N565">
        <v>4659.5374000000002</v>
      </c>
      <c r="O565">
        <v>4658.5207300000002</v>
      </c>
      <c r="P565">
        <v>4662.5101800000002</v>
      </c>
      <c r="Q565">
        <v>4655.8455700000004</v>
      </c>
    </row>
    <row r="566" spans="1:17" x14ac:dyDescent="0.55000000000000004">
      <c r="A566">
        <v>1773288000</v>
      </c>
      <c r="B566" t="s">
        <v>0</v>
      </c>
      <c r="C566" t="s">
        <v>1</v>
      </c>
      <c r="D566">
        <v>5142.66</v>
      </c>
      <c r="E566">
        <v>5153.6549999999997</v>
      </c>
      <c r="F566">
        <v>5152.7002599999996</v>
      </c>
      <c r="G566">
        <v>5161.93984</v>
      </c>
      <c r="H566">
        <v>5143.0443299999997</v>
      </c>
      <c r="J566">
        <v>1775563200</v>
      </c>
      <c r="K566" t="s">
        <v>0</v>
      </c>
      <c r="L566" t="s">
        <v>2</v>
      </c>
      <c r="M566">
        <v>4658.07</v>
      </c>
      <c r="N566">
        <v>4659.7477799999997</v>
      </c>
      <c r="O566">
        <v>4659.1342599999998</v>
      </c>
      <c r="P566">
        <v>4663.1141299999999</v>
      </c>
      <c r="Q566">
        <v>4655.9437500000004</v>
      </c>
    </row>
    <row r="567" spans="1:17" x14ac:dyDescent="0.55000000000000004">
      <c r="A567">
        <v>1773291600</v>
      </c>
      <c r="B567" t="s">
        <v>0</v>
      </c>
      <c r="C567" t="s">
        <v>1</v>
      </c>
      <c r="D567">
        <v>5154.67</v>
      </c>
      <c r="E567">
        <v>5159.1042200000002</v>
      </c>
      <c r="F567">
        <v>5155.9022400000003</v>
      </c>
      <c r="G567">
        <v>5165.5990199999997</v>
      </c>
      <c r="H567">
        <v>5147.7612300000001</v>
      </c>
      <c r="J567">
        <v>1775563500</v>
      </c>
      <c r="K567" t="s">
        <v>0</v>
      </c>
      <c r="L567" t="s">
        <v>2</v>
      </c>
      <c r="M567">
        <v>4656.12</v>
      </c>
      <c r="N567">
        <v>4659.8872199999996</v>
      </c>
      <c r="O567">
        <v>4659.5107399999997</v>
      </c>
      <c r="P567">
        <v>4663.6419900000001</v>
      </c>
      <c r="Q567">
        <v>4655.8665899999996</v>
      </c>
    </row>
    <row r="568" spans="1:17" x14ac:dyDescent="0.55000000000000004">
      <c r="A568">
        <v>1773295200</v>
      </c>
      <c r="B568" t="s">
        <v>0</v>
      </c>
      <c r="C568" t="s">
        <v>1</v>
      </c>
      <c r="D568">
        <v>5166.29</v>
      </c>
      <c r="E568">
        <v>5166.3504400000002</v>
      </c>
      <c r="F568">
        <v>5161.1263399999998</v>
      </c>
      <c r="G568">
        <v>5171.2040200000001</v>
      </c>
      <c r="H568">
        <v>5154.4295599999996</v>
      </c>
      <c r="J568">
        <v>1775563800</v>
      </c>
      <c r="K568" t="s">
        <v>0</v>
      </c>
      <c r="L568" t="s">
        <v>2</v>
      </c>
      <c r="M568">
        <v>4655.16</v>
      </c>
      <c r="N568">
        <v>4660.1567999999997</v>
      </c>
      <c r="O568">
        <v>4659.8337700000002</v>
      </c>
      <c r="P568">
        <v>4664.1448899999996</v>
      </c>
      <c r="Q568">
        <v>4655.9398899999997</v>
      </c>
    </row>
    <row r="569" spans="1:17" x14ac:dyDescent="0.55000000000000004">
      <c r="A569">
        <v>1773298800</v>
      </c>
      <c r="B569" t="s">
        <v>0</v>
      </c>
      <c r="C569" t="s">
        <v>1</v>
      </c>
      <c r="D569">
        <v>5182.0600000000004</v>
      </c>
      <c r="E569">
        <v>5174.1510500000004</v>
      </c>
      <c r="F569">
        <v>5167.6386899999998</v>
      </c>
      <c r="G569">
        <v>5177.9431000000004</v>
      </c>
      <c r="H569">
        <v>5162.0233600000001</v>
      </c>
      <c r="J569">
        <v>1775564100</v>
      </c>
      <c r="K569" t="s">
        <v>0</v>
      </c>
      <c r="L569" t="s">
        <v>2</v>
      </c>
      <c r="M569">
        <v>4658.6000000000004</v>
      </c>
      <c r="N569">
        <v>4660.6289800000004</v>
      </c>
      <c r="O569">
        <v>4660.2313800000002</v>
      </c>
      <c r="P569">
        <v>4664.8589400000001</v>
      </c>
      <c r="Q569">
        <v>4656.2596199999998</v>
      </c>
    </row>
    <row r="570" spans="1:17" x14ac:dyDescent="0.55000000000000004">
      <c r="A570">
        <v>1773302400</v>
      </c>
      <c r="B570" t="s">
        <v>0</v>
      </c>
      <c r="C570" t="s">
        <v>1</v>
      </c>
      <c r="D570">
        <v>5178.17</v>
      </c>
      <c r="E570">
        <v>5180.8684700000003</v>
      </c>
      <c r="F570">
        <v>5174.2535799999996</v>
      </c>
      <c r="G570">
        <v>5184.5539699999999</v>
      </c>
      <c r="H570">
        <v>5169.0159599999997</v>
      </c>
      <c r="J570">
        <v>1775564400</v>
      </c>
      <c r="K570" t="s">
        <v>0</v>
      </c>
      <c r="L570" t="s">
        <v>2</v>
      </c>
      <c r="M570">
        <v>4666.75</v>
      </c>
      <c r="N570">
        <v>4661.1045999999997</v>
      </c>
      <c r="O570">
        <v>4660.6679899999999</v>
      </c>
      <c r="P570">
        <v>4665.5620500000005</v>
      </c>
      <c r="Q570">
        <v>4656.7841399999998</v>
      </c>
    </row>
    <row r="571" spans="1:17" x14ac:dyDescent="0.55000000000000004">
      <c r="A571">
        <v>1773306000</v>
      </c>
      <c r="B571" t="s">
        <v>0</v>
      </c>
      <c r="C571" t="s">
        <v>1</v>
      </c>
      <c r="D571">
        <v>5188.3900000000003</v>
      </c>
      <c r="E571">
        <v>5185.2278299999998</v>
      </c>
      <c r="F571">
        <v>5179.74071</v>
      </c>
      <c r="G571">
        <v>5189.8627699999997</v>
      </c>
      <c r="H571">
        <v>5173.7492499999998</v>
      </c>
      <c r="J571">
        <v>1775564700</v>
      </c>
      <c r="K571" t="s">
        <v>0</v>
      </c>
      <c r="L571" t="s">
        <v>2</v>
      </c>
      <c r="M571">
        <v>4665.6899999999996</v>
      </c>
      <c r="N571">
        <v>4661.1839200000004</v>
      </c>
      <c r="O571">
        <v>4660.9259499999998</v>
      </c>
      <c r="P571">
        <v>4665.9031100000002</v>
      </c>
      <c r="Q571">
        <v>4657.1785</v>
      </c>
    </row>
    <row r="572" spans="1:17" x14ac:dyDescent="0.55000000000000004">
      <c r="A572">
        <v>1773309600</v>
      </c>
      <c r="B572" t="s">
        <v>0</v>
      </c>
      <c r="C572" t="s">
        <v>1</v>
      </c>
      <c r="D572">
        <v>5182.3900000000003</v>
      </c>
      <c r="E572">
        <v>5185.6373800000001</v>
      </c>
      <c r="F572">
        <v>5182.6890400000002</v>
      </c>
      <c r="G572">
        <v>5192.6930300000004</v>
      </c>
      <c r="H572">
        <v>5175.0497699999996</v>
      </c>
      <c r="J572">
        <v>1775565000</v>
      </c>
      <c r="K572" t="s">
        <v>0</v>
      </c>
      <c r="L572" t="s">
        <v>2</v>
      </c>
      <c r="M572">
        <v>4661.04</v>
      </c>
      <c r="N572">
        <v>4660.7092199999997</v>
      </c>
      <c r="O572">
        <v>4660.8175899999997</v>
      </c>
      <c r="P572">
        <v>4665.7553900000003</v>
      </c>
      <c r="Q572">
        <v>4657.0327500000003</v>
      </c>
    </row>
    <row r="573" spans="1:17" x14ac:dyDescent="0.55000000000000004">
      <c r="A573">
        <v>1773313200</v>
      </c>
      <c r="B573" t="s">
        <v>0</v>
      </c>
      <c r="C573" t="s">
        <v>1</v>
      </c>
      <c r="D573">
        <v>5178.91</v>
      </c>
      <c r="E573">
        <v>5181.4760399999996</v>
      </c>
      <c r="F573">
        <v>5182.0825400000003</v>
      </c>
      <c r="G573">
        <v>5191.9227700000001</v>
      </c>
      <c r="H573">
        <v>5171.8963000000003</v>
      </c>
      <c r="J573">
        <v>1775565300</v>
      </c>
      <c r="K573" t="s">
        <v>0</v>
      </c>
      <c r="L573" t="s">
        <v>2</v>
      </c>
      <c r="M573">
        <v>4663.34</v>
      </c>
      <c r="N573">
        <v>4659.69092</v>
      </c>
      <c r="O573">
        <v>4660.25425</v>
      </c>
      <c r="P573">
        <v>4665.0103200000003</v>
      </c>
      <c r="Q573">
        <v>4656.2882</v>
      </c>
    </row>
    <row r="574" spans="1:17" x14ac:dyDescent="0.55000000000000004">
      <c r="A574">
        <v>1773316800</v>
      </c>
      <c r="B574" t="s">
        <v>0</v>
      </c>
      <c r="C574" t="s">
        <v>1</v>
      </c>
      <c r="D574">
        <v>5181.46</v>
      </c>
      <c r="E574">
        <v>5172.6698999999999</v>
      </c>
      <c r="F574">
        <v>5177.3762200000001</v>
      </c>
      <c r="G574">
        <v>5187.0668999999998</v>
      </c>
      <c r="H574">
        <v>5164.0397599999997</v>
      </c>
      <c r="J574">
        <v>1775565600</v>
      </c>
      <c r="K574" t="s">
        <v>0</v>
      </c>
      <c r="L574" t="s">
        <v>2</v>
      </c>
      <c r="M574">
        <v>4656.8900000000003</v>
      </c>
      <c r="N574">
        <v>4658.0845600000002</v>
      </c>
      <c r="O574">
        <v>4659.1694100000004</v>
      </c>
      <c r="P574">
        <v>4663.6982900000003</v>
      </c>
      <c r="Q574">
        <v>4654.9562900000001</v>
      </c>
    </row>
    <row r="575" spans="1:17" x14ac:dyDescent="0.55000000000000004">
      <c r="A575">
        <v>1773320400</v>
      </c>
      <c r="B575" t="s">
        <v>0</v>
      </c>
      <c r="C575" t="s">
        <v>1</v>
      </c>
      <c r="D575">
        <v>5151.3900000000003</v>
      </c>
      <c r="E575">
        <v>5159.73909</v>
      </c>
      <c r="F575">
        <v>5168.5576600000004</v>
      </c>
      <c r="G575">
        <v>5177.8952900000004</v>
      </c>
      <c r="H575">
        <v>5152.0893699999997</v>
      </c>
      <c r="J575">
        <v>1775565900</v>
      </c>
      <c r="K575" t="s">
        <v>0</v>
      </c>
      <c r="L575" t="s">
        <v>2</v>
      </c>
      <c r="M575">
        <v>4648.6400000000003</v>
      </c>
      <c r="N575">
        <v>4656.2162500000004</v>
      </c>
      <c r="O575">
        <v>4657.69283</v>
      </c>
      <c r="P575">
        <v>4661.9000100000003</v>
      </c>
      <c r="Q575">
        <v>4653.1912300000004</v>
      </c>
    </row>
    <row r="576" spans="1:17" x14ac:dyDescent="0.55000000000000004">
      <c r="A576">
        <v>1773324000</v>
      </c>
      <c r="B576" t="s">
        <v>0</v>
      </c>
      <c r="C576" t="s">
        <v>1</v>
      </c>
      <c r="D576">
        <v>5142.96</v>
      </c>
      <c r="E576">
        <v>5144.6163500000002</v>
      </c>
      <c r="F576">
        <v>5156.5870100000002</v>
      </c>
      <c r="G576">
        <v>5164.8764000000001</v>
      </c>
      <c r="H576">
        <v>5137.4642299999996</v>
      </c>
      <c r="J576">
        <v>1775566200</v>
      </c>
      <c r="K576" t="s">
        <v>0</v>
      </c>
      <c r="L576" t="s">
        <v>2</v>
      </c>
      <c r="M576">
        <v>4654.3999999999996</v>
      </c>
      <c r="N576">
        <v>4654.5732099999996</v>
      </c>
      <c r="O576">
        <v>4656.1330200000002</v>
      </c>
      <c r="P576">
        <v>4660.0497400000004</v>
      </c>
      <c r="Q576">
        <v>4651.4445299999998</v>
      </c>
    </row>
    <row r="577" spans="1:17" x14ac:dyDescent="0.55000000000000004">
      <c r="A577">
        <v>1773327600</v>
      </c>
      <c r="B577" t="s">
        <v>0</v>
      </c>
      <c r="C577" t="s">
        <v>1</v>
      </c>
      <c r="D577">
        <v>5132.3</v>
      </c>
      <c r="E577">
        <v>5128.9425000000001</v>
      </c>
      <c r="F577">
        <v>5142.7647500000003</v>
      </c>
      <c r="G577">
        <v>5149.6529099999998</v>
      </c>
      <c r="H577">
        <v>5121.70309</v>
      </c>
      <c r="J577">
        <v>1775566500</v>
      </c>
      <c r="K577" t="s">
        <v>0</v>
      </c>
      <c r="L577" t="s">
        <v>2</v>
      </c>
      <c r="M577">
        <v>4651.4799999999996</v>
      </c>
      <c r="N577">
        <v>4653.3357100000003</v>
      </c>
      <c r="O577">
        <v>4654.7343700000001</v>
      </c>
      <c r="P577">
        <v>4658.5015700000004</v>
      </c>
      <c r="Q577">
        <v>4650.0480600000001</v>
      </c>
    </row>
    <row r="578" spans="1:17" x14ac:dyDescent="0.55000000000000004">
      <c r="A578">
        <v>1773331200</v>
      </c>
      <c r="B578" t="s">
        <v>0</v>
      </c>
      <c r="C578" t="s">
        <v>1</v>
      </c>
      <c r="D578">
        <v>5123.63</v>
      </c>
      <c r="E578">
        <v>5114.5121300000001</v>
      </c>
      <c r="F578">
        <v>5128.6384399999997</v>
      </c>
      <c r="G578">
        <v>5134.1663500000004</v>
      </c>
      <c r="H578">
        <v>5106.9986399999998</v>
      </c>
      <c r="J578">
        <v>1775566800</v>
      </c>
      <c r="K578" t="s">
        <v>0</v>
      </c>
      <c r="L578" t="s">
        <v>2</v>
      </c>
      <c r="M578">
        <v>4655.66</v>
      </c>
      <c r="N578">
        <v>4652.82395</v>
      </c>
      <c r="O578">
        <v>4653.77916</v>
      </c>
      <c r="P578">
        <v>4657.4281300000002</v>
      </c>
      <c r="Q578">
        <v>4649.1859299999996</v>
      </c>
    </row>
    <row r="579" spans="1:17" x14ac:dyDescent="0.55000000000000004">
      <c r="A579">
        <v>1773334800</v>
      </c>
      <c r="B579" t="s">
        <v>0</v>
      </c>
      <c r="C579" t="s">
        <v>1</v>
      </c>
      <c r="D579">
        <v>5105.42</v>
      </c>
      <c r="E579">
        <v>5102.7257900000004</v>
      </c>
      <c r="F579">
        <v>5115.6821200000004</v>
      </c>
      <c r="G579">
        <v>5120.12309</v>
      </c>
      <c r="H579">
        <v>5094.1804899999997</v>
      </c>
      <c r="J579">
        <v>1775567100</v>
      </c>
      <c r="K579" t="s">
        <v>0</v>
      </c>
      <c r="L579" t="s">
        <v>2</v>
      </c>
      <c r="M579">
        <v>4655.71</v>
      </c>
      <c r="N579">
        <v>4653.0368500000004</v>
      </c>
      <c r="O579">
        <v>4653.4080000000004</v>
      </c>
      <c r="P579">
        <v>4657.1511799999998</v>
      </c>
      <c r="Q579">
        <v>4649.0913200000005</v>
      </c>
    </row>
    <row r="580" spans="1:17" x14ac:dyDescent="0.55000000000000004">
      <c r="A580">
        <v>1773338400</v>
      </c>
      <c r="B580" t="s">
        <v>0</v>
      </c>
      <c r="C580" t="s">
        <v>1</v>
      </c>
      <c r="D580">
        <v>5094.3100000000004</v>
      </c>
      <c r="E580">
        <v>5094.8859899999998</v>
      </c>
      <c r="F580">
        <v>5105.2840500000002</v>
      </c>
      <c r="G580">
        <v>5109.0572599999996</v>
      </c>
      <c r="H580">
        <v>5084.6699200000003</v>
      </c>
      <c r="J580">
        <v>1775567400</v>
      </c>
      <c r="K580" t="s">
        <v>0</v>
      </c>
      <c r="L580" t="s">
        <v>2</v>
      </c>
      <c r="M580">
        <v>4656.78</v>
      </c>
      <c r="N580">
        <v>4653.8663999999999</v>
      </c>
      <c r="O580">
        <v>4653.6372000000001</v>
      </c>
      <c r="P580">
        <v>4657.6452200000003</v>
      </c>
      <c r="Q580">
        <v>4649.6353300000001</v>
      </c>
    </row>
    <row r="581" spans="1:17" x14ac:dyDescent="0.55000000000000004">
      <c r="A581">
        <v>1773342000</v>
      </c>
      <c r="B581" t="s">
        <v>0</v>
      </c>
      <c r="C581" t="s">
        <v>1</v>
      </c>
      <c r="D581">
        <v>5084.95</v>
      </c>
      <c r="E581">
        <v>5091.5168000000003</v>
      </c>
      <c r="F581">
        <v>5098.4004199999999</v>
      </c>
      <c r="G581">
        <v>5102.2413999999999</v>
      </c>
      <c r="H581">
        <v>5079.2709800000002</v>
      </c>
      <c r="J581">
        <v>1775567700</v>
      </c>
      <c r="K581" t="s">
        <v>0</v>
      </c>
      <c r="L581" t="s">
        <v>2</v>
      </c>
      <c r="M581">
        <v>4651.0200000000004</v>
      </c>
      <c r="N581">
        <v>4654.9570100000001</v>
      </c>
      <c r="O581">
        <v>4654.2970999999998</v>
      </c>
      <c r="P581">
        <v>4658.7688200000002</v>
      </c>
      <c r="Q581">
        <v>4650.6191799999997</v>
      </c>
    </row>
    <row r="582" spans="1:17" x14ac:dyDescent="0.55000000000000004">
      <c r="A582">
        <v>1773345600</v>
      </c>
      <c r="B582" t="s">
        <v>0</v>
      </c>
      <c r="C582" t="s">
        <v>1</v>
      </c>
      <c r="D582">
        <v>5079.0200000000004</v>
      </c>
      <c r="E582">
        <v>5092.3894399999999</v>
      </c>
      <c r="F582">
        <v>5095.3949300000004</v>
      </c>
      <c r="G582">
        <v>5100.1592199999996</v>
      </c>
      <c r="H582">
        <v>5078.2735400000001</v>
      </c>
      <c r="J582">
        <v>1775568000</v>
      </c>
      <c r="K582" t="s">
        <v>0</v>
      </c>
      <c r="L582" t="s">
        <v>2</v>
      </c>
      <c r="M582">
        <v>4659.24</v>
      </c>
      <c r="N582">
        <v>4655.9483499999997</v>
      </c>
      <c r="O582">
        <v>4655.12273</v>
      </c>
      <c r="P582">
        <v>4660.0614400000004</v>
      </c>
      <c r="Q582">
        <v>4651.6072599999998</v>
      </c>
    </row>
    <row r="583" spans="1:17" x14ac:dyDescent="0.55000000000000004">
      <c r="A583">
        <v>1773352800</v>
      </c>
      <c r="B583" t="s">
        <v>0</v>
      </c>
      <c r="C583" t="s">
        <v>1</v>
      </c>
      <c r="D583">
        <v>5095.92</v>
      </c>
      <c r="E583">
        <v>5096.56538</v>
      </c>
      <c r="F583">
        <v>5095.9801600000001</v>
      </c>
      <c r="G583">
        <v>5102.2633900000001</v>
      </c>
      <c r="H583">
        <v>5081.6956</v>
      </c>
      <c r="J583">
        <v>1775568300</v>
      </c>
      <c r="K583" t="s">
        <v>0</v>
      </c>
      <c r="L583" t="s">
        <v>2</v>
      </c>
      <c r="M583">
        <v>4658.2299999999996</v>
      </c>
      <c r="N583">
        <v>4656.0307199999997</v>
      </c>
      <c r="O583">
        <v>4655.5767299999998</v>
      </c>
      <c r="P583">
        <v>4660.8784100000003</v>
      </c>
      <c r="Q583">
        <v>4651.9999799999996</v>
      </c>
    </row>
    <row r="584" spans="1:17" x14ac:dyDescent="0.55000000000000004">
      <c r="A584">
        <v>1773356400</v>
      </c>
      <c r="B584" t="s">
        <v>0</v>
      </c>
      <c r="C584" t="s">
        <v>1</v>
      </c>
      <c r="D584">
        <v>5098.1400000000003</v>
      </c>
      <c r="E584">
        <v>5102.0756199999996</v>
      </c>
      <c r="F584">
        <v>5099.0278900000003</v>
      </c>
      <c r="G584">
        <v>5107.0258400000002</v>
      </c>
      <c r="H584">
        <v>5087.7920700000004</v>
      </c>
      <c r="J584">
        <v>1775568600</v>
      </c>
      <c r="K584" t="s">
        <v>0</v>
      </c>
      <c r="L584" t="s">
        <v>2</v>
      </c>
      <c r="M584">
        <v>4648.0600000000004</v>
      </c>
      <c r="N584">
        <v>4654.7152100000003</v>
      </c>
      <c r="O584">
        <v>4655.1459699999996</v>
      </c>
      <c r="P584">
        <v>4660.5495099999998</v>
      </c>
      <c r="Q584">
        <v>4651.0595400000002</v>
      </c>
    </row>
    <row r="585" spans="1:17" x14ac:dyDescent="0.55000000000000004">
      <c r="A585">
        <v>1773360000</v>
      </c>
      <c r="B585" t="s">
        <v>0</v>
      </c>
      <c r="C585" t="s">
        <v>1</v>
      </c>
      <c r="D585">
        <v>5113.79</v>
      </c>
      <c r="E585">
        <v>5107.3701099999998</v>
      </c>
      <c r="F585">
        <v>5103.1989999999996</v>
      </c>
      <c r="G585">
        <v>5112.6160600000003</v>
      </c>
      <c r="H585">
        <v>5094.5436799999998</v>
      </c>
      <c r="J585">
        <v>1775568900</v>
      </c>
      <c r="K585" t="s">
        <v>0</v>
      </c>
      <c r="L585" t="s">
        <v>2</v>
      </c>
      <c r="M585">
        <v>4647.9399999999996</v>
      </c>
      <c r="N585">
        <v>4651.9553400000004</v>
      </c>
      <c r="O585">
        <v>4653.5506500000001</v>
      </c>
      <c r="P585">
        <v>4658.6580899999999</v>
      </c>
      <c r="Q585">
        <v>4648.5815899999998</v>
      </c>
    </row>
    <row r="586" spans="1:17" x14ac:dyDescent="0.55000000000000004">
      <c r="A586">
        <v>1773363600</v>
      </c>
      <c r="B586" t="s">
        <v>0</v>
      </c>
      <c r="C586" t="s">
        <v>1</v>
      </c>
      <c r="D586">
        <v>5123.87</v>
      </c>
      <c r="E586">
        <v>5110.7861800000001</v>
      </c>
      <c r="F586">
        <v>5106.9925899999998</v>
      </c>
      <c r="G586">
        <v>5117.1039099999998</v>
      </c>
      <c r="H586">
        <v>5100.1714400000001</v>
      </c>
      <c r="J586">
        <v>1775569200</v>
      </c>
      <c r="K586" t="s">
        <v>0</v>
      </c>
      <c r="L586" t="s">
        <v>2</v>
      </c>
      <c r="M586">
        <v>4639.92</v>
      </c>
      <c r="N586">
        <v>4647.7865700000002</v>
      </c>
      <c r="O586">
        <v>4650.6686099999997</v>
      </c>
      <c r="P586">
        <v>4655.4098400000003</v>
      </c>
      <c r="Q586">
        <v>4644.4795899999999</v>
      </c>
    </row>
    <row r="587" spans="1:17" x14ac:dyDescent="0.55000000000000004">
      <c r="A587">
        <v>1773367200</v>
      </c>
      <c r="B587" t="s">
        <v>0</v>
      </c>
      <c r="C587" t="s">
        <v>1</v>
      </c>
      <c r="D587">
        <v>5112.09</v>
      </c>
      <c r="E587">
        <v>5111.3917199999996</v>
      </c>
      <c r="F587">
        <v>5109.1921499999999</v>
      </c>
      <c r="G587">
        <v>5119.1260499999999</v>
      </c>
      <c r="H587">
        <v>5103.1845300000004</v>
      </c>
      <c r="J587">
        <v>1775569500</v>
      </c>
      <c r="K587" t="s">
        <v>0</v>
      </c>
      <c r="L587" t="s">
        <v>2</v>
      </c>
      <c r="M587">
        <v>4647.24</v>
      </c>
      <c r="N587">
        <v>4642.7575699999998</v>
      </c>
      <c r="O587">
        <v>4646.7130900000002</v>
      </c>
      <c r="P587">
        <v>4651.0593799999997</v>
      </c>
      <c r="Q587">
        <v>4639.1651400000001</v>
      </c>
    </row>
    <row r="588" spans="1:17" x14ac:dyDescent="0.55000000000000004">
      <c r="A588">
        <v>1773370800</v>
      </c>
      <c r="B588" t="s">
        <v>0</v>
      </c>
      <c r="C588" t="s">
        <v>1</v>
      </c>
      <c r="D588">
        <v>5115.7700000000004</v>
      </c>
      <c r="E588">
        <v>5109.53953</v>
      </c>
      <c r="F588">
        <v>5109.3658400000004</v>
      </c>
      <c r="G588">
        <v>5118.1399199999996</v>
      </c>
      <c r="H588">
        <v>5102.9836699999996</v>
      </c>
      <c r="J588">
        <v>1775569800</v>
      </c>
      <c r="K588" t="s">
        <v>0</v>
      </c>
      <c r="L588" t="s">
        <v>2</v>
      </c>
      <c r="M588">
        <v>4652.45</v>
      </c>
      <c r="N588">
        <v>4637.2780599999996</v>
      </c>
      <c r="O588">
        <v>4641.99557</v>
      </c>
      <c r="P588">
        <v>4646.2365799999998</v>
      </c>
      <c r="Q588">
        <v>4633.1025200000004</v>
      </c>
    </row>
    <row r="589" spans="1:17" x14ac:dyDescent="0.55000000000000004">
      <c r="A589">
        <v>1773374400</v>
      </c>
      <c r="B589" t="s">
        <v>0</v>
      </c>
      <c r="C589" t="s">
        <v>1</v>
      </c>
      <c r="D589">
        <v>5104.3100000000004</v>
      </c>
      <c r="E589">
        <v>5105.6692499999999</v>
      </c>
      <c r="F589">
        <v>5107.5175499999996</v>
      </c>
      <c r="G589">
        <v>5114.7534500000002</v>
      </c>
      <c r="H589">
        <v>5099.86157</v>
      </c>
      <c r="J589">
        <v>1775570100</v>
      </c>
      <c r="K589" t="s">
        <v>0</v>
      </c>
      <c r="L589" t="s">
        <v>2</v>
      </c>
      <c r="M589">
        <v>4644.34</v>
      </c>
      <c r="N589">
        <v>4631.9842200000003</v>
      </c>
      <c r="O589">
        <v>4636.9898899999998</v>
      </c>
      <c r="P589">
        <v>4641.4964</v>
      </c>
      <c r="Q589">
        <v>4626.9041100000004</v>
      </c>
    </row>
    <row r="590" spans="1:17" x14ac:dyDescent="0.55000000000000004">
      <c r="A590">
        <v>1773378000</v>
      </c>
      <c r="B590" t="s">
        <v>0</v>
      </c>
      <c r="C590" t="s">
        <v>1</v>
      </c>
      <c r="D590">
        <v>5102.57</v>
      </c>
      <c r="E590">
        <v>5101.1432500000001</v>
      </c>
      <c r="F590">
        <v>5104.3303999999998</v>
      </c>
      <c r="G590">
        <v>5109.8537399999996</v>
      </c>
      <c r="H590">
        <v>5094.7207099999996</v>
      </c>
      <c r="J590">
        <v>1775570400</v>
      </c>
      <c r="K590" t="s">
        <v>0</v>
      </c>
      <c r="L590" t="s">
        <v>2</v>
      </c>
      <c r="M590">
        <v>4624.82</v>
      </c>
      <c r="N590">
        <v>4627.8861900000002</v>
      </c>
      <c r="O590">
        <v>4632.43804</v>
      </c>
      <c r="P590">
        <v>4637.5585099999998</v>
      </c>
      <c r="Q590">
        <v>4621.5058399999998</v>
      </c>
    </row>
    <row r="591" spans="1:17" x14ac:dyDescent="0.55000000000000004">
      <c r="A591">
        <v>1773381600</v>
      </c>
      <c r="B591" t="s">
        <v>0</v>
      </c>
      <c r="C591" t="s">
        <v>1</v>
      </c>
      <c r="D591">
        <v>5088.2299999999996</v>
      </c>
      <c r="E591">
        <v>5097.1364299999996</v>
      </c>
      <c r="F591">
        <v>5100.7334099999998</v>
      </c>
      <c r="G591">
        <v>5104.92677</v>
      </c>
      <c r="H591">
        <v>5088.9431599999998</v>
      </c>
      <c r="J591">
        <v>1775570700</v>
      </c>
      <c r="K591" t="s">
        <v>0</v>
      </c>
      <c r="L591" t="s">
        <v>2</v>
      </c>
      <c r="M591">
        <v>4612.0200000000004</v>
      </c>
      <c r="N591">
        <v>4626.1169300000001</v>
      </c>
      <c r="O591">
        <v>4629.2774900000004</v>
      </c>
      <c r="P591">
        <v>4635.2770899999996</v>
      </c>
      <c r="Q591">
        <v>4618.2545799999998</v>
      </c>
    </row>
    <row r="592" spans="1:17" x14ac:dyDescent="0.55000000000000004">
      <c r="A592">
        <v>1773385200</v>
      </c>
      <c r="B592" t="s">
        <v>0</v>
      </c>
      <c r="C592" t="s">
        <v>1</v>
      </c>
      <c r="D592">
        <v>5085.26</v>
      </c>
      <c r="E592">
        <v>5094.7248200000004</v>
      </c>
      <c r="F592">
        <v>5097.72912</v>
      </c>
      <c r="G592">
        <v>5101.2297099999996</v>
      </c>
      <c r="H592">
        <v>5084.0054</v>
      </c>
      <c r="J592">
        <v>1775571000</v>
      </c>
      <c r="K592" t="s">
        <v>0</v>
      </c>
      <c r="L592" t="s">
        <v>2</v>
      </c>
      <c r="M592">
        <v>4622.28</v>
      </c>
      <c r="N592">
        <v>4627.21515</v>
      </c>
      <c r="O592">
        <v>4628.2463200000002</v>
      </c>
      <c r="P592">
        <v>4635.4196199999997</v>
      </c>
      <c r="Q592">
        <v>4618.0305200000003</v>
      </c>
    </row>
    <row r="593" spans="1:17" x14ac:dyDescent="0.55000000000000004">
      <c r="A593">
        <v>1773388800</v>
      </c>
      <c r="B593" t="s">
        <v>0</v>
      </c>
      <c r="C593" t="s">
        <v>1</v>
      </c>
      <c r="D593">
        <v>5087.7</v>
      </c>
      <c r="E593">
        <v>5094.1806999999999</v>
      </c>
      <c r="F593">
        <v>5095.9549100000004</v>
      </c>
      <c r="G593">
        <v>5099.8408499999996</v>
      </c>
      <c r="H593">
        <v>5080.9679900000001</v>
      </c>
      <c r="J593">
        <v>1775571300</v>
      </c>
      <c r="K593" t="s">
        <v>0</v>
      </c>
      <c r="L593" t="s">
        <v>2</v>
      </c>
      <c r="M593">
        <v>4615.72</v>
      </c>
      <c r="N593">
        <v>4630.6109999999999</v>
      </c>
      <c r="O593">
        <v>4629.4286599999996</v>
      </c>
      <c r="P593">
        <v>4637.9026199999998</v>
      </c>
      <c r="Q593">
        <v>4620.6907199999996</v>
      </c>
    </row>
    <row r="594" spans="1:17" x14ac:dyDescent="0.55000000000000004">
      <c r="A594">
        <v>1773392400</v>
      </c>
      <c r="B594" t="s">
        <v>0</v>
      </c>
      <c r="C594" t="s">
        <v>1</v>
      </c>
      <c r="D594">
        <v>5089.7</v>
      </c>
      <c r="E594">
        <v>5094.8296600000003</v>
      </c>
      <c r="F594">
        <v>5095.3922899999998</v>
      </c>
      <c r="G594">
        <v>5100.9446099999996</v>
      </c>
      <c r="H594">
        <v>5080.0737200000003</v>
      </c>
      <c r="J594">
        <v>1775571600</v>
      </c>
      <c r="K594" t="s">
        <v>0</v>
      </c>
      <c r="L594" t="s">
        <v>2</v>
      </c>
      <c r="M594">
        <v>4642.16</v>
      </c>
      <c r="N594">
        <v>4635.7302499999996</v>
      </c>
      <c r="O594">
        <v>4632.5794500000002</v>
      </c>
      <c r="P594">
        <v>4642.1791300000004</v>
      </c>
      <c r="Q594">
        <v>4625.7124700000004</v>
      </c>
    </row>
    <row r="595" spans="1:17" x14ac:dyDescent="0.55000000000000004">
      <c r="A595">
        <v>1773396000</v>
      </c>
      <c r="B595" t="s">
        <v>0</v>
      </c>
      <c r="C595" t="s">
        <v>1</v>
      </c>
      <c r="D595">
        <v>5094.92</v>
      </c>
      <c r="E595">
        <v>5095.4951000000001</v>
      </c>
      <c r="F595">
        <v>5095.4436900000001</v>
      </c>
      <c r="G595">
        <v>5103.5277999999998</v>
      </c>
      <c r="H595">
        <v>5079.9840400000003</v>
      </c>
      <c r="J595">
        <v>1775571900</v>
      </c>
      <c r="K595" t="s">
        <v>0</v>
      </c>
      <c r="L595" t="s">
        <v>2</v>
      </c>
      <c r="M595">
        <v>4645.16</v>
      </c>
      <c r="N595">
        <v>4640.9054299999998</v>
      </c>
      <c r="O595">
        <v>4636.74244</v>
      </c>
      <c r="P595">
        <v>4646.8545999999997</v>
      </c>
      <c r="Q595">
        <v>4631.9724500000002</v>
      </c>
    </row>
    <row r="596" spans="1:17" x14ac:dyDescent="0.55000000000000004">
      <c r="A596">
        <v>1773399600</v>
      </c>
      <c r="B596" t="s">
        <v>0</v>
      </c>
      <c r="C596" t="s">
        <v>1</v>
      </c>
      <c r="D596">
        <v>5107.6899999999996</v>
      </c>
      <c r="E596">
        <v>5094.6706000000004</v>
      </c>
      <c r="F596">
        <v>5095.0571399999999</v>
      </c>
      <c r="G596">
        <v>5106.1980199999998</v>
      </c>
      <c r="H596">
        <v>5079.5634899999995</v>
      </c>
      <c r="J596">
        <v>1775572200</v>
      </c>
      <c r="K596" t="s">
        <v>0</v>
      </c>
      <c r="L596" t="s">
        <v>2</v>
      </c>
      <c r="M596">
        <v>4653.28</v>
      </c>
      <c r="N596">
        <v>4645.0864300000003</v>
      </c>
      <c r="O596">
        <v>4640.9144299999998</v>
      </c>
      <c r="P596">
        <v>4650.8806599999998</v>
      </c>
      <c r="Q596">
        <v>4637.7064</v>
      </c>
    </row>
    <row r="597" spans="1:17" x14ac:dyDescent="0.55000000000000004">
      <c r="A597">
        <v>1773403200</v>
      </c>
      <c r="B597" t="s">
        <v>0</v>
      </c>
      <c r="C597" t="s">
        <v>1</v>
      </c>
      <c r="D597">
        <v>5118.29</v>
      </c>
      <c r="E597">
        <v>5090.8167599999997</v>
      </c>
      <c r="F597">
        <v>5092.9369500000003</v>
      </c>
      <c r="G597">
        <v>5107.10113</v>
      </c>
      <c r="H597">
        <v>5077.3514100000002</v>
      </c>
      <c r="J597">
        <v>1775572500</v>
      </c>
      <c r="K597" t="s">
        <v>0</v>
      </c>
      <c r="L597" t="s">
        <v>2</v>
      </c>
      <c r="M597">
        <v>4654.95</v>
      </c>
      <c r="N597">
        <v>4647.3753500000003</v>
      </c>
      <c r="O597">
        <v>4644.1448899999996</v>
      </c>
      <c r="P597">
        <v>4653.3725400000003</v>
      </c>
      <c r="Q597">
        <v>4641.8457799999996</v>
      </c>
    </row>
    <row r="598" spans="1:17" x14ac:dyDescent="0.55000000000000004">
      <c r="A598">
        <v>1773406800</v>
      </c>
      <c r="B598" t="s">
        <v>0</v>
      </c>
      <c r="C598" t="s">
        <v>1</v>
      </c>
      <c r="D598">
        <v>5102.01</v>
      </c>
      <c r="E598">
        <v>5083.0437599999996</v>
      </c>
      <c r="F598">
        <v>5087.9903599999998</v>
      </c>
      <c r="G598">
        <v>5104.5170600000001</v>
      </c>
      <c r="H598">
        <v>5071.8725100000001</v>
      </c>
      <c r="J598">
        <v>1775572800</v>
      </c>
      <c r="K598" t="s">
        <v>0</v>
      </c>
      <c r="L598" t="s">
        <v>2</v>
      </c>
      <c r="M598">
        <v>4647.16</v>
      </c>
      <c r="N598">
        <v>4647.4974400000001</v>
      </c>
      <c r="O598">
        <v>4645.8211700000002</v>
      </c>
      <c r="P598">
        <v>4653.8074299999998</v>
      </c>
      <c r="Q598">
        <v>4643.5813099999996</v>
      </c>
    </row>
    <row r="599" spans="1:17" x14ac:dyDescent="0.55000000000000004">
      <c r="A599">
        <v>1773410400</v>
      </c>
      <c r="B599" t="s">
        <v>0</v>
      </c>
      <c r="C599" t="s">
        <v>1</v>
      </c>
      <c r="D599">
        <v>5041.9399999999996</v>
      </c>
      <c r="E599">
        <v>5072.0313399999995</v>
      </c>
      <c r="F599">
        <v>5080.0108499999997</v>
      </c>
      <c r="G599">
        <v>5097.71713</v>
      </c>
      <c r="H599">
        <v>5062.9940800000004</v>
      </c>
      <c r="J599">
        <v>1775573100</v>
      </c>
      <c r="K599" t="s">
        <v>0</v>
      </c>
      <c r="L599" t="s">
        <v>2</v>
      </c>
      <c r="M599">
        <v>4649.03</v>
      </c>
      <c r="N599">
        <v>4645.9023999999999</v>
      </c>
      <c r="O599">
        <v>4645.8617800000002</v>
      </c>
      <c r="P599">
        <v>4652.4301100000002</v>
      </c>
      <c r="Q599">
        <v>4643.0054799999998</v>
      </c>
    </row>
    <row r="600" spans="1:17" x14ac:dyDescent="0.55000000000000004">
      <c r="A600">
        <v>1773414000</v>
      </c>
      <c r="B600" t="s">
        <v>0</v>
      </c>
      <c r="C600" t="s">
        <v>1</v>
      </c>
      <c r="D600">
        <v>5034.62</v>
      </c>
      <c r="E600">
        <v>5060.28388</v>
      </c>
      <c r="F600">
        <v>5070.1473699999997</v>
      </c>
      <c r="G600">
        <v>5087.1540400000004</v>
      </c>
      <c r="H600">
        <v>5052.6299200000003</v>
      </c>
      <c r="J600">
        <v>1775573400</v>
      </c>
      <c r="K600" t="s">
        <v>0</v>
      </c>
      <c r="L600" t="s">
        <v>2</v>
      </c>
      <c r="M600">
        <v>4639.97</v>
      </c>
      <c r="N600">
        <v>4643.17724</v>
      </c>
      <c r="O600">
        <v>4644.5195100000001</v>
      </c>
      <c r="P600">
        <v>4649.7130699999998</v>
      </c>
      <c r="Q600">
        <v>4640.6241600000003</v>
      </c>
    </row>
    <row r="601" spans="1:17" x14ac:dyDescent="0.55000000000000004">
      <c r="A601">
        <v>1773417600</v>
      </c>
      <c r="B601" t="s">
        <v>0</v>
      </c>
      <c r="C601" t="s">
        <v>1</v>
      </c>
      <c r="D601">
        <v>5045.97</v>
      </c>
      <c r="E601">
        <v>5048.9846299999999</v>
      </c>
      <c r="F601">
        <v>5059.5659999999998</v>
      </c>
      <c r="G601">
        <v>5074.6105200000002</v>
      </c>
      <c r="H601">
        <v>5041.4349400000001</v>
      </c>
      <c r="J601">
        <v>1775573700</v>
      </c>
      <c r="K601" t="s">
        <v>0</v>
      </c>
      <c r="L601" t="s">
        <v>2</v>
      </c>
      <c r="M601">
        <v>4633.43</v>
      </c>
      <c r="N601">
        <v>4640.3444799999997</v>
      </c>
      <c r="O601">
        <v>4642.4319999999998</v>
      </c>
      <c r="P601">
        <v>4646.5854600000002</v>
      </c>
      <c r="Q601">
        <v>4637.4440999999997</v>
      </c>
    </row>
    <row r="602" spans="1:17" x14ac:dyDescent="0.55000000000000004">
      <c r="A602">
        <v>1773421200</v>
      </c>
      <c r="B602" t="s">
        <v>0</v>
      </c>
      <c r="C602" t="s">
        <v>1</v>
      </c>
      <c r="D602">
        <v>5046.37</v>
      </c>
      <c r="E602">
        <v>5038.6490700000004</v>
      </c>
      <c r="F602">
        <v>5049.1075300000002</v>
      </c>
      <c r="G602">
        <v>5061.8042299999997</v>
      </c>
      <c r="H602">
        <v>5030.36607</v>
      </c>
      <c r="J602">
        <v>1775574000</v>
      </c>
      <c r="K602" t="s">
        <v>0</v>
      </c>
      <c r="L602" t="s">
        <v>2</v>
      </c>
      <c r="M602">
        <v>4628.16</v>
      </c>
      <c r="N602">
        <v>4638.3317999999999</v>
      </c>
      <c r="O602">
        <v>4640.3819000000003</v>
      </c>
      <c r="P602">
        <v>4644.0182599999998</v>
      </c>
      <c r="Q602">
        <v>4634.6362099999997</v>
      </c>
    </row>
    <row r="603" spans="1:17" x14ac:dyDescent="0.55000000000000004">
      <c r="A603">
        <v>1773424800</v>
      </c>
      <c r="B603" t="s">
        <v>0</v>
      </c>
      <c r="C603" t="s">
        <v>1</v>
      </c>
      <c r="D603">
        <v>5046.46</v>
      </c>
      <c r="E603">
        <v>5029.82096</v>
      </c>
      <c r="F603">
        <v>5039.4642400000002</v>
      </c>
      <c r="G603">
        <v>5049.6960200000003</v>
      </c>
      <c r="H603">
        <v>5019.3231500000002</v>
      </c>
      <c r="J603">
        <v>1775574300</v>
      </c>
      <c r="K603" t="s">
        <v>0</v>
      </c>
      <c r="L603" t="s">
        <v>2</v>
      </c>
      <c r="M603">
        <v>4633.1899999999996</v>
      </c>
      <c r="N603">
        <v>4637.7793499999998</v>
      </c>
      <c r="O603">
        <v>4639.0806199999997</v>
      </c>
      <c r="P603">
        <v>4642.6974200000004</v>
      </c>
      <c r="Q603">
        <v>4633.0283799999997</v>
      </c>
    </row>
    <row r="604" spans="1:17" x14ac:dyDescent="0.55000000000000004">
      <c r="A604">
        <v>1773428400</v>
      </c>
      <c r="B604" t="s">
        <v>0</v>
      </c>
      <c r="C604" t="s">
        <v>1</v>
      </c>
      <c r="D604">
        <v>5016.2700000000004</v>
      </c>
      <c r="E604">
        <v>5022.8313699999999</v>
      </c>
      <c r="F604">
        <v>5031.1478100000004</v>
      </c>
      <c r="G604">
        <v>5039.6122299999997</v>
      </c>
      <c r="H604">
        <v>5009.04241</v>
      </c>
      <c r="J604">
        <v>1775574600</v>
      </c>
      <c r="K604" t="s">
        <v>0</v>
      </c>
      <c r="L604" t="s">
        <v>2</v>
      </c>
      <c r="M604">
        <v>4643.05</v>
      </c>
      <c r="N604">
        <v>4638.7025800000001</v>
      </c>
      <c r="O604">
        <v>4638.8915999999999</v>
      </c>
      <c r="P604">
        <v>4642.9497700000002</v>
      </c>
      <c r="Q604">
        <v>4633.1032699999996</v>
      </c>
    </row>
    <row r="605" spans="1:17" x14ac:dyDescent="0.55000000000000004">
      <c r="A605">
        <v>1773432000</v>
      </c>
      <c r="B605" t="s">
        <v>0</v>
      </c>
      <c r="C605" t="s">
        <v>1</v>
      </c>
      <c r="D605">
        <v>5020.95</v>
      </c>
      <c r="E605">
        <v>5018.4991200000004</v>
      </c>
      <c r="F605">
        <v>5024.8234599999996</v>
      </c>
      <c r="G605">
        <v>5032.1406999999999</v>
      </c>
      <c r="H605">
        <v>5000.7761499999997</v>
      </c>
      <c r="J605">
        <v>1775574900</v>
      </c>
      <c r="K605" t="s">
        <v>0</v>
      </c>
      <c r="L605" t="s">
        <v>2</v>
      </c>
      <c r="M605">
        <v>4650.22</v>
      </c>
      <c r="N605">
        <v>4640.6878500000003</v>
      </c>
      <c r="O605">
        <v>4639.7897300000004</v>
      </c>
      <c r="P605">
        <v>4644.4661599999999</v>
      </c>
      <c r="Q605">
        <v>4634.7049699999998</v>
      </c>
    </row>
    <row r="606" spans="1:17" x14ac:dyDescent="0.55000000000000004">
      <c r="A606">
        <v>1773612000</v>
      </c>
      <c r="B606" t="s">
        <v>0</v>
      </c>
      <c r="C606" t="s">
        <v>1</v>
      </c>
      <c r="D606">
        <v>5025.03</v>
      </c>
      <c r="E606">
        <v>5016.34015</v>
      </c>
      <c r="F606">
        <v>5020.5818099999997</v>
      </c>
      <c r="G606">
        <v>5027.8622500000001</v>
      </c>
      <c r="H606">
        <v>4994.8227900000002</v>
      </c>
      <c r="J606">
        <v>1775575200</v>
      </c>
      <c r="K606" t="s">
        <v>0</v>
      </c>
      <c r="L606" t="s">
        <v>2</v>
      </c>
      <c r="M606">
        <v>4645.83</v>
      </c>
      <c r="N606">
        <v>4643.1728300000004</v>
      </c>
      <c r="O606">
        <v>4641.48128</v>
      </c>
      <c r="P606">
        <v>4646.7287200000001</v>
      </c>
      <c r="Q606">
        <v>4637.2704000000003</v>
      </c>
    </row>
    <row r="607" spans="1:17" x14ac:dyDescent="0.55000000000000004">
      <c r="A607">
        <v>1773615600</v>
      </c>
      <c r="B607" t="s">
        <v>0</v>
      </c>
      <c r="C607" t="s">
        <v>1</v>
      </c>
      <c r="D607">
        <v>4997.59</v>
      </c>
      <c r="E607">
        <v>5015.5962799999998</v>
      </c>
      <c r="F607">
        <v>5018.0890399999998</v>
      </c>
      <c r="G607">
        <v>5026.0894900000003</v>
      </c>
      <c r="H607">
        <v>4991.6230999999998</v>
      </c>
      <c r="J607">
        <v>1775575500</v>
      </c>
      <c r="K607" t="s">
        <v>0</v>
      </c>
      <c r="L607" t="s">
        <v>2</v>
      </c>
      <c r="M607">
        <v>4653.13</v>
      </c>
      <c r="N607">
        <v>4645.8290900000002</v>
      </c>
      <c r="O607">
        <v>4643.6551799999997</v>
      </c>
      <c r="P607">
        <v>4649.2952400000004</v>
      </c>
      <c r="Q607">
        <v>4640.1781899999996</v>
      </c>
    </row>
    <row r="608" spans="1:17" x14ac:dyDescent="0.55000000000000004">
      <c r="A608">
        <v>1773619200</v>
      </c>
      <c r="B608" t="s">
        <v>0</v>
      </c>
      <c r="C608" t="s">
        <v>1</v>
      </c>
      <c r="D608">
        <v>5025.6499999999996</v>
      </c>
      <c r="E608">
        <v>5016.2011300000004</v>
      </c>
      <c r="F608">
        <v>5017.14509</v>
      </c>
      <c r="G608">
        <v>5026.0188200000002</v>
      </c>
      <c r="H608">
        <v>4991.7359299999998</v>
      </c>
      <c r="J608">
        <v>1775575800</v>
      </c>
      <c r="K608" t="s">
        <v>0</v>
      </c>
      <c r="L608" t="s">
        <v>2</v>
      </c>
      <c r="M608">
        <v>4646.58</v>
      </c>
      <c r="N608">
        <v>4648.1236399999998</v>
      </c>
      <c r="O608">
        <v>4645.8894099999998</v>
      </c>
      <c r="P608">
        <v>4651.7563499999997</v>
      </c>
      <c r="Q608">
        <v>4642.9346299999997</v>
      </c>
    </row>
    <row r="609" spans="1:17" x14ac:dyDescent="0.55000000000000004">
      <c r="A609">
        <v>1773622800</v>
      </c>
      <c r="B609" t="s">
        <v>0</v>
      </c>
      <c r="C609" t="s">
        <v>1</v>
      </c>
      <c r="D609">
        <v>5016.0600000000004</v>
      </c>
      <c r="E609">
        <v>5016.4295599999996</v>
      </c>
      <c r="F609">
        <v>5016.7873200000004</v>
      </c>
      <c r="G609">
        <v>5026.3996500000003</v>
      </c>
      <c r="H609">
        <v>4993.5561799999996</v>
      </c>
      <c r="J609">
        <v>1775576100</v>
      </c>
      <c r="K609" t="s">
        <v>0</v>
      </c>
      <c r="L609" t="s">
        <v>2</v>
      </c>
      <c r="M609">
        <v>4644.25</v>
      </c>
      <c r="N609">
        <v>4650.0257700000002</v>
      </c>
      <c r="O609">
        <v>4647.95759</v>
      </c>
      <c r="P609">
        <v>4653.7770899999996</v>
      </c>
      <c r="Q609">
        <v>4645.2583199999999</v>
      </c>
    </row>
    <row r="610" spans="1:17" x14ac:dyDescent="0.55000000000000004">
      <c r="A610">
        <v>1773626400</v>
      </c>
      <c r="B610" t="s">
        <v>0</v>
      </c>
      <c r="C610" t="s">
        <v>1</v>
      </c>
      <c r="D610">
        <v>5003.79</v>
      </c>
      <c r="E610">
        <v>5015.8027899999997</v>
      </c>
      <c r="F610">
        <v>5016.2950499999997</v>
      </c>
      <c r="G610">
        <v>5026.3432400000002</v>
      </c>
      <c r="H610">
        <v>4996.4003400000001</v>
      </c>
      <c r="J610">
        <v>1775576400</v>
      </c>
      <c r="K610" t="s">
        <v>0</v>
      </c>
      <c r="L610" t="s">
        <v>2</v>
      </c>
      <c r="M610">
        <v>4645.62</v>
      </c>
      <c r="N610">
        <v>4651.5772999999999</v>
      </c>
      <c r="O610">
        <v>4649.7674500000003</v>
      </c>
      <c r="P610">
        <v>4655.4211100000002</v>
      </c>
      <c r="Q610">
        <v>4647.0285999999996</v>
      </c>
    </row>
    <row r="611" spans="1:17" x14ac:dyDescent="0.55000000000000004">
      <c r="A611">
        <v>1773630000</v>
      </c>
      <c r="B611" t="s">
        <v>0</v>
      </c>
      <c r="C611" t="s">
        <v>1</v>
      </c>
      <c r="D611">
        <v>5019.16</v>
      </c>
      <c r="E611">
        <v>5014.2634600000001</v>
      </c>
      <c r="F611">
        <v>5015.2792600000002</v>
      </c>
      <c r="G611">
        <v>5025.4126999999999</v>
      </c>
      <c r="H611">
        <v>4998.80663</v>
      </c>
      <c r="J611">
        <v>1775576700</v>
      </c>
      <c r="K611" t="s">
        <v>0</v>
      </c>
      <c r="L611" t="s">
        <v>2</v>
      </c>
      <c r="M611">
        <v>4651.5200000000004</v>
      </c>
      <c r="N611">
        <v>4652.8547600000002</v>
      </c>
      <c r="O611">
        <v>4651.3110999999999</v>
      </c>
      <c r="P611">
        <v>4656.8046100000001</v>
      </c>
      <c r="Q611">
        <v>4648.3840600000003</v>
      </c>
    </row>
    <row r="612" spans="1:17" x14ac:dyDescent="0.55000000000000004">
      <c r="A612">
        <v>1773633600</v>
      </c>
      <c r="B612" t="s">
        <v>0</v>
      </c>
      <c r="C612" t="s">
        <v>1</v>
      </c>
      <c r="D612">
        <v>5012.76</v>
      </c>
      <c r="E612">
        <v>5011.3420500000002</v>
      </c>
      <c r="F612">
        <v>5013.3106600000001</v>
      </c>
      <c r="G612">
        <v>5023.36852</v>
      </c>
      <c r="H612">
        <v>4999.9834199999996</v>
      </c>
      <c r="J612">
        <v>1775577000</v>
      </c>
      <c r="K612" t="s">
        <v>0</v>
      </c>
      <c r="L612" t="s">
        <v>2</v>
      </c>
      <c r="M612">
        <v>4653.8500000000004</v>
      </c>
      <c r="N612">
        <v>4653.9044700000004</v>
      </c>
      <c r="O612">
        <v>4652.60779</v>
      </c>
      <c r="P612">
        <v>4657.9958900000001</v>
      </c>
      <c r="Q612">
        <v>4649.4091099999996</v>
      </c>
    </row>
    <row r="613" spans="1:17" x14ac:dyDescent="0.55000000000000004">
      <c r="A613">
        <v>1773637200</v>
      </c>
      <c r="B613" t="s">
        <v>0</v>
      </c>
      <c r="C613" t="s">
        <v>1</v>
      </c>
      <c r="D613">
        <v>5017.66</v>
      </c>
      <c r="E613">
        <v>5007.5328300000001</v>
      </c>
      <c r="F613">
        <v>5010.4217399999998</v>
      </c>
      <c r="G613">
        <v>5020.2843000000003</v>
      </c>
      <c r="H613">
        <v>4999.1996200000003</v>
      </c>
      <c r="J613">
        <v>1775577300</v>
      </c>
      <c r="K613" t="s">
        <v>0</v>
      </c>
      <c r="L613" t="s">
        <v>2</v>
      </c>
      <c r="M613">
        <v>4655.55</v>
      </c>
      <c r="N613">
        <v>4654.8581599999998</v>
      </c>
      <c r="O613">
        <v>4653.73297</v>
      </c>
      <c r="P613">
        <v>4659.1198100000001</v>
      </c>
      <c r="Q613">
        <v>4650.2651999999998</v>
      </c>
    </row>
    <row r="614" spans="1:17" x14ac:dyDescent="0.55000000000000004">
      <c r="A614">
        <v>1773640800</v>
      </c>
      <c r="B614" t="s">
        <v>0</v>
      </c>
      <c r="C614" t="s">
        <v>1</v>
      </c>
      <c r="D614">
        <v>5012.13</v>
      </c>
      <c r="E614">
        <v>5003.2736699999996</v>
      </c>
      <c r="F614">
        <v>5006.8477000000003</v>
      </c>
      <c r="G614">
        <v>5016.8331099999996</v>
      </c>
      <c r="H614">
        <v>4996.8291499999996</v>
      </c>
      <c r="J614">
        <v>1775577600</v>
      </c>
      <c r="K614" t="s">
        <v>0</v>
      </c>
      <c r="L614" t="s">
        <v>2</v>
      </c>
      <c r="M614">
        <v>4662.63</v>
      </c>
      <c r="N614">
        <v>4655.8066200000003</v>
      </c>
      <c r="O614">
        <v>4654.7697900000003</v>
      </c>
      <c r="P614">
        <v>4660.183</v>
      </c>
      <c r="Q614">
        <v>4651.0994700000001</v>
      </c>
    </row>
    <row r="615" spans="1:17" x14ac:dyDescent="0.55000000000000004">
      <c r="A615">
        <v>1773644400</v>
      </c>
      <c r="B615" t="s">
        <v>0</v>
      </c>
      <c r="C615" t="s">
        <v>1</v>
      </c>
      <c r="D615">
        <v>4995.51</v>
      </c>
      <c r="E615">
        <v>4999.4361200000003</v>
      </c>
      <c r="F615">
        <v>5003.1419100000003</v>
      </c>
      <c r="G615">
        <v>5013.3230899999999</v>
      </c>
      <c r="H615">
        <v>4993.3333899999998</v>
      </c>
      <c r="J615">
        <v>1775577900</v>
      </c>
      <c r="K615" t="s">
        <v>0</v>
      </c>
      <c r="L615" t="s">
        <v>2</v>
      </c>
      <c r="M615">
        <v>4653.78</v>
      </c>
      <c r="N615">
        <v>4656.6411099999996</v>
      </c>
      <c r="O615">
        <v>4655.7054500000004</v>
      </c>
      <c r="P615">
        <v>4661.0300100000004</v>
      </c>
      <c r="Q615">
        <v>4651.9965099999999</v>
      </c>
    </row>
    <row r="616" spans="1:17" x14ac:dyDescent="0.55000000000000004">
      <c r="A616">
        <v>1773648000</v>
      </c>
      <c r="B616" t="s">
        <v>0</v>
      </c>
      <c r="C616" t="s">
        <v>1</v>
      </c>
      <c r="D616">
        <v>4991.1400000000003</v>
      </c>
      <c r="E616">
        <v>4997.0832499999997</v>
      </c>
      <c r="F616">
        <v>5000.11258</v>
      </c>
      <c r="G616">
        <v>5010.9277700000002</v>
      </c>
      <c r="H616">
        <v>4989.8392899999999</v>
      </c>
      <c r="J616">
        <v>1775578200</v>
      </c>
      <c r="K616" t="s">
        <v>0</v>
      </c>
      <c r="L616" t="s">
        <v>2</v>
      </c>
      <c r="M616">
        <v>4658.84</v>
      </c>
      <c r="N616">
        <v>4657.58619</v>
      </c>
      <c r="O616">
        <v>4656.6458199999997</v>
      </c>
      <c r="P616">
        <v>4661.8388999999997</v>
      </c>
      <c r="Q616">
        <v>4652.9894999999997</v>
      </c>
    </row>
    <row r="617" spans="1:17" x14ac:dyDescent="0.55000000000000004">
      <c r="A617">
        <v>1773651600</v>
      </c>
      <c r="B617" t="s">
        <v>0</v>
      </c>
      <c r="C617" t="s">
        <v>1</v>
      </c>
      <c r="D617">
        <v>4975.47</v>
      </c>
      <c r="E617">
        <v>4996.5874400000002</v>
      </c>
      <c r="F617">
        <v>4998.3500100000001</v>
      </c>
      <c r="G617">
        <v>5010.3855400000002</v>
      </c>
      <c r="H617">
        <v>4987.23308</v>
      </c>
      <c r="J617">
        <v>1775578500</v>
      </c>
      <c r="K617" t="s">
        <v>0</v>
      </c>
      <c r="L617" t="s">
        <v>2</v>
      </c>
      <c r="M617">
        <v>4657.6899999999996</v>
      </c>
      <c r="N617">
        <v>4658.4680799999996</v>
      </c>
      <c r="O617">
        <v>4657.5569500000001</v>
      </c>
      <c r="P617">
        <v>4662.6293999999998</v>
      </c>
      <c r="Q617">
        <v>4654.0704400000004</v>
      </c>
    </row>
    <row r="618" spans="1:17" x14ac:dyDescent="0.55000000000000004">
      <c r="A618">
        <v>1773655200</v>
      </c>
      <c r="B618" t="s">
        <v>0</v>
      </c>
      <c r="C618" t="s">
        <v>1</v>
      </c>
      <c r="D618">
        <v>4998.4399999999996</v>
      </c>
      <c r="E618">
        <v>4998.1385799999998</v>
      </c>
      <c r="F618">
        <v>4998.2442899999996</v>
      </c>
      <c r="G618">
        <v>5011.9510200000004</v>
      </c>
      <c r="H618">
        <v>4986.1490599999997</v>
      </c>
      <c r="J618">
        <v>1775578800</v>
      </c>
      <c r="K618" t="s">
        <v>0</v>
      </c>
      <c r="L618" t="s">
        <v>2</v>
      </c>
      <c r="M618">
        <v>4657.6899999999996</v>
      </c>
      <c r="N618">
        <v>4659.2297600000002</v>
      </c>
      <c r="O618">
        <v>4658.3933500000003</v>
      </c>
      <c r="P618">
        <v>4663.3216400000001</v>
      </c>
      <c r="Q618">
        <v>4655.08331</v>
      </c>
    </row>
    <row r="619" spans="1:17" x14ac:dyDescent="0.55000000000000004">
      <c r="A619">
        <v>1773658800</v>
      </c>
      <c r="B619" t="s">
        <v>0</v>
      </c>
      <c r="C619" t="s">
        <v>1</v>
      </c>
      <c r="D619">
        <v>4996.8900000000003</v>
      </c>
      <c r="E619">
        <v>5000.4163399999998</v>
      </c>
      <c r="F619">
        <v>4999.33032</v>
      </c>
      <c r="G619">
        <v>5014.8838400000004</v>
      </c>
      <c r="H619">
        <v>4986.54414</v>
      </c>
      <c r="J619">
        <v>1775579100</v>
      </c>
      <c r="K619" t="s">
        <v>0</v>
      </c>
      <c r="L619" t="s">
        <v>2</v>
      </c>
      <c r="M619">
        <v>4662.99</v>
      </c>
      <c r="N619">
        <v>4659.8106900000002</v>
      </c>
      <c r="O619">
        <v>4659.1020200000003</v>
      </c>
      <c r="P619">
        <v>4663.6421099999998</v>
      </c>
      <c r="Q619">
        <v>4655.9944800000003</v>
      </c>
    </row>
    <row r="620" spans="1:17" x14ac:dyDescent="0.55000000000000004">
      <c r="A620">
        <v>1773662400</v>
      </c>
      <c r="B620" t="s">
        <v>0</v>
      </c>
      <c r="C620" t="s">
        <v>1</v>
      </c>
      <c r="D620">
        <v>5019.87</v>
      </c>
      <c r="E620">
        <v>5002.6980000000003</v>
      </c>
      <c r="F620">
        <v>5001.0141599999997</v>
      </c>
      <c r="G620">
        <v>5017.7379499999997</v>
      </c>
      <c r="H620">
        <v>4987.4257299999999</v>
      </c>
      <c r="J620">
        <v>1775579400</v>
      </c>
      <c r="K620" t="s">
        <v>0</v>
      </c>
      <c r="L620" t="s">
        <v>2</v>
      </c>
      <c r="M620">
        <v>4659.78</v>
      </c>
      <c r="N620">
        <v>4660.0757599999997</v>
      </c>
      <c r="O620">
        <v>4659.58889</v>
      </c>
      <c r="P620">
        <v>4663.6594999999998</v>
      </c>
      <c r="Q620">
        <v>4656.7233299999998</v>
      </c>
    </row>
    <row r="621" spans="1:17" x14ac:dyDescent="0.55000000000000004">
      <c r="A621">
        <v>1773666000</v>
      </c>
      <c r="B621" t="s">
        <v>0</v>
      </c>
      <c r="C621" t="s">
        <v>1</v>
      </c>
      <c r="D621">
        <v>5029.6899999999996</v>
      </c>
      <c r="E621">
        <v>5003.7321000000002</v>
      </c>
      <c r="F621">
        <v>5002.3731299999999</v>
      </c>
      <c r="G621">
        <v>5019.6553999999996</v>
      </c>
      <c r="H621">
        <v>4988.3550999999998</v>
      </c>
      <c r="J621">
        <v>1775579700</v>
      </c>
      <c r="K621" t="s">
        <v>0</v>
      </c>
      <c r="L621" t="s">
        <v>2</v>
      </c>
      <c r="M621">
        <v>4657.88</v>
      </c>
      <c r="N621">
        <v>4660.1733800000002</v>
      </c>
      <c r="O621">
        <v>4659.8811299999998</v>
      </c>
      <c r="P621">
        <v>4663.4142599999996</v>
      </c>
      <c r="Q621">
        <v>4657.28244</v>
      </c>
    </row>
    <row r="622" spans="1:17" x14ac:dyDescent="0.55000000000000004">
      <c r="A622">
        <v>1773669600</v>
      </c>
      <c r="B622" t="s">
        <v>0</v>
      </c>
      <c r="C622" t="s">
        <v>1</v>
      </c>
      <c r="D622">
        <v>4996.8900000000003</v>
      </c>
      <c r="E622">
        <v>5003.0552500000003</v>
      </c>
      <c r="F622">
        <v>5002.7141899999997</v>
      </c>
      <c r="G622">
        <v>5019.8859000000002</v>
      </c>
      <c r="H622">
        <v>4988.5905499999999</v>
      </c>
      <c r="J622">
        <v>1775580000</v>
      </c>
      <c r="K622" t="s">
        <v>0</v>
      </c>
      <c r="L622" t="s">
        <v>2</v>
      </c>
      <c r="M622">
        <v>4660.8999999999996</v>
      </c>
      <c r="N622">
        <v>4660.2554399999999</v>
      </c>
      <c r="O622">
        <v>4660.0682900000002</v>
      </c>
      <c r="P622">
        <v>4663.1213399999997</v>
      </c>
      <c r="Q622">
        <v>4657.6870099999996</v>
      </c>
    </row>
    <row r="623" spans="1:17" x14ac:dyDescent="0.55000000000000004">
      <c r="A623">
        <v>1773673200</v>
      </c>
      <c r="B623" t="s">
        <v>0</v>
      </c>
      <c r="C623" t="s">
        <v>1</v>
      </c>
      <c r="D623">
        <v>4987.1400000000003</v>
      </c>
      <c r="E623">
        <v>5001.8660300000001</v>
      </c>
      <c r="F623">
        <v>5002.2901099999999</v>
      </c>
      <c r="G623">
        <v>5018.3098</v>
      </c>
      <c r="H623">
        <v>4988.8993799999998</v>
      </c>
      <c r="J623">
        <v>1775580300</v>
      </c>
      <c r="K623" t="s">
        <v>0</v>
      </c>
      <c r="L623" t="s">
        <v>2</v>
      </c>
      <c r="M623">
        <v>4658.53</v>
      </c>
      <c r="N623">
        <v>4660.3146999999999</v>
      </c>
      <c r="O623">
        <v>4660.1914900000002</v>
      </c>
      <c r="P623">
        <v>4662.9353000000001</v>
      </c>
      <c r="Q623">
        <v>4657.9676399999998</v>
      </c>
    </row>
    <row r="624" spans="1:17" x14ac:dyDescent="0.55000000000000004">
      <c r="A624">
        <v>1773676800</v>
      </c>
      <c r="B624" t="s">
        <v>0</v>
      </c>
      <c r="C624" t="s">
        <v>1</v>
      </c>
      <c r="D624">
        <v>4990.58</v>
      </c>
      <c r="E624">
        <v>5000.9502400000001</v>
      </c>
      <c r="F624">
        <v>5001.6201799999999</v>
      </c>
      <c r="G624">
        <v>5016.1580199999999</v>
      </c>
      <c r="H624">
        <v>4989.5654599999998</v>
      </c>
      <c r="J624">
        <v>1775580600</v>
      </c>
      <c r="K624" t="s">
        <v>0</v>
      </c>
      <c r="L624" t="s">
        <v>2</v>
      </c>
      <c r="M624">
        <v>4660.3100000000004</v>
      </c>
      <c r="N624">
        <v>4660.4756900000002</v>
      </c>
      <c r="O624">
        <v>4660.3335900000002</v>
      </c>
      <c r="P624">
        <v>4662.9192700000003</v>
      </c>
      <c r="Q624">
        <v>4658.0880500000003</v>
      </c>
    </row>
    <row r="625" spans="1:17" x14ac:dyDescent="0.55000000000000004">
      <c r="A625">
        <v>1773680400</v>
      </c>
      <c r="B625" t="s">
        <v>0</v>
      </c>
      <c r="C625" t="s">
        <v>1</v>
      </c>
      <c r="D625">
        <v>4991.42</v>
      </c>
      <c r="E625">
        <v>5000.7231700000002</v>
      </c>
      <c r="F625">
        <v>5001.1716800000004</v>
      </c>
      <c r="G625">
        <v>5014.2122099999997</v>
      </c>
      <c r="H625">
        <v>4990.9643699999997</v>
      </c>
      <c r="J625">
        <v>1775580900</v>
      </c>
      <c r="K625" t="s">
        <v>0</v>
      </c>
      <c r="L625" t="s">
        <v>2</v>
      </c>
      <c r="M625">
        <v>4657.09</v>
      </c>
      <c r="N625">
        <v>4660.7457899999999</v>
      </c>
      <c r="O625">
        <v>4660.5396899999996</v>
      </c>
      <c r="P625">
        <v>4663.1686399999999</v>
      </c>
      <c r="Q625">
        <v>4658.0984699999999</v>
      </c>
    </row>
    <row r="626" spans="1:17" x14ac:dyDescent="0.55000000000000004">
      <c r="A626">
        <v>1773684000</v>
      </c>
      <c r="B626" t="s">
        <v>0</v>
      </c>
      <c r="C626" t="s">
        <v>1</v>
      </c>
      <c r="D626">
        <v>5012.88</v>
      </c>
      <c r="E626">
        <v>5001.52142</v>
      </c>
      <c r="F626">
        <v>5001.3465500000002</v>
      </c>
      <c r="G626">
        <v>5012.9831999999997</v>
      </c>
      <c r="H626">
        <v>4992.8922700000003</v>
      </c>
      <c r="J626">
        <v>1775581200</v>
      </c>
      <c r="K626" t="s">
        <v>0</v>
      </c>
      <c r="L626" t="s">
        <v>2</v>
      </c>
      <c r="M626">
        <v>4665.68</v>
      </c>
      <c r="N626">
        <v>4661.2761200000004</v>
      </c>
      <c r="O626">
        <v>4660.9079000000002</v>
      </c>
      <c r="P626">
        <v>4663.8444</v>
      </c>
      <c r="Q626">
        <v>4658.0829899999999</v>
      </c>
    </row>
    <row r="627" spans="1:17" x14ac:dyDescent="0.55000000000000004">
      <c r="A627">
        <v>1773687600</v>
      </c>
      <c r="B627" t="s">
        <v>0</v>
      </c>
      <c r="C627" t="s">
        <v>1</v>
      </c>
      <c r="D627">
        <v>5013.24</v>
      </c>
      <c r="E627">
        <v>5002.9005699999998</v>
      </c>
      <c r="F627">
        <v>5002.12356</v>
      </c>
      <c r="G627">
        <v>5012.6380300000001</v>
      </c>
      <c r="H627">
        <v>4995.1445199999998</v>
      </c>
      <c r="J627">
        <v>1775581500</v>
      </c>
      <c r="K627" t="s">
        <v>0</v>
      </c>
      <c r="L627" t="s">
        <v>2</v>
      </c>
      <c r="M627">
        <v>4667.6000000000004</v>
      </c>
      <c r="N627">
        <v>4661.8976400000001</v>
      </c>
      <c r="O627">
        <v>4661.4027699999997</v>
      </c>
      <c r="P627">
        <v>4664.8403900000003</v>
      </c>
      <c r="Q627">
        <v>4658.1516700000002</v>
      </c>
    </row>
    <row r="628" spans="1:17" x14ac:dyDescent="0.55000000000000004">
      <c r="A628">
        <v>1773691200</v>
      </c>
      <c r="B628" t="s">
        <v>0</v>
      </c>
      <c r="C628" t="s">
        <v>1</v>
      </c>
      <c r="D628">
        <v>5006.3</v>
      </c>
      <c r="E628">
        <v>5004.8997399999998</v>
      </c>
      <c r="F628">
        <v>5003.5116500000004</v>
      </c>
      <c r="G628">
        <v>5013.4373900000001</v>
      </c>
      <c r="H628">
        <v>4997.20561</v>
      </c>
      <c r="J628">
        <v>1775581800</v>
      </c>
      <c r="K628" t="s">
        <v>0</v>
      </c>
      <c r="L628" t="s">
        <v>2</v>
      </c>
      <c r="M628">
        <v>4668.1400000000003</v>
      </c>
      <c r="N628">
        <v>4662.6219099999998</v>
      </c>
      <c r="O628">
        <v>4662.0123400000002</v>
      </c>
      <c r="P628">
        <v>4665.9693699999998</v>
      </c>
      <c r="Q628">
        <v>4658.2617300000002</v>
      </c>
    </row>
    <row r="629" spans="1:17" x14ac:dyDescent="0.55000000000000004">
      <c r="A629">
        <v>1773698400</v>
      </c>
      <c r="B629" t="s">
        <v>0</v>
      </c>
      <c r="C629" t="s">
        <v>1</v>
      </c>
      <c r="D629">
        <v>5002.46</v>
      </c>
      <c r="E629">
        <v>5007.7572799999998</v>
      </c>
      <c r="F629">
        <v>5005.63447</v>
      </c>
      <c r="G629">
        <v>5015.4389099999999</v>
      </c>
      <c r="H629">
        <v>4999.3188499999997</v>
      </c>
      <c r="J629">
        <v>1775582100</v>
      </c>
      <c r="K629" t="s">
        <v>0</v>
      </c>
      <c r="L629" t="s">
        <v>2</v>
      </c>
      <c r="M629">
        <v>4656.47</v>
      </c>
      <c r="N629">
        <v>4663.5224099999996</v>
      </c>
      <c r="O629">
        <v>4662.7673699999996</v>
      </c>
      <c r="P629">
        <v>4667.3498</v>
      </c>
      <c r="Q629">
        <v>4658.5713900000001</v>
      </c>
    </row>
    <row r="630" spans="1:17" x14ac:dyDescent="0.55000000000000004">
      <c r="A630">
        <v>1773702000</v>
      </c>
      <c r="B630" t="s">
        <v>0</v>
      </c>
      <c r="C630" t="s">
        <v>1</v>
      </c>
      <c r="D630">
        <v>5012.8999999999996</v>
      </c>
      <c r="E630">
        <v>5011.5596299999997</v>
      </c>
      <c r="F630">
        <v>5008.5970500000003</v>
      </c>
      <c r="G630">
        <v>5018.63303</v>
      </c>
      <c r="H630">
        <v>5001.9188899999999</v>
      </c>
      <c r="J630">
        <v>1775582400</v>
      </c>
      <c r="K630" t="s">
        <v>0</v>
      </c>
      <c r="L630" t="s">
        <v>2</v>
      </c>
      <c r="M630">
        <v>4658.55</v>
      </c>
      <c r="N630">
        <v>4664.9327000000003</v>
      </c>
      <c r="O630">
        <v>4663.8500400000003</v>
      </c>
      <c r="P630">
        <v>4668.9259400000001</v>
      </c>
      <c r="Q630">
        <v>4659.4919499999996</v>
      </c>
    </row>
    <row r="631" spans="1:17" x14ac:dyDescent="0.55000000000000004">
      <c r="A631">
        <v>1773705600</v>
      </c>
      <c r="B631" t="s">
        <v>0</v>
      </c>
      <c r="C631" t="s">
        <v>1</v>
      </c>
      <c r="D631">
        <v>5003.13</v>
      </c>
      <c r="E631">
        <v>5015.7400500000003</v>
      </c>
      <c r="F631">
        <v>5012.1685500000003</v>
      </c>
      <c r="G631">
        <v>5022.69481</v>
      </c>
      <c r="H631">
        <v>5005.0207499999997</v>
      </c>
      <c r="J631">
        <v>1775582700</v>
      </c>
      <c r="K631" t="s">
        <v>0</v>
      </c>
      <c r="L631" t="s">
        <v>2</v>
      </c>
      <c r="M631">
        <v>4660.5</v>
      </c>
      <c r="N631">
        <v>4666.8221100000001</v>
      </c>
      <c r="O631">
        <v>4665.3360700000003</v>
      </c>
      <c r="P631">
        <v>4670.9160199999997</v>
      </c>
      <c r="Q631">
        <v>4661.1398200000003</v>
      </c>
    </row>
    <row r="632" spans="1:17" x14ac:dyDescent="0.55000000000000004">
      <c r="A632">
        <v>1773709200</v>
      </c>
      <c r="B632" t="s">
        <v>0</v>
      </c>
      <c r="C632" t="s">
        <v>1</v>
      </c>
      <c r="D632">
        <v>5027.91</v>
      </c>
      <c r="E632">
        <v>5020.1563500000002</v>
      </c>
      <c r="F632">
        <v>5016.1624499999998</v>
      </c>
      <c r="G632">
        <v>5027.1459000000004</v>
      </c>
      <c r="H632">
        <v>5008.6805999999997</v>
      </c>
      <c r="J632">
        <v>1775583000</v>
      </c>
      <c r="K632" t="s">
        <v>0</v>
      </c>
      <c r="L632" t="s">
        <v>2</v>
      </c>
      <c r="M632">
        <v>4672.03</v>
      </c>
      <c r="N632">
        <v>4669.0796099999998</v>
      </c>
      <c r="O632">
        <v>4667.20784</v>
      </c>
      <c r="P632">
        <v>4673.2306200000003</v>
      </c>
      <c r="Q632">
        <v>4663.4277899999997</v>
      </c>
    </row>
    <row r="633" spans="1:17" x14ac:dyDescent="0.55000000000000004">
      <c r="A633">
        <v>1773712800</v>
      </c>
      <c r="B633" t="s">
        <v>0</v>
      </c>
      <c r="C633" t="s">
        <v>1</v>
      </c>
      <c r="D633">
        <v>5022.55</v>
      </c>
      <c r="E633">
        <v>5023.6180700000004</v>
      </c>
      <c r="F633">
        <v>5019.8902600000001</v>
      </c>
      <c r="G633">
        <v>5031.0301499999996</v>
      </c>
      <c r="H633">
        <v>5012.6616299999996</v>
      </c>
      <c r="J633">
        <v>1775583300</v>
      </c>
      <c r="K633" t="s">
        <v>0</v>
      </c>
      <c r="L633" t="s">
        <v>2</v>
      </c>
      <c r="M633">
        <v>4679.46</v>
      </c>
      <c r="N633">
        <v>4671.3076600000004</v>
      </c>
      <c r="O633">
        <v>4669.2577499999998</v>
      </c>
      <c r="P633">
        <v>4675.4613200000003</v>
      </c>
      <c r="Q633">
        <v>4666.1108700000004</v>
      </c>
    </row>
    <row r="634" spans="1:17" x14ac:dyDescent="0.55000000000000004">
      <c r="A634">
        <v>1773716400</v>
      </c>
      <c r="B634" t="s">
        <v>0</v>
      </c>
      <c r="C634" t="s">
        <v>1</v>
      </c>
      <c r="D634">
        <v>5027.5</v>
      </c>
      <c r="E634">
        <v>5025.7965000000004</v>
      </c>
      <c r="F634">
        <v>5022.8433800000003</v>
      </c>
      <c r="G634">
        <v>5033.8001100000001</v>
      </c>
      <c r="H634">
        <v>5015.7857199999999</v>
      </c>
      <c r="J634">
        <v>1775583600</v>
      </c>
      <c r="K634" t="s">
        <v>0</v>
      </c>
      <c r="L634" t="s">
        <v>2</v>
      </c>
      <c r="M634">
        <v>4672.34</v>
      </c>
      <c r="N634">
        <v>4673.2431800000004</v>
      </c>
      <c r="O634">
        <v>4671.2504600000002</v>
      </c>
      <c r="P634">
        <v>4677.1933799999997</v>
      </c>
      <c r="Q634">
        <v>4668.7262000000001</v>
      </c>
    </row>
    <row r="635" spans="1:17" x14ac:dyDescent="0.55000000000000004">
      <c r="A635">
        <v>1773720000</v>
      </c>
      <c r="B635" t="s">
        <v>0</v>
      </c>
      <c r="C635" t="s">
        <v>1</v>
      </c>
      <c r="D635">
        <v>5037.88</v>
      </c>
      <c r="E635">
        <v>5026.3439500000004</v>
      </c>
      <c r="F635">
        <v>5024.5936700000002</v>
      </c>
      <c r="G635">
        <v>5035.0414300000002</v>
      </c>
      <c r="H635">
        <v>5017.61186</v>
      </c>
      <c r="J635">
        <v>1775583900</v>
      </c>
      <c r="K635" t="s">
        <v>0</v>
      </c>
      <c r="L635" t="s">
        <v>2</v>
      </c>
      <c r="M635">
        <v>4678.16</v>
      </c>
      <c r="N635">
        <v>4675.0579600000001</v>
      </c>
      <c r="O635">
        <v>4673.1542099999997</v>
      </c>
      <c r="P635">
        <v>4678.5626400000001</v>
      </c>
      <c r="Q635">
        <v>4671.1334299999999</v>
      </c>
    </row>
    <row r="636" spans="1:17" x14ac:dyDescent="0.55000000000000004">
      <c r="A636">
        <v>1773723600</v>
      </c>
      <c r="B636" t="s">
        <v>0</v>
      </c>
      <c r="C636" t="s">
        <v>1</v>
      </c>
      <c r="D636">
        <v>5020.75</v>
      </c>
      <c r="E636">
        <v>5024.9694799999997</v>
      </c>
      <c r="F636">
        <v>5024.7815700000001</v>
      </c>
      <c r="G636">
        <v>5034.5597799999996</v>
      </c>
      <c r="H636">
        <v>5017.7134800000003</v>
      </c>
      <c r="J636">
        <v>1775584200</v>
      </c>
      <c r="K636" t="s">
        <v>0</v>
      </c>
      <c r="L636" t="s">
        <v>2</v>
      </c>
      <c r="M636">
        <v>4676.78</v>
      </c>
      <c r="N636">
        <v>4676.6551300000001</v>
      </c>
      <c r="O636">
        <v>4674.9046699999999</v>
      </c>
      <c r="P636">
        <v>4679.7340000000004</v>
      </c>
      <c r="Q636">
        <v>4673.2753199999997</v>
      </c>
    </row>
    <row r="637" spans="1:17" x14ac:dyDescent="0.55000000000000004">
      <c r="A637">
        <v>1773727200</v>
      </c>
      <c r="B637" t="s">
        <v>0</v>
      </c>
      <c r="C637" t="s">
        <v>1</v>
      </c>
      <c r="D637">
        <v>5010.22</v>
      </c>
      <c r="E637">
        <v>5022.4260400000003</v>
      </c>
      <c r="F637">
        <v>5023.6037999999999</v>
      </c>
      <c r="G637">
        <v>5032.5695699999997</v>
      </c>
      <c r="H637">
        <v>5016.2745699999996</v>
      </c>
      <c r="J637">
        <v>1775584500</v>
      </c>
      <c r="K637" t="s">
        <v>0</v>
      </c>
      <c r="L637" t="s">
        <v>2</v>
      </c>
      <c r="M637">
        <v>4675.87</v>
      </c>
      <c r="N637">
        <v>4678.1570199999996</v>
      </c>
      <c r="O637">
        <v>4676.5308400000004</v>
      </c>
      <c r="P637">
        <v>4680.8107900000005</v>
      </c>
      <c r="Q637">
        <v>4675.0474199999999</v>
      </c>
    </row>
    <row r="638" spans="1:17" x14ac:dyDescent="0.55000000000000004">
      <c r="A638">
        <v>1773730800</v>
      </c>
      <c r="B638" t="s">
        <v>0</v>
      </c>
      <c r="C638" t="s">
        <v>1</v>
      </c>
      <c r="D638">
        <v>5021.25</v>
      </c>
      <c r="E638">
        <v>5019.3802900000001</v>
      </c>
      <c r="F638">
        <v>5021.4920499999998</v>
      </c>
      <c r="G638">
        <v>5030.0990700000002</v>
      </c>
      <c r="H638">
        <v>5013.8980499999998</v>
      </c>
      <c r="J638">
        <v>1775584800</v>
      </c>
      <c r="K638" t="s">
        <v>0</v>
      </c>
      <c r="L638" t="s">
        <v>2</v>
      </c>
      <c r="M638">
        <v>4678.1099999999997</v>
      </c>
      <c r="N638">
        <v>4679.63501</v>
      </c>
      <c r="O638">
        <v>4678.0829299999996</v>
      </c>
      <c r="P638">
        <v>4681.9324100000003</v>
      </c>
      <c r="Q638">
        <v>4676.5667999999996</v>
      </c>
    </row>
    <row r="639" spans="1:17" x14ac:dyDescent="0.55000000000000004">
      <c r="A639">
        <v>1773734400</v>
      </c>
      <c r="B639" t="s">
        <v>0</v>
      </c>
      <c r="C639" t="s">
        <v>1</v>
      </c>
      <c r="D639">
        <v>5025.05</v>
      </c>
      <c r="E639">
        <v>5015.8175300000003</v>
      </c>
      <c r="F639">
        <v>5018.6547899999996</v>
      </c>
      <c r="G639">
        <v>5027.3776500000004</v>
      </c>
      <c r="H639">
        <v>5010.5986199999998</v>
      </c>
      <c r="J639">
        <v>1775585100</v>
      </c>
      <c r="K639" t="s">
        <v>0</v>
      </c>
      <c r="L639" t="s">
        <v>2</v>
      </c>
      <c r="M639">
        <v>4678.71</v>
      </c>
      <c r="N639">
        <v>4681.0319099999997</v>
      </c>
      <c r="O639">
        <v>4679.5574200000001</v>
      </c>
      <c r="P639">
        <v>4683.0757999999996</v>
      </c>
      <c r="Q639">
        <v>4677.8937999999998</v>
      </c>
    </row>
    <row r="640" spans="1:17" x14ac:dyDescent="0.55000000000000004">
      <c r="A640">
        <v>1773738000</v>
      </c>
      <c r="B640" t="s">
        <v>0</v>
      </c>
      <c r="C640" t="s">
        <v>1</v>
      </c>
      <c r="D640">
        <v>5010.26</v>
      </c>
      <c r="E640">
        <v>5012.0381500000003</v>
      </c>
      <c r="F640">
        <v>5015.3464700000004</v>
      </c>
      <c r="G640">
        <v>5024.6832100000001</v>
      </c>
      <c r="H640">
        <v>5006.4178000000002</v>
      </c>
      <c r="J640">
        <v>1775585400</v>
      </c>
      <c r="K640" t="s">
        <v>0</v>
      </c>
      <c r="L640" t="s">
        <v>2</v>
      </c>
      <c r="M640">
        <v>4684.03</v>
      </c>
      <c r="N640">
        <v>4682.2346500000003</v>
      </c>
      <c r="O640">
        <v>4680.8960299999999</v>
      </c>
      <c r="P640">
        <v>4684.2182300000004</v>
      </c>
      <c r="Q640">
        <v>4679.0310799999997</v>
      </c>
    </row>
    <row r="641" spans="1:17" x14ac:dyDescent="0.55000000000000004">
      <c r="A641">
        <v>1773741600</v>
      </c>
      <c r="B641" t="s">
        <v>0</v>
      </c>
      <c r="C641" t="s">
        <v>1</v>
      </c>
      <c r="D641">
        <v>5000.43</v>
      </c>
      <c r="E641">
        <v>5008.8245299999999</v>
      </c>
      <c r="F641">
        <v>5012.0855000000001</v>
      </c>
      <c r="G641">
        <v>5022.2836399999997</v>
      </c>
      <c r="H641">
        <v>5002.0285400000002</v>
      </c>
      <c r="J641">
        <v>1775585700</v>
      </c>
      <c r="K641" t="s">
        <v>0</v>
      </c>
      <c r="L641" t="s">
        <v>2</v>
      </c>
      <c r="M641">
        <v>4684.75</v>
      </c>
      <c r="N641">
        <v>4682.9119499999997</v>
      </c>
      <c r="O641">
        <v>4681.9039899999998</v>
      </c>
      <c r="P641">
        <v>4685.09004</v>
      </c>
      <c r="Q641">
        <v>4679.84807</v>
      </c>
    </row>
    <row r="642" spans="1:17" x14ac:dyDescent="0.55000000000000004">
      <c r="A642">
        <v>1773745200</v>
      </c>
      <c r="B642" t="s">
        <v>0</v>
      </c>
      <c r="C642" t="s">
        <v>1</v>
      </c>
      <c r="D642">
        <v>5003.26</v>
      </c>
      <c r="E642">
        <v>5006.6943700000002</v>
      </c>
      <c r="F642">
        <v>5009.38994</v>
      </c>
      <c r="G642">
        <v>5020.4632499999998</v>
      </c>
      <c r="H642">
        <v>4998.3837899999999</v>
      </c>
      <c r="J642">
        <v>1775586000</v>
      </c>
      <c r="K642" t="s">
        <v>0</v>
      </c>
      <c r="L642" t="s">
        <v>2</v>
      </c>
      <c r="M642">
        <v>4678.04</v>
      </c>
      <c r="N642">
        <v>4682.8161700000001</v>
      </c>
      <c r="O642">
        <v>4682.3600800000004</v>
      </c>
      <c r="P642">
        <v>4685.4279900000001</v>
      </c>
      <c r="Q642">
        <v>4680.0765799999999</v>
      </c>
    </row>
    <row r="643" spans="1:17" x14ac:dyDescent="0.55000000000000004">
      <c r="A643">
        <v>1773748800</v>
      </c>
      <c r="B643" t="s">
        <v>0</v>
      </c>
      <c r="C643" t="s">
        <v>1</v>
      </c>
      <c r="D643">
        <v>5011.7299999999996</v>
      </c>
      <c r="E643">
        <v>5005.69751</v>
      </c>
      <c r="F643">
        <v>5007.5437199999997</v>
      </c>
      <c r="G643">
        <v>5019.2468500000004</v>
      </c>
      <c r="H643">
        <v>4995.7530399999996</v>
      </c>
      <c r="J643">
        <v>1775586300</v>
      </c>
      <c r="K643" t="s">
        <v>0</v>
      </c>
      <c r="L643" t="s">
        <v>2</v>
      </c>
      <c r="M643">
        <v>4680.3100000000004</v>
      </c>
      <c r="N643">
        <v>4681.9488600000004</v>
      </c>
      <c r="O643">
        <v>4682.1544700000004</v>
      </c>
      <c r="P643">
        <v>4685.0039900000002</v>
      </c>
      <c r="Q643">
        <v>4679.58151</v>
      </c>
    </row>
    <row r="644" spans="1:17" x14ac:dyDescent="0.55000000000000004">
      <c r="A644">
        <v>1773752400</v>
      </c>
      <c r="B644" t="s">
        <v>0</v>
      </c>
      <c r="C644" t="s">
        <v>1</v>
      </c>
      <c r="D644">
        <v>5016.6499999999996</v>
      </c>
      <c r="E644">
        <v>5005.4151899999997</v>
      </c>
      <c r="F644">
        <v>5006.4794599999996</v>
      </c>
      <c r="G644">
        <v>5018.1854000000003</v>
      </c>
      <c r="H644">
        <v>4994.2604300000003</v>
      </c>
      <c r="J644">
        <v>1775586600</v>
      </c>
      <c r="K644" t="s">
        <v>0</v>
      </c>
      <c r="L644" t="s">
        <v>2</v>
      </c>
      <c r="M644">
        <v>4683.04</v>
      </c>
      <c r="N644">
        <v>4680.1815900000001</v>
      </c>
      <c r="O644">
        <v>4681.1680299999998</v>
      </c>
      <c r="P644">
        <v>4683.77117</v>
      </c>
      <c r="Q644">
        <v>4678.19229</v>
      </c>
    </row>
    <row r="645" spans="1:17" x14ac:dyDescent="0.55000000000000004">
      <c r="A645">
        <v>1773756000</v>
      </c>
      <c r="B645" t="s">
        <v>0</v>
      </c>
      <c r="C645" t="s">
        <v>1</v>
      </c>
      <c r="D645">
        <v>5007.67</v>
      </c>
      <c r="E645">
        <v>5005.4232899999997</v>
      </c>
      <c r="F645">
        <v>5005.9513699999998</v>
      </c>
      <c r="G645">
        <v>5016.8781300000001</v>
      </c>
      <c r="H645">
        <v>4993.7096199999996</v>
      </c>
      <c r="J645">
        <v>1775586900</v>
      </c>
      <c r="K645" t="s">
        <v>0</v>
      </c>
      <c r="L645" t="s">
        <v>2</v>
      </c>
      <c r="M645">
        <v>4679.75</v>
      </c>
      <c r="N645">
        <v>4677.48801</v>
      </c>
      <c r="O645">
        <v>4679.3280199999999</v>
      </c>
      <c r="P645">
        <v>4681.5489399999997</v>
      </c>
      <c r="Q645">
        <v>4675.7848100000001</v>
      </c>
    </row>
    <row r="646" spans="1:17" x14ac:dyDescent="0.55000000000000004">
      <c r="A646">
        <v>1773759600</v>
      </c>
      <c r="B646" t="s">
        <v>0</v>
      </c>
      <c r="C646" t="s">
        <v>1</v>
      </c>
      <c r="D646">
        <v>4997.9799999999996</v>
      </c>
      <c r="E646">
        <v>5005.5920800000004</v>
      </c>
      <c r="F646">
        <v>5005.7717300000004</v>
      </c>
      <c r="G646">
        <v>5015.4703200000004</v>
      </c>
      <c r="H646">
        <v>4993.9501300000002</v>
      </c>
      <c r="J646">
        <v>1775587200</v>
      </c>
      <c r="K646" t="s">
        <v>0</v>
      </c>
      <c r="L646" t="s">
        <v>2</v>
      </c>
      <c r="M646">
        <v>4679.67</v>
      </c>
      <c r="N646">
        <v>4674.26865</v>
      </c>
      <c r="O646">
        <v>4676.7983299999996</v>
      </c>
      <c r="P646">
        <v>4678.6378500000001</v>
      </c>
      <c r="Q646">
        <v>4672.5440699999999</v>
      </c>
    </row>
    <row r="647" spans="1:17" x14ac:dyDescent="0.55000000000000004">
      <c r="A647">
        <v>1773763200</v>
      </c>
      <c r="B647" t="s">
        <v>0</v>
      </c>
      <c r="C647" t="s">
        <v>1</v>
      </c>
      <c r="D647">
        <v>5001.84</v>
      </c>
      <c r="E647">
        <v>5005.8095400000002</v>
      </c>
      <c r="F647">
        <v>5005.7906300000004</v>
      </c>
      <c r="G647">
        <v>5013.9264599999997</v>
      </c>
      <c r="H647">
        <v>4995.3500299999996</v>
      </c>
      <c r="J647">
        <v>1775587500</v>
      </c>
      <c r="K647" t="s">
        <v>0</v>
      </c>
      <c r="L647" t="s">
        <v>2</v>
      </c>
      <c r="M647">
        <v>4674.38</v>
      </c>
      <c r="N647">
        <v>4671.0107900000003</v>
      </c>
      <c r="O647">
        <v>4673.9045599999999</v>
      </c>
      <c r="P647">
        <v>4675.5720000000001</v>
      </c>
      <c r="Q647">
        <v>4668.9222499999996</v>
      </c>
    </row>
    <row r="648" spans="1:17" x14ac:dyDescent="0.55000000000000004">
      <c r="A648">
        <v>1773766800</v>
      </c>
      <c r="B648" t="s">
        <v>0</v>
      </c>
      <c r="C648" t="s">
        <v>1</v>
      </c>
      <c r="D648">
        <v>5002.4399999999996</v>
      </c>
      <c r="E648">
        <v>5005.6379100000004</v>
      </c>
      <c r="F648">
        <v>5005.7142700000004</v>
      </c>
      <c r="G648">
        <v>5012.4345599999997</v>
      </c>
      <c r="H648">
        <v>4996.8398500000003</v>
      </c>
      <c r="J648">
        <v>1775587800</v>
      </c>
      <c r="K648" t="s">
        <v>0</v>
      </c>
      <c r="L648" t="s">
        <v>2</v>
      </c>
      <c r="M648">
        <v>4664.91</v>
      </c>
      <c r="N648">
        <v>4668.38724</v>
      </c>
      <c r="O648">
        <v>4671.1459000000004</v>
      </c>
      <c r="P648">
        <v>4672.9289699999999</v>
      </c>
      <c r="Q648">
        <v>4665.59303</v>
      </c>
    </row>
    <row r="649" spans="1:17" x14ac:dyDescent="0.55000000000000004">
      <c r="A649">
        <v>1773770400</v>
      </c>
      <c r="B649" t="s">
        <v>0</v>
      </c>
      <c r="C649" t="s">
        <v>1</v>
      </c>
      <c r="D649">
        <v>5003.91</v>
      </c>
      <c r="E649">
        <v>5004.7992000000004</v>
      </c>
      <c r="F649">
        <v>5005.2567300000001</v>
      </c>
      <c r="G649">
        <v>5010.7810200000004</v>
      </c>
      <c r="H649">
        <v>4997.7352499999997</v>
      </c>
      <c r="J649">
        <v>1775588100</v>
      </c>
      <c r="K649" t="s">
        <v>0</v>
      </c>
      <c r="L649" t="s">
        <v>2</v>
      </c>
      <c r="M649">
        <v>4662.0600000000004</v>
      </c>
      <c r="N649">
        <v>4667.0990599999996</v>
      </c>
      <c r="O649">
        <v>4669.12248</v>
      </c>
      <c r="P649">
        <v>4671.3557899999996</v>
      </c>
      <c r="Q649">
        <v>4663.3043500000003</v>
      </c>
    </row>
    <row r="650" spans="1:17" x14ac:dyDescent="0.55000000000000004">
      <c r="A650">
        <v>1773774000</v>
      </c>
      <c r="B650" t="s">
        <v>0</v>
      </c>
      <c r="C650" t="s">
        <v>1</v>
      </c>
      <c r="D650">
        <v>5000.28</v>
      </c>
      <c r="E650">
        <v>5003.2370300000002</v>
      </c>
      <c r="F650">
        <v>5004.2468799999997</v>
      </c>
      <c r="G650">
        <v>5008.8976599999996</v>
      </c>
      <c r="H650">
        <v>4997.5969299999997</v>
      </c>
      <c r="J650">
        <v>1775588400</v>
      </c>
      <c r="K650" t="s">
        <v>0</v>
      </c>
      <c r="L650" t="s">
        <v>2</v>
      </c>
      <c r="M650">
        <v>4665.21</v>
      </c>
      <c r="N650">
        <v>4667.4702500000003</v>
      </c>
      <c r="O650">
        <v>4668.2963600000003</v>
      </c>
      <c r="P650">
        <v>4671.4558200000001</v>
      </c>
      <c r="Q650">
        <v>4662.64048</v>
      </c>
    </row>
    <row r="651" spans="1:17" x14ac:dyDescent="0.55000000000000004">
      <c r="A651">
        <v>1773777600</v>
      </c>
      <c r="B651" t="s">
        <v>0</v>
      </c>
      <c r="C651" t="s">
        <v>1</v>
      </c>
      <c r="D651">
        <v>5005.66</v>
      </c>
      <c r="E651">
        <v>5001.2260100000003</v>
      </c>
      <c r="F651">
        <v>5002.7364399999997</v>
      </c>
      <c r="G651">
        <v>5006.9563699999999</v>
      </c>
      <c r="H651">
        <v>4996.5313299999998</v>
      </c>
      <c r="J651">
        <v>1775588700</v>
      </c>
      <c r="K651" t="s">
        <v>0</v>
      </c>
      <c r="L651" t="s">
        <v>2</v>
      </c>
      <c r="M651">
        <v>4662.1000000000004</v>
      </c>
      <c r="N651">
        <v>4669.42101</v>
      </c>
      <c r="O651">
        <v>4668.85869</v>
      </c>
      <c r="P651">
        <v>4673.2785899999999</v>
      </c>
      <c r="Q651">
        <v>4663.6897099999996</v>
      </c>
    </row>
    <row r="652" spans="1:17" x14ac:dyDescent="0.55000000000000004">
      <c r="A652">
        <v>1773784800</v>
      </c>
      <c r="B652" t="s">
        <v>0</v>
      </c>
      <c r="C652" t="s">
        <v>1</v>
      </c>
      <c r="D652">
        <v>4999.79</v>
      </c>
      <c r="E652">
        <v>4998.9886299999998</v>
      </c>
      <c r="F652">
        <v>5000.8625400000001</v>
      </c>
      <c r="G652">
        <v>5005.1681699999999</v>
      </c>
      <c r="H652">
        <v>4994.7644499999997</v>
      </c>
      <c r="J652">
        <v>1775589000</v>
      </c>
      <c r="K652" t="s">
        <v>0</v>
      </c>
      <c r="L652" t="s">
        <v>2</v>
      </c>
      <c r="M652">
        <v>4667.8500000000004</v>
      </c>
      <c r="N652">
        <v>4672.8161300000002</v>
      </c>
      <c r="O652">
        <v>4670.8374100000001</v>
      </c>
      <c r="P652">
        <v>4676.6724199999999</v>
      </c>
      <c r="Q652">
        <v>4666.3169799999996</v>
      </c>
    </row>
    <row r="653" spans="1:17" x14ac:dyDescent="0.55000000000000004">
      <c r="A653">
        <v>1773788400</v>
      </c>
      <c r="B653" t="s">
        <v>0</v>
      </c>
      <c r="C653" t="s">
        <v>1</v>
      </c>
      <c r="D653">
        <v>5002.9399999999996</v>
      </c>
      <c r="E653">
        <v>4997.2602500000003</v>
      </c>
      <c r="F653">
        <v>4999.0613899999998</v>
      </c>
      <c r="G653">
        <v>5003.85185</v>
      </c>
      <c r="H653">
        <v>4993.0740699999997</v>
      </c>
      <c r="J653">
        <v>1775589300</v>
      </c>
      <c r="K653" t="s">
        <v>0</v>
      </c>
      <c r="L653" t="s">
        <v>2</v>
      </c>
      <c r="M653">
        <v>4690.16</v>
      </c>
      <c r="N653">
        <v>4677.1425200000003</v>
      </c>
      <c r="O653">
        <v>4673.9899599999999</v>
      </c>
      <c r="P653">
        <v>4681.30969</v>
      </c>
      <c r="Q653">
        <v>4670.11996</v>
      </c>
    </row>
    <row r="654" spans="1:17" x14ac:dyDescent="0.55000000000000004">
      <c r="A654">
        <v>1773792000</v>
      </c>
      <c r="B654" t="s">
        <v>0</v>
      </c>
      <c r="C654" t="s">
        <v>1</v>
      </c>
      <c r="D654">
        <v>5004.38</v>
      </c>
      <c r="E654">
        <v>4996.4501200000004</v>
      </c>
      <c r="F654">
        <v>4997.7557500000003</v>
      </c>
      <c r="G654">
        <v>5003.4375700000001</v>
      </c>
      <c r="H654">
        <v>4991.9245199999996</v>
      </c>
      <c r="J654">
        <v>1775589600</v>
      </c>
      <c r="K654" t="s">
        <v>0</v>
      </c>
      <c r="L654" t="s">
        <v>2</v>
      </c>
      <c r="M654">
        <v>4689.54</v>
      </c>
      <c r="N654">
        <v>4681.4152400000003</v>
      </c>
      <c r="O654">
        <v>4677.7025999999996</v>
      </c>
      <c r="P654">
        <v>4686.2092700000003</v>
      </c>
      <c r="Q654">
        <v>4674.5142699999997</v>
      </c>
    </row>
    <row r="655" spans="1:17" x14ac:dyDescent="0.55000000000000004">
      <c r="A655">
        <v>1773795600</v>
      </c>
      <c r="B655" t="s">
        <v>0</v>
      </c>
      <c r="C655" t="s">
        <v>1</v>
      </c>
      <c r="D655">
        <v>4999.03</v>
      </c>
      <c r="E655">
        <v>4996.6713900000004</v>
      </c>
      <c r="F655">
        <v>4997.2135699999999</v>
      </c>
      <c r="G655">
        <v>5003.9636300000002</v>
      </c>
      <c r="H655">
        <v>4991.5995999999996</v>
      </c>
      <c r="J655">
        <v>1775589900</v>
      </c>
      <c r="K655" t="s">
        <v>0</v>
      </c>
      <c r="L655" t="s">
        <v>2</v>
      </c>
      <c r="M655">
        <v>4687.46</v>
      </c>
      <c r="N655">
        <v>4685.3245500000003</v>
      </c>
      <c r="O655">
        <v>4681.5135799999998</v>
      </c>
      <c r="P655">
        <v>4690.6962299999996</v>
      </c>
      <c r="Q655">
        <v>4678.6028299999998</v>
      </c>
    </row>
    <row r="656" spans="1:17" x14ac:dyDescent="0.55000000000000004">
      <c r="A656">
        <v>1773799200</v>
      </c>
      <c r="B656" t="s">
        <v>0</v>
      </c>
      <c r="C656" t="s">
        <v>1</v>
      </c>
      <c r="D656">
        <v>4991.96</v>
      </c>
      <c r="E656">
        <v>4997.8591100000003</v>
      </c>
      <c r="F656">
        <v>4997.5363399999997</v>
      </c>
      <c r="G656">
        <v>5005.3165600000002</v>
      </c>
      <c r="H656">
        <v>4992.2842700000001</v>
      </c>
      <c r="J656">
        <v>1775590200</v>
      </c>
      <c r="K656" t="s">
        <v>0</v>
      </c>
      <c r="L656" t="s">
        <v>2</v>
      </c>
      <c r="M656">
        <v>4686.21</v>
      </c>
      <c r="N656">
        <v>4688.8095400000002</v>
      </c>
      <c r="O656">
        <v>4685.1615599999996</v>
      </c>
      <c r="P656">
        <v>4694.8292899999997</v>
      </c>
      <c r="Q656">
        <v>4682.1098700000002</v>
      </c>
    </row>
    <row r="657" spans="1:17" x14ac:dyDescent="0.55000000000000004">
      <c r="A657">
        <v>1773802800</v>
      </c>
      <c r="B657" t="s">
        <v>0</v>
      </c>
      <c r="C657" t="s">
        <v>1</v>
      </c>
      <c r="D657">
        <v>4991.51</v>
      </c>
      <c r="E657">
        <v>4999.61744</v>
      </c>
      <c r="F657">
        <v>4998.5768900000003</v>
      </c>
      <c r="G657">
        <v>5007.3290100000004</v>
      </c>
      <c r="H657">
        <v>4993.4867899999999</v>
      </c>
      <c r="J657">
        <v>1775590500</v>
      </c>
      <c r="K657" t="s">
        <v>0</v>
      </c>
      <c r="L657" t="s">
        <v>2</v>
      </c>
      <c r="M657">
        <v>4685.78</v>
      </c>
      <c r="N657">
        <v>4691.9794400000001</v>
      </c>
      <c r="O657">
        <v>4688.5704999999998</v>
      </c>
      <c r="P657">
        <v>4698.6210300000002</v>
      </c>
      <c r="Q657">
        <v>4685.1025600000003</v>
      </c>
    </row>
    <row r="658" spans="1:17" x14ac:dyDescent="0.55000000000000004">
      <c r="A658">
        <v>1773806400</v>
      </c>
      <c r="B658" t="s">
        <v>0</v>
      </c>
      <c r="C658" t="s">
        <v>1</v>
      </c>
      <c r="D658">
        <v>4987.24</v>
      </c>
      <c r="E658">
        <v>5001.1444799999999</v>
      </c>
      <c r="F658">
        <v>4999.8606799999998</v>
      </c>
      <c r="G658">
        <v>5009.5388499999999</v>
      </c>
      <c r="H658">
        <v>4994.4593299999997</v>
      </c>
      <c r="J658">
        <v>1775590800</v>
      </c>
      <c r="K658" t="s">
        <v>0</v>
      </c>
      <c r="L658" t="s">
        <v>2</v>
      </c>
      <c r="M658">
        <v>4687.08</v>
      </c>
      <c r="N658">
        <v>4694.9994699999997</v>
      </c>
      <c r="O658">
        <v>4691.7849800000004</v>
      </c>
      <c r="P658">
        <v>4702.0363600000001</v>
      </c>
      <c r="Q658">
        <v>4687.7469499999997</v>
      </c>
    </row>
    <row r="659" spans="1:17" x14ac:dyDescent="0.55000000000000004">
      <c r="A659">
        <v>1773810000</v>
      </c>
      <c r="B659" t="s">
        <v>0</v>
      </c>
      <c r="C659" t="s">
        <v>1</v>
      </c>
      <c r="D659">
        <v>4997.7700000000004</v>
      </c>
      <c r="E659">
        <v>5001.5656099999997</v>
      </c>
      <c r="F659">
        <v>5000.7131499999996</v>
      </c>
      <c r="G659">
        <v>5011.1025799999998</v>
      </c>
      <c r="H659">
        <v>4994.2411599999996</v>
      </c>
      <c r="J659">
        <v>1775591100</v>
      </c>
      <c r="K659" t="s">
        <v>0</v>
      </c>
      <c r="L659" t="s">
        <v>2</v>
      </c>
      <c r="M659">
        <v>4705.7</v>
      </c>
      <c r="N659">
        <v>4697.9796100000003</v>
      </c>
      <c r="O659">
        <v>4694.8823000000002</v>
      </c>
      <c r="P659">
        <v>4705.13429</v>
      </c>
      <c r="Q659">
        <v>4690.3157700000002</v>
      </c>
    </row>
    <row r="660" spans="1:17" x14ac:dyDescent="0.55000000000000004">
      <c r="A660">
        <v>1773813600</v>
      </c>
      <c r="B660" t="s">
        <v>0</v>
      </c>
      <c r="C660" t="s">
        <v>1</v>
      </c>
      <c r="D660">
        <v>5009.3999999999996</v>
      </c>
      <c r="E660">
        <v>4999.5842000000002</v>
      </c>
      <c r="F660">
        <v>5000.1486699999996</v>
      </c>
      <c r="G660">
        <v>5010.7642500000002</v>
      </c>
      <c r="H660">
        <v>4991.6852699999999</v>
      </c>
      <c r="J660">
        <v>1775591400</v>
      </c>
      <c r="K660" t="s">
        <v>0</v>
      </c>
      <c r="L660" t="s">
        <v>2</v>
      </c>
      <c r="M660">
        <v>4699.96</v>
      </c>
      <c r="N660">
        <v>4700.5512600000002</v>
      </c>
      <c r="O660">
        <v>4697.7167799999997</v>
      </c>
      <c r="P660">
        <v>4707.2521100000004</v>
      </c>
      <c r="Q660">
        <v>4692.9410799999996</v>
      </c>
    </row>
    <row r="661" spans="1:17" x14ac:dyDescent="0.55000000000000004">
      <c r="A661">
        <v>1773817200</v>
      </c>
      <c r="B661" t="s">
        <v>0</v>
      </c>
      <c r="C661" t="s">
        <v>1</v>
      </c>
      <c r="D661">
        <v>4994.93</v>
      </c>
      <c r="E661">
        <v>4993.74928</v>
      </c>
      <c r="F661">
        <v>4996.9489800000001</v>
      </c>
      <c r="G661">
        <v>5007.2041799999997</v>
      </c>
      <c r="H661">
        <v>4985.3698000000004</v>
      </c>
      <c r="J661">
        <v>1775591700</v>
      </c>
      <c r="K661" t="s">
        <v>0</v>
      </c>
      <c r="L661" t="s">
        <v>2</v>
      </c>
      <c r="M661">
        <v>4700.6099999999997</v>
      </c>
      <c r="N661">
        <v>4702.9057000000003</v>
      </c>
      <c r="O661">
        <v>4700.31124</v>
      </c>
      <c r="P661">
        <v>4708.6433999999999</v>
      </c>
      <c r="Q661">
        <v>4695.5064300000004</v>
      </c>
    </row>
    <row r="662" spans="1:17" x14ac:dyDescent="0.55000000000000004">
      <c r="A662">
        <v>1773820800</v>
      </c>
      <c r="B662" t="s">
        <v>0</v>
      </c>
      <c r="C662" t="s">
        <v>1</v>
      </c>
      <c r="D662">
        <v>4987.5200000000004</v>
      </c>
      <c r="E662">
        <v>4983.8762900000002</v>
      </c>
      <c r="F662">
        <v>4990.4126399999996</v>
      </c>
      <c r="G662">
        <v>4999.7326800000001</v>
      </c>
      <c r="H662">
        <v>4974.5609599999998</v>
      </c>
      <c r="J662">
        <v>1775592000</v>
      </c>
      <c r="K662" t="s">
        <v>0</v>
      </c>
      <c r="L662" t="s">
        <v>2</v>
      </c>
      <c r="M662">
        <v>4705.91</v>
      </c>
      <c r="N662">
        <v>4704.9904999999999</v>
      </c>
      <c r="O662">
        <v>4702.6508700000004</v>
      </c>
      <c r="P662">
        <v>4709.6854199999998</v>
      </c>
      <c r="Q662">
        <v>4697.9671799999996</v>
      </c>
    </row>
    <row r="663" spans="1:17" x14ac:dyDescent="0.55000000000000004">
      <c r="A663">
        <v>1773824400</v>
      </c>
      <c r="B663" t="s">
        <v>0</v>
      </c>
      <c r="C663" t="s">
        <v>1</v>
      </c>
      <c r="D663">
        <v>4992.1099999999997</v>
      </c>
      <c r="E663">
        <v>4970.0270899999996</v>
      </c>
      <c r="F663">
        <v>4980.2198600000002</v>
      </c>
      <c r="G663">
        <v>4988.5814799999998</v>
      </c>
      <c r="H663">
        <v>4959.42659</v>
      </c>
      <c r="J663">
        <v>1775592300</v>
      </c>
      <c r="K663" t="s">
        <v>0</v>
      </c>
      <c r="L663" t="s">
        <v>2</v>
      </c>
      <c r="M663">
        <v>4707.32</v>
      </c>
      <c r="N663">
        <v>4706.5714099999996</v>
      </c>
      <c r="O663">
        <v>4704.61114</v>
      </c>
      <c r="P663">
        <v>4710.2429099999999</v>
      </c>
      <c r="Q663">
        <v>4700.2013699999998</v>
      </c>
    </row>
    <row r="664" spans="1:17" x14ac:dyDescent="0.55000000000000004">
      <c r="A664">
        <v>1773828000</v>
      </c>
      <c r="B664" t="s">
        <v>0</v>
      </c>
      <c r="C664" t="s">
        <v>1</v>
      </c>
      <c r="D664">
        <v>4967.83</v>
      </c>
      <c r="E664">
        <v>4952.5121900000004</v>
      </c>
      <c r="F664">
        <v>4966.3660300000001</v>
      </c>
      <c r="G664">
        <v>4974.06898</v>
      </c>
      <c r="H664">
        <v>4940.2398700000003</v>
      </c>
      <c r="J664">
        <v>1775592600</v>
      </c>
      <c r="K664" t="s">
        <v>0</v>
      </c>
      <c r="L664" t="s">
        <v>2</v>
      </c>
      <c r="M664">
        <v>4708.6499999999996</v>
      </c>
      <c r="N664">
        <v>4707.5403900000001</v>
      </c>
      <c r="O664">
        <v>4706.0757700000004</v>
      </c>
      <c r="P664">
        <v>4710.4551899999997</v>
      </c>
      <c r="Q664">
        <v>4702.0710900000004</v>
      </c>
    </row>
    <row r="665" spans="1:17" x14ac:dyDescent="0.55000000000000004">
      <c r="A665">
        <v>1773831600</v>
      </c>
      <c r="B665" t="s">
        <v>0</v>
      </c>
      <c r="C665" t="s">
        <v>1</v>
      </c>
      <c r="D665">
        <v>4930.17</v>
      </c>
      <c r="E665">
        <v>4932.8155100000004</v>
      </c>
      <c r="F665">
        <v>4949.5907699999998</v>
      </c>
      <c r="G665">
        <v>4956.96281</v>
      </c>
      <c r="H665">
        <v>4918.87608</v>
      </c>
      <c r="J665">
        <v>1775592900</v>
      </c>
      <c r="K665" t="s">
        <v>0</v>
      </c>
      <c r="L665" t="s">
        <v>2</v>
      </c>
      <c r="M665">
        <v>4708.26</v>
      </c>
      <c r="N665">
        <v>4707.9208600000002</v>
      </c>
      <c r="O665">
        <v>4706.9983199999997</v>
      </c>
      <c r="P665">
        <v>4710.4646499999999</v>
      </c>
      <c r="Q665">
        <v>4703.3117400000001</v>
      </c>
    </row>
    <row r="666" spans="1:17" x14ac:dyDescent="0.55000000000000004">
      <c r="A666">
        <v>1773835200</v>
      </c>
      <c r="B666" t="s">
        <v>0</v>
      </c>
      <c r="C666" t="s">
        <v>1</v>
      </c>
      <c r="D666">
        <v>4881.58</v>
      </c>
      <c r="E666">
        <v>4913.1018800000002</v>
      </c>
      <c r="F666">
        <v>4931.3463300000003</v>
      </c>
      <c r="G666">
        <v>4938.6754799999999</v>
      </c>
      <c r="H666">
        <v>4897.7466800000002</v>
      </c>
      <c r="J666">
        <v>1775593200</v>
      </c>
      <c r="K666" t="s">
        <v>0</v>
      </c>
      <c r="L666" t="s">
        <v>2</v>
      </c>
      <c r="M666">
        <v>4707.58</v>
      </c>
      <c r="N666">
        <v>4707.9197899999999</v>
      </c>
      <c r="O666">
        <v>4707.4590500000004</v>
      </c>
      <c r="P666">
        <v>4710.4534700000004</v>
      </c>
      <c r="Q666">
        <v>4703.9915799999999</v>
      </c>
    </row>
    <row r="667" spans="1:17" x14ac:dyDescent="0.55000000000000004">
      <c r="A667">
        <v>1773838800</v>
      </c>
      <c r="B667" t="s">
        <v>0</v>
      </c>
      <c r="C667" t="s">
        <v>1</v>
      </c>
      <c r="D667">
        <v>4878.17</v>
      </c>
      <c r="E667">
        <v>4895.7273999999998</v>
      </c>
      <c r="F667">
        <v>4913.5368699999999</v>
      </c>
      <c r="G667">
        <v>4921.1560300000001</v>
      </c>
      <c r="H667">
        <v>4879.6370900000002</v>
      </c>
      <c r="J667">
        <v>1775593500</v>
      </c>
      <c r="K667" t="s">
        <v>0</v>
      </c>
      <c r="L667" t="s">
        <v>2</v>
      </c>
      <c r="M667">
        <v>4710.21</v>
      </c>
      <c r="N667">
        <v>4707.8692199999996</v>
      </c>
      <c r="O667">
        <v>4707.6641399999999</v>
      </c>
      <c r="P667">
        <v>4710.7990399999999</v>
      </c>
      <c r="Q667">
        <v>4704.3999999999996</v>
      </c>
    </row>
    <row r="668" spans="1:17" x14ac:dyDescent="0.55000000000000004">
      <c r="A668">
        <v>1773842400</v>
      </c>
      <c r="B668" t="s">
        <v>0</v>
      </c>
      <c r="C668" t="s">
        <v>1</v>
      </c>
      <c r="D668">
        <v>4869.5600000000004</v>
      </c>
      <c r="E668">
        <v>4881.2980799999996</v>
      </c>
      <c r="F668">
        <v>4897.4174700000003</v>
      </c>
      <c r="G668">
        <v>4906.2748899999997</v>
      </c>
      <c r="H668">
        <v>4866.1207999999997</v>
      </c>
      <c r="J668">
        <v>1775593800</v>
      </c>
      <c r="K668" t="s">
        <v>0</v>
      </c>
      <c r="L668" t="s">
        <v>2</v>
      </c>
      <c r="M668">
        <v>4710.6899999999996</v>
      </c>
      <c r="N668">
        <v>4708.0686100000003</v>
      </c>
      <c r="O668">
        <v>4707.8663800000004</v>
      </c>
      <c r="P668">
        <v>4711.6872899999998</v>
      </c>
      <c r="Q668">
        <v>4704.8976599999996</v>
      </c>
    </row>
    <row r="669" spans="1:17" x14ac:dyDescent="0.55000000000000004">
      <c r="A669">
        <v>1773846000</v>
      </c>
      <c r="B669" t="s">
        <v>0</v>
      </c>
      <c r="C669" t="s">
        <v>1</v>
      </c>
      <c r="D669">
        <v>4862.34</v>
      </c>
      <c r="E669">
        <v>4869.9913699999997</v>
      </c>
      <c r="F669">
        <v>4883.70442</v>
      </c>
      <c r="G669">
        <v>4893.8946699999997</v>
      </c>
      <c r="H669">
        <v>4856.2954099999997</v>
      </c>
      <c r="J669">
        <v>1775594100</v>
      </c>
      <c r="K669" t="s">
        <v>0</v>
      </c>
      <c r="L669" t="s">
        <v>2</v>
      </c>
      <c r="M669">
        <v>4708.28</v>
      </c>
      <c r="N669">
        <v>4708.8566799999999</v>
      </c>
      <c r="O669">
        <v>4708.3615300000001</v>
      </c>
      <c r="P669">
        <v>4713.2653300000002</v>
      </c>
      <c r="Q669">
        <v>4705.7308400000002</v>
      </c>
    </row>
    <row r="670" spans="1:17" x14ac:dyDescent="0.55000000000000004">
      <c r="A670">
        <v>1773849600</v>
      </c>
      <c r="B670" t="s">
        <v>0</v>
      </c>
      <c r="C670" t="s">
        <v>1</v>
      </c>
      <c r="D670">
        <v>4887.38</v>
      </c>
      <c r="E670">
        <v>4861.4725699999999</v>
      </c>
      <c r="F670">
        <v>4872.5884900000001</v>
      </c>
      <c r="G670">
        <v>4884.10725</v>
      </c>
      <c r="H670">
        <v>4849.12601</v>
      </c>
      <c r="J670">
        <v>1775594400</v>
      </c>
      <c r="K670" t="s">
        <v>0</v>
      </c>
      <c r="L670" t="s">
        <v>2</v>
      </c>
      <c r="M670">
        <v>4708.21</v>
      </c>
      <c r="N670">
        <v>4710.5613999999996</v>
      </c>
      <c r="O670">
        <v>4709.4614700000002</v>
      </c>
      <c r="P670">
        <v>4715.6644399999996</v>
      </c>
      <c r="Q670">
        <v>4707.3349600000001</v>
      </c>
    </row>
    <row r="671" spans="1:17" x14ac:dyDescent="0.55000000000000004">
      <c r="A671">
        <v>1773853200</v>
      </c>
      <c r="B671" t="s">
        <v>0</v>
      </c>
      <c r="C671" t="s">
        <v>1</v>
      </c>
      <c r="D671">
        <v>4890.22</v>
      </c>
      <c r="E671">
        <v>4854.3939799999998</v>
      </c>
      <c r="F671">
        <v>4863.4912400000003</v>
      </c>
      <c r="G671">
        <v>4876.0504199999996</v>
      </c>
      <c r="H671">
        <v>4843.5221099999999</v>
      </c>
      <c r="J671">
        <v>1775594700</v>
      </c>
      <c r="K671" t="s">
        <v>0</v>
      </c>
      <c r="L671" t="s">
        <v>2</v>
      </c>
      <c r="M671">
        <v>4712.3999999999996</v>
      </c>
      <c r="N671">
        <v>4713.2545899999996</v>
      </c>
      <c r="O671">
        <v>4711.3580300000003</v>
      </c>
      <c r="P671">
        <v>4718.8716999999997</v>
      </c>
      <c r="Q671">
        <v>4709.7372800000003</v>
      </c>
    </row>
    <row r="672" spans="1:17" x14ac:dyDescent="0.55000000000000004">
      <c r="A672">
        <v>1773856800</v>
      </c>
      <c r="B672" t="s">
        <v>0</v>
      </c>
      <c r="C672" t="s">
        <v>1</v>
      </c>
      <c r="D672">
        <v>4852.9799999999996</v>
      </c>
      <c r="E672">
        <v>4848.2220500000003</v>
      </c>
      <c r="F672">
        <v>4855.85664</v>
      </c>
      <c r="G672">
        <v>4868.9317499999997</v>
      </c>
      <c r="H672">
        <v>4838.06315</v>
      </c>
      <c r="J672">
        <v>1775595000</v>
      </c>
      <c r="K672" t="s">
        <v>0</v>
      </c>
      <c r="L672" t="s">
        <v>2</v>
      </c>
      <c r="M672">
        <v>4708.72</v>
      </c>
      <c r="N672">
        <v>4716.7078099999999</v>
      </c>
      <c r="O672">
        <v>4714.0329199999996</v>
      </c>
      <c r="P672">
        <v>4722.8146500000003</v>
      </c>
      <c r="Q672">
        <v>4712.8166499999998</v>
      </c>
    </row>
    <row r="673" spans="1:17" x14ac:dyDescent="0.55000000000000004">
      <c r="A673">
        <v>1773860400</v>
      </c>
      <c r="B673" t="s">
        <v>0</v>
      </c>
      <c r="C673" t="s">
        <v>1</v>
      </c>
      <c r="D673">
        <v>4843.41</v>
      </c>
      <c r="E673">
        <v>4843.9081399999995</v>
      </c>
      <c r="F673">
        <v>4849.8823899999998</v>
      </c>
      <c r="G673">
        <v>4862.5192100000004</v>
      </c>
      <c r="H673">
        <v>4833.3466099999996</v>
      </c>
      <c r="J673">
        <v>1775595300</v>
      </c>
      <c r="K673" t="s">
        <v>0</v>
      </c>
      <c r="L673" t="s">
        <v>2</v>
      </c>
      <c r="M673">
        <v>4705.5600000000004</v>
      </c>
      <c r="N673">
        <v>4720.7801499999996</v>
      </c>
      <c r="O673">
        <v>4717.4065399999999</v>
      </c>
      <c r="P673">
        <v>4727.2197999999999</v>
      </c>
      <c r="Q673">
        <v>4716.2849500000002</v>
      </c>
    </row>
    <row r="674" spans="1:17" x14ac:dyDescent="0.55000000000000004">
      <c r="A674">
        <v>1773864000</v>
      </c>
      <c r="B674" t="s">
        <v>0</v>
      </c>
      <c r="C674" t="s">
        <v>1</v>
      </c>
      <c r="D674">
        <v>4818.7700000000004</v>
      </c>
      <c r="E674">
        <v>4841.7767599999997</v>
      </c>
      <c r="F674">
        <v>4845.8295799999996</v>
      </c>
      <c r="G674">
        <v>4857.7394199999999</v>
      </c>
      <c r="H674">
        <v>4830.0212899999997</v>
      </c>
      <c r="J674">
        <v>1775599200</v>
      </c>
      <c r="K674" t="s">
        <v>0</v>
      </c>
      <c r="L674" t="s">
        <v>2</v>
      </c>
      <c r="M674">
        <v>4744.34</v>
      </c>
      <c r="N674">
        <v>4725.2583500000001</v>
      </c>
      <c r="O674">
        <v>4721.3324499999999</v>
      </c>
      <c r="P674">
        <v>4731.7274399999997</v>
      </c>
      <c r="Q674">
        <v>4719.8566600000004</v>
      </c>
    </row>
    <row r="675" spans="1:17" x14ac:dyDescent="0.55000000000000004">
      <c r="A675">
        <v>1773871200</v>
      </c>
      <c r="B675" t="s">
        <v>0</v>
      </c>
      <c r="C675" t="s">
        <v>1</v>
      </c>
      <c r="D675">
        <v>4834.57</v>
      </c>
      <c r="E675">
        <v>4842.49172</v>
      </c>
      <c r="F675">
        <v>4844.1606499999998</v>
      </c>
      <c r="G675">
        <v>4855.2483099999999</v>
      </c>
      <c r="H675">
        <v>4829.3510800000004</v>
      </c>
      <c r="J675">
        <v>1775599500</v>
      </c>
      <c r="K675" t="s">
        <v>0</v>
      </c>
      <c r="L675" t="s">
        <v>2</v>
      </c>
      <c r="M675">
        <v>4744.09</v>
      </c>
      <c r="N675">
        <v>4728.9632799999999</v>
      </c>
      <c r="O675">
        <v>4725.14786</v>
      </c>
      <c r="P675">
        <v>4735.2890200000002</v>
      </c>
      <c r="Q675">
        <v>4722.8708900000001</v>
      </c>
    </row>
    <row r="676" spans="1:17" x14ac:dyDescent="0.55000000000000004">
      <c r="A676">
        <v>1773874800</v>
      </c>
      <c r="B676" t="s">
        <v>0</v>
      </c>
      <c r="C676" t="s">
        <v>1</v>
      </c>
      <c r="D676">
        <v>4836.88</v>
      </c>
      <c r="E676">
        <v>4845.1923699999998</v>
      </c>
      <c r="F676">
        <v>4844.6765100000002</v>
      </c>
      <c r="G676">
        <v>4855.3374199999998</v>
      </c>
      <c r="H676">
        <v>4831.4825600000004</v>
      </c>
      <c r="J676">
        <v>1775599800</v>
      </c>
      <c r="K676" t="s">
        <v>0</v>
      </c>
      <c r="L676" t="s">
        <v>2</v>
      </c>
      <c r="M676">
        <v>4731.87</v>
      </c>
      <c r="N676">
        <v>4732.0035500000004</v>
      </c>
      <c r="O676">
        <v>4728.5757100000001</v>
      </c>
      <c r="P676">
        <v>4737.9322300000003</v>
      </c>
      <c r="Q676">
        <v>4724.7866400000003</v>
      </c>
    </row>
    <row r="677" spans="1:17" x14ac:dyDescent="0.55000000000000004">
      <c r="A677">
        <v>1773878400</v>
      </c>
      <c r="B677" t="s">
        <v>0</v>
      </c>
      <c r="C677" t="s">
        <v>1</v>
      </c>
      <c r="D677">
        <v>4841.3599999999997</v>
      </c>
      <c r="E677">
        <v>4848.70424</v>
      </c>
      <c r="F677">
        <v>4846.69038</v>
      </c>
      <c r="G677">
        <v>4857.4607599999999</v>
      </c>
      <c r="H677">
        <v>4835.1176500000001</v>
      </c>
      <c r="J677">
        <v>1775600100</v>
      </c>
      <c r="K677" t="s">
        <v>0</v>
      </c>
      <c r="L677" t="s">
        <v>2</v>
      </c>
      <c r="M677">
        <v>4730.66</v>
      </c>
      <c r="N677">
        <v>4735.1721100000004</v>
      </c>
      <c r="O677">
        <v>4731.8739100000003</v>
      </c>
      <c r="P677">
        <v>4740.3910999999998</v>
      </c>
      <c r="Q677">
        <v>4726.2380499999999</v>
      </c>
    </row>
    <row r="678" spans="1:17" x14ac:dyDescent="0.55000000000000004">
      <c r="A678">
        <v>1773882000</v>
      </c>
      <c r="B678" t="s">
        <v>0</v>
      </c>
      <c r="C678" t="s">
        <v>1</v>
      </c>
      <c r="D678">
        <v>4849.8999999999996</v>
      </c>
      <c r="E678">
        <v>4851.0751300000002</v>
      </c>
      <c r="F678">
        <v>4848.8827499999998</v>
      </c>
      <c r="G678">
        <v>4860.33781</v>
      </c>
      <c r="H678">
        <v>4838.5382099999997</v>
      </c>
      <c r="J678">
        <v>1775600400</v>
      </c>
      <c r="K678" t="s">
        <v>0</v>
      </c>
      <c r="L678" t="s">
        <v>2</v>
      </c>
      <c r="M678">
        <v>4728.04</v>
      </c>
      <c r="N678">
        <v>4739.2167099999997</v>
      </c>
      <c r="O678">
        <v>4735.5453100000004</v>
      </c>
      <c r="P678">
        <v>4743.7694799999999</v>
      </c>
      <c r="Q678">
        <v>4728.0712000000003</v>
      </c>
    </row>
    <row r="679" spans="1:17" x14ac:dyDescent="0.55000000000000004">
      <c r="A679">
        <v>1773885600</v>
      </c>
      <c r="B679" t="s">
        <v>0</v>
      </c>
      <c r="C679" t="s">
        <v>1</v>
      </c>
      <c r="D679">
        <v>4858.76</v>
      </c>
      <c r="E679">
        <v>4850.0609999999997</v>
      </c>
      <c r="F679">
        <v>4849.4718800000001</v>
      </c>
      <c r="G679">
        <v>4861.7969599999997</v>
      </c>
      <c r="H679">
        <v>4839.7176099999997</v>
      </c>
      <c r="J679">
        <v>1775600700</v>
      </c>
      <c r="K679" t="s">
        <v>0</v>
      </c>
      <c r="L679" t="s">
        <v>2</v>
      </c>
      <c r="M679">
        <v>4735.63</v>
      </c>
      <c r="N679">
        <v>4744.9528300000002</v>
      </c>
      <c r="O679">
        <v>4740.2490699999998</v>
      </c>
      <c r="P679">
        <v>4748.9848199999997</v>
      </c>
      <c r="Q679">
        <v>4731.1530400000001</v>
      </c>
    </row>
    <row r="680" spans="1:17" x14ac:dyDescent="0.55000000000000004">
      <c r="A680">
        <v>1773889200</v>
      </c>
      <c r="B680" t="s">
        <v>0</v>
      </c>
      <c r="C680" t="s">
        <v>1</v>
      </c>
      <c r="D680">
        <v>4850.78</v>
      </c>
      <c r="E680">
        <v>4843.5526099999997</v>
      </c>
      <c r="F680">
        <v>4846.51224</v>
      </c>
      <c r="G680">
        <v>4860.1117199999999</v>
      </c>
      <c r="H680">
        <v>4836.1458599999996</v>
      </c>
      <c r="J680">
        <v>1775601000</v>
      </c>
      <c r="K680" t="s">
        <v>0</v>
      </c>
      <c r="L680" t="s">
        <v>2</v>
      </c>
      <c r="M680">
        <v>4760.8599999999997</v>
      </c>
      <c r="N680">
        <v>4752.7552100000003</v>
      </c>
      <c r="O680">
        <v>4746.5021399999996</v>
      </c>
      <c r="P680">
        <v>4756.5922600000004</v>
      </c>
      <c r="Q680">
        <v>4736.2914700000001</v>
      </c>
    </row>
    <row r="681" spans="1:17" x14ac:dyDescent="0.55000000000000004">
      <c r="A681">
        <v>1773892800</v>
      </c>
      <c r="B681" t="s">
        <v>0</v>
      </c>
      <c r="C681" t="s">
        <v>1</v>
      </c>
      <c r="D681">
        <v>4849.8900000000003</v>
      </c>
      <c r="E681">
        <v>4830.3652400000001</v>
      </c>
      <c r="F681">
        <v>4838.4387399999996</v>
      </c>
      <c r="G681">
        <v>4853.4110600000004</v>
      </c>
      <c r="H681">
        <v>4825.4991200000004</v>
      </c>
      <c r="J681">
        <v>1775601300</v>
      </c>
      <c r="K681" t="s">
        <v>0</v>
      </c>
      <c r="L681" t="s">
        <v>2</v>
      </c>
      <c r="M681">
        <v>4775.2700000000004</v>
      </c>
      <c r="N681">
        <v>4762.2261900000003</v>
      </c>
      <c r="O681">
        <v>4754.3641699999998</v>
      </c>
      <c r="P681">
        <v>4766.1809000000003</v>
      </c>
      <c r="Q681">
        <v>4744.3306000000002</v>
      </c>
    </row>
    <row r="682" spans="1:17" x14ac:dyDescent="0.55000000000000004">
      <c r="A682">
        <v>1773896400</v>
      </c>
      <c r="B682" t="s">
        <v>0</v>
      </c>
      <c r="C682" t="s">
        <v>1</v>
      </c>
      <c r="D682">
        <v>4827.59</v>
      </c>
      <c r="E682">
        <v>4809.7771599999996</v>
      </c>
      <c r="F682">
        <v>4824.1079499999996</v>
      </c>
      <c r="G682">
        <v>4840.6018899999999</v>
      </c>
      <c r="H682">
        <v>4806.4708700000001</v>
      </c>
      <c r="J682">
        <v>1775601600</v>
      </c>
      <c r="K682" t="s">
        <v>0</v>
      </c>
      <c r="L682" t="s">
        <v>2</v>
      </c>
      <c r="M682">
        <v>4770.0200000000004</v>
      </c>
      <c r="N682">
        <v>4772.8776099999995</v>
      </c>
      <c r="O682">
        <v>4763.6208900000001</v>
      </c>
      <c r="P682">
        <v>4777.2227599999997</v>
      </c>
      <c r="Q682">
        <v>4754.3768200000004</v>
      </c>
    </row>
    <row r="683" spans="1:17" x14ac:dyDescent="0.55000000000000004">
      <c r="A683">
        <v>1773900000</v>
      </c>
      <c r="B683" t="s">
        <v>0</v>
      </c>
      <c r="C683" t="s">
        <v>1</v>
      </c>
      <c r="D683">
        <v>4763.68</v>
      </c>
      <c r="E683">
        <v>4782.6792699999996</v>
      </c>
      <c r="F683">
        <v>4803.3936100000001</v>
      </c>
      <c r="G683">
        <v>4821.0123599999997</v>
      </c>
      <c r="H683">
        <v>4779.0972899999997</v>
      </c>
      <c r="J683">
        <v>1775601900</v>
      </c>
      <c r="K683" t="s">
        <v>0</v>
      </c>
      <c r="L683" t="s">
        <v>2</v>
      </c>
      <c r="M683">
        <v>4772.0600000000004</v>
      </c>
      <c r="N683">
        <v>4784.3898799999997</v>
      </c>
      <c r="O683">
        <v>4774.0053900000003</v>
      </c>
      <c r="P683">
        <v>4789.1879900000004</v>
      </c>
      <c r="Q683">
        <v>4765.6237700000001</v>
      </c>
    </row>
    <row r="684" spans="1:17" x14ac:dyDescent="0.55000000000000004">
      <c r="A684">
        <v>1773903600</v>
      </c>
      <c r="B684" t="s">
        <v>0</v>
      </c>
      <c r="C684" t="s">
        <v>1</v>
      </c>
      <c r="D684">
        <v>4727.8900000000003</v>
      </c>
      <c r="E684">
        <v>4752.02099</v>
      </c>
      <c r="F684">
        <v>4777.7073</v>
      </c>
      <c r="G684">
        <v>4795.2623999999996</v>
      </c>
      <c r="H684">
        <v>4746.1682099999998</v>
      </c>
      <c r="J684">
        <v>1775602200</v>
      </c>
      <c r="K684" t="s">
        <v>0</v>
      </c>
      <c r="L684" t="s">
        <v>2</v>
      </c>
      <c r="M684">
        <v>4794.3500000000004</v>
      </c>
      <c r="N684">
        <v>4795.9622900000004</v>
      </c>
      <c r="O684">
        <v>4784.9838399999999</v>
      </c>
      <c r="P684">
        <v>4801.3135599999996</v>
      </c>
      <c r="Q684">
        <v>4777.5890499999996</v>
      </c>
    </row>
    <row r="685" spans="1:17" x14ac:dyDescent="0.55000000000000004">
      <c r="A685">
        <v>1773907200</v>
      </c>
      <c r="B685" t="s">
        <v>0</v>
      </c>
      <c r="C685" t="s">
        <v>1</v>
      </c>
      <c r="D685">
        <v>4708.97</v>
      </c>
      <c r="E685">
        <v>4720.2607399999997</v>
      </c>
      <c r="F685">
        <v>4748.9840199999999</v>
      </c>
      <c r="G685">
        <v>4766.0227000000004</v>
      </c>
      <c r="H685">
        <v>4709.62691</v>
      </c>
      <c r="J685">
        <v>1775602500</v>
      </c>
      <c r="K685" t="s">
        <v>0</v>
      </c>
      <c r="L685" t="s">
        <v>2</v>
      </c>
      <c r="M685">
        <v>4818.5</v>
      </c>
      <c r="N685">
        <v>4806.1314400000001</v>
      </c>
      <c r="O685">
        <v>4795.55764</v>
      </c>
      <c r="P685">
        <v>4811.9315200000001</v>
      </c>
      <c r="Q685">
        <v>4789.1519399999997</v>
      </c>
    </row>
    <row r="686" spans="1:17" x14ac:dyDescent="0.55000000000000004">
      <c r="A686">
        <v>1773910800</v>
      </c>
      <c r="B686" t="s">
        <v>0</v>
      </c>
      <c r="C686" t="s">
        <v>1</v>
      </c>
      <c r="D686">
        <v>4698.95</v>
      </c>
      <c r="E686">
        <v>4689.2651599999999</v>
      </c>
      <c r="F686">
        <v>4719.1245900000004</v>
      </c>
      <c r="G686">
        <v>4736.0582100000001</v>
      </c>
      <c r="H686">
        <v>4672.2440399999996</v>
      </c>
      <c r="J686">
        <v>1775602800</v>
      </c>
      <c r="K686" t="s">
        <v>0</v>
      </c>
      <c r="L686" t="s">
        <v>2</v>
      </c>
      <c r="M686">
        <v>4810.66</v>
      </c>
      <c r="N686">
        <v>4813.5291500000003</v>
      </c>
      <c r="O686">
        <v>4804.5433999999996</v>
      </c>
      <c r="P686">
        <v>4819.7412100000001</v>
      </c>
      <c r="Q686">
        <v>4798.8532500000001</v>
      </c>
    </row>
    <row r="687" spans="1:17" x14ac:dyDescent="0.55000000000000004">
      <c r="A687">
        <v>1773914400</v>
      </c>
      <c r="B687" t="s">
        <v>0</v>
      </c>
      <c r="C687" t="s">
        <v>1</v>
      </c>
      <c r="D687">
        <v>4679.26</v>
      </c>
      <c r="E687">
        <v>4660.4213799999998</v>
      </c>
      <c r="F687">
        <v>4689.7729799999997</v>
      </c>
      <c r="G687">
        <v>4707.3169900000003</v>
      </c>
      <c r="H687">
        <v>4635.8082000000004</v>
      </c>
      <c r="J687">
        <v>1775603100</v>
      </c>
      <c r="K687" t="s">
        <v>0</v>
      </c>
      <c r="L687" t="s">
        <v>2</v>
      </c>
      <c r="M687">
        <v>4814.95</v>
      </c>
      <c r="N687">
        <v>4817.9768199999999</v>
      </c>
      <c r="O687">
        <v>4811.2601100000002</v>
      </c>
      <c r="P687">
        <v>4824.1726099999996</v>
      </c>
      <c r="Q687">
        <v>4805.8711999999996</v>
      </c>
    </row>
    <row r="688" spans="1:17" x14ac:dyDescent="0.55000000000000004">
      <c r="A688">
        <v>1773918000</v>
      </c>
      <c r="B688" t="s">
        <v>0</v>
      </c>
      <c r="C688" t="s">
        <v>1</v>
      </c>
      <c r="D688">
        <v>4652.42</v>
      </c>
      <c r="E688">
        <v>4635.3222699999997</v>
      </c>
      <c r="F688">
        <v>4662.54763</v>
      </c>
      <c r="G688">
        <v>4681.3556799999997</v>
      </c>
      <c r="H688">
        <v>4602.8602899999996</v>
      </c>
      <c r="J688">
        <v>1775603400</v>
      </c>
      <c r="K688" t="s">
        <v>0</v>
      </c>
      <c r="L688" t="s">
        <v>2</v>
      </c>
      <c r="M688">
        <v>4817.9399999999996</v>
      </c>
      <c r="N688">
        <v>4819.4851500000004</v>
      </c>
      <c r="O688">
        <v>4815.3726299999998</v>
      </c>
      <c r="P688">
        <v>4825.4617600000001</v>
      </c>
      <c r="Q688">
        <v>4809.9027900000001</v>
      </c>
    </row>
    <row r="689" spans="1:17" x14ac:dyDescent="0.55000000000000004">
      <c r="A689">
        <v>1773921600</v>
      </c>
      <c r="B689" t="s">
        <v>0</v>
      </c>
      <c r="C689" t="s">
        <v>1</v>
      </c>
      <c r="D689">
        <v>4574.66</v>
      </c>
      <c r="E689">
        <v>4615.6842399999996</v>
      </c>
      <c r="F689">
        <v>4639.1159299999999</v>
      </c>
      <c r="G689">
        <v>4659.7042099999999</v>
      </c>
      <c r="H689">
        <v>4575.9171100000003</v>
      </c>
      <c r="J689">
        <v>1775603700</v>
      </c>
      <c r="K689" t="s">
        <v>0</v>
      </c>
      <c r="L689" t="s">
        <v>2</v>
      </c>
      <c r="M689">
        <v>4824.26</v>
      </c>
      <c r="N689">
        <v>4818.5700699999998</v>
      </c>
      <c r="O689">
        <v>4816.9713499999998</v>
      </c>
      <c r="P689">
        <v>4824.1479300000001</v>
      </c>
      <c r="Q689">
        <v>4811.2437099999997</v>
      </c>
    </row>
    <row r="690" spans="1:17" x14ac:dyDescent="0.55000000000000004">
      <c r="A690">
        <v>1773925200</v>
      </c>
      <c r="B690" t="s">
        <v>0</v>
      </c>
      <c r="C690" t="s">
        <v>1</v>
      </c>
      <c r="D690">
        <v>4620.09</v>
      </c>
      <c r="E690">
        <v>4603.9148299999997</v>
      </c>
      <c r="F690">
        <v>4621.5153799999998</v>
      </c>
      <c r="G690">
        <v>4644.0274900000004</v>
      </c>
      <c r="H690">
        <v>4559.6856100000005</v>
      </c>
      <c r="J690">
        <v>1775604000</v>
      </c>
      <c r="K690" t="s">
        <v>0</v>
      </c>
      <c r="L690" t="s">
        <v>2</v>
      </c>
      <c r="M690">
        <v>4818.28</v>
      </c>
      <c r="N690">
        <v>4816.0297300000002</v>
      </c>
      <c r="O690">
        <v>4816.50054</v>
      </c>
      <c r="P690">
        <v>4821.1774599999999</v>
      </c>
      <c r="Q690">
        <v>4810.5446300000003</v>
      </c>
    </row>
    <row r="691" spans="1:17" x14ac:dyDescent="0.55000000000000004">
      <c r="A691">
        <v>1773928800</v>
      </c>
      <c r="B691" t="s">
        <v>0</v>
      </c>
      <c r="C691" t="s">
        <v>1</v>
      </c>
      <c r="D691">
        <v>4602.2</v>
      </c>
      <c r="E691">
        <v>4598.19643</v>
      </c>
      <c r="F691">
        <v>4609.8558999999996</v>
      </c>
      <c r="G691">
        <v>4634.8617899999999</v>
      </c>
      <c r="H691">
        <v>4555.0432799999999</v>
      </c>
      <c r="J691">
        <v>1775604300</v>
      </c>
      <c r="K691" t="s">
        <v>0</v>
      </c>
      <c r="L691" t="s">
        <v>2</v>
      </c>
      <c r="M691">
        <v>4814.83</v>
      </c>
      <c r="N691">
        <v>4813.2276000000002</v>
      </c>
      <c r="O691">
        <v>4814.8640699999996</v>
      </c>
      <c r="P691">
        <v>4817.78352</v>
      </c>
      <c r="Q691">
        <v>4808.6570499999998</v>
      </c>
    </row>
    <row r="692" spans="1:17" x14ac:dyDescent="0.55000000000000004">
      <c r="A692">
        <v>1773932400</v>
      </c>
      <c r="B692" t="s">
        <v>0</v>
      </c>
      <c r="C692" t="s">
        <v>1</v>
      </c>
      <c r="D692">
        <v>4596.42</v>
      </c>
      <c r="E692">
        <v>4597.9981799999996</v>
      </c>
      <c r="F692">
        <v>4603.9270399999996</v>
      </c>
      <c r="G692">
        <v>4630.5619800000004</v>
      </c>
      <c r="H692">
        <v>4558.58673</v>
      </c>
      <c r="J692">
        <v>1775604600</v>
      </c>
      <c r="K692" t="s">
        <v>0</v>
      </c>
      <c r="L692" t="s">
        <v>2</v>
      </c>
      <c r="M692">
        <v>4808.3</v>
      </c>
      <c r="N692">
        <v>4811.4182199999996</v>
      </c>
      <c r="O692">
        <v>4813.1411399999997</v>
      </c>
      <c r="P692">
        <v>4815.5457999999999</v>
      </c>
      <c r="Q692">
        <v>4806.9727999999996</v>
      </c>
    </row>
    <row r="693" spans="1:17" x14ac:dyDescent="0.55000000000000004">
      <c r="A693">
        <v>1773936000</v>
      </c>
      <c r="B693" t="s">
        <v>0</v>
      </c>
      <c r="C693" t="s">
        <v>1</v>
      </c>
      <c r="D693">
        <v>4584.8500000000004</v>
      </c>
      <c r="E693">
        <v>4602.2956999999997</v>
      </c>
      <c r="F693">
        <v>4603.1113699999996</v>
      </c>
      <c r="G693">
        <v>4630.3018099999999</v>
      </c>
      <c r="H693">
        <v>4568.5689000000002</v>
      </c>
      <c r="J693">
        <v>1775604900</v>
      </c>
      <c r="K693" t="s">
        <v>0</v>
      </c>
      <c r="L693" t="s">
        <v>2</v>
      </c>
      <c r="M693">
        <v>4810.18</v>
      </c>
      <c r="N693">
        <v>4811.5980900000004</v>
      </c>
      <c r="O693">
        <v>4812.3696200000004</v>
      </c>
      <c r="P693">
        <v>4815.4742500000002</v>
      </c>
      <c r="Q693">
        <v>4806.4592199999997</v>
      </c>
    </row>
    <row r="694" spans="1:17" x14ac:dyDescent="0.55000000000000004">
      <c r="A694">
        <v>1773939600</v>
      </c>
      <c r="B694" t="s">
        <v>0</v>
      </c>
      <c r="C694" t="s">
        <v>1</v>
      </c>
      <c r="D694">
        <v>4616.1400000000003</v>
      </c>
      <c r="E694">
        <v>4610.2023799999997</v>
      </c>
      <c r="F694">
        <v>4606.6568699999998</v>
      </c>
      <c r="G694">
        <v>4633.3457699999999</v>
      </c>
      <c r="H694">
        <v>4582.4738500000003</v>
      </c>
      <c r="J694">
        <v>1775605200</v>
      </c>
      <c r="K694" t="s">
        <v>0</v>
      </c>
      <c r="L694" t="s">
        <v>2</v>
      </c>
      <c r="M694">
        <v>4813.25</v>
      </c>
      <c r="N694">
        <v>4814.0496599999997</v>
      </c>
      <c r="O694">
        <v>4813.20964</v>
      </c>
      <c r="P694">
        <v>4818.1056900000003</v>
      </c>
      <c r="Q694">
        <v>4807.8002800000004</v>
      </c>
    </row>
    <row r="695" spans="1:17" x14ac:dyDescent="0.55000000000000004">
      <c r="A695">
        <v>1773943200</v>
      </c>
      <c r="B695" t="s">
        <v>0</v>
      </c>
      <c r="C695" t="s">
        <v>1</v>
      </c>
      <c r="D695">
        <v>4622.92</v>
      </c>
      <c r="E695">
        <v>4619.4840999999997</v>
      </c>
      <c r="F695">
        <v>4613.0704900000001</v>
      </c>
      <c r="G695">
        <v>4638.7539299999999</v>
      </c>
      <c r="H695">
        <v>4598.14822</v>
      </c>
      <c r="J695">
        <v>1775605500</v>
      </c>
      <c r="K695" t="s">
        <v>0</v>
      </c>
      <c r="L695" t="s">
        <v>2</v>
      </c>
      <c r="M695">
        <v>4812.05</v>
      </c>
      <c r="N695">
        <v>4818.4620800000002</v>
      </c>
      <c r="O695">
        <v>4815.8358600000001</v>
      </c>
      <c r="P695">
        <v>4823.2620699999998</v>
      </c>
      <c r="Q695">
        <v>4810.9764999999998</v>
      </c>
    </row>
    <row r="696" spans="1:17" x14ac:dyDescent="0.55000000000000004">
      <c r="A696">
        <v>1773946800</v>
      </c>
      <c r="B696" t="s">
        <v>0</v>
      </c>
      <c r="C696" t="s">
        <v>1</v>
      </c>
      <c r="D696">
        <v>4644.0200000000004</v>
      </c>
      <c r="E696">
        <v>4629.1633700000002</v>
      </c>
      <c r="F696">
        <v>4621.1169300000001</v>
      </c>
      <c r="G696">
        <v>4646.1642400000001</v>
      </c>
      <c r="H696">
        <v>4613.2181799999998</v>
      </c>
      <c r="J696">
        <v>1775605800</v>
      </c>
      <c r="K696" t="s">
        <v>0</v>
      </c>
      <c r="L696" t="s">
        <v>2</v>
      </c>
      <c r="M696">
        <v>4818.92</v>
      </c>
      <c r="N696">
        <v>4824.1435499999998</v>
      </c>
      <c r="O696">
        <v>4819.9897099999998</v>
      </c>
      <c r="P696">
        <v>4830.0312199999998</v>
      </c>
      <c r="Q696">
        <v>4815.53557</v>
      </c>
    </row>
    <row r="697" spans="1:17" x14ac:dyDescent="0.55000000000000004">
      <c r="A697">
        <v>1773950400</v>
      </c>
      <c r="B697" t="s">
        <v>0</v>
      </c>
      <c r="C697" t="s">
        <v>1</v>
      </c>
      <c r="D697">
        <v>4651.05</v>
      </c>
      <c r="E697">
        <v>4638.4977399999998</v>
      </c>
      <c r="F697">
        <v>4629.8073299999996</v>
      </c>
      <c r="G697">
        <v>4654.35142</v>
      </c>
      <c r="H697">
        <v>4626.1157899999998</v>
      </c>
      <c r="J697">
        <v>1775606100</v>
      </c>
      <c r="K697" t="s">
        <v>0</v>
      </c>
      <c r="L697" t="s">
        <v>2</v>
      </c>
      <c r="M697">
        <v>4833.2</v>
      </c>
      <c r="N697">
        <v>4829.9040000000005</v>
      </c>
      <c r="O697">
        <v>4824.94686</v>
      </c>
      <c r="P697">
        <v>4837.0111100000004</v>
      </c>
      <c r="Q697">
        <v>4820.7376999999997</v>
      </c>
    </row>
    <row r="698" spans="1:17" x14ac:dyDescent="0.55000000000000004">
      <c r="A698">
        <v>1773957600</v>
      </c>
      <c r="B698" t="s">
        <v>0</v>
      </c>
      <c r="C698" t="s">
        <v>1</v>
      </c>
      <c r="D698">
        <v>4636.47</v>
      </c>
      <c r="E698">
        <v>4647.5663100000002</v>
      </c>
      <c r="F698">
        <v>4638.6868199999999</v>
      </c>
      <c r="G698">
        <v>4663.3128500000003</v>
      </c>
      <c r="H698">
        <v>4636.3984799999998</v>
      </c>
      <c r="J698">
        <v>1775606400</v>
      </c>
      <c r="K698" t="s">
        <v>0</v>
      </c>
      <c r="L698" t="s">
        <v>2</v>
      </c>
      <c r="M698">
        <v>4845.6000000000004</v>
      </c>
      <c r="N698">
        <v>4834.3347800000001</v>
      </c>
      <c r="O698">
        <v>4829.6408199999996</v>
      </c>
      <c r="P698">
        <v>4842.6096299999999</v>
      </c>
      <c r="Q698">
        <v>4825.56059</v>
      </c>
    </row>
    <row r="699" spans="1:17" x14ac:dyDescent="0.55000000000000004">
      <c r="A699">
        <v>1773961200</v>
      </c>
      <c r="B699" t="s">
        <v>0</v>
      </c>
      <c r="C699" t="s">
        <v>1</v>
      </c>
      <c r="D699">
        <v>4643.76</v>
      </c>
      <c r="E699">
        <v>4657.3940700000003</v>
      </c>
      <c r="F699">
        <v>4648.0404399999998</v>
      </c>
      <c r="G699">
        <v>4672.7005200000003</v>
      </c>
      <c r="H699">
        <v>4645.1255799999999</v>
      </c>
      <c r="J699">
        <v>1775606700</v>
      </c>
      <c r="K699" t="s">
        <v>0</v>
      </c>
      <c r="L699" t="s">
        <v>2</v>
      </c>
      <c r="M699">
        <v>4839.17</v>
      </c>
      <c r="N699">
        <v>4836.3614200000002</v>
      </c>
      <c r="O699">
        <v>4833.0011199999999</v>
      </c>
      <c r="P699">
        <v>4845.44445</v>
      </c>
      <c r="Q699">
        <v>4828.7816800000001</v>
      </c>
    </row>
    <row r="700" spans="1:17" x14ac:dyDescent="0.55000000000000004">
      <c r="A700">
        <v>1773964800</v>
      </c>
      <c r="B700" t="s">
        <v>0</v>
      </c>
      <c r="C700" t="s">
        <v>1</v>
      </c>
      <c r="D700">
        <v>4648.6499999999996</v>
      </c>
      <c r="E700">
        <v>4668.2042300000003</v>
      </c>
      <c r="F700">
        <v>4658.1223399999999</v>
      </c>
      <c r="G700">
        <v>4683.3628200000003</v>
      </c>
      <c r="H700">
        <v>4653.5289400000001</v>
      </c>
      <c r="J700">
        <v>1775607000</v>
      </c>
      <c r="K700" t="s">
        <v>0</v>
      </c>
      <c r="L700" t="s">
        <v>2</v>
      </c>
      <c r="M700">
        <v>4834.2700000000004</v>
      </c>
      <c r="N700">
        <v>4835.8945800000001</v>
      </c>
      <c r="O700">
        <v>4834.4478499999996</v>
      </c>
      <c r="P700">
        <v>4844.9642999999996</v>
      </c>
      <c r="Q700">
        <v>4829.74323</v>
      </c>
    </row>
    <row r="701" spans="1:17" x14ac:dyDescent="0.55000000000000004">
      <c r="A701">
        <v>1773968400</v>
      </c>
      <c r="B701" t="s">
        <v>0</v>
      </c>
      <c r="C701" t="s">
        <v>1</v>
      </c>
      <c r="D701">
        <v>4677.28</v>
      </c>
      <c r="E701">
        <v>4679.5574100000003</v>
      </c>
      <c r="F701">
        <v>4668.8398699999998</v>
      </c>
      <c r="G701">
        <v>4694.6274800000001</v>
      </c>
      <c r="H701">
        <v>4662.05638</v>
      </c>
      <c r="J701">
        <v>1775607300</v>
      </c>
      <c r="K701" t="s">
        <v>0</v>
      </c>
      <c r="L701" t="s">
        <v>2</v>
      </c>
      <c r="M701">
        <v>4833.22</v>
      </c>
      <c r="N701">
        <v>4833.31844</v>
      </c>
      <c r="O701">
        <v>4833.8831399999999</v>
      </c>
      <c r="P701">
        <v>4841.7796399999997</v>
      </c>
      <c r="Q701">
        <v>4828.5505999999996</v>
      </c>
    </row>
    <row r="702" spans="1:17" x14ac:dyDescent="0.55000000000000004">
      <c r="A702">
        <v>1773972000</v>
      </c>
      <c r="B702" t="s">
        <v>0</v>
      </c>
      <c r="C702" t="s">
        <v>1</v>
      </c>
      <c r="D702">
        <v>4697.4399999999996</v>
      </c>
      <c r="E702">
        <v>4689.8325699999996</v>
      </c>
      <c r="F702">
        <v>4679.3362200000001</v>
      </c>
      <c r="G702">
        <v>4704.8867899999996</v>
      </c>
      <c r="H702">
        <v>4670.53629</v>
      </c>
      <c r="J702">
        <v>1775607600</v>
      </c>
      <c r="K702" t="s">
        <v>0</v>
      </c>
      <c r="L702" t="s">
        <v>2</v>
      </c>
      <c r="M702">
        <v>4828.05</v>
      </c>
      <c r="N702">
        <v>4829.2949799999997</v>
      </c>
      <c r="O702">
        <v>4831.5890600000002</v>
      </c>
      <c r="P702">
        <v>4836.8167299999996</v>
      </c>
      <c r="Q702">
        <v>4825.6220899999998</v>
      </c>
    </row>
    <row r="703" spans="1:17" x14ac:dyDescent="0.55000000000000004">
      <c r="A703">
        <v>1773975600</v>
      </c>
      <c r="B703" t="s">
        <v>0</v>
      </c>
      <c r="C703" t="s">
        <v>1</v>
      </c>
      <c r="D703">
        <v>4725.8999999999996</v>
      </c>
      <c r="E703">
        <v>4697.6821799999998</v>
      </c>
      <c r="F703">
        <v>4688.5092000000004</v>
      </c>
      <c r="G703">
        <v>4713.2550199999996</v>
      </c>
      <c r="H703">
        <v>4677.6318700000002</v>
      </c>
      <c r="J703">
        <v>1775607900</v>
      </c>
      <c r="K703" t="s">
        <v>0</v>
      </c>
      <c r="L703" t="s">
        <v>2</v>
      </c>
      <c r="M703">
        <v>4822.75</v>
      </c>
      <c r="N703">
        <v>4824.8139000000001</v>
      </c>
      <c r="O703">
        <v>4828.2014799999997</v>
      </c>
      <c r="P703">
        <v>4831.2634099999996</v>
      </c>
      <c r="Q703">
        <v>4821.6886199999999</v>
      </c>
    </row>
    <row r="704" spans="1:17" x14ac:dyDescent="0.55000000000000004">
      <c r="A704">
        <v>1773979200</v>
      </c>
      <c r="B704" t="s">
        <v>0</v>
      </c>
      <c r="C704" t="s">
        <v>1</v>
      </c>
      <c r="D704">
        <v>4721.72</v>
      </c>
      <c r="E704">
        <v>4701.7067800000004</v>
      </c>
      <c r="F704">
        <v>4695.1079900000004</v>
      </c>
      <c r="G704">
        <v>4718.5097599999999</v>
      </c>
      <c r="H704">
        <v>4682.1973500000004</v>
      </c>
      <c r="J704">
        <v>1775608200</v>
      </c>
      <c r="K704" t="s">
        <v>0</v>
      </c>
      <c r="L704" t="s">
        <v>2</v>
      </c>
      <c r="M704">
        <v>4815.74</v>
      </c>
      <c r="N704">
        <v>4820.8296</v>
      </c>
      <c r="O704">
        <v>4824.5155400000003</v>
      </c>
      <c r="P704">
        <v>4826.3131100000001</v>
      </c>
      <c r="Q704">
        <v>4817.71173</v>
      </c>
    </row>
    <row r="705" spans="1:17" x14ac:dyDescent="0.55000000000000004">
      <c r="A705">
        <v>1773982800</v>
      </c>
      <c r="B705" t="s">
        <v>0</v>
      </c>
      <c r="C705" t="s">
        <v>1</v>
      </c>
      <c r="D705">
        <v>4688.47</v>
      </c>
      <c r="E705">
        <v>4701.7923000000001</v>
      </c>
      <c r="F705">
        <v>4698.4501399999999</v>
      </c>
      <c r="G705">
        <v>4720.4939400000003</v>
      </c>
      <c r="H705">
        <v>4683.3806100000002</v>
      </c>
      <c r="J705">
        <v>1775608500</v>
      </c>
      <c r="K705" t="s">
        <v>0</v>
      </c>
      <c r="L705" t="s">
        <v>2</v>
      </c>
      <c r="M705">
        <v>4820.84</v>
      </c>
      <c r="N705">
        <v>4818.0239300000003</v>
      </c>
      <c r="O705">
        <v>4821.2697399999997</v>
      </c>
      <c r="P705">
        <v>4822.7792200000004</v>
      </c>
      <c r="Q705">
        <v>4814.4060900000004</v>
      </c>
    </row>
    <row r="706" spans="1:17" x14ac:dyDescent="0.55000000000000004">
      <c r="A706">
        <v>1773986400</v>
      </c>
      <c r="B706" t="s">
        <v>0</v>
      </c>
      <c r="C706" t="s">
        <v>1</v>
      </c>
      <c r="D706">
        <v>4669.26</v>
      </c>
      <c r="E706">
        <v>4699.0938699999997</v>
      </c>
      <c r="F706">
        <v>4698.7720099999997</v>
      </c>
      <c r="G706">
        <v>4719.5334999999995</v>
      </c>
      <c r="H706">
        <v>4681.9859999999999</v>
      </c>
      <c r="J706">
        <v>1775608800</v>
      </c>
      <c r="K706" t="s">
        <v>0</v>
      </c>
      <c r="L706" t="s">
        <v>2</v>
      </c>
      <c r="M706">
        <v>4813.83</v>
      </c>
      <c r="N706">
        <v>4816.4297200000001</v>
      </c>
      <c r="O706">
        <v>4818.8497299999999</v>
      </c>
      <c r="P706">
        <v>4820.9977699999999</v>
      </c>
      <c r="Q706">
        <v>4812.1442399999996</v>
      </c>
    </row>
    <row r="707" spans="1:17" x14ac:dyDescent="0.55000000000000004">
      <c r="A707">
        <v>1773990000</v>
      </c>
      <c r="B707" t="s">
        <v>0</v>
      </c>
      <c r="C707" t="s">
        <v>1</v>
      </c>
      <c r="D707">
        <v>4706.2299999999996</v>
      </c>
      <c r="E707">
        <v>4694.7091099999998</v>
      </c>
      <c r="F707">
        <v>4696.7405600000002</v>
      </c>
      <c r="G707">
        <v>4716.6273700000002</v>
      </c>
      <c r="H707">
        <v>4678.6702299999997</v>
      </c>
      <c r="J707">
        <v>1775609100</v>
      </c>
      <c r="K707" t="s">
        <v>0</v>
      </c>
      <c r="L707" t="s">
        <v>2</v>
      </c>
      <c r="M707">
        <v>4815.3</v>
      </c>
      <c r="N707">
        <v>4816.0033299999996</v>
      </c>
      <c r="O707">
        <v>4817.4265299999997</v>
      </c>
      <c r="P707">
        <v>4820.8067199999996</v>
      </c>
      <c r="Q707">
        <v>4810.89383</v>
      </c>
    </row>
    <row r="708" spans="1:17" x14ac:dyDescent="0.55000000000000004">
      <c r="A708">
        <v>1773993600</v>
      </c>
      <c r="B708" t="s">
        <v>0</v>
      </c>
      <c r="C708" t="s">
        <v>1</v>
      </c>
      <c r="D708">
        <v>4693.84</v>
      </c>
      <c r="E708">
        <v>4687.8143300000002</v>
      </c>
      <c r="F708">
        <v>4692.2774399999998</v>
      </c>
      <c r="G708">
        <v>4711.8416800000005</v>
      </c>
      <c r="H708">
        <v>4673.11751</v>
      </c>
      <c r="J708">
        <v>1775609400</v>
      </c>
      <c r="K708" t="s">
        <v>0</v>
      </c>
      <c r="L708" t="s">
        <v>2</v>
      </c>
      <c r="M708">
        <v>4821.7</v>
      </c>
      <c r="N708">
        <v>4816.1689699999997</v>
      </c>
      <c r="O708">
        <v>4816.7977499999997</v>
      </c>
      <c r="P708">
        <v>4821.78514</v>
      </c>
      <c r="Q708">
        <v>4810.3756599999997</v>
      </c>
    </row>
    <row r="709" spans="1:17" x14ac:dyDescent="0.55000000000000004">
      <c r="A709">
        <v>1773997200</v>
      </c>
      <c r="B709" t="s">
        <v>0</v>
      </c>
      <c r="C709" t="s">
        <v>1</v>
      </c>
      <c r="D709">
        <v>4667.76</v>
      </c>
      <c r="E709">
        <v>4678.8272699999998</v>
      </c>
      <c r="F709">
        <v>4685.5523599999997</v>
      </c>
      <c r="G709">
        <v>4704.5466900000001</v>
      </c>
      <c r="H709">
        <v>4664.7886399999998</v>
      </c>
      <c r="J709">
        <v>1775609700</v>
      </c>
      <c r="K709" t="s">
        <v>0</v>
      </c>
      <c r="L709" t="s">
        <v>2</v>
      </c>
      <c r="M709">
        <v>4817.79</v>
      </c>
      <c r="N709">
        <v>4816.1000199999999</v>
      </c>
      <c r="O709">
        <v>4816.4488899999997</v>
      </c>
      <c r="P709">
        <v>4822.8493699999999</v>
      </c>
      <c r="Q709">
        <v>4809.8737300000003</v>
      </c>
    </row>
    <row r="710" spans="1:17" x14ac:dyDescent="0.55000000000000004">
      <c r="A710">
        <v>1774000800</v>
      </c>
      <c r="B710" t="s">
        <v>0</v>
      </c>
      <c r="C710" t="s">
        <v>1</v>
      </c>
      <c r="D710">
        <v>4645.3999999999996</v>
      </c>
      <c r="E710">
        <v>4667.9989800000003</v>
      </c>
      <c r="F710">
        <v>4676.77567</v>
      </c>
      <c r="G710">
        <v>4695.53233</v>
      </c>
      <c r="H710">
        <v>4653.9872299999997</v>
      </c>
      <c r="J710">
        <v>1775610000</v>
      </c>
      <c r="K710" t="s">
        <v>0</v>
      </c>
      <c r="L710" t="s">
        <v>2</v>
      </c>
      <c r="M710">
        <v>4807.13</v>
      </c>
      <c r="N710">
        <v>4815.3050899999998</v>
      </c>
      <c r="O710">
        <v>4815.8769899999998</v>
      </c>
      <c r="P710">
        <v>4823.2313700000004</v>
      </c>
      <c r="Q710">
        <v>4808.9576299999999</v>
      </c>
    </row>
    <row r="711" spans="1:17" x14ac:dyDescent="0.55000000000000004">
      <c r="A711">
        <v>1774004400</v>
      </c>
      <c r="B711" t="s">
        <v>0</v>
      </c>
      <c r="C711" t="s">
        <v>1</v>
      </c>
      <c r="D711">
        <v>4671.78</v>
      </c>
      <c r="E711">
        <v>4655.08608</v>
      </c>
      <c r="F711">
        <v>4665.9308700000001</v>
      </c>
      <c r="G711">
        <v>4684.9103100000002</v>
      </c>
      <c r="H711">
        <v>4640.6735600000002</v>
      </c>
      <c r="J711">
        <v>1775610300</v>
      </c>
      <c r="K711" t="s">
        <v>0</v>
      </c>
      <c r="L711" t="s">
        <v>2</v>
      </c>
      <c r="M711">
        <v>4818.93</v>
      </c>
      <c r="N711">
        <v>4813.6760000000004</v>
      </c>
      <c r="O711">
        <v>4814.7764900000002</v>
      </c>
      <c r="P711">
        <v>4822.2717599999996</v>
      </c>
      <c r="Q711">
        <v>4807.3491400000003</v>
      </c>
    </row>
    <row r="712" spans="1:17" x14ac:dyDescent="0.55000000000000004">
      <c r="A712">
        <v>1774008000</v>
      </c>
      <c r="B712" t="s">
        <v>0</v>
      </c>
      <c r="C712" t="s">
        <v>1</v>
      </c>
      <c r="D712">
        <v>4678.1899999999996</v>
      </c>
      <c r="E712">
        <v>4638.6027899999999</v>
      </c>
      <c r="F712">
        <v>4652.2668299999996</v>
      </c>
      <c r="G712">
        <v>4671.7678100000003</v>
      </c>
      <c r="H712">
        <v>4624.2197399999995</v>
      </c>
      <c r="J712">
        <v>1775610600</v>
      </c>
      <c r="K712" t="s">
        <v>0</v>
      </c>
      <c r="L712" t="s">
        <v>2</v>
      </c>
      <c r="M712">
        <v>4820.1000000000004</v>
      </c>
      <c r="N712">
        <v>4810.8639400000002</v>
      </c>
      <c r="O712">
        <v>4812.8202099999999</v>
      </c>
      <c r="P712">
        <v>4819.8619399999998</v>
      </c>
      <c r="Q712">
        <v>4804.8727399999998</v>
      </c>
    </row>
    <row r="713" spans="1:17" x14ac:dyDescent="0.55000000000000004">
      <c r="A713">
        <v>1774011600</v>
      </c>
      <c r="B713" t="s">
        <v>0</v>
      </c>
      <c r="C713" t="s">
        <v>1</v>
      </c>
      <c r="D713">
        <v>4616.46</v>
      </c>
      <c r="E713">
        <v>4618.4652699999997</v>
      </c>
      <c r="F713">
        <v>4635.3660499999996</v>
      </c>
      <c r="G713">
        <v>4655.0602699999999</v>
      </c>
      <c r="H713">
        <v>4603.8987299999999</v>
      </c>
      <c r="J713">
        <v>1775610900</v>
      </c>
      <c r="K713" t="s">
        <v>0</v>
      </c>
      <c r="L713" t="s">
        <v>2</v>
      </c>
      <c r="M713">
        <v>4803.42</v>
      </c>
      <c r="N713">
        <v>4807.1683999999996</v>
      </c>
      <c r="O713">
        <v>4809.99431</v>
      </c>
      <c r="P713">
        <v>4816.1691499999997</v>
      </c>
      <c r="Q713">
        <v>4801.5303000000004</v>
      </c>
    </row>
    <row r="714" spans="1:17" x14ac:dyDescent="0.55000000000000004">
      <c r="A714">
        <v>1774015200</v>
      </c>
      <c r="B714" t="s">
        <v>0</v>
      </c>
      <c r="C714" t="s">
        <v>1</v>
      </c>
      <c r="D714">
        <v>4564.0200000000004</v>
      </c>
      <c r="E714">
        <v>4597.1674999999996</v>
      </c>
      <c r="F714">
        <v>4616.2667700000002</v>
      </c>
      <c r="G714">
        <v>4635.3604299999997</v>
      </c>
      <c r="H714">
        <v>4581.7650599999997</v>
      </c>
      <c r="J714">
        <v>1775611200</v>
      </c>
      <c r="K714" t="s">
        <v>0</v>
      </c>
      <c r="L714" t="s">
        <v>2</v>
      </c>
      <c r="M714">
        <v>4801.6899999999996</v>
      </c>
      <c r="N714">
        <v>4803.6057600000004</v>
      </c>
      <c r="O714">
        <v>4806.8000300000003</v>
      </c>
      <c r="P714">
        <v>4811.8251200000004</v>
      </c>
      <c r="Q714">
        <v>4798.1842900000001</v>
      </c>
    </row>
    <row r="715" spans="1:17" x14ac:dyDescent="0.55000000000000004">
      <c r="A715">
        <v>1774018800</v>
      </c>
      <c r="B715" t="s">
        <v>0</v>
      </c>
      <c r="C715" t="s">
        <v>1</v>
      </c>
      <c r="D715">
        <v>4553.58</v>
      </c>
      <c r="E715">
        <v>4577.0319600000003</v>
      </c>
      <c r="F715">
        <v>4596.6493700000001</v>
      </c>
      <c r="G715">
        <v>4614.8366100000003</v>
      </c>
      <c r="H715">
        <v>4560.4576200000001</v>
      </c>
      <c r="J715">
        <v>1775611500</v>
      </c>
      <c r="K715" t="s">
        <v>0</v>
      </c>
      <c r="L715" t="s">
        <v>2</v>
      </c>
      <c r="M715">
        <v>4794.28</v>
      </c>
      <c r="N715">
        <v>4800.83907</v>
      </c>
      <c r="O715">
        <v>4803.8195500000002</v>
      </c>
      <c r="P715">
        <v>4807.9019200000002</v>
      </c>
      <c r="Q715">
        <v>4795.6105699999998</v>
      </c>
    </row>
    <row r="716" spans="1:17" x14ac:dyDescent="0.55000000000000004">
      <c r="A716">
        <v>1774022400</v>
      </c>
      <c r="B716" t="s">
        <v>0</v>
      </c>
      <c r="C716" t="s">
        <v>1</v>
      </c>
      <c r="D716">
        <v>4583.21</v>
      </c>
      <c r="E716">
        <v>4558.7753899999998</v>
      </c>
      <c r="F716">
        <v>4577.7123799999999</v>
      </c>
      <c r="G716">
        <v>4595.5211300000001</v>
      </c>
      <c r="H716">
        <v>4540.4970300000004</v>
      </c>
      <c r="J716">
        <v>1775611800</v>
      </c>
      <c r="K716" t="s">
        <v>0</v>
      </c>
      <c r="L716" t="s">
        <v>2</v>
      </c>
      <c r="M716">
        <v>4799.51</v>
      </c>
      <c r="N716">
        <v>4799.5351899999996</v>
      </c>
      <c r="O716">
        <v>4801.6773700000003</v>
      </c>
      <c r="P716">
        <v>4805.18415</v>
      </c>
      <c r="Q716">
        <v>4794.3614799999996</v>
      </c>
    </row>
    <row r="717" spans="1:17" x14ac:dyDescent="0.55000000000000004">
      <c r="A717">
        <v>1774026000</v>
      </c>
      <c r="B717" t="s">
        <v>0</v>
      </c>
      <c r="C717" t="s">
        <v>1</v>
      </c>
      <c r="D717">
        <v>4573.49</v>
      </c>
      <c r="E717">
        <v>4541.4709000000003</v>
      </c>
      <c r="F717">
        <v>4559.5916399999996</v>
      </c>
      <c r="G717">
        <v>4577.3155299999999</v>
      </c>
      <c r="H717">
        <v>4521.4263199999996</v>
      </c>
      <c r="J717">
        <v>1775612100</v>
      </c>
      <c r="K717" t="s">
        <v>0</v>
      </c>
      <c r="L717" t="s">
        <v>2</v>
      </c>
      <c r="M717">
        <v>4799.29</v>
      </c>
      <c r="N717">
        <v>4799.8130899999996</v>
      </c>
      <c r="O717">
        <v>4800.7452300000004</v>
      </c>
      <c r="P717">
        <v>4804.2638200000001</v>
      </c>
      <c r="Q717">
        <v>4794.82528</v>
      </c>
    </row>
    <row r="718" spans="1:17" x14ac:dyDescent="0.55000000000000004">
      <c r="A718">
        <v>1774029600</v>
      </c>
      <c r="B718" t="s">
        <v>0</v>
      </c>
      <c r="C718" t="s">
        <v>1</v>
      </c>
      <c r="D718">
        <v>4499.8500000000004</v>
      </c>
      <c r="E718">
        <v>4524.65182</v>
      </c>
      <c r="F718">
        <v>4542.1217299999998</v>
      </c>
      <c r="G718">
        <v>4560.9152000000004</v>
      </c>
      <c r="H718">
        <v>4502.6188099999999</v>
      </c>
      <c r="J718">
        <v>1775612400</v>
      </c>
      <c r="K718" t="s">
        <v>0</v>
      </c>
      <c r="L718" t="s">
        <v>2</v>
      </c>
      <c r="M718">
        <v>4800.22</v>
      </c>
      <c r="N718">
        <v>4801.6087399999997</v>
      </c>
      <c r="O718">
        <v>4801.1769800000002</v>
      </c>
      <c r="P718">
        <v>4805.1339500000004</v>
      </c>
      <c r="Q718">
        <v>4796.7540099999997</v>
      </c>
    </row>
    <row r="719" spans="1:17" x14ac:dyDescent="0.55000000000000004">
      <c r="A719">
        <v>1774033200</v>
      </c>
      <c r="B719" t="s">
        <v>0</v>
      </c>
      <c r="C719" t="s">
        <v>1</v>
      </c>
      <c r="D719">
        <v>4501.82</v>
      </c>
      <c r="E719">
        <v>4508.9952400000002</v>
      </c>
      <c r="F719">
        <v>4525.5584799999997</v>
      </c>
      <c r="G719">
        <v>4546.4421000000002</v>
      </c>
      <c r="H719">
        <v>4485.2337200000002</v>
      </c>
      <c r="J719">
        <v>1775612700</v>
      </c>
      <c r="K719" t="s">
        <v>0</v>
      </c>
      <c r="L719" t="s">
        <v>2</v>
      </c>
      <c r="M719">
        <v>4808.3900000000003</v>
      </c>
      <c r="N719">
        <v>4804.5413500000004</v>
      </c>
      <c r="O719">
        <v>4802.8591699999997</v>
      </c>
      <c r="P719">
        <v>4807.5452599999999</v>
      </c>
      <c r="Q719">
        <v>4799.8923400000003</v>
      </c>
    </row>
    <row r="720" spans="1:17" x14ac:dyDescent="0.55000000000000004">
      <c r="A720">
        <v>1774036800</v>
      </c>
      <c r="B720" t="s">
        <v>0</v>
      </c>
      <c r="C720" t="s">
        <v>1</v>
      </c>
      <c r="D720">
        <v>4497.96</v>
      </c>
      <c r="E720">
        <v>4492.79252</v>
      </c>
      <c r="F720">
        <v>4509.1755000000003</v>
      </c>
      <c r="G720">
        <v>4534.1887100000004</v>
      </c>
      <c r="H720">
        <v>4467.7104099999997</v>
      </c>
      <c r="J720">
        <v>1775613000</v>
      </c>
      <c r="K720" t="s">
        <v>0</v>
      </c>
      <c r="L720" t="s">
        <v>2</v>
      </c>
      <c r="M720">
        <v>4809.57</v>
      </c>
      <c r="N720">
        <v>4807.8756100000001</v>
      </c>
      <c r="O720">
        <v>4805.3673900000003</v>
      </c>
      <c r="P720">
        <v>4810.8199100000002</v>
      </c>
      <c r="Q720">
        <v>4803.7043599999997</v>
      </c>
    </row>
    <row r="721" spans="1:17" x14ac:dyDescent="0.55000000000000004">
      <c r="A721">
        <v>1774216800</v>
      </c>
      <c r="B721" t="s">
        <v>0</v>
      </c>
      <c r="C721" t="s">
        <v>1</v>
      </c>
      <c r="D721">
        <v>4498.1099999999997</v>
      </c>
      <c r="E721">
        <v>4474.03539</v>
      </c>
      <c r="F721">
        <v>4491.60545</v>
      </c>
      <c r="G721">
        <v>4521.9117900000001</v>
      </c>
      <c r="H721">
        <v>4448.0616099999997</v>
      </c>
      <c r="J721">
        <v>1775613300</v>
      </c>
      <c r="K721" t="s">
        <v>0</v>
      </c>
      <c r="L721" t="s">
        <v>2</v>
      </c>
      <c r="M721">
        <v>4810.29</v>
      </c>
      <c r="N721">
        <v>4811.0448100000003</v>
      </c>
      <c r="O721">
        <v>4808.2061000000003</v>
      </c>
      <c r="P721">
        <v>4814.1463800000001</v>
      </c>
      <c r="Q721">
        <v>4807.3840700000001</v>
      </c>
    </row>
    <row r="722" spans="1:17" x14ac:dyDescent="0.55000000000000004">
      <c r="A722">
        <v>1774220400</v>
      </c>
      <c r="B722" t="s">
        <v>0</v>
      </c>
      <c r="C722" t="s">
        <v>1</v>
      </c>
      <c r="D722">
        <v>4464.67</v>
      </c>
      <c r="E722">
        <v>4450.9838</v>
      </c>
      <c r="F722">
        <v>4471.2946300000003</v>
      </c>
      <c r="G722">
        <v>4506.1256899999998</v>
      </c>
      <c r="H722">
        <v>4425.6373199999998</v>
      </c>
      <c r="J722">
        <v>1775613600</v>
      </c>
      <c r="K722" t="s">
        <v>0</v>
      </c>
      <c r="L722" t="s">
        <v>2</v>
      </c>
      <c r="M722">
        <v>4817.1499999999996</v>
      </c>
      <c r="N722">
        <v>4813.5753999999997</v>
      </c>
      <c r="O722">
        <v>4810.8907499999996</v>
      </c>
      <c r="P722">
        <v>4816.9993199999999</v>
      </c>
      <c r="Q722">
        <v>4810.45957</v>
      </c>
    </row>
    <row r="723" spans="1:17" x14ac:dyDescent="0.55000000000000004">
      <c r="A723">
        <v>1774224000</v>
      </c>
      <c r="B723" t="s">
        <v>0</v>
      </c>
      <c r="C723" t="s">
        <v>1</v>
      </c>
      <c r="D723">
        <v>4354.28</v>
      </c>
      <c r="E723">
        <v>4423.5216399999999</v>
      </c>
      <c r="F723">
        <v>4447.4081299999998</v>
      </c>
      <c r="G723">
        <v>4484.8901500000002</v>
      </c>
      <c r="H723">
        <v>4399.0611399999998</v>
      </c>
      <c r="J723">
        <v>1775613900</v>
      </c>
      <c r="K723" t="s">
        <v>0</v>
      </c>
      <c r="L723" t="s">
        <v>2</v>
      </c>
      <c r="M723">
        <v>4816.32</v>
      </c>
      <c r="N723">
        <v>4815.0469999999996</v>
      </c>
      <c r="O723">
        <v>4812.9688800000004</v>
      </c>
      <c r="P723">
        <v>4818.6854000000003</v>
      </c>
      <c r="Q723">
        <v>4812.5330800000002</v>
      </c>
    </row>
    <row r="724" spans="1:17" x14ac:dyDescent="0.55000000000000004">
      <c r="A724">
        <v>1774227600</v>
      </c>
      <c r="B724" t="s">
        <v>0</v>
      </c>
      <c r="C724" t="s">
        <v>1</v>
      </c>
      <c r="D724">
        <v>4387.41</v>
      </c>
      <c r="E724">
        <v>4394.5032700000002</v>
      </c>
      <c r="F724">
        <v>4420.9557000000004</v>
      </c>
      <c r="G724">
        <v>4457.6042900000002</v>
      </c>
      <c r="H724">
        <v>4371.0524599999999</v>
      </c>
      <c r="J724">
        <v>1775614200</v>
      </c>
      <c r="K724" t="s">
        <v>0</v>
      </c>
      <c r="L724" t="s">
        <v>2</v>
      </c>
      <c r="M724">
        <v>4813.8599999999997</v>
      </c>
      <c r="N724">
        <v>4815.44416</v>
      </c>
      <c r="O724">
        <v>4814.2065199999997</v>
      </c>
      <c r="P724">
        <v>4819.26595</v>
      </c>
      <c r="Q724">
        <v>4813.3837100000001</v>
      </c>
    </row>
    <row r="725" spans="1:17" x14ac:dyDescent="0.55000000000000004">
      <c r="A725">
        <v>1774231200</v>
      </c>
      <c r="B725" t="s">
        <v>0</v>
      </c>
      <c r="C725" t="s">
        <v>1</v>
      </c>
      <c r="D725">
        <v>4360.82</v>
      </c>
      <c r="E725">
        <v>4363.2754199999999</v>
      </c>
      <c r="F725">
        <v>4392.1155600000002</v>
      </c>
      <c r="G725">
        <v>4424.6724299999996</v>
      </c>
      <c r="H725">
        <v>4340.8449099999998</v>
      </c>
      <c r="J725">
        <v>1775614500</v>
      </c>
      <c r="K725" t="s">
        <v>0</v>
      </c>
      <c r="L725" t="s">
        <v>2</v>
      </c>
      <c r="M725">
        <v>4812.3</v>
      </c>
      <c r="N725">
        <v>4814.9813299999996</v>
      </c>
      <c r="O725">
        <v>4814.5939200000003</v>
      </c>
      <c r="P725">
        <v>4818.8755700000002</v>
      </c>
      <c r="Q725">
        <v>4813.17022</v>
      </c>
    </row>
    <row r="726" spans="1:17" x14ac:dyDescent="0.55000000000000004">
      <c r="A726">
        <v>1774234800</v>
      </c>
      <c r="B726" t="s">
        <v>0</v>
      </c>
      <c r="C726" t="s">
        <v>1</v>
      </c>
      <c r="D726">
        <v>4352.92</v>
      </c>
      <c r="E726">
        <v>4331.5405899999996</v>
      </c>
      <c r="F726">
        <v>4361.8280699999996</v>
      </c>
      <c r="G726">
        <v>4388.4713000000002</v>
      </c>
      <c r="H726">
        <v>4307.8101900000001</v>
      </c>
      <c r="J726">
        <v>1775614800</v>
      </c>
      <c r="K726" t="s">
        <v>0</v>
      </c>
      <c r="L726" t="s">
        <v>2</v>
      </c>
      <c r="M726">
        <v>4809.8</v>
      </c>
      <c r="N726">
        <v>4813.9600300000002</v>
      </c>
      <c r="O726">
        <v>4814.2769799999996</v>
      </c>
      <c r="P726">
        <v>4817.9303399999999</v>
      </c>
      <c r="Q726">
        <v>4812.2145399999999</v>
      </c>
    </row>
    <row r="727" spans="1:17" x14ac:dyDescent="0.55000000000000004">
      <c r="A727">
        <v>1774238400</v>
      </c>
      <c r="B727" t="s">
        <v>0</v>
      </c>
      <c r="C727" t="s">
        <v>1</v>
      </c>
      <c r="D727">
        <v>4367.57</v>
      </c>
      <c r="E727">
        <v>4301.3074699999997</v>
      </c>
      <c r="F727">
        <v>4331.5677699999997</v>
      </c>
      <c r="G727">
        <v>4353.0726299999997</v>
      </c>
      <c r="H727">
        <v>4273.6008700000002</v>
      </c>
      <c r="J727">
        <v>1775615100</v>
      </c>
      <c r="K727" t="s">
        <v>0</v>
      </c>
      <c r="L727" t="s">
        <v>2</v>
      </c>
      <c r="M727">
        <v>4811.55</v>
      </c>
      <c r="N727">
        <v>4812.6883200000002</v>
      </c>
      <c r="O727">
        <v>4813.4826499999999</v>
      </c>
      <c r="P727">
        <v>4816.7054699999999</v>
      </c>
      <c r="Q727">
        <v>4810.8546399999996</v>
      </c>
    </row>
    <row r="728" spans="1:17" x14ac:dyDescent="0.55000000000000004">
      <c r="A728">
        <v>1774242000</v>
      </c>
      <c r="B728" t="s">
        <v>0</v>
      </c>
      <c r="C728" t="s">
        <v>1</v>
      </c>
      <c r="D728">
        <v>4310.09</v>
      </c>
      <c r="E728">
        <v>4274.7961599999999</v>
      </c>
      <c r="F728">
        <v>4303.1819699999996</v>
      </c>
      <c r="G728">
        <v>4322.2657300000001</v>
      </c>
      <c r="H728">
        <v>4240.2951199999998</v>
      </c>
      <c r="J728">
        <v>1775615400</v>
      </c>
      <c r="K728" t="s">
        <v>0</v>
      </c>
      <c r="L728" t="s">
        <v>2</v>
      </c>
      <c r="M728">
        <v>4814.7700000000004</v>
      </c>
      <c r="N728">
        <v>4811.2784000000001</v>
      </c>
      <c r="O728">
        <v>4812.3805199999997</v>
      </c>
      <c r="P728">
        <v>4815.3827600000004</v>
      </c>
      <c r="Q728">
        <v>4809.3818899999997</v>
      </c>
    </row>
    <row r="729" spans="1:17" x14ac:dyDescent="0.55000000000000004">
      <c r="A729">
        <v>1774245600</v>
      </c>
      <c r="B729" t="s">
        <v>0</v>
      </c>
      <c r="C729" t="s">
        <v>1</v>
      </c>
      <c r="D729">
        <v>4220.37</v>
      </c>
      <c r="E729">
        <v>4256.6975499999999</v>
      </c>
      <c r="F729">
        <v>4279.9397600000002</v>
      </c>
      <c r="G729">
        <v>4300.1354099999999</v>
      </c>
      <c r="H729">
        <v>4212.7563</v>
      </c>
      <c r="J729">
        <v>1775615700</v>
      </c>
      <c r="K729" t="s">
        <v>0</v>
      </c>
      <c r="L729" t="s">
        <v>2</v>
      </c>
      <c r="M729">
        <v>4813.82</v>
      </c>
      <c r="N729">
        <v>4809.7232700000004</v>
      </c>
      <c r="O729">
        <v>4811.0519000000004</v>
      </c>
      <c r="P729">
        <v>4813.9366300000002</v>
      </c>
      <c r="Q729">
        <v>4807.8756299999995</v>
      </c>
    </row>
    <row r="730" spans="1:17" x14ac:dyDescent="0.55000000000000004">
      <c r="A730">
        <v>1774249200</v>
      </c>
      <c r="B730" t="s">
        <v>0</v>
      </c>
      <c r="C730" t="s">
        <v>1</v>
      </c>
      <c r="D730">
        <v>4204.12</v>
      </c>
      <c r="E730">
        <v>4252.0173000000004</v>
      </c>
      <c r="F730">
        <v>4265.9785300000003</v>
      </c>
      <c r="G730">
        <v>4291.8450199999997</v>
      </c>
      <c r="H730">
        <v>4198.3893900000003</v>
      </c>
      <c r="J730">
        <v>1775616000</v>
      </c>
      <c r="K730" t="s">
        <v>0</v>
      </c>
      <c r="L730" t="s">
        <v>2</v>
      </c>
      <c r="M730">
        <v>4806.53</v>
      </c>
      <c r="N730">
        <v>4808.0833499999999</v>
      </c>
      <c r="O730">
        <v>4809.5676299999996</v>
      </c>
      <c r="P730">
        <v>4812.22811</v>
      </c>
      <c r="Q730">
        <v>4806.3037999999997</v>
      </c>
    </row>
    <row r="731" spans="1:17" x14ac:dyDescent="0.55000000000000004">
      <c r="A731">
        <v>1774252800</v>
      </c>
      <c r="B731" t="s">
        <v>0</v>
      </c>
      <c r="C731" t="s">
        <v>1</v>
      </c>
      <c r="D731">
        <v>4251.0600000000004</v>
      </c>
      <c r="E731">
        <v>4262.0483999999997</v>
      </c>
      <c r="F731">
        <v>4264.0134600000001</v>
      </c>
      <c r="G731">
        <v>4300.6511300000002</v>
      </c>
      <c r="H731">
        <v>4201.0634</v>
      </c>
      <c r="J731">
        <v>1775616300</v>
      </c>
      <c r="K731" t="s">
        <v>0</v>
      </c>
      <c r="L731" t="s">
        <v>2</v>
      </c>
      <c r="M731">
        <v>4806.28</v>
      </c>
      <c r="N731">
        <v>4806.5458799999997</v>
      </c>
      <c r="O731">
        <v>4808.0567499999997</v>
      </c>
      <c r="P731">
        <v>4810.4120599999997</v>
      </c>
      <c r="Q731">
        <v>4804.7987199999998</v>
      </c>
    </row>
    <row r="732" spans="1:17" x14ac:dyDescent="0.55000000000000004">
      <c r="A732">
        <v>1774256400</v>
      </c>
      <c r="B732" t="s">
        <v>0</v>
      </c>
      <c r="C732" t="s">
        <v>1</v>
      </c>
      <c r="D732">
        <v>4253.47</v>
      </c>
      <c r="E732">
        <v>4284.3401599999997</v>
      </c>
      <c r="F732">
        <v>4274.1768099999999</v>
      </c>
      <c r="G732">
        <v>4324.34843</v>
      </c>
      <c r="H732">
        <v>4217.7487700000001</v>
      </c>
      <c r="J732">
        <v>1775616600</v>
      </c>
      <c r="K732" t="s">
        <v>0</v>
      </c>
      <c r="L732" t="s">
        <v>2</v>
      </c>
      <c r="M732">
        <v>4803.8</v>
      </c>
      <c r="N732">
        <v>4805.10005</v>
      </c>
      <c r="O732">
        <v>4806.5784000000003</v>
      </c>
      <c r="P732">
        <v>4808.6187300000001</v>
      </c>
      <c r="Q732">
        <v>4803.3512899999996</v>
      </c>
    </row>
    <row r="733" spans="1:17" x14ac:dyDescent="0.55000000000000004">
      <c r="A733">
        <v>1774260000</v>
      </c>
      <c r="B733" t="s">
        <v>0</v>
      </c>
      <c r="C733" t="s">
        <v>1</v>
      </c>
      <c r="D733">
        <v>4268.92</v>
      </c>
      <c r="E733">
        <v>4316.0169999999998</v>
      </c>
      <c r="F733">
        <v>4295.0968999999996</v>
      </c>
      <c r="G733">
        <v>4358.4879499999997</v>
      </c>
      <c r="H733">
        <v>4245.7339300000003</v>
      </c>
      <c r="J733">
        <v>1775616900</v>
      </c>
      <c r="K733" t="s">
        <v>0</v>
      </c>
      <c r="L733" t="s">
        <v>2</v>
      </c>
      <c r="M733">
        <v>4804.17</v>
      </c>
      <c r="N733">
        <v>4803.7942599999997</v>
      </c>
      <c r="O733">
        <v>4805.1863300000005</v>
      </c>
      <c r="P733">
        <v>4806.8571300000003</v>
      </c>
      <c r="Q733">
        <v>4801.9556499999999</v>
      </c>
    </row>
    <row r="734" spans="1:17" x14ac:dyDescent="0.55000000000000004">
      <c r="A734">
        <v>1774263600</v>
      </c>
      <c r="B734" t="s">
        <v>0</v>
      </c>
      <c r="C734" t="s">
        <v>1</v>
      </c>
      <c r="D734">
        <v>4378.88</v>
      </c>
      <c r="E734">
        <v>4352.6979099999999</v>
      </c>
      <c r="F734">
        <v>4323.8974099999996</v>
      </c>
      <c r="G734">
        <v>4398.6803099999997</v>
      </c>
      <c r="H734">
        <v>4281.1490599999997</v>
      </c>
      <c r="J734">
        <v>1775617200</v>
      </c>
      <c r="K734" t="s">
        <v>0</v>
      </c>
      <c r="L734" t="s">
        <v>2</v>
      </c>
      <c r="M734">
        <v>4803.83</v>
      </c>
      <c r="N734">
        <v>4802.62392</v>
      </c>
      <c r="O734">
        <v>4803.9051200000004</v>
      </c>
      <c r="P734">
        <v>4805.2979599999999</v>
      </c>
      <c r="Q734">
        <v>4800.7058699999998</v>
      </c>
    </row>
    <row r="735" spans="1:17" x14ac:dyDescent="0.55000000000000004">
      <c r="A735">
        <v>1774267200</v>
      </c>
      <c r="B735" t="s">
        <v>0</v>
      </c>
      <c r="C735" t="s">
        <v>1</v>
      </c>
      <c r="D735">
        <v>4478.58</v>
      </c>
      <c r="E735">
        <v>4386.94985</v>
      </c>
      <c r="F735">
        <v>4355.4236300000002</v>
      </c>
      <c r="G735">
        <v>4434.8867099999998</v>
      </c>
      <c r="H735">
        <v>4319.1057600000004</v>
      </c>
      <c r="J735">
        <v>1775617500</v>
      </c>
      <c r="K735" t="s">
        <v>0</v>
      </c>
      <c r="L735" t="s">
        <v>2</v>
      </c>
      <c r="M735">
        <v>4802.6099999999997</v>
      </c>
      <c r="N735">
        <v>4801.6266100000003</v>
      </c>
      <c r="O735">
        <v>4802.7658700000002</v>
      </c>
      <c r="P735">
        <v>4803.9804199999999</v>
      </c>
      <c r="Q735">
        <v>4799.5220200000003</v>
      </c>
    </row>
    <row r="736" spans="1:17" x14ac:dyDescent="0.55000000000000004">
      <c r="A736">
        <v>1774270800</v>
      </c>
      <c r="B736" t="s">
        <v>0</v>
      </c>
      <c r="C736" t="s">
        <v>1</v>
      </c>
      <c r="D736">
        <v>4454.03</v>
      </c>
      <c r="E736">
        <v>4412.5589399999999</v>
      </c>
      <c r="F736">
        <v>4383.9912800000002</v>
      </c>
      <c r="G736">
        <v>4462.0174900000002</v>
      </c>
      <c r="H736">
        <v>4353.7084999999997</v>
      </c>
      <c r="J736">
        <v>1775617800</v>
      </c>
      <c r="K736" t="s">
        <v>0</v>
      </c>
      <c r="L736" t="s">
        <v>2</v>
      </c>
      <c r="M736">
        <v>4799.1099999999997</v>
      </c>
      <c r="N736">
        <v>4800.8669</v>
      </c>
      <c r="O736">
        <v>4801.8163800000002</v>
      </c>
      <c r="P736">
        <v>4803.0499</v>
      </c>
      <c r="Q736">
        <v>4798.5248600000004</v>
      </c>
    </row>
    <row r="737" spans="1:17" x14ac:dyDescent="0.55000000000000004">
      <c r="A737">
        <v>1774274400</v>
      </c>
      <c r="B737" t="s">
        <v>0</v>
      </c>
      <c r="C737" t="s">
        <v>1</v>
      </c>
      <c r="D737">
        <v>4461.92</v>
      </c>
      <c r="E737">
        <v>4428.5311400000001</v>
      </c>
      <c r="F737">
        <v>4406.2612099999997</v>
      </c>
      <c r="G737">
        <v>4477.9096499999996</v>
      </c>
      <c r="H737">
        <v>4380.0791499999996</v>
      </c>
      <c r="J737">
        <v>1775618100</v>
      </c>
      <c r="K737" t="s">
        <v>0</v>
      </c>
      <c r="L737" t="s">
        <v>2</v>
      </c>
      <c r="M737">
        <v>4798.12</v>
      </c>
      <c r="N737">
        <v>4800.4547000000002</v>
      </c>
      <c r="O737">
        <v>4801.1355400000002</v>
      </c>
      <c r="P737">
        <v>4802.5784899999999</v>
      </c>
      <c r="Q737">
        <v>4797.8382000000001</v>
      </c>
    </row>
    <row r="738" spans="1:17" x14ac:dyDescent="0.55000000000000004">
      <c r="A738">
        <v>1774278000</v>
      </c>
      <c r="B738" t="s">
        <v>0</v>
      </c>
      <c r="C738" t="s">
        <v>1</v>
      </c>
      <c r="D738">
        <v>4364.25</v>
      </c>
      <c r="E738">
        <v>4434.9638500000001</v>
      </c>
      <c r="F738">
        <v>4420.6125300000003</v>
      </c>
      <c r="G738">
        <v>4481.8568699999996</v>
      </c>
      <c r="H738">
        <v>4395.3981599999997</v>
      </c>
      <c r="J738">
        <v>1775618400</v>
      </c>
      <c r="K738" t="s">
        <v>0</v>
      </c>
      <c r="L738" t="s">
        <v>2</v>
      </c>
      <c r="M738">
        <v>4800.5600000000004</v>
      </c>
      <c r="N738">
        <v>4800.35646</v>
      </c>
      <c r="O738">
        <v>4800.7460000000001</v>
      </c>
      <c r="P738">
        <v>4802.6260000000002</v>
      </c>
      <c r="Q738">
        <v>4797.5228299999999</v>
      </c>
    </row>
    <row r="739" spans="1:17" x14ac:dyDescent="0.55000000000000004">
      <c r="A739">
        <v>1774281600</v>
      </c>
      <c r="B739" t="s">
        <v>0</v>
      </c>
      <c r="C739" t="s">
        <v>1</v>
      </c>
      <c r="D739">
        <v>4375.58</v>
      </c>
      <c r="E739">
        <v>4436.1783999999998</v>
      </c>
      <c r="F739">
        <v>4428.3954700000004</v>
      </c>
      <c r="G739">
        <v>4476.3633200000004</v>
      </c>
      <c r="H739">
        <v>4402.9347500000003</v>
      </c>
      <c r="J739">
        <v>1775618700</v>
      </c>
      <c r="K739" t="s">
        <v>0</v>
      </c>
      <c r="L739" t="s">
        <v>2</v>
      </c>
      <c r="M739">
        <v>4803.29</v>
      </c>
      <c r="N739">
        <v>4800.38879</v>
      </c>
      <c r="O739">
        <v>4800.5673900000002</v>
      </c>
      <c r="P739">
        <v>4802.9863100000002</v>
      </c>
      <c r="Q739">
        <v>4797.5093900000002</v>
      </c>
    </row>
    <row r="740" spans="1:17" x14ac:dyDescent="0.55000000000000004">
      <c r="A740">
        <v>1774285200</v>
      </c>
      <c r="B740" t="s">
        <v>0</v>
      </c>
      <c r="C740" t="s">
        <v>1</v>
      </c>
      <c r="D740">
        <v>4426.3</v>
      </c>
      <c r="E740">
        <v>4433.7635099999998</v>
      </c>
      <c r="F740">
        <v>4431.0794900000001</v>
      </c>
      <c r="G740">
        <v>4466.9490900000001</v>
      </c>
      <c r="H740">
        <v>4403.9725799999997</v>
      </c>
      <c r="J740">
        <v>1775619000</v>
      </c>
      <c r="K740" t="s">
        <v>0</v>
      </c>
      <c r="L740" t="s">
        <v>2</v>
      </c>
      <c r="M740">
        <v>4800.37</v>
      </c>
      <c r="N740">
        <v>4800.3683700000001</v>
      </c>
      <c r="O740">
        <v>4800.4678800000002</v>
      </c>
      <c r="P740">
        <v>4803.4107199999999</v>
      </c>
      <c r="Q740">
        <v>4797.6435499999998</v>
      </c>
    </row>
    <row r="741" spans="1:17" x14ac:dyDescent="0.55000000000000004">
      <c r="A741">
        <v>1774288800</v>
      </c>
      <c r="B741" t="s">
        <v>0</v>
      </c>
      <c r="C741" t="s">
        <v>1</v>
      </c>
      <c r="D741">
        <v>4448.9799999999996</v>
      </c>
      <c r="E741">
        <v>4427.7321599999996</v>
      </c>
      <c r="F741">
        <v>4429.4058199999999</v>
      </c>
      <c r="G741">
        <v>4455.34933</v>
      </c>
      <c r="H741">
        <v>4399.5585000000001</v>
      </c>
      <c r="J741">
        <v>1775619300</v>
      </c>
      <c r="K741" t="s">
        <v>0</v>
      </c>
      <c r="L741" t="s">
        <v>2</v>
      </c>
      <c r="M741">
        <v>4797.6499999999996</v>
      </c>
      <c r="N741">
        <v>4800.2489999999998</v>
      </c>
      <c r="O741">
        <v>4800.35844</v>
      </c>
      <c r="P741">
        <v>4803.7358700000004</v>
      </c>
      <c r="Q741">
        <v>4797.8687799999998</v>
      </c>
    </row>
    <row r="742" spans="1:17" x14ac:dyDescent="0.55000000000000004">
      <c r="A742">
        <v>1774292400</v>
      </c>
      <c r="B742" t="s">
        <v>0</v>
      </c>
      <c r="C742" t="s">
        <v>1</v>
      </c>
      <c r="D742">
        <v>4398.63</v>
      </c>
      <c r="E742">
        <v>4418.45057</v>
      </c>
      <c r="F742">
        <v>4423.9282000000003</v>
      </c>
      <c r="G742">
        <v>4442.9673499999999</v>
      </c>
      <c r="H742">
        <v>4390.32708</v>
      </c>
      <c r="J742">
        <v>1775619600</v>
      </c>
      <c r="K742" t="s">
        <v>0</v>
      </c>
      <c r="L742" t="s">
        <v>2</v>
      </c>
      <c r="M742">
        <v>4800.7</v>
      </c>
      <c r="N742">
        <v>4799.9806900000003</v>
      </c>
      <c r="O742">
        <v>4800.16957</v>
      </c>
      <c r="P742">
        <v>4803.83457</v>
      </c>
      <c r="Q742">
        <v>4797.9710400000004</v>
      </c>
    </row>
    <row r="743" spans="1:17" x14ac:dyDescent="0.55000000000000004">
      <c r="A743">
        <v>1774296000</v>
      </c>
      <c r="B743" t="s">
        <v>0</v>
      </c>
      <c r="C743" t="s">
        <v>1</v>
      </c>
      <c r="D743">
        <v>4406.67</v>
      </c>
      <c r="E743">
        <v>4408.0357199999999</v>
      </c>
      <c r="F743">
        <v>4415.9819600000001</v>
      </c>
      <c r="G743">
        <v>4431.3712599999999</v>
      </c>
      <c r="H743">
        <v>4378.0617199999997</v>
      </c>
      <c r="J743">
        <v>1775619900</v>
      </c>
      <c r="K743" t="s">
        <v>0</v>
      </c>
      <c r="L743" t="s">
        <v>2</v>
      </c>
      <c r="M743">
        <v>4799.1099999999997</v>
      </c>
      <c r="N743">
        <v>4799.4230399999997</v>
      </c>
      <c r="O743">
        <v>4799.7963</v>
      </c>
      <c r="P743">
        <v>4803.4909799999996</v>
      </c>
      <c r="Q743">
        <v>4797.7879999999996</v>
      </c>
    </row>
    <row r="744" spans="1:17" x14ac:dyDescent="0.55000000000000004">
      <c r="A744">
        <v>1774303200</v>
      </c>
      <c r="B744" t="s">
        <v>0</v>
      </c>
      <c r="C744" t="s">
        <v>1</v>
      </c>
      <c r="D744">
        <v>4426.8</v>
      </c>
      <c r="E744">
        <v>4396.7385899999999</v>
      </c>
      <c r="F744">
        <v>4406.3602700000001</v>
      </c>
      <c r="G744">
        <v>4421.7324399999998</v>
      </c>
      <c r="H744">
        <v>4364.5660200000002</v>
      </c>
      <c r="J744">
        <v>1775620200</v>
      </c>
      <c r="K744" t="s">
        <v>0</v>
      </c>
      <c r="L744" t="s">
        <v>2</v>
      </c>
      <c r="M744">
        <v>4800.5600000000004</v>
      </c>
      <c r="N744">
        <v>4798.64959</v>
      </c>
      <c r="O744">
        <v>4799.2229500000003</v>
      </c>
      <c r="P744">
        <v>4802.7616900000003</v>
      </c>
      <c r="Q744">
        <v>4797.2380599999997</v>
      </c>
    </row>
    <row r="745" spans="1:17" x14ac:dyDescent="0.55000000000000004">
      <c r="A745">
        <v>1774306800</v>
      </c>
      <c r="B745" t="s">
        <v>0</v>
      </c>
      <c r="C745" t="s">
        <v>1</v>
      </c>
      <c r="D745">
        <v>4441.22</v>
      </c>
      <c r="E745">
        <v>4384.4051600000003</v>
      </c>
      <c r="F745">
        <v>4395.3827099999999</v>
      </c>
      <c r="G745">
        <v>4413.1110200000003</v>
      </c>
      <c r="H745">
        <v>4351.7735700000003</v>
      </c>
      <c r="J745">
        <v>1775620500</v>
      </c>
      <c r="K745" t="s">
        <v>0</v>
      </c>
      <c r="L745" t="s">
        <v>2</v>
      </c>
      <c r="M745">
        <v>4797.83</v>
      </c>
      <c r="N745">
        <v>4797.7255699999996</v>
      </c>
      <c r="O745">
        <v>4798.47426</v>
      </c>
      <c r="P745">
        <v>4801.6730799999996</v>
      </c>
      <c r="Q745">
        <v>4796.3601900000003</v>
      </c>
    </row>
    <row r="746" spans="1:17" x14ac:dyDescent="0.55000000000000004">
      <c r="A746">
        <v>1774310400</v>
      </c>
      <c r="B746" t="s">
        <v>0</v>
      </c>
      <c r="C746" t="s">
        <v>1</v>
      </c>
      <c r="D746">
        <v>4364.5600000000004</v>
      </c>
      <c r="E746">
        <v>4371.3487800000003</v>
      </c>
      <c r="F746">
        <v>4383.3657499999999</v>
      </c>
      <c r="G746">
        <v>4404.4244099999996</v>
      </c>
      <c r="H746">
        <v>4339.0378199999996</v>
      </c>
      <c r="J746">
        <v>1775620800</v>
      </c>
      <c r="K746" t="s">
        <v>0</v>
      </c>
      <c r="L746" t="s">
        <v>2</v>
      </c>
      <c r="M746">
        <v>4797.88</v>
      </c>
      <c r="N746">
        <v>4796.8847800000003</v>
      </c>
      <c r="O746">
        <v>4797.6795199999997</v>
      </c>
      <c r="P746">
        <v>4800.4951899999996</v>
      </c>
      <c r="Q746">
        <v>4795.3432700000003</v>
      </c>
    </row>
    <row r="747" spans="1:17" x14ac:dyDescent="0.55000000000000004">
      <c r="A747">
        <v>1774314000</v>
      </c>
      <c r="B747" t="s">
        <v>0</v>
      </c>
      <c r="C747" t="s">
        <v>1</v>
      </c>
      <c r="D747">
        <v>4322.07</v>
      </c>
      <c r="E747">
        <v>4360.8372200000003</v>
      </c>
      <c r="F747">
        <v>4372.10149</v>
      </c>
      <c r="G747">
        <v>4395.3404</v>
      </c>
      <c r="H747">
        <v>4329.8244400000003</v>
      </c>
      <c r="J747">
        <v>1775621100</v>
      </c>
      <c r="K747" t="s">
        <v>0</v>
      </c>
      <c r="L747" t="s">
        <v>2</v>
      </c>
      <c r="M747">
        <v>4794.71</v>
      </c>
      <c r="N747">
        <v>4796.2961100000002</v>
      </c>
      <c r="O747">
        <v>4796.9878200000003</v>
      </c>
      <c r="P747">
        <v>4799.5060899999999</v>
      </c>
      <c r="Q747">
        <v>4794.3731200000002</v>
      </c>
    </row>
    <row r="748" spans="1:17" x14ac:dyDescent="0.55000000000000004">
      <c r="A748">
        <v>1774317600</v>
      </c>
      <c r="B748" t="s">
        <v>0</v>
      </c>
      <c r="C748" t="s">
        <v>1</v>
      </c>
      <c r="D748">
        <v>4366.1499999999996</v>
      </c>
      <c r="E748">
        <v>4355.2309100000002</v>
      </c>
      <c r="F748">
        <v>4363.6661999999997</v>
      </c>
      <c r="G748">
        <v>4388.0852400000003</v>
      </c>
      <c r="H748">
        <v>4325.5849099999996</v>
      </c>
      <c r="J748">
        <v>1775621400</v>
      </c>
      <c r="K748" t="s">
        <v>0</v>
      </c>
      <c r="L748" t="s">
        <v>2</v>
      </c>
      <c r="M748">
        <v>4797.6899999999996</v>
      </c>
      <c r="N748">
        <v>4796.1778899999999</v>
      </c>
      <c r="O748">
        <v>4796.5828499999998</v>
      </c>
      <c r="P748">
        <v>4798.9882900000002</v>
      </c>
      <c r="Q748">
        <v>4793.73236</v>
      </c>
    </row>
    <row r="749" spans="1:17" x14ac:dyDescent="0.55000000000000004">
      <c r="A749">
        <v>1774321200</v>
      </c>
      <c r="B749" t="s">
        <v>0</v>
      </c>
      <c r="C749" t="s">
        <v>1</v>
      </c>
      <c r="D749">
        <v>4347.3999999999996</v>
      </c>
      <c r="E749">
        <v>4354.2508099999995</v>
      </c>
      <c r="F749">
        <v>4358.9585100000004</v>
      </c>
      <c r="G749">
        <v>4383.4337599999999</v>
      </c>
      <c r="H749">
        <v>4326.8115399999997</v>
      </c>
      <c r="J749">
        <v>1775621700</v>
      </c>
      <c r="K749" t="s">
        <v>0</v>
      </c>
      <c r="L749" t="s">
        <v>2</v>
      </c>
      <c r="M749">
        <v>4794.96</v>
      </c>
      <c r="N749">
        <v>4796.5104099999999</v>
      </c>
      <c r="O749">
        <v>4796.5466299999998</v>
      </c>
      <c r="P749">
        <v>4799.1114500000003</v>
      </c>
      <c r="Q749">
        <v>4793.5667199999998</v>
      </c>
    </row>
    <row r="750" spans="1:17" x14ac:dyDescent="0.55000000000000004">
      <c r="A750">
        <v>1774324800</v>
      </c>
      <c r="B750" t="s">
        <v>0</v>
      </c>
      <c r="C750" t="s">
        <v>1</v>
      </c>
      <c r="D750">
        <v>4333.5</v>
      </c>
      <c r="E750">
        <v>4358.7212099999997</v>
      </c>
      <c r="F750">
        <v>4358.83986</v>
      </c>
      <c r="G750">
        <v>4382.7905000000001</v>
      </c>
      <c r="H750">
        <v>4332.4188899999999</v>
      </c>
      <c r="J750">
        <v>1775622000</v>
      </c>
      <c r="K750" t="s">
        <v>0</v>
      </c>
      <c r="L750" t="s">
        <v>2</v>
      </c>
      <c r="M750">
        <v>4791.2700000000004</v>
      </c>
      <c r="N750">
        <v>4797.33248</v>
      </c>
      <c r="O750">
        <v>4796.9395500000001</v>
      </c>
      <c r="P750">
        <v>4799.88141</v>
      </c>
      <c r="Q750">
        <v>4794.0034400000004</v>
      </c>
    </row>
    <row r="751" spans="1:17" x14ac:dyDescent="0.55000000000000004">
      <c r="A751">
        <v>1774328400</v>
      </c>
      <c r="B751" t="s">
        <v>0</v>
      </c>
      <c r="C751" t="s">
        <v>1</v>
      </c>
      <c r="D751">
        <v>4347.21</v>
      </c>
      <c r="E751">
        <v>4368.62763</v>
      </c>
      <c r="F751">
        <v>4363.7337500000003</v>
      </c>
      <c r="G751">
        <v>4387.0734000000002</v>
      </c>
      <c r="H751">
        <v>4341.9703399999999</v>
      </c>
      <c r="J751">
        <v>1775622300</v>
      </c>
      <c r="K751" t="s">
        <v>0</v>
      </c>
      <c r="L751" t="s">
        <v>2</v>
      </c>
      <c r="M751">
        <v>4802.54</v>
      </c>
      <c r="N751">
        <v>4798.63375</v>
      </c>
      <c r="O751">
        <v>4797.78665</v>
      </c>
      <c r="P751">
        <v>4801.2449500000002</v>
      </c>
      <c r="Q751">
        <v>4795.0368799999997</v>
      </c>
    </row>
    <row r="752" spans="1:17" x14ac:dyDescent="0.55000000000000004">
      <c r="A752">
        <v>1774332000</v>
      </c>
      <c r="B752" t="s">
        <v>0</v>
      </c>
      <c r="C752" t="s">
        <v>1</v>
      </c>
      <c r="D752">
        <v>4402.2299999999996</v>
      </c>
      <c r="E752">
        <v>4382.4168300000001</v>
      </c>
      <c r="F752">
        <v>4373.0752899999998</v>
      </c>
      <c r="G752">
        <v>4395.7354400000004</v>
      </c>
      <c r="H752">
        <v>4354.6712799999996</v>
      </c>
      <c r="J752">
        <v>1775622600</v>
      </c>
      <c r="K752" t="s">
        <v>0</v>
      </c>
      <c r="L752" t="s">
        <v>2</v>
      </c>
      <c r="M752">
        <v>4801.37</v>
      </c>
      <c r="N752">
        <v>4799.9516899999999</v>
      </c>
      <c r="O752">
        <v>4798.8691699999999</v>
      </c>
      <c r="P752">
        <v>4802.7599399999999</v>
      </c>
      <c r="Q752">
        <v>4796.4968799999997</v>
      </c>
    </row>
    <row r="753" spans="1:17" x14ac:dyDescent="0.55000000000000004">
      <c r="A753">
        <v>1774335600</v>
      </c>
      <c r="B753" t="s">
        <v>0</v>
      </c>
      <c r="C753" t="s">
        <v>1</v>
      </c>
      <c r="D753">
        <v>4417.8900000000003</v>
      </c>
      <c r="E753">
        <v>4396.7494900000002</v>
      </c>
      <c r="F753">
        <v>4384.9123900000004</v>
      </c>
      <c r="G753">
        <v>4407.0821500000002</v>
      </c>
      <c r="H753">
        <v>4368.4512000000004</v>
      </c>
      <c r="J753">
        <v>1775622900</v>
      </c>
      <c r="K753" t="s">
        <v>0</v>
      </c>
      <c r="L753" t="s">
        <v>2</v>
      </c>
      <c r="M753">
        <v>4804.46</v>
      </c>
      <c r="N753">
        <v>4801.1401400000004</v>
      </c>
      <c r="O753">
        <v>4800.0046499999999</v>
      </c>
      <c r="P753">
        <v>4804.1235999999999</v>
      </c>
      <c r="Q753">
        <v>4797.9263099999998</v>
      </c>
    </row>
    <row r="754" spans="1:17" x14ac:dyDescent="0.55000000000000004">
      <c r="A754">
        <v>1774339200</v>
      </c>
      <c r="B754" t="s">
        <v>0</v>
      </c>
      <c r="C754" t="s">
        <v>1</v>
      </c>
      <c r="D754">
        <v>4412.0600000000004</v>
      </c>
      <c r="E754">
        <v>4409.31106</v>
      </c>
      <c r="F754">
        <v>4397.1117199999999</v>
      </c>
      <c r="G754">
        <v>4418.8566499999997</v>
      </c>
      <c r="H754">
        <v>4380.3850400000001</v>
      </c>
      <c r="J754">
        <v>1775623200</v>
      </c>
      <c r="K754" t="s">
        <v>0</v>
      </c>
      <c r="L754" t="s">
        <v>2</v>
      </c>
      <c r="M754">
        <v>4803.01</v>
      </c>
      <c r="N754">
        <v>4802.0152699999999</v>
      </c>
      <c r="O754">
        <v>4801.0099600000003</v>
      </c>
      <c r="P754">
        <v>4805.1241300000002</v>
      </c>
      <c r="Q754">
        <v>4799.1356100000003</v>
      </c>
    </row>
    <row r="755" spans="1:17" x14ac:dyDescent="0.55000000000000004">
      <c r="A755">
        <v>1774342800</v>
      </c>
      <c r="B755" t="s">
        <v>0</v>
      </c>
      <c r="C755" t="s">
        <v>1</v>
      </c>
      <c r="D755">
        <v>4426.37</v>
      </c>
      <c r="E755">
        <v>4418.3745799999997</v>
      </c>
      <c r="F755">
        <v>4407.7431500000002</v>
      </c>
      <c r="G755">
        <v>4429.3692600000004</v>
      </c>
      <c r="H755">
        <v>4389.2580099999996</v>
      </c>
      <c r="J755">
        <v>1775623500</v>
      </c>
      <c r="K755" t="s">
        <v>0</v>
      </c>
      <c r="L755" t="s">
        <v>2</v>
      </c>
      <c r="M755">
        <v>4798.9799999999996</v>
      </c>
      <c r="N755">
        <v>4802.6245900000004</v>
      </c>
      <c r="O755">
        <v>4801.8172800000002</v>
      </c>
      <c r="P755">
        <v>4805.6485700000003</v>
      </c>
      <c r="Q755">
        <v>4799.9932600000002</v>
      </c>
    </row>
    <row r="756" spans="1:17" x14ac:dyDescent="0.55000000000000004">
      <c r="A756">
        <v>1774346400</v>
      </c>
      <c r="B756" t="s">
        <v>0</v>
      </c>
      <c r="C756" t="s">
        <v>1</v>
      </c>
      <c r="D756">
        <v>4438.66</v>
      </c>
      <c r="E756">
        <v>4422.2283500000003</v>
      </c>
      <c r="F756">
        <v>4414.9857499999998</v>
      </c>
      <c r="G756">
        <v>4436.4663399999999</v>
      </c>
      <c r="H756">
        <v>4393.7774900000004</v>
      </c>
      <c r="J756">
        <v>1775623800</v>
      </c>
      <c r="K756" t="s">
        <v>0</v>
      </c>
      <c r="L756" t="s">
        <v>2</v>
      </c>
      <c r="M756">
        <v>4800.3599999999997</v>
      </c>
      <c r="N756">
        <v>4803.1890800000001</v>
      </c>
      <c r="O756">
        <v>4802.5031799999997</v>
      </c>
      <c r="P756">
        <v>4805.84429</v>
      </c>
      <c r="Q756">
        <v>4800.6378699999996</v>
      </c>
    </row>
    <row r="757" spans="1:17" x14ac:dyDescent="0.55000000000000004">
      <c r="A757">
        <v>1774350000</v>
      </c>
      <c r="B757" t="s">
        <v>0</v>
      </c>
      <c r="C757" t="s">
        <v>1</v>
      </c>
      <c r="D757">
        <v>4408.2</v>
      </c>
      <c r="E757">
        <v>4419.9839700000002</v>
      </c>
      <c r="F757">
        <v>4417.4848599999996</v>
      </c>
      <c r="G757">
        <v>4438.5646200000001</v>
      </c>
      <c r="H757">
        <v>4393.0029999999997</v>
      </c>
      <c r="J757">
        <v>1775624100</v>
      </c>
      <c r="K757" t="s">
        <v>0</v>
      </c>
      <c r="L757" t="s">
        <v>2</v>
      </c>
      <c r="M757">
        <v>4804.01</v>
      </c>
      <c r="N757">
        <v>4803.8664699999999</v>
      </c>
      <c r="O757">
        <v>4803.1848200000004</v>
      </c>
      <c r="P757">
        <v>4805.9688999999998</v>
      </c>
      <c r="Q757">
        <v>4801.2099699999999</v>
      </c>
    </row>
    <row r="758" spans="1:17" x14ac:dyDescent="0.55000000000000004">
      <c r="A758">
        <v>1774353600</v>
      </c>
      <c r="B758" t="s">
        <v>0</v>
      </c>
      <c r="C758" t="s">
        <v>1</v>
      </c>
      <c r="D758">
        <v>4378.9399999999996</v>
      </c>
      <c r="E758">
        <v>4413.04036</v>
      </c>
      <c r="F758">
        <v>4415.2626099999998</v>
      </c>
      <c r="G758">
        <v>4435.3217699999996</v>
      </c>
      <c r="H758">
        <v>4388.45748</v>
      </c>
      <c r="J758">
        <v>1775624400</v>
      </c>
      <c r="K758" t="s">
        <v>0</v>
      </c>
      <c r="L758" t="s">
        <v>2</v>
      </c>
      <c r="M758">
        <v>4806.03</v>
      </c>
      <c r="N758">
        <v>4804.78899</v>
      </c>
      <c r="O758">
        <v>4803.9869099999996</v>
      </c>
      <c r="P758">
        <v>4806.2830100000001</v>
      </c>
      <c r="Q758">
        <v>4801.8994400000001</v>
      </c>
    </row>
    <row r="759" spans="1:17" x14ac:dyDescent="0.55000000000000004">
      <c r="A759">
        <v>1774357200</v>
      </c>
      <c r="B759" t="s">
        <v>0</v>
      </c>
      <c r="C759" t="s">
        <v>1</v>
      </c>
      <c r="D759">
        <v>4381.79</v>
      </c>
      <c r="E759">
        <v>4404.0181499999999</v>
      </c>
      <c r="F759">
        <v>4409.6403799999998</v>
      </c>
      <c r="G759">
        <v>4428.1640100000004</v>
      </c>
      <c r="H759">
        <v>4381.9284900000002</v>
      </c>
      <c r="J759">
        <v>1775624700</v>
      </c>
      <c r="K759" t="s">
        <v>0</v>
      </c>
      <c r="L759" t="s">
        <v>2</v>
      </c>
      <c r="M759">
        <v>4808.38</v>
      </c>
      <c r="N759">
        <v>4806.1404400000001</v>
      </c>
      <c r="O759">
        <v>4805.0636699999995</v>
      </c>
      <c r="P759">
        <v>4807.0510299999996</v>
      </c>
      <c r="Q759">
        <v>4802.9194900000002</v>
      </c>
    </row>
    <row r="760" spans="1:17" x14ac:dyDescent="0.55000000000000004">
      <c r="A760">
        <v>1774360800</v>
      </c>
      <c r="B760" t="s">
        <v>0</v>
      </c>
      <c r="C760" t="s">
        <v>1</v>
      </c>
      <c r="D760">
        <v>4415.63</v>
      </c>
      <c r="E760">
        <v>4395.49719</v>
      </c>
      <c r="F760">
        <v>4402.5687900000003</v>
      </c>
      <c r="G760">
        <v>4420.3231400000004</v>
      </c>
      <c r="H760">
        <v>4375.6787800000002</v>
      </c>
      <c r="J760">
        <v>1775625000</v>
      </c>
      <c r="K760" t="s">
        <v>0</v>
      </c>
      <c r="L760" t="s">
        <v>2</v>
      </c>
      <c r="M760">
        <v>4809.58</v>
      </c>
      <c r="N760">
        <v>4808.0367699999997</v>
      </c>
      <c r="O760">
        <v>4806.5502200000001</v>
      </c>
      <c r="P760">
        <v>4808.4831700000004</v>
      </c>
      <c r="Q760">
        <v>4804.3602600000004</v>
      </c>
    </row>
    <row r="761" spans="1:17" x14ac:dyDescent="0.55000000000000004">
      <c r="A761">
        <v>1774364400</v>
      </c>
      <c r="B761" t="s">
        <v>0</v>
      </c>
      <c r="C761" t="s">
        <v>1</v>
      </c>
      <c r="D761">
        <v>4411.67</v>
      </c>
      <c r="E761">
        <v>4389.2985099999996</v>
      </c>
      <c r="F761">
        <v>4395.9336499999999</v>
      </c>
      <c r="G761">
        <v>4413.6449300000004</v>
      </c>
      <c r="H761">
        <v>4370.9623700000002</v>
      </c>
      <c r="J761">
        <v>1775625300</v>
      </c>
      <c r="K761" t="s">
        <v>0</v>
      </c>
      <c r="L761" t="s">
        <v>2</v>
      </c>
      <c r="M761">
        <v>4809.79</v>
      </c>
      <c r="N761">
        <v>4810.5339599999998</v>
      </c>
      <c r="O761">
        <v>4808.5420899999999</v>
      </c>
      <c r="P761">
        <v>4810.7796900000003</v>
      </c>
      <c r="Q761">
        <v>4806.36085</v>
      </c>
    </row>
    <row r="762" spans="1:17" x14ac:dyDescent="0.55000000000000004">
      <c r="A762">
        <v>1774368000</v>
      </c>
      <c r="B762" t="s">
        <v>0</v>
      </c>
      <c r="C762" t="s">
        <v>1</v>
      </c>
      <c r="D762">
        <v>4421.3999999999996</v>
      </c>
      <c r="E762">
        <v>4388.2383200000004</v>
      </c>
      <c r="F762">
        <v>4392.0859899999996</v>
      </c>
      <c r="G762">
        <v>4411.16741</v>
      </c>
      <c r="H762">
        <v>4369.2987999999996</v>
      </c>
      <c r="J762">
        <v>1775625600</v>
      </c>
      <c r="K762" t="s">
        <v>0</v>
      </c>
      <c r="L762" t="s">
        <v>2</v>
      </c>
      <c r="M762">
        <v>4811.3</v>
      </c>
      <c r="N762">
        <v>4813.5767299999998</v>
      </c>
      <c r="O762">
        <v>4811.0594099999998</v>
      </c>
      <c r="P762">
        <v>4813.9819699999998</v>
      </c>
      <c r="Q762">
        <v>4808.9193699999996</v>
      </c>
    </row>
    <row r="763" spans="1:17" x14ac:dyDescent="0.55000000000000004">
      <c r="A763">
        <v>1774371600</v>
      </c>
      <c r="B763" t="s">
        <v>0</v>
      </c>
      <c r="C763" t="s">
        <v>1</v>
      </c>
      <c r="D763">
        <v>4388.6400000000003</v>
      </c>
      <c r="E763">
        <v>4394.3386</v>
      </c>
      <c r="F763">
        <v>4393.2122900000004</v>
      </c>
      <c r="G763">
        <v>4415.4555499999997</v>
      </c>
      <c r="H763">
        <v>4372.5471299999999</v>
      </c>
      <c r="J763">
        <v>1775625900</v>
      </c>
      <c r="K763" t="s">
        <v>0</v>
      </c>
      <c r="L763" t="s">
        <v>2</v>
      </c>
      <c r="M763">
        <v>4815.91</v>
      </c>
      <c r="N763">
        <v>4816.9647500000001</v>
      </c>
      <c r="O763">
        <v>4814.0120800000004</v>
      </c>
      <c r="P763">
        <v>4817.8777700000001</v>
      </c>
      <c r="Q763">
        <v>4811.8928800000003</v>
      </c>
    </row>
    <row r="764" spans="1:17" x14ac:dyDescent="0.55000000000000004">
      <c r="A764">
        <v>1774375200</v>
      </c>
      <c r="B764" t="s">
        <v>0</v>
      </c>
      <c r="C764" t="s">
        <v>1</v>
      </c>
      <c r="D764">
        <v>4389.6899999999996</v>
      </c>
      <c r="E764">
        <v>4409.8675199999998</v>
      </c>
      <c r="F764">
        <v>4401.5399100000004</v>
      </c>
      <c r="G764">
        <v>4428.0988200000002</v>
      </c>
      <c r="H764">
        <v>4383.1393399999997</v>
      </c>
      <c r="J764">
        <v>1775626200</v>
      </c>
      <c r="K764" t="s">
        <v>0</v>
      </c>
      <c r="L764" t="s">
        <v>2</v>
      </c>
      <c r="M764">
        <v>4822.24</v>
      </c>
      <c r="N764">
        <v>4820.3513800000001</v>
      </c>
      <c r="O764">
        <v>4817.1817300000002</v>
      </c>
      <c r="P764">
        <v>4822.0753000000004</v>
      </c>
      <c r="Q764">
        <v>4815.0339700000004</v>
      </c>
    </row>
    <row r="765" spans="1:17" x14ac:dyDescent="0.55000000000000004">
      <c r="A765">
        <v>1774378800</v>
      </c>
      <c r="B765" t="s">
        <v>0</v>
      </c>
      <c r="C765" t="s">
        <v>1</v>
      </c>
      <c r="D765">
        <v>4400.2299999999996</v>
      </c>
      <c r="E765">
        <v>4434.4695499999998</v>
      </c>
      <c r="F765">
        <v>4418.0047299999997</v>
      </c>
      <c r="G765">
        <v>4449.0143699999999</v>
      </c>
      <c r="H765">
        <v>4401.4926100000002</v>
      </c>
      <c r="J765">
        <v>1775626500</v>
      </c>
      <c r="K765" t="s">
        <v>0</v>
      </c>
      <c r="L765" t="s">
        <v>2</v>
      </c>
      <c r="M765">
        <v>4820.1499999999996</v>
      </c>
      <c r="N765">
        <v>4823.3327399999998</v>
      </c>
      <c r="O765">
        <v>4820.2572399999999</v>
      </c>
      <c r="P765">
        <v>4826.0529200000001</v>
      </c>
      <c r="Q765">
        <v>4818.0300100000004</v>
      </c>
    </row>
    <row r="766" spans="1:17" x14ac:dyDescent="0.55000000000000004">
      <c r="A766">
        <v>1774382400</v>
      </c>
      <c r="B766" t="s">
        <v>0</v>
      </c>
      <c r="C766" t="s">
        <v>1</v>
      </c>
      <c r="D766">
        <v>4474.24</v>
      </c>
      <c r="E766">
        <v>4465.8156900000004</v>
      </c>
      <c r="F766">
        <v>4441.91021</v>
      </c>
      <c r="G766">
        <v>4477.0936700000002</v>
      </c>
      <c r="H766">
        <v>4426.9143700000004</v>
      </c>
      <c r="J766">
        <v>1775626800</v>
      </c>
      <c r="K766" t="s">
        <v>0</v>
      </c>
      <c r="L766" t="s">
        <v>2</v>
      </c>
      <c r="M766">
        <v>4822.54</v>
      </c>
      <c r="N766">
        <v>4825.7961400000004</v>
      </c>
      <c r="O766">
        <v>4823.0266899999997</v>
      </c>
      <c r="P766">
        <v>4829.4880199999998</v>
      </c>
      <c r="Q766">
        <v>4820.5961600000001</v>
      </c>
    </row>
    <row r="767" spans="1:17" x14ac:dyDescent="0.55000000000000004">
      <c r="A767">
        <v>1774389600</v>
      </c>
      <c r="B767" t="s">
        <v>0</v>
      </c>
      <c r="C767" t="s">
        <v>1</v>
      </c>
      <c r="D767">
        <v>4484.7700000000004</v>
      </c>
      <c r="E767">
        <v>4498.9444999999996</v>
      </c>
      <c r="F767">
        <v>4470.4273599999997</v>
      </c>
      <c r="G767">
        <v>4507.8795399999999</v>
      </c>
      <c r="H767">
        <v>4457.4642199999998</v>
      </c>
      <c r="J767">
        <v>1775627100</v>
      </c>
      <c r="K767" t="s">
        <v>0</v>
      </c>
      <c r="L767" t="s">
        <v>2</v>
      </c>
      <c r="M767">
        <v>4831.41</v>
      </c>
      <c r="N767">
        <v>4827.6361399999996</v>
      </c>
      <c r="O767">
        <v>4825.3314099999998</v>
      </c>
      <c r="P767">
        <v>4832.1133200000004</v>
      </c>
      <c r="Q767">
        <v>4822.5627100000002</v>
      </c>
    </row>
    <row r="768" spans="1:17" x14ac:dyDescent="0.55000000000000004">
      <c r="A768">
        <v>1774393200</v>
      </c>
      <c r="B768" t="s">
        <v>0</v>
      </c>
      <c r="C768" t="s">
        <v>1</v>
      </c>
      <c r="D768">
        <v>4546.83</v>
      </c>
      <c r="E768">
        <v>4530.4797500000004</v>
      </c>
      <c r="F768">
        <v>4500.4535500000002</v>
      </c>
      <c r="G768">
        <v>4538.1874399999997</v>
      </c>
      <c r="H768">
        <v>4489.1851399999996</v>
      </c>
      <c r="J768">
        <v>1775627400</v>
      </c>
      <c r="K768" t="s">
        <v>0</v>
      </c>
      <c r="L768" t="s">
        <v>2</v>
      </c>
      <c r="M768">
        <v>4836.4799999999996</v>
      </c>
      <c r="N768">
        <v>4828.7056400000001</v>
      </c>
      <c r="O768">
        <v>4827.0185300000003</v>
      </c>
      <c r="P768">
        <v>4833.7185799999997</v>
      </c>
      <c r="Q768">
        <v>4823.9353499999997</v>
      </c>
    </row>
    <row r="769" spans="1:17" x14ac:dyDescent="0.55000000000000004">
      <c r="A769">
        <v>1774396800</v>
      </c>
      <c r="B769" t="s">
        <v>0</v>
      </c>
      <c r="C769" t="s">
        <v>1</v>
      </c>
      <c r="D769">
        <v>4563.55</v>
      </c>
      <c r="E769">
        <v>4555.9837600000001</v>
      </c>
      <c r="F769">
        <v>4528.2186499999998</v>
      </c>
      <c r="G769">
        <v>4563.5552600000001</v>
      </c>
      <c r="H769">
        <v>4519.0571399999999</v>
      </c>
      <c r="J769">
        <v>1775627700</v>
      </c>
      <c r="K769" t="s">
        <v>0</v>
      </c>
      <c r="L769" t="s">
        <v>2</v>
      </c>
      <c r="M769">
        <v>4827.79</v>
      </c>
      <c r="N769">
        <v>4829.1012899999996</v>
      </c>
      <c r="O769">
        <v>4828.0599099999999</v>
      </c>
      <c r="P769">
        <v>4834.1528600000001</v>
      </c>
      <c r="Q769">
        <v>4824.6415999999999</v>
      </c>
    </row>
    <row r="770" spans="1:17" x14ac:dyDescent="0.55000000000000004">
      <c r="A770">
        <v>1774400400</v>
      </c>
      <c r="B770" t="s">
        <v>0</v>
      </c>
      <c r="C770" t="s">
        <v>1</v>
      </c>
      <c r="D770">
        <v>4595.24</v>
      </c>
      <c r="E770">
        <v>4573.0931899999996</v>
      </c>
      <c r="F770">
        <v>4550.6559200000002</v>
      </c>
      <c r="G770">
        <v>4581.5135499999997</v>
      </c>
      <c r="H770">
        <v>4542.7800100000004</v>
      </c>
      <c r="J770">
        <v>1775628000</v>
      </c>
      <c r="K770" t="s">
        <v>0</v>
      </c>
      <c r="L770" t="s">
        <v>2</v>
      </c>
      <c r="M770">
        <v>4830.68</v>
      </c>
      <c r="N770">
        <v>4829.33968</v>
      </c>
      <c r="O770">
        <v>4828.6998000000003</v>
      </c>
      <c r="P770">
        <v>4833.9431100000002</v>
      </c>
      <c r="Q770">
        <v>4825.0868200000004</v>
      </c>
    </row>
    <row r="771" spans="1:17" x14ac:dyDescent="0.55000000000000004">
      <c r="A771">
        <v>1774404000</v>
      </c>
      <c r="B771" t="s">
        <v>0</v>
      </c>
      <c r="C771" t="s">
        <v>1</v>
      </c>
      <c r="D771">
        <v>4583.92</v>
      </c>
      <c r="E771">
        <v>4580.47739</v>
      </c>
      <c r="F771">
        <v>4565.5666499999998</v>
      </c>
      <c r="G771">
        <v>4590.4924499999997</v>
      </c>
      <c r="H771">
        <v>4558.4079499999998</v>
      </c>
      <c r="J771">
        <v>1775628300</v>
      </c>
      <c r="K771" t="s">
        <v>0</v>
      </c>
      <c r="L771" t="s">
        <v>2</v>
      </c>
      <c r="M771">
        <v>4824.4799999999996</v>
      </c>
      <c r="N771">
        <v>4829.6446599999999</v>
      </c>
      <c r="O771">
        <v>4829.1722300000001</v>
      </c>
      <c r="P771">
        <v>4833.5598399999999</v>
      </c>
      <c r="Q771">
        <v>4825.5028599999996</v>
      </c>
    </row>
    <row r="772" spans="1:17" x14ac:dyDescent="0.55000000000000004">
      <c r="A772">
        <v>1774407600</v>
      </c>
      <c r="B772" t="s">
        <v>0</v>
      </c>
      <c r="C772" t="s">
        <v>1</v>
      </c>
      <c r="D772">
        <v>4570.0200000000004</v>
      </c>
      <c r="E772">
        <v>4579.6090700000004</v>
      </c>
      <c r="F772">
        <v>4572.5878599999996</v>
      </c>
      <c r="G772">
        <v>4591.1696099999999</v>
      </c>
      <c r="H772">
        <v>4564.9979300000005</v>
      </c>
      <c r="J772">
        <v>1775628600</v>
      </c>
      <c r="K772" t="s">
        <v>0</v>
      </c>
      <c r="L772" t="s">
        <v>2</v>
      </c>
      <c r="M772">
        <v>4826.4399999999996</v>
      </c>
      <c r="N772">
        <v>4830.3548799999999</v>
      </c>
      <c r="O772">
        <v>4829.7635499999997</v>
      </c>
      <c r="P772">
        <v>4833.4672</v>
      </c>
      <c r="Q772">
        <v>4826.2445500000003</v>
      </c>
    </row>
    <row r="773" spans="1:17" x14ac:dyDescent="0.55000000000000004">
      <c r="A773">
        <v>1774411200</v>
      </c>
      <c r="B773" t="s">
        <v>0</v>
      </c>
      <c r="C773" t="s">
        <v>1</v>
      </c>
      <c r="D773">
        <v>4572.7</v>
      </c>
      <c r="E773">
        <v>4573.27016</v>
      </c>
      <c r="F773">
        <v>4572.9290099999998</v>
      </c>
      <c r="G773">
        <v>4585.93012</v>
      </c>
      <c r="H773">
        <v>4564.11499</v>
      </c>
      <c r="J773">
        <v>1775628900</v>
      </c>
      <c r="K773" t="s">
        <v>0</v>
      </c>
      <c r="L773" t="s">
        <v>2</v>
      </c>
      <c r="M773">
        <v>4830.6899999999996</v>
      </c>
      <c r="N773">
        <v>4831.4295099999999</v>
      </c>
      <c r="O773">
        <v>4830.5965299999998</v>
      </c>
      <c r="P773">
        <v>4833.9708899999996</v>
      </c>
      <c r="Q773">
        <v>4827.3134899999995</v>
      </c>
    </row>
    <row r="774" spans="1:17" x14ac:dyDescent="0.55000000000000004">
      <c r="A774">
        <v>1774414800</v>
      </c>
      <c r="B774" t="s">
        <v>0</v>
      </c>
      <c r="C774" t="s">
        <v>1</v>
      </c>
      <c r="D774">
        <v>4555.99</v>
      </c>
      <c r="E774">
        <v>4564.2343899999996</v>
      </c>
      <c r="F774">
        <v>4568.5816999999997</v>
      </c>
      <c r="G774">
        <v>4577.8058499999997</v>
      </c>
      <c r="H774">
        <v>4558.01469</v>
      </c>
      <c r="J774">
        <v>1775629200</v>
      </c>
      <c r="K774" t="s">
        <v>0</v>
      </c>
      <c r="L774" t="s">
        <v>2</v>
      </c>
      <c r="M774">
        <v>4833.68</v>
      </c>
      <c r="N774">
        <v>4832.5776699999997</v>
      </c>
      <c r="O774">
        <v>4831.5870999999997</v>
      </c>
      <c r="P774">
        <v>4834.9796299999998</v>
      </c>
      <c r="Q774">
        <v>4828.57762</v>
      </c>
    </row>
    <row r="775" spans="1:17" x14ac:dyDescent="0.55000000000000004">
      <c r="A775">
        <v>1774418400</v>
      </c>
      <c r="B775" t="s">
        <v>0</v>
      </c>
      <c r="C775" t="s">
        <v>1</v>
      </c>
      <c r="D775">
        <v>4545.54</v>
      </c>
      <c r="E775">
        <v>4555.5594499999997</v>
      </c>
      <c r="F775">
        <v>4562.0705699999999</v>
      </c>
      <c r="G775">
        <v>4569.5690699999996</v>
      </c>
      <c r="H775">
        <v>4549.7648499999996</v>
      </c>
      <c r="J775">
        <v>1775629500</v>
      </c>
      <c r="K775" t="s">
        <v>0</v>
      </c>
      <c r="L775" t="s">
        <v>2</v>
      </c>
      <c r="M775">
        <v>4836.63</v>
      </c>
      <c r="N775">
        <v>4833.4215199999999</v>
      </c>
      <c r="O775">
        <v>4832.5043100000003</v>
      </c>
      <c r="P775">
        <v>4836.1170400000001</v>
      </c>
      <c r="Q775">
        <v>4829.6617800000004</v>
      </c>
    </row>
    <row r="776" spans="1:17" x14ac:dyDescent="0.55000000000000004">
      <c r="A776">
        <v>1774422000</v>
      </c>
      <c r="B776" t="s">
        <v>0</v>
      </c>
      <c r="C776" t="s">
        <v>1</v>
      </c>
      <c r="D776">
        <v>4539.3599999999997</v>
      </c>
      <c r="E776">
        <v>4549.4437900000003</v>
      </c>
      <c r="F776">
        <v>4555.7571799999996</v>
      </c>
      <c r="G776">
        <v>4563.8023000000003</v>
      </c>
      <c r="H776">
        <v>4542.0878599999996</v>
      </c>
      <c r="J776">
        <v>1775629800</v>
      </c>
      <c r="K776" t="s">
        <v>0</v>
      </c>
      <c r="L776" t="s">
        <v>2</v>
      </c>
      <c r="M776">
        <v>4832.95</v>
      </c>
      <c r="N776">
        <v>4833.5772800000004</v>
      </c>
      <c r="O776">
        <v>4833.0407999999998</v>
      </c>
      <c r="P776">
        <v>4836.9983700000003</v>
      </c>
      <c r="Q776">
        <v>4830.2076399999996</v>
      </c>
    </row>
    <row r="777" spans="1:17" x14ac:dyDescent="0.55000000000000004">
      <c r="A777">
        <v>1774425600</v>
      </c>
      <c r="B777" t="s">
        <v>0</v>
      </c>
      <c r="C777" t="s">
        <v>1</v>
      </c>
      <c r="D777">
        <v>4556.38</v>
      </c>
      <c r="E777">
        <v>4547.1806699999997</v>
      </c>
      <c r="F777">
        <v>4551.46893</v>
      </c>
      <c r="G777">
        <v>4561.5841899999996</v>
      </c>
      <c r="H777">
        <v>4536.6306299999997</v>
      </c>
      <c r="J777">
        <v>1775630100</v>
      </c>
      <c r="K777" t="s">
        <v>0</v>
      </c>
      <c r="L777" t="s">
        <v>2</v>
      </c>
      <c r="M777">
        <v>4831.5</v>
      </c>
      <c r="N777">
        <v>4832.8882299999996</v>
      </c>
      <c r="O777">
        <v>4832.9645099999998</v>
      </c>
      <c r="P777">
        <v>4837.2151999999996</v>
      </c>
      <c r="Q777">
        <v>4829.9800699999996</v>
      </c>
    </row>
    <row r="778" spans="1:17" x14ac:dyDescent="0.55000000000000004">
      <c r="A778">
        <v>1774429200</v>
      </c>
      <c r="B778" t="s">
        <v>0</v>
      </c>
      <c r="C778" t="s">
        <v>1</v>
      </c>
      <c r="D778">
        <v>4551.67</v>
      </c>
      <c r="E778">
        <v>4548.3832000000002</v>
      </c>
      <c r="F778">
        <v>4549.9260599999998</v>
      </c>
      <c r="G778">
        <v>4563.1219600000004</v>
      </c>
      <c r="H778">
        <v>4534.1897200000003</v>
      </c>
      <c r="J778">
        <v>1775630400</v>
      </c>
      <c r="K778" t="s">
        <v>0</v>
      </c>
      <c r="L778" t="s">
        <v>2</v>
      </c>
      <c r="M778">
        <v>4835.71</v>
      </c>
      <c r="N778">
        <v>4831.2693900000004</v>
      </c>
      <c r="O778">
        <v>4832.1169499999996</v>
      </c>
      <c r="P778">
        <v>4836.3854700000002</v>
      </c>
      <c r="Q778">
        <v>4828.7774399999998</v>
      </c>
    </row>
    <row r="779" spans="1:17" x14ac:dyDescent="0.55000000000000004">
      <c r="A779">
        <v>1774432800</v>
      </c>
      <c r="B779" t="s">
        <v>0</v>
      </c>
      <c r="C779" t="s">
        <v>1</v>
      </c>
      <c r="D779">
        <v>4558.7700000000004</v>
      </c>
      <c r="E779">
        <v>4552.2236599999997</v>
      </c>
      <c r="F779">
        <v>4551.0748599999997</v>
      </c>
      <c r="G779">
        <v>4567.6469500000003</v>
      </c>
      <c r="H779">
        <v>4534.8521499999997</v>
      </c>
      <c r="J779">
        <v>1775630700</v>
      </c>
      <c r="K779" t="s">
        <v>0</v>
      </c>
      <c r="L779" t="s">
        <v>2</v>
      </c>
      <c r="M779">
        <v>4832.29</v>
      </c>
      <c r="N779">
        <v>4828.6390199999996</v>
      </c>
      <c r="O779">
        <v>4830.37799</v>
      </c>
      <c r="P779">
        <v>4834.4250099999999</v>
      </c>
      <c r="Q779">
        <v>4826.55998</v>
      </c>
    </row>
    <row r="780" spans="1:17" x14ac:dyDescent="0.55000000000000004">
      <c r="A780">
        <v>1774436400</v>
      </c>
      <c r="B780" t="s">
        <v>0</v>
      </c>
      <c r="C780" t="s">
        <v>1</v>
      </c>
      <c r="D780">
        <v>4578.97</v>
      </c>
      <c r="E780">
        <v>4557.0167499999998</v>
      </c>
      <c r="F780">
        <v>4554.0457999999999</v>
      </c>
      <c r="G780">
        <v>4573.8057799999997</v>
      </c>
      <c r="H780">
        <v>4536.9325699999999</v>
      </c>
      <c r="J780">
        <v>1775631000</v>
      </c>
      <c r="K780" t="s">
        <v>0</v>
      </c>
      <c r="L780" t="s">
        <v>2</v>
      </c>
      <c r="M780">
        <v>4823.32</v>
      </c>
      <c r="N780">
        <v>4825.2918300000001</v>
      </c>
      <c r="O780">
        <v>4827.8349099999996</v>
      </c>
      <c r="P780">
        <v>4831.3497100000004</v>
      </c>
      <c r="Q780">
        <v>4823.4419600000001</v>
      </c>
    </row>
    <row r="781" spans="1:17" x14ac:dyDescent="0.55000000000000004">
      <c r="A781">
        <v>1774440000</v>
      </c>
      <c r="B781" t="s">
        <v>0</v>
      </c>
      <c r="C781" t="s">
        <v>1</v>
      </c>
      <c r="D781">
        <v>4544.01</v>
      </c>
      <c r="E781">
        <v>4560.5667000000003</v>
      </c>
      <c r="F781">
        <v>4557.3062499999996</v>
      </c>
      <c r="G781">
        <v>4579.1184300000004</v>
      </c>
      <c r="H781">
        <v>4538.97433</v>
      </c>
      <c r="J781">
        <v>1775631300</v>
      </c>
      <c r="K781" t="s">
        <v>0</v>
      </c>
      <c r="L781" t="s">
        <v>2</v>
      </c>
      <c r="M781">
        <v>4820.45</v>
      </c>
      <c r="N781">
        <v>4821.7609000000002</v>
      </c>
      <c r="O781">
        <v>4824.7978999999996</v>
      </c>
      <c r="P781">
        <v>4827.59267</v>
      </c>
      <c r="Q781">
        <v>4819.9661299999998</v>
      </c>
    </row>
    <row r="782" spans="1:17" x14ac:dyDescent="0.55000000000000004">
      <c r="A782">
        <v>1774443600</v>
      </c>
      <c r="B782" t="s">
        <v>0</v>
      </c>
      <c r="C782" t="s">
        <v>1</v>
      </c>
      <c r="D782">
        <v>4544.6899999999996</v>
      </c>
      <c r="E782">
        <v>4562.5189300000002</v>
      </c>
      <c r="F782">
        <v>4559.9125899999999</v>
      </c>
      <c r="G782">
        <v>4581.88231</v>
      </c>
      <c r="H782">
        <v>4540.5716199999997</v>
      </c>
      <c r="J782">
        <v>1775631600</v>
      </c>
      <c r="K782" t="s">
        <v>0</v>
      </c>
      <c r="L782" t="s">
        <v>2</v>
      </c>
      <c r="M782">
        <v>4812.68</v>
      </c>
      <c r="N782">
        <v>4818.4298399999998</v>
      </c>
      <c r="O782">
        <v>4821.6138700000001</v>
      </c>
      <c r="P782">
        <v>4823.7435999999998</v>
      </c>
      <c r="Q782">
        <v>4816.4853000000003</v>
      </c>
    </row>
    <row r="783" spans="1:17" x14ac:dyDescent="0.55000000000000004">
      <c r="A783">
        <v>1774447200</v>
      </c>
      <c r="B783" t="s">
        <v>0</v>
      </c>
      <c r="C783" t="s">
        <v>1</v>
      </c>
      <c r="D783">
        <v>4567.0600000000004</v>
      </c>
      <c r="E783">
        <v>4561.8143700000001</v>
      </c>
      <c r="F783">
        <v>4560.86348</v>
      </c>
      <c r="G783">
        <v>4581.1225999999997</v>
      </c>
      <c r="H783">
        <v>4540.1075799999999</v>
      </c>
      <c r="J783">
        <v>1775631900</v>
      </c>
      <c r="K783" t="s">
        <v>0</v>
      </c>
      <c r="L783" t="s">
        <v>2</v>
      </c>
      <c r="M783">
        <v>4815.3500000000004</v>
      </c>
      <c r="N783">
        <v>4815.7449100000003</v>
      </c>
      <c r="O783">
        <v>4818.6793900000002</v>
      </c>
      <c r="P783">
        <v>4820.2729200000003</v>
      </c>
      <c r="Q783">
        <v>4813.5034400000004</v>
      </c>
    </row>
    <row r="784" spans="1:17" x14ac:dyDescent="0.55000000000000004">
      <c r="A784">
        <v>1774450800</v>
      </c>
      <c r="B784" t="s">
        <v>0</v>
      </c>
      <c r="C784" t="s">
        <v>1</v>
      </c>
      <c r="D784">
        <v>4558.95</v>
      </c>
      <c r="E784">
        <v>4557.5094099999997</v>
      </c>
      <c r="F784">
        <v>4559.1864500000001</v>
      </c>
      <c r="G784">
        <v>4576.5377099999996</v>
      </c>
      <c r="H784">
        <v>4537.1041800000003</v>
      </c>
      <c r="J784">
        <v>1775632200</v>
      </c>
      <c r="K784" t="s">
        <v>0</v>
      </c>
      <c r="L784" t="s">
        <v>2</v>
      </c>
      <c r="M784">
        <v>4812.59</v>
      </c>
      <c r="N784">
        <v>4813.7617300000002</v>
      </c>
      <c r="O784">
        <v>4816.2205599999998</v>
      </c>
      <c r="P784">
        <v>4817.55807</v>
      </c>
      <c r="Q784">
        <v>4811.1469200000001</v>
      </c>
    </row>
    <row r="785" spans="1:17" x14ac:dyDescent="0.55000000000000004">
      <c r="A785">
        <v>1774454400</v>
      </c>
      <c r="B785" t="s">
        <v>0</v>
      </c>
      <c r="C785" t="s">
        <v>1</v>
      </c>
      <c r="D785">
        <v>4555.25</v>
      </c>
      <c r="E785">
        <v>4550.4651999999996</v>
      </c>
      <c r="F785">
        <v>4554.82582</v>
      </c>
      <c r="G785">
        <v>4569.11985</v>
      </c>
      <c r="H785">
        <v>4531.8590299999996</v>
      </c>
      <c r="J785">
        <v>1775632500</v>
      </c>
      <c r="K785" t="s">
        <v>0</v>
      </c>
      <c r="L785" t="s">
        <v>2</v>
      </c>
      <c r="M785">
        <v>4812.5600000000004</v>
      </c>
      <c r="N785">
        <v>4812.5634399999999</v>
      </c>
      <c r="O785">
        <v>4814.3919999999998</v>
      </c>
      <c r="P785">
        <v>4815.7882600000003</v>
      </c>
      <c r="Q785">
        <v>4809.5433899999998</v>
      </c>
    </row>
    <row r="786" spans="1:17" x14ac:dyDescent="0.55000000000000004">
      <c r="A786">
        <v>1774458000</v>
      </c>
      <c r="B786" t="s">
        <v>0</v>
      </c>
      <c r="C786" t="s">
        <v>1</v>
      </c>
      <c r="D786">
        <v>4550.74</v>
      </c>
      <c r="E786">
        <v>4542.0310099999997</v>
      </c>
      <c r="F786">
        <v>4548.4284200000002</v>
      </c>
      <c r="G786">
        <v>4560.29403</v>
      </c>
      <c r="H786">
        <v>4524.5778099999998</v>
      </c>
      <c r="J786">
        <v>1775632800</v>
      </c>
      <c r="K786" t="s">
        <v>0</v>
      </c>
      <c r="L786" t="s">
        <v>2</v>
      </c>
      <c r="M786">
        <v>4816.03</v>
      </c>
      <c r="N786">
        <v>4812.0464199999997</v>
      </c>
      <c r="O786">
        <v>4813.2192100000002</v>
      </c>
      <c r="P786">
        <v>4814.9600300000002</v>
      </c>
      <c r="Q786">
        <v>4808.6154900000001</v>
      </c>
    </row>
    <row r="787" spans="1:17" x14ac:dyDescent="0.55000000000000004">
      <c r="A787">
        <v>1774461600</v>
      </c>
      <c r="B787" t="s">
        <v>0</v>
      </c>
      <c r="C787" t="s">
        <v>1</v>
      </c>
      <c r="D787">
        <v>4538.37</v>
      </c>
      <c r="E787">
        <v>4533.6689399999996</v>
      </c>
      <c r="F787">
        <v>4541.0486799999999</v>
      </c>
      <c r="G787">
        <v>4551.58547</v>
      </c>
      <c r="H787">
        <v>4516.5503200000003</v>
      </c>
      <c r="J787">
        <v>1775633100</v>
      </c>
      <c r="K787" t="s">
        <v>0</v>
      </c>
      <c r="L787" t="s">
        <v>2</v>
      </c>
      <c r="M787">
        <v>4818.6499999999996</v>
      </c>
      <c r="N787">
        <v>4811.9641199999996</v>
      </c>
      <c r="O787">
        <v>4812.5916699999998</v>
      </c>
      <c r="P787">
        <v>4814.8709500000004</v>
      </c>
      <c r="Q787">
        <v>4808.2697399999997</v>
      </c>
    </row>
    <row r="788" spans="1:17" x14ac:dyDescent="0.55000000000000004">
      <c r="A788">
        <v>1774465200</v>
      </c>
      <c r="B788" t="s">
        <v>0</v>
      </c>
      <c r="C788" t="s">
        <v>1</v>
      </c>
      <c r="D788">
        <v>4530.9399999999996</v>
      </c>
      <c r="E788">
        <v>4527.0341699999999</v>
      </c>
      <c r="F788">
        <v>4534.0414199999996</v>
      </c>
      <c r="G788">
        <v>4544.1853499999997</v>
      </c>
      <c r="H788">
        <v>4509.5087400000002</v>
      </c>
      <c r="J788">
        <v>1775633400</v>
      </c>
      <c r="K788" t="s">
        <v>0</v>
      </c>
      <c r="L788" t="s">
        <v>2</v>
      </c>
      <c r="M788">
        <v>4810.08</v>
      </c>
      <c r="N788">
        <v>4812.1102499999997</v>
      </c>
      <c r="O788">
        <v>4812.3509599999998</v>
      </c>
      <c r="P788">
        <v>4815.1642400000001</v>
      </c>
      <c r="Q788">
        <v>4808.2227800000001</v>
      </c>
    </row>
    <row r="789" spans="1:17" x14ac:dyDescent="0.55000000000000004">
      <c r="A789">
        <v>1774468800</v>
      </c>
      <c r="B789" t="s">
        <v>0</v>
      </c>
      <c r="C789" t="s">
        <v>1</v>
      </c>
      <c r="D789">
        <v>4506.6899999999996</v>
      </c>
      <c r="E789">
        <v>4523.0468099999998</v>
      </c>
      <c r="F789">
        <v>4528.5441199999996</v>
      </c>
      <c r="G789">
        <v>4539.6388999999999</v>
      </c>
      <c r="H789">
        <v>4505.6250799999998</v>
      </c>
      <c r="J789">
        <v>1775633700</v>
      </c>
      <c r="K789" t="s">
        <v>0</v>
      </c>
      <c r="L789" t="s">
        <v>2</v>
      </c>
      <c r="M789">
        <v>4810.5</v>
      </c>
      <c r="N789">
        <v>4812.6038600000002</v>
      </c>
      <c r="O789">
        <v>4812.4774100000004</v>
      </c>
      <c r="P789">
        <v>4815.67094</v>
      </c>
      <c r="Q789">
        <v>4808.5628900000002</v>
      </c>
    </row>
    <row r="790" spans="1:17" x14ac:dyDescent="0.55000000000000004">
      <c r="A790">
        <v>1774476000</v>
      </c>
      <c r="B790" t="s">
        <v>0</v>
      </c>
      <c r="C790" t="s">
        <v>1</v>
      </c>
      <c r="D790">
        <v>4517.3999999999996</v>
      </c>
      <c r="E790">
        <v>4522.0736800000004</v>
      </c>
      <c r="F790">
        <v>4525.3089</v>
      </c>
      <c r="G790">
        <v>4537.8242799999998</v>
      </c>
      <c r="H790">
        <v>4504.6854199999998</v>
      </c>
      <c r="J790">
        <v>1775634000</v>
      </c>
      <c r="K790" t="s">
        <v>0</v>
      </c>
      <c r="L790" t="s">
        <v>2</v>
      </c>
      <c r="M790">
        <v>4809.03</v>
      </c>
      <c r="N790">
        <v>4813.3757400000004</v>
      </c>
      <c r="O790">
        <v>4812.9265699999996</v>
      </c>
      <c r="P790">
        <v>4816.33914</v>
      </c>
      <c r="Q790">
        <v>4809.2457400000003</v>
      </c>
    </row>
    <row r="791" spans="1:17" x14ac:dyDescent="0.55000000000000004">
      <c r="A791">
        <v>1774479600</v>
      </c>
      <c r="B791" t="s">
        <v>0</v>
      </c>
      <c r="C791" t="s">
        <v>1</v>
      </c>
      <c r="D791">
        <v>4498.37</v>
      </c>
      <c r="E791">
        <v>4522.5149099999999</v>
      </c>
      <c r="F791">
        <v>4523.9119000000001</v>
      </c>
      <c r="G791">
        <v>4537.8242600000003</v>
      </c>
      <c r="H791">
        <v>4505.3194700000004</v>
      </c>
      <c r="J791">
        <v>1775634300</v>
      </c>
      <c r="K791" t="s">
        <v>0</v>
      </c>
      <c r="L791" t="s">
        <v>2</v>
      </c>
      <c r="M791">
        <v>4814.67</v>
      </c>
      <c r="N791">
        <v>4814.4063900000001</v>
      </c>
      <c r="O791">
        <v>4813.6664799999999</v>
      </c>
      <c r="P791">
        <v>4817.1468400000003</v>
      </c>
      <c r="Q791">
        <v>4810.2316199999996</v>
      </c>
    </row>
    <row r="792" spans="1:17" x14ac:dyDescent="0.55000000000000004">
      <c r="A792">
        <v>1774483200</v>
      </c>
      <c r="B792" t="s">
        <v>0</v>
      </c>
      <c r="C792" t="s">
        <v>1</v>
      </c>
      <c r="D792">
        <v>4535.71</v>
      </c>
      <c r="E792">
        <v>4523.0630199999996</v>
      </c>
      <c r="F792">
        <v>4523.4874600000003</v>
      </c>
      <c r="G792">
        <v>4538.4403599999996</v>
      </c>
      <c r="H792">
        <v>4506.2362700000003</v>
      </c>
      <c r="J792">
        <v>1775634600</v>
      </c>
      <c r="K792" t="s">
        <v>0</v>
      </c>
      <c r="L792" t="s">
        <v>2</v>
      </c>
      <c r="M792">
        <v>4819.22</v>
      </c>
      <c r="N792">
        <v>4815.4571999999998</v>
      </c>
      <c r="O792">
        <v>4814.5618400000003</v>
      </c>
      <c r="P792">
        <v>4817.9489400000002</v>
      </c>
      <c r="Q792">
        <v>4811.3359200000004</v>
      </c>
    </row>
    <row r="793" spans="1:17" x14ac:dyDescent="0.55000000000000004">
      <c r="A793">
        <v>1774486800</v>
      </c>
      <c r="B793" t="s">
        <v>0</v>
      </c>
      <c r="C793" t="s">
        <v>1</v>
      </c>
      <c r="D793">
        <v>4535.55</v>
      </c>
      <c r="E793">
        <v>4520.7251800000004</v>
      </c>
      <c r="F793">
        <v>4522.1063199999999</v>
      </c>
      <c r="G793">
        <v>4537.2927600000003</v>
      </c>
      <c r="H793">
        <v>4505.2378799999997</v>
      </c>
      <c r="J793">
        <v>1775634900</v>
      </c>
      <c r="K793" t="s">
        <v>0</v>
      </c>
      <c r="L793" t="s">
        <v>2</v>
      </c>
      <c r="M793">
        <v>4813.53</v>
      </c>
      <c r="N793">
        <v>4816.2579599999999</v>
      </c>
      <c r="O793">
        <v>4815.4098999999997</v>
      </c>
      <c r="P793">
        <v>4818.55447</v>
      </c>
      <c r="Q793">
        <v>4812.2618000000002</v>
      </c>
    </row>
    <row r="794" spans="1:17" x14ac:dyDescent="0.55000000000000004">
      <c r="A794">
        <v>1774490400</v>
      </c>
      <c r="B794" t="s">
        <v>0</v>
      </c>
      <c r="C794" t="s">
        <v>1</v>
      </c>
      <c r="D794">
        <v>4508.9399999999996</v>
      </c>
      <c r="E794">
        <v>4514.2290800000001</v>
      </c>
      <c r="F794">
        <v>4518.1677</v>
      </c>
      <c r="G794">
        <v>4532.7187000000004</v>
      </c>
      <c r="H794">
        <v>4500.0737099999997</v>
      </c>
      <c r="J794">
        <v>1775635200</v>
      </c>
      <c r="K794" t="s">
        <v>0</v>
      </c>
      <c r="L794" t="s">
        <v>2</v>
      </c>
      <c r="M794">
        <v>4816.4799999999996</v>
      </c>
      <c r="N794">
        <v>4816.7461700000003</v>
      </c>
      <c r="O794">
        <v>4816.0780400000003</v>
      </c>
      <c r="P794">
        <v>4818.8726999999999</v>
      </c>
      <c r="Q794">
        <v>4812.8053900000004</v>
      </c>
    </row>
    <row r="795" spans="1:17" x14ac:dyDescent="0.55000000000000004">
      <c r="A795">
        <v>1774494000</v>
      </c>
      <c r="B795" t="s">
        <v>0</v>
      </c>
      <c r="C795" t="s">
        <v>1</v>
      </c>
      <c r="D795">
        <v>4516.7700000000004</v>
      </c>
      <c r="E795">
        <v>4503.8693899999998</v>
      </c>
      <c r="F795">
        <v>4511.0185499999998</v>
      </c>
      <c r="G795">
        <v>4524.1477800000002</v>
      </c>
      <c r="H795">
        <v>4490.3907600000002</v>
      </c>
      <c r="J795">
        <v>1775635500</v>
      </c>
      <c r="K795" t="s">
        <v>0</v>
      </c>
      <c r="L795" t="s">
        <v>2</v>
      </c>
      <c r="M795">
        <v>4816.2700000000004</v>
      </c>
      <c r="N795">
        <v>4816.6120899999996</v>
      </c>
      <c r="O795">
        <v>4816.3450599999996</v>
      </c>
      <c r="P795">
        <v>4818.8919400000004</v>
      </c>
      <c r="Q795">
        <v>4812.8499899999997</v>
      </c>
    </row>
    <row r="796" spans="1:17" x14ac:dyDescent="0.55000000000000004">
      <c r="A796">
        <v>1774497600</v>
      </c>
      <c r="B796" t="s">
        <v>0</v>
      </c>
      <c r="C796" t="s">
        <v>1</v>
      </c>
      <c r="D796">
        <v>4520.63</v>
      </c>
      <c r="E796">
        <v>4489.9101199999996</v>
      </c>
      <c r="F796">
        <v>4500.4643400000004</v>
      </c>
      <c r="G796">
        <v>4512.1265999999996</v>
      </c>
      <c r="H796">
        <v>4476.6204699999998</v>
      </c>
      <c r="J796">
        <v>1775635800</v>
      </c>
      <c r="K796" t="s">
        <v>0</v>
      </c>
      <c r="L796" t="s">
        <v>2</v>
      </c>
      <c r="M796">
        <v>4815.16</v>
      </c>
      <c r="N796">
        <v>4815.6529899999996</v>
      </c>
      <c r="O796">
        <v>4815.9990299999999</v>
      </c>
      <c r="P796">
        <v>4818.40427</v>
      </c>
      <c r="Q796">
        <v>4812.0099600000003</v>
      </c>
    </row>
    <row r="797" spans="1:17" x14ac:dyDescent="0.55000000000000004">
      <c r="A797">
        <v>1774501200</v>
      </c>
      <c r="B797" t="s">
        <v>0</v>
      </c>
      <c r="C797" t="s">
        <v>1</v>
      </c>
      <c r="D797">
        <v>4438.93</v>
      </c>
      <c r="E797">
        <v>4473.42112</v>
      </c>
      <c r="F797">
        <v>4486.9427299999998</v>
      </c>
      <c r="G797">
        <v>4497.3413600000003</v>
      </c>
      <c r="H797">
        <v>4459.7353800000001</v>
      </c>
      <c r="J797">
        <v>1775636100</v>
      </c>
      <c r="K797" t="s">
        <v>0</v>
      </c>
      <c r="L797" t="s">
        <v>2</v>
      </c>
      <c r="M797">
        <v>4818.87</v>
      </c>
      <c r="N797">
        <v>4813.7653700000001</v>
      </c>
      <c r="O797">
        <v>4814.8822</v>
      </c>
      <c r="P797">
        <v>4817.3315400000001</v>
      </c>
      <c r="Q797">
        <v>4810.2379300000002</v>
      </c>
    </row>
    <row r="798" spans="1:17" x14ac:dyDescent="0.55000000000000004">
      <c r="A798">
        <v>1774504800</v>
      </c>
      <c r="B798" t="s">
        <v>0</v>
      </c>
      <c r="C798" t="s">
        <v>1</v>
      </c>
      <c r="D798">
        <v>4456.49</v>
      </c>
      <c r="E798">
        <v>4458.4845599999999</v>
      </c>
      <c r="F798">
        <v>4472.7136399999999</v>
      </c>
      <c r="G798">
        <v>4481.4120999999996</v>
      </c>
      <c r="H798">
        <v>4443.5881300000001</v>
      </c>
      <c r="J798">
        <v>1775636400</v>
      </c>
      <c r="K798" t="s">
        <v>0</v>
      </c>
      <c r="L798" t="s">
        <v>2</v>
      </c>
      <c r="M798">
        <v>4808.25</v>
      </c>
      <c r="N798">
        <v>4810.86276</v>
      </c>
      <c r="O798">
        <v>4812.87248</v>
      </c>
      <c r="P798">
        <v>4815.4921899999999</v>
      </c>
      <c r="Q798">
        <v>4807.4751800000004</v>
      </c>
    </row>
    <row r="799" spans="1:17" x14ac:dyDescent="0.55000000000000004">
      <c r="A799">
        <v>1774508400</v>
      </c>
      <c r="B799" t="s">
        <v>0</v>
      </c>
      <c r="C799" t="s">
        <v>1</v>
      </c>
      <c r="D799">
        <v>4452.78</v>
      </c>
      <c r="E799">
        <v>4446.2110499999999</v>
      </c>
      <c r="F799">
        <v>4459.4623499999998</v>
      </c>
      <c r="G799">
        <v>4467.68433</v>
      </c>
      <c r="H799">
        <v>4430.6727199999996</v>
      </c>
      <c r="J799">
        <v>1775636700</v>
      </c>
      <c r="K799" t="s">
        <v>0</v>
      </c>
      <c r="L799" t="s">
        <v>2</v>
      </c>
      <c r="M799">
        <v>4808.6000000000004</v>
      </c>
      <c r="N799">
        <v>4807.4014900000002</v>
      </c>
      <c r="O799">
        <v>4810.1369800000002</v>
      </c>
      <c r="P799">
        <v>4812.8844399999998</v>
      </c>
      <c r="Q799">
        <v>4804.0904</v>
      </c>
    </row>
    <row r="800" spans="1:17" x14ac:dyDescent="0.55000000000000004">
      <c r="A800">
        <v>1774512000</v>
      </c>
      <c r="B800" t="s">
        <v>0</v>
      </c>
      <c r="C800" t="s">
        <v>1</v>
      </c>
      <c r="D800">
        <v>4428.0200000000004</v>
      </c>
      <c r="E800">
        <v>4437.6177500000003</v>
      </c>
      <c r="F800">
        <v>4448.5400499999996</v>
      </c>
      <c r="G800">
        <v>4457.4201800000001</v>
      </c>
      <c r="H800">
        <v>4421.4558399999996</v>
      </c>
      <c r="J800">
        <v>1775637000</v>
      </c>
      <c r="K800" t="s">
        <v>0</v>
      </c>
      <c r="L800" t="s">
        <v>2</v>
      </c>
      <c r="M800">
        <v>4802.7700000000004</v>
      </c>
      <c r="N800">
        <v>4803.7107299999998</v>
      </c>
      <c r="O800">
        <v>4806.9238599999999</v>
      </c>
      <c r="P800">
        <v>4809.8995800000002</v>
      </c>
      <c r="Q800">
        <v>4800.62914</v>
      </c>
    </row>
    <row r="801" spans="1:17" x14ac:dyDescent="0.55000000000000004">
      <c r="A801">
        <v>1774515600</v>
      </c>
      <c r="B801" t="s">
        <v>0</v>
      </c>
      <c r="C801" t="s">
        <v>1</v>
      </c>
      <c r="D801">
        <v>4423.92</v>
      </c>
      <c r="E801">
        <v>4433.5868499999997</v>
      </c>
      <c r="F801">
        <v>4441.0634499999996</v>
      </c>
      <c r="G801">
        <v>4451.4047600000004</v>
      </c>
      <c r="H801">
        <v>4416.83385</v>
      </c>
      <c r="J801">
        <v>1775637300</v>
      </c>
      <c r="K801" t="s">
        <v>0</v>
      </c>
      <c r="L801" t="s">
        <v>2</v>
      </c>
      <c r="M801">
        <v>4802.75</v>
      </c>
      <c r="N801">
        <v>4800.3065200000001</v>
      </c>
      <c r="O801">
        <v>4803.6151900000004</v>
      </c>
      <c r="P801">
        <v>4806.8125499999996</v>
      </c>
      <c r="Q801">
        <v>4797.3713900000002</v>
      </c>
    </row>
    <row r="802" spans="1:17" x14ac:dyDescent="0.55000000000000004">
      <c r="A802">
        <v>1774519200</v>
      </c>
      <c r="B802" t="s">
        <v>0</v>
      </c>
      <c r="C802" t="s">
        <v>1</v>
      </c>
      <c r="D802">
        <v>4443.1000000000004</v>
      </c>
      <c r="E802">
        <v>4433.6031300000004</v>
      </c>
      <c r="F802">
        <v>4437.3332899999996</v>
      </c>
      <c r="G802">
        <v>4450.0886899999996</v>
      </c>
      <c r="H802">
        <v>4416.0855300000003</v>
      </c>
      <c r="J802">
        <v>1775637600</v>
      </c>
      <c r="K802" t="s">
        <v>0</v>
      </c>
      <c r="L802" t="s">
        <v>2</v>
      </c>
      <c r="M802">
        <v>4793.58</v>
      </c>
      <c r="N802">
        <v>4797.5393800000002</v>
      </c>
      <c r="O802">
        <v>4800.5772800000004</v>
      </c>
      <c r="P802">
        <v>4803.9280799999997</v>
      </c>
      <c r="Q802">
        <v>4794.6922800000002</v>
      </c>
    </row>
    <row r="803" spans="1:17" x14ac:dyDescent="0.55000000000000004">
      <c r="A803">
        <v>1774522800</v>
      </c>
      <c r="B803" t="s">
        <v>0</v>
      </c>
      <c r="C803" t="s">
        <v>1</v>
      </c>
      <c r="D803">
        <v>4423.07</v>
      </c>
      <c r="E803">
        <v>4435.6425900000004</v>
      </c>
      <c r="F803">
        <v>4436.48794</v>
      </c>
      <c r="G803">
        <v>4452.08025</v>
      </c>
      <c r="H803">
        <v>4417.7421700000004</v>
      </c>
      <c r="J803">
        <v>1775637900</v>
      </c>
      <c r="K803" t="s">
        <v>0</v>
      </c>
      <c r="L803" t="s">
        <v>2</v>
      </c>
      <c r="M803">
        <v>4795.59</v>
      </c>
      <c r="N803">
        <v>4795.88454</v>
      </c>
      <c r="O803">
        <v>4798.2309100000002</v>
      </c>
      <c r="P803">
        <v>4801.5921399999997</v>
      </c>
      <c r="Q803">
        <v>4793.1034</v>
      </c>
    </row>
    <row r="804" spans="1:17" x14ac:dyDescent="0.55000000000000004">
      <c r="A804">
        <v>1774526400</v>
      </c>
      <c r="B804" t="s">
        <v>0</v>
      </c>
      <c r="C804" t="s">
        <v>1</v>
      </c>
      <c r="D804">
        <v>4430.4399999999996</v>
      </c>
      <c r="E804">
        <v>4438.0800600000002</v>
      </c>
      <c r="F804">
        <v>4437.2839999999997</v>
      </c>
      <c r="G804">
        <v>4455.2520199999999</v>
      </c>
      <c r="H804">
        <v>4419.7913799999997</v>
      </c>
      <c r="J804">
        <v>1775638200</v>
      </c>
      <c r="K804" t="s">
        <v>0</v>
      </c>
      <c r="L804" t="s">
        <v>2</v>
      </c>
      <c r="M804">
        <v>4797</v>
      </c>
      <c r="N804">
        <v>4795.3485600000004</v>
      </c>
      <c r="O804">
        <v>4796.7897300000004</v>
      </c>
      <c r="P804">
        <v>4800.1396999999997</v>
      </c>
      <c r="Q804">
        <v>4792.6475</v>
      </c>
    </row>
    <row r="805" spans="1:17" x14ac:dyDescent="0.55000000000000004">
      <c r="A805">
        <v>1774530000</v>
      </c>
      <c r="B805" t="s">
        <v>0</v>
      </c>
      <c r="C805" t="s">
        <v>1</v>
      </c>
      <c r="D805">
        <v>4452.57</v>
      </c>
      <c r="E805">
        <v>4438.5595000000003</v>
      </c>
      <c r="F805">
        <v>4437.9217500000004</v>
      </c>
      <c r="G805">
        <v>4457.6652999999997</v>
      </c>
      <c r="H805">
        <v>4420.2323100000003</v>
      </c>
      <c r="J805">
        <v>1775638500</v>
      </c>
      <c r="K805" t="s">
        <v>0</v>
      </c>
      <c r="L805" t="s">
        <v>2</v>
      </c>
      <c r="M805">
        <v>4794.2299999999996</v>
      </c>
      <c r="N805">
        <v>4795.7423399999998</v>
      </c>
      <c r="O805">
        <v>4796.2660400000004</v>
      </c>
      <c r="P805">
        <v>4799.5142299999998</v>
      </c>
      <c r="Q805">
        <v>4793.08151</v>
      </c>
    </row>
    <row r="806" spans="1:17" x14ac:dyDescent="0.55000000000000004">
      <c r="A806">
        <v>1774533600</v>
      </c>
      <c r="B806" t="s">
        <v>0</v>
      </c>
      <c r="C806" t="s">
        <v>1</v>
      </c>
      <c r="D806">
        <v>4465.33</v>
      </c>
      <c r="E806">
        <v>4434.8509199999999</v>
      </c>
      <c r="F806">
        <v>4436.38634</v>
      </c>
      <c r="G806">
        <v>4456.9930999999997</v>
      </c>
      <c r="H806">
        <v>4417.2848199999999</v>
      </c>
      <c r="J806">
        <v>1775638800</v>
      </c>
      <c r="K806" t="s">
        <v>0</v>
      </c>
      <c r="L806" t="s">
        <v>2</v>
      </c>
      <c r="M806">
        <v>4796.84</v>
      </c>
      <c r="N806">
        <v>4796.8155800000004</v>
      </c>
      <c r="O806">
        <v>4796.5408100000004</v>
      </c>
      <c r="P806">
        <v>4799.7451700000001</v>
      </c>
      <c r="Q806">
        <v>4794.0772800000004</v>
      </c>
    </row>
    <row r="807" spans="1:17" x14ac:dyDescent="0.55000000000000004">
      <c r="A807">
        <v>1774537200</v>
      </c>
      <c r="B807" t="s">
        <v>0</v>
      </c>
      <c r="C807" t="s">
        <v>1</v>
      </c>
      <c r="D807">
        <v>4438.17</v>
      </c>
      <c r="E807">
        <v>4426.0060800000001</v>
      </c>
      <c r="F807">
        <v>4431.1962100000001</v>
      </c>
      <c r="G807">
        <v>4451.5464899999997</v>
      </c>
      <c r="H807">
        <v>4409.65067</v>
      </c>
      <c r="J807">
        <v>1775639100</v>
      </c>
      <c r="K807" t="s">
        <v>0</v>
      </c>
      <c r="L807" t="s">
        <v>2</v>
      </c>
      <c r="M807">
        <v>4797.38</v>
      </c>
      <c r="N807">
        <v>4798.1026700000002</v>
      </c>
      <c r="O807">
        <v>4797.3217400000003</v>
      </c>
      <c r="P807">
        <v>4800.6156499999997</v>
      </c>
      <c r="Q807">
        <v>4795.2319100000004</v>
      </c>
    </row>
    <row r="808" spans="1:17" x14ac:dyDescent="0.55000000000000004">
      <c r="A808">
        <v>1774540800</v>
      </c>
      <c r="B808" t="s">
        <v>0</v>
      </c>
      <c r="C808" t="s">
        <v>1</v>
      </c>
      <c r="D808">
        <v>4389.29</v>
      </c>
      <c r="E808">
        <v>4413.4837299999999</v>
      </c>
      <c r="F808">
        <v>4422.33997</v>
      </c>
      <c r="G808">
        <v>4441.5889399999996</v>
      </c>
      <c r="H808">
        <v>4397.77261</v>
      </c>
      <c r="J808">
        <v>1775639400</v>
      </c>
      <c r="K808" t="s">
        <v>0</v>
      </c>
      <c r="L808" t="s">
        <v>2</v>
      </c>
      <c r="M808">
        <v>4801.01</v>
      </c>
      <c r="N808">
        <v>4799.1698800000004</v>
      </c>
      <c r="O808">
        <v>4798.2458100000003</v>
      </c>
      <c r="P808">
        <v>4801.7709500000001</v>
      </c>
      <c r="Q808">
        <v>4796.0824899999998</v>
      </c>
    </row>
    <row r="809" spans="1:17" x14ac:dyDescent="0.55000000000000004">
      <c r="A809">
        <v>1774544400</v>
      </c>
      <c r="B809" t="s">
        <v>0</v>
      </c>
      <c r="C809" t="s">
        <v>1</v>
      </c>
      <c r="D809">
        <v>4381.58</v>
      </c>
      <c r="E809">
        <v>4400.3393400000004</v>
      </c>
      <c r="F809">
        <v>4411.3396499999999</v>
      </c>
      <c r="G809">
        <v>4428.9848899999997</v>
      </c>
      <c r="H809">
        <v>4384.8725100000001</v>
      </c>
      <c r="J809">
        <v>1775639700</v>
      </c>
      <c r="K809" t="s">
        <v>0</v>
      </c>
      <c r="L809" t="s">
        <v>2</v>
      </c>
      <c r="M809">
        <v>4797.46</v>
      </c>
      <c r="N809">
        <v>4799.5533599999999</v>
      </c>
      <c r="O809">
        <v>4798.89959</v>
      </c>
      <c r="P809">
        <v>4802.77394</v>
      </c>
      <c r="Q809">
        <v>4796.2885500000002</v>
      </c>
    </row>
    <row r="810" spans="1:17" x14ac:dyDescent="0.55000000000000004">
      <c r="A810">
        <v>1774548000</v>
      </c>
      <c r="B810" t="s">
        <v>0</v>
      </c>
      <c r="C810" t="s">
        <v>1</v>
      </c>
      <c r="D810">
        <v>4394.4799999999996</v>
      </c>
      <c r="E810">
        <v>4388.8041700000003</v>
      </c>
      <c r="F810">
        <v>4400.0719099999997</v>
      </c>
      <c r="G810">
        <v>4416.69661</v>
      </c>
      <c r="H810">
        <v>4372.5528899999999</v>
      </c>
      <c r="J810">
        <v>1775640000</v>
      </c>
      <c r="K810" t="s">
        <v>0</v>
      </c>
      <c r="L810" t="s">
        <v>2</v>
      </c>
      <c r="M810">
        <v>4802.26</v>
      </c>
      <c r="N810">
        <v>4799.1197300000003</v>
      </c>
      <c r="O810">
        <v>4799.0096599999997</v>
      </c>
      <c r="P810">
        <v>4803.2606699999997</v>
      </c>
      <c r="Q810">
        <v>4795.6442800000004</v>
      </c>
    </row>
    <row r="811" spans="1:17" x14ac:dyDescent="0.55000000000000004">
      <c r="A811">
        <v>1774551600</v>
      </c>
      <c r="B811" t="s">
        <v>0</v>
      </c>
      <c r="C811" t="s">
        <v>1</v>
      </c>
      <c r="D811">
        <v>4364.33</v>
      </c>
      <c r="E811">
        <v>4380.5849799999996</v>
      </c>
      <c r="F811">
        <v>4390.3284400000002</v>
      </c>
      <c r="G811">
        <v>4406.9406600000002</v>
      </c>
      <c r="H811">
        <v>4363.09872</v>
      </c>
      <c r="J811">
        <v>1775640300</v>
      </c>
      <c r="K811" t="s">
        <v>0</v>
      </c>
      <c r="L811" t="s">
        <v>2</v>
      </c>
      <c r="M811">
        <v>4798.49</v>
      </c>
      <c r="N811">
        <v>4797.7077399999998</v>
      </c>
      <c r="O811">
        <v>4798.3586999999998</v>
      </c>
      <c r="P811">
        <v>4802.9081100000003</v>
      </c>
      <c r="Q811">
        <v>4794.1305899999998</v>
      </c>
    </row>
    <row r="812" spans="1:17" x14ac:dyDescent="0.55000000000000004">
      <c r="A812">
        <v>1774555200</v>
      </c>
      <c r="B812" t="s">
        <v>0</v>
      </c>
      <c r="C812" t="s">
        <v>1</v>
      </c>
      <c r="D812">
        <v>4378.25</v>
      </c>
      <c r="E812">
        <v>4378.2609300000004</v>
      </c>
      <c r="F812">
        <v>4384.2946899999997</v>
      </c>
      <c r="G812">
        <v>4401.5572499999998</v>
      </c>
      <c r="H812">
        <v>4358.6473100000003</v>
      </c>
      <c r="J812">
        <v>1775640600</v>
      </c>
      <c r="K812" t="s">
        <v>0</v>
      </c>
      <c r="L812" t="s">
        <v>2</v>
      </c>
      <c r="M812">
        <v>4797.4799999999996</v>
      </c>
      <c r="N812">
        <v>4795.5254599999998</v>
      </c>
      <c r="O812">
        <v>4796.9420799999998</v>
      </c>
      <c r="P812">
        <v>4801.5348899999999</v>
      </c>
      <c r="Q812">
        <v>4791.8401599999997</v>
      </c>
    </row>
    <row r="813" spans="1:17" x14ac:dyDescent="0.55000000000000004">
      <c r="A813">
        <v>1774562400</v>
      </c>
      <c r="B813" t="s">
        <v>0</v>
      </c>
      <c r="C813" t="s">
        <v>1</v>
      </c>
      <c r="D813">
        <v>4411.7700000000004</v>
      </c>
      <c r="E813">
        <v>4382.1753900000003</v>
      </c>
      <c r="F813">
        <v>4383.2350399999996</v>
      </c>
      <c r="G813">
        <v>4401.2579599999999</v>
      </c>
      <c r="H813">
        <v>4360.5789599999998</v>
      </c>
      <c r="J813">
        <v>1775640900</v>
      </c>
      <c r="K813" t="s">
        <v>0</v>
      </c>
      <c r="L813" t="s">
        <v>2</v>
      </c>
      <c r="M813">
        <v>4794.8599999999997</v>
      </c>
      <c r="N813">
        <v>4792.8177999999998</v>
      </c>
      <c r="O813">
        <v>4794.8799399999998</v>
      </c>
      <c r="P813">
        <v>4799.2787500000004</v>
      </c>
      <c r="Q813">
        <v>4789.01548</v>
      </c>
    </row>
    <row r="814" spans="1:17" x14ac:dyDescent="0.55000000000000004">
      <c r="A814">
        <v>1774566000</v>
      </c>
      <c r="B814" t="s">
        <v>0</v>
      </c>
      <c r="C814" t="s">
        <v>1</v>
      </c>
      <c r="D814">
        <v>4404.92</v>
      </c>
      <c r="E814">
        <v>4390.9537399999999</v>
      </c>
      <c r="F814">
        <v>4387.0943900000002</v>
      </c>
      <c r="G814">
        <v>4406.3984399999999</v>
      </c>
      <c r="H814">
        <v>4368.3696399999999</v>
      </c>
      <c r="J814">
        <v>1775641200</v>
      </c>
      <c r="K814" t="s">
        <v>0</v>
      </c>
      <c r="L814" t="s">
        <v>2</v>
      </c>
      <c r="M814">
        <v>4781.8999999999996</v>
      </c>
      <c r="N814">
        <v>4789.9170199999999</v>
      </c>
      <c r="O814">
        <v>4792.3984799999998</v>
      </c>
      <c r="P814">
        <v>4796.3890000000001</v>
      </c>
      <c r="Q814">
        <v>4785.9866599999996</v>
      </c>
    </row>
    <row r="815" spans="1:17" x14ac:dyDescent="0.55000000000000004">
      <c r="A815">
        <v>1774569600</v>
      </c>
      <c r="B815" t="s">
        <v>0</v>
      </c>
      <c r="C815" t="s">
        <v>1</v>
      </c>
      <c r="D815">
        <v>4378.7299999999996</v>
      </c>
      <c r="E815">
        <v>4403.5731400000004</v>
      </c>
      <c r="F815">
        <v>4395.3337600000004</v>
      </c>
      <c r="G815">
        <v>4416.2564599999996</v>
      </c>
      <c r="H815">
        <v>4380.81322</v>
      </c>
      <c r="J815">
        <v>1775641500</v>
      </c>
      <c r="K815" t="s">
        <v>0</v>
      </c>
      <c r="L815" t="s">
        <v>2</v>
      </c>
      <c r="M815">
        <v>4785.3999999999996</v>
      </c>
      <c r="N815">
        <v>4787.3928500000002</v>
      </c>
      <c r="O815">
        <v>4789.8956699999999</v>
      </c>
      <c r="P815">
        <v>4793.2788</v>
      </c>
      <c r="Q815">
        <v>4783.4104900000002</v>
      </c>
    </row>
    <row r="816" spans="1:17" x14ac:dyDescent="0.55000000000000004">
      <c r="A816">
        <v>1774573200</v>
      </c>
      <c r="B816" t="s">
        <v>0</v>
      </c>
      <c r="C816" t="s">
        <v>1</v>
      </c>
      <c r="D816">
        <v>4417.29</v>
      </c>
      <c r="E816">
        <v>4418.84231</v>
      </c>
      <c r="F816">
        <v>4407.0880399999996</v>
      </c>
      <c r="G816">
        <v>4429.3076499999997</v>
      </c>
      <c r="H816">
        <v>4396.5829299999996</v>
      </c>
      <c r="J816">
        <v>1775641800</v>
      </c>
      <c r="K816" t="s">
        <v>0</v>
      </c>
      <c r="L816" t="s">
        <v>2</v>
      </c>
      <c r="M816">
        <v>4784.49</v>
      </c>
      <c r="N816">
        <v>4785.3259099999996</v>
      </c>
      <c r="O816">
        <v>4787.6107899999997</v>
      </c>
      <c r="P816">
        <v>4790.4506000000001</v>
      </c>
      <c r="Q816">
        <v>4781.4365299999999</v>
      </c>
    </row>
    <row r="817" spans="1:17" x14ac:dyDescent="0.55000000000000004">
      <c r="A817">
        <v>1774576800</v>
      </c>
      <c r="B817" t="s">
        <v>0</v>
      </c>
      <c r="C817" t="s">
        <v>1</v>
      </c>
      <c r="D817">
        <v>4432.3</v>
      </c>
      <c r="E817">
        <v>4433.2783399999998</v>
      </c>
      <c r="F817">
        <v>4420.1831899999997</v>
      </c>
      <c r="G817">
        <v>4443.03784</v>
      </c>
      <c r="H817">
        <v>4413.35815</v>
      </c>
      <c r="J817">
        <v>1775642100</v>
      </c>
      <c r="K817" t="s">
        <v>0</v>
      </c>
      <c r="L817" t="s">
        <v>2</v>
      </c>
      <c r="M817">
        <v>4783.0600000000004</v>
      </c>
      <c r="N817">
        <v>4783.80555</v>
      </c>
      <c r="O817">
        <v>4785.7081699999999</v>
      </c>
      <c r="P817">
        <v>4788.0813699999999</v>
      </c>
      <c r="Q817">
        <v>4779.9138599999997</v>
      </c>
    </row>
    <row r="818" spans="1:17" x14ac:dyDescent="0.55000000000000004">
      <c r="A818">
        <v>1774580400</v>
      </c>
      <c r="B818" t="s">
        <v>0</v>
      </c>
      <c r="C818" t="s">
        <v>1</v>
      </c>
      <c r="D818">
        <v>4437.45</v>
      </c>
      <c r="E818">
        <v>4444.2756499999996</v>
      </c>
      <c r="F818">
        <v>4432.2294199999997</v>
      </c>
      <c r="G818">
        <v>4454.5602600000002</v>
      </c>
      <c r="H818">
        <v>4427.7049699999998</v>
      </c>
      <c r="J818">
        <v>1775642400</v>
      </c>
      <c r="K818" t="s">
        <v>0</v>
      </c>
      <c r="L818" t="s">
        <v>2</v>
      </c>
      <c r="M818">
        <v>4788.7700000000004</v>
      </c>
      <c r="N818">
        <v>4782.8072099999999</v>
      </c>
      <c r="O818">
        <v>4784.2576900000004</v>
      </c>
      <c r="P818">
        <v>4786.3532999999998</v>
      </c>
      <c r="Q818">
        <v>4778.8952499999996</v>
      </c>
    </row>
    <row r="819" spans="1:17" x14ac:dyDescent="0.55000000000000004">
      <c r="A819">
        <v>1774584000</v>
      </c>
      <c r="B819" t="s">
        <v>0</v>
      </c>
      <c r="C819" t="s">
        <v>1</v>
      </c>
      <c r="D819">
        <v>4446.1000000000004</v>
      </c>
      <c r="E819">
        <v>4450.2056400000001</v>
      </c>
      <c r="F819">
        <v>4441.2175299999999</v>
      </c>
      <c r="G819">
        <v>4461.9062899999999</v>
      </c>
      <c r="H819">
        <v>4437.6119099999996</v>
      </c>
      <c r="J819">
        <v>1775642700</v>
      </c>
      <c r="K819" t="s">
        <v>0</v>
      </c>
      <c r="L819" t="s">
        <v>2</v>
      </c>
      <c r="M819">
        <v>4788.0600000000004</v>
      </c>
      <c r="N819">
        <v>4782.1177299999999</v>
      </c>
      <c r="O819">
        <v>4783.1877100000002</v>
      </c>
      <c r="P819">
        <v>4785.1604900000002</v>
      </c>
      <c r="Q819">
        <v>4778.2278200000001</v>
      </c>
    </row>
    <row r="820" spans="1:17" x14ac:dyDescent="0.55000000000000004">
      <c r="A820">
        <v>1774587600</v>
      </c>
      <c r="B820" t="s">
        <v>0</v>
      </c>
      <c r="C820" t="s">
        <v>1</v>
      </c>
      <c r="D820">
        <v>4454.72</v>
      </c>
      <c r="E820">
        <v>4450.3846599999997</v>
      </c>
      <c r="F820">
        <v>4445.8010899999999</v>
      </c>
      <c r="G820">
        <v>4463.9696599999997</v>
      </c>
      <c r="H820">
        <v>4441.6985400000003</v>
      </c>
      <c r="J820">
        <v>1775643000</v>
      </c>
      <c r="K820" t="s">
        <v>0</v>
      </c>
      <c r="L820" t="s">
        <v>2</v>
      </c>
      <c r="M820">
        <v>4782.7700000000004</v>
      </c>
      <c r="N820">
        <v>4781.7229200000002</v>
      </c>
      <c r="O820">
        <v>4782.45532</v>
      </c>
      <c r="P820">
        <v>4784.5085399999998</v>
      </c>
      <c r="Q820">
        <v>4777.7585600000002</v>
      </c>
    </row>
    <row r="821" spans="1:17" x14ac:dyDescent="0.55000000000000004">
      <c r="A821">
        <v>1774591200</v>
      </c>
      <c r="B821" t="s">
        <v>0</v>
      </c>
      <c r="C821" t="s">
        <v>1</v>
      </c>
      <c r="D821">
        <v>4459.53</v>
      </c>
      <c r="E821">
        <v>4445.3799399999998</v>
      </c>
      <c r="F821">
        <v>4445.5905199999997</v>
      </c>
      <c r="G821">
        <v>4460.4257100000004</v>
      </c>
      <c r="H821">
        <v>4439.7579999999998</v>
      </c>
      <c r="J821">
        <v>1775643300</v>
      </c>
      <c r="K821" t="s">
        <v>0</v>
      </c>
      <c r="L821" t="s">
        <v>2</v>
      </c>
      <c r="M821">
        <v>4776.51</v>
      </c>
      <c r="N821">
        <v>4781.7722000000003</v>
      </c>
      <c r="O821">
        <v>4782.1137600000002</v>
      </c>
      <c r="P821">
        <v>4784.4058199999999</v>
      </c>
      <c r="Q821">
        <v>4777.5870100000002</v>
      </c>
    </row>
    <row r="822" spans="1:17" x14ac:dyDescent="0.55000000000000004">
      <c r="A822">
        <v>1774594800</v>
      </c>
      <c r="B822" t="s">
        <v>0</v>
      </c>
      <c r="C822" t="s">
        <v>1</v>
      </c>
      <c r="D822">
        <v>4447.7700000000004</v>
      </c>
      <c r="E822">
        <v>4437.1877400000003</v>
      </c>
      <c r="F822">
        <v>4441.3891299999996</v>
      </c>
      <c r="G822">
        <v>4452.9907499999999</v>
      </c>
      <c r="H822">
        <v>4432.8671599999998</v>
      </c>
      <c r="J822">
        <v>1775643600</v>
      </c>
      <c r="K822" t="s">
        <v>0</v>
      </c>
      <c r="L822" t="s">
        <v>2</v>
      </c>
      <c r="M822">
        <v>4778.6899999999996</v>
      </c>
      <c r="N822">
        <v>4782.4230299999999</v>
      </c>
      <c r="O822">
        <v>4782.2683999999999</v>
      </c>
      <c r="P822">
        <v>4784.9299300000002</v>
      </c>
      <c r="Q822">
        <v>4778.0565500000002</v>
      </c>
    </row>
    <row r="823" spans="1:17" x14ac:dyDescent="0.55000000000000004">
      <c r="A823">
        <v>1774598400</v>
      </c>
      <c r="B823" t="s">
        <v>0</v>
      </c>
      <c r="C823" t="s">
        <v>1</v>
      </c>
      <c r="D823">
        <v>4424.2</v>
      </c>
      <c r="E823">
        <v>4428.7623400000002</v>
      </c>
      <c r="F823">
        <v>4435.0757299999996</v>
      </c>
      <c r="G823">
        <v>4444.5491400000001</v>
      </c>
      <c r="H823">
        <v>4423.5757599999997</v>
      </c>
      <c r="J823">
        <v>1775643900</v>
      </c>
      <c r="K823" t="s">
        <v>0</v>
      </c>
      <c r="L823" t="s">
        <v>2</v>
      </c>
      <c r="M823">
        <v>4782.6099999999997</v>
      </c>
      <c r="N823">
        <v>4783.58</v>
      </c>
      <c r="O823">
        <v>4782.9242000000004</v>
      </c>
      <c r="P823">
        <v>4786.0493999999999</v>
      </c>
      <c r="Q823">
        <v>4779.1751299999996</v>
      </c>
    </row>
    <row r="824" spans="1:17" x14ac:dyDescent="0.55000000000000004">
      <c r="A824">
        <v>1774602000</v>
      </c>
      <c r="B824" t="s">
        <v>0</v>
      </c>
      <c r="C824" t="s">
        <v>1</v>
      </c>
      <c r="D824">
        <v>4429.01</v>
      </c>
      <c r="E824">
        <v>4423.5625899999995</v>
      </c>
      <c r="F824">
        <v>4429.31916</v>
      </c>
      <c r="G824">
        <v>4438.3119900000002</v>
      </c>
      <c r="H824">
        <v>4415.1769400000003</v>
      </c>
      <c r="J824">
        <v>1775644200</v>
      </c>
      <c r="K824" t="s">
        <v>0</v>
      </c>
      <c r="L824" t="s">
        <v>2</v>
      </c>
      <c r="M824">
        <v>4783.17</v>
      </c>
      <c r="N824">
        <v>4785.06376</v>
      </c>
      <c r="O824">
        <v>4783.9939800000002</v>
      </c>
      <c r="P824">
        <v>4787.5799200000001</v>
      </c>
      <c r="Q824">
        <v>4780.7391699999998</v>
      </c>
    </row>
    <row r="825" spans="1:17" x14ac:dyDescent="0.55000000000000004">
      <c r="A825">
        <v>1774605600</v>
      </c>
      <c r="B825" t="s">
        <v>0</v>
      </c>
      <c r="C825" t="s">
        <v>1</v>
      </c>
      <c r="D825">
        <v>4414.74</v>
      </c>
      <c r="E825">
        <v>4423.7682100000002</v>
      </c>
      <c r="F825">
        <v>4426.5436900000004</v>
      </c>
      <c r="G825">
        <v>4437.2012500000001</v>
      </c>
      <c r="H825">
        <v>4410.4235099999996</v>
      </c>
      <c r="J825">
        <v>1775644500</v>
      </c>
      <c r="K825" t="s">
        <v>0</v>
      </c>
      <c r="L825" t="s">
        <v>2</v>
      </c>
      <c r="M825">
        <v>4787.74</v>
      </c>
      <c r="N825">
        <v>4786.7003800000002</v>
      </c>
      <c r="O825">
        <v>4785.3471799999998</v>
      </c>
      <c r="P825">
        <v>4789.3000599999996</v>
      </c>
      <c r="Q825">
        <v>4782.5747099999999</v>
      </c>
    </row>
    <row r="826" spans="1:17" x14ac:dyDescent="0.55000000000000004">
      <c r="A826">
        <v>1774609200</v>
      </c>
      <c r="B826" t="s">
        <v>0</v>
      </c>
      <c r="C826" t="s">
        <v>1</v>
      </c>
      <c r="D826">
        <v>4420.18</v>
      </c>
      <c r="E826">
        <v>4430.8904400000001</v>
      </c>
      <c r="F826">
        <v>4428.7170599999999</v>
      </c>
      <c r="G826">
        <v>4442.9495200000001</v>
      </c>
      <c r="H826">
        <v>4411.5369700000001</v>
      </c>
      <c r="J826">
        <v>1775644800</v>
      </c>
      <c r="K826" t="s">
        <v>0</v>
      </c>
      <c r="L826" t="s">
        <v>2</v>
      </c>
      <c r="M826">
        <v>4791.74</v>
      </c>
      <c r="N826">
        <v>4788.16518</v>
      </c>
      <c r="O826">
        <v>4786.7561800000003</v>
      </c>
      <c r="P826">
        <v>4790.89887</v>
      </c>
      <c r="Q826">
        <v>4784.41518</v>
      </c>
    </row>
    <row r="827" spans="1:17" x14ac:dyDescent="0.55000000000000004">
      <c r="A827">
        <v>1774612800</v>
      </c>
      <c r="B827" t="s">
        <v>0</v>
      </c>
      <c r="C827" t="s">
        <v>1</v>
      </c>
      <c r="D827">
        <v>4437.8</v>
      </c>
      <c r="E827">
        <v>4444.4430700000003</v>
      </c>
      <c r="F827">
        <v>4436.5800600000002</v>
      </c>
      <c r="G827">
        <v>4455.8522599999997</v>
      </c>
      <c r="H827">
        <v>4419.4656999999997</v>
      </c>
      <c r="J827">
        <v>1775645100</v>
      </c>
      <c r="K827" t="s">
        <v>0</v>
      </c>
      <c r="L827" t="s">
        <v>2</v>
      </c>
      <c r="M827">
        <v>4793.4799999999996</v>
      </c>
      <c r="N827">
        <v>4789.1305499999999</v>
      </c>
      <c r="O827">
        <v>4787.94337</v>
      </c>
      <c r="P827">
        <v>4792.1128900000003</v>
      </c>
      <c r="Q827">
        <v>4785.9088899999997</v>
      </c>
    </row>
    <row r="828" spans="1:17" x14ac:dyDescent="0.55000000000000004">
      <c r="A828">
        <v>1774616400</v>
      </c>
      <c r="B828" t="s">
        <v>0</v>
      </c>
      <c r="C828" t="s">
        <v>1</v>
      </c>
      <c r="D828">
        <v>4432.3900000000003</v>
      </c>
      <c r="E828">
        <v>4462.3944700000002</v>
      </c>
      <c r="F828">
        <v>4449.4872699999996</v>
      </c>
      <c r="G828">
        <v>4474.0678399999997</v>
      </c>
      <c r="H828">
        <v>4433.4738299999999</v>
      </c>
      <c r="J828">
        <v>1775645400</v>
      </c>
      <c r="K828" t="s">
        <v>0</v>
      </c>
      <c r="L828" t="s">
        <v>2</v>
      </c>
      <c r="M828">
        <v>4790.87</v>
      </c>
      <c r="N828">
        <v>4789.3741499999996</v>
      </c>
      <c r="O828">
        <v>4788.6587600000003</v>
      </c>
      <c r="P828">
        <v>4792.6934700000002</v>
      </c>
      <c r="Q828">
        <v>4786.6325500000003</v>
      </c>
    </row>
    <row r="829" spans="1:17" x14ac:dyDescent="0.55000000000000004">
      <c r="A829">
        <v>1774620000</v>
      </c>
      <c r="B829" t="s">
        <v>0</v>
      </c>
      <c r="C829" t="s">
        <v>1</v>
      </c>
      <c r="D829">
        <v>4509.8599999999997</v>
      </c>
      <c r="E829">
        <v>4482.2443599999997</v>
      </c>
      <c r="F829">
        <v>4465.8658100000002</v>
      </c>
      <c r="G829">
        <v>4495.20741</v>
      </c>
      <c r="H829">
        <v>4451.6215899999997</v>
      </c>
      <c r="J829">
        <v>1775645700</v>
      </c>
      <c r="K829" t="s">
        <v>0</v>
      </c>
      <c r="L829" t="s">
        <v>2</v>
      </c>
      <c r="M829">
        <v>4782.71</v>
      </c>
      <c r="N829">
        <v>4788.9123799999998</v>
      </c>
      <c r="O829">
        <v>4788.78557</v>
      </c>
      <c r="P829">
        <v>4792.5444799999996</v>
      </c>
      <c r="Q829">
        <v>4786.4560499999998</v>
      </c>
    </row>
    <row r="830" spans="1:17" x14ac:dyDescent="0.55000000000000004">
      <c r="A830">
        <v>1774623600</v>
      </c>
      <c r="B830" t="s">
        <v>0</v>
      </c>
      <c r="C830" t="s">
        <v>1</v>
      </c>
      <c r="D830">
        <v>4524.01</v>
      </c>
      <c r="E830">
        <v>4498.8734199999999</v>
      </c>
      <c r="F830">
        <v>4482.3696200000004</v>
      </c>
      <c r="G830">
        <v>4514.3871499999996</v>
      </c>
      <c r="H830">
        <v>4470.5394200000001</v>
      </c>
      <c r="J830">
        <v>1775646000</v>
      </c>
      <c r="K830" t="s">
        <v>0</v>
      </c>
      <c r="L830" t="s">
        <v>2</v>
      </c>
      <c r="M830">
        <v>4782.45</v>
      </c>
      <c r="N830">
        <v>4788.0402999999997</v>
      </c>
      <c r="O830">
        <v>4788.4129300000004</v>
      </c>
      <c r="P830">
        <v>4791.8440600000004</v>
      </c>
      <c r="Q830">
        <v>4785.5887700000003</v>
      </c>
    </row>
    <row r="831" spans="1:17" x14ac:dyDescent="0.55000000000000004">
      <c r="A831">
        <v>1774627200</v>
      </c>
      <c r="B831" t="s">
        <v>0</v>
      </c>
      <c r="C831" t="s">
        <v>1</v>
      </c>
      <c r="D831">
        <v>4516.03</v>
      </c>
      <c r="E831">
        <v>4509.5307199999997</v>
      </c>
      <c r="F831">
        <v>4495.9501700000001</v>
      </c>
      <c r="G831">
        <v>4527.8786399999999</v>
      </c>
      <c r="H831">
        <v>4485.3330100000003</v>
      </c>
      <c r="J831">
        <v>1775646300</v>
      </c>
      <c r="K831" t="s">
        <v>0</v>
      </c>
      <c r="L831" t="s">
        <v>2</v>
      </c>
      <c r="M831">
        <v>4790.84</v>
      </c>
      <c r="N831">
        <v>4786.9718000000003</v>
      </c>
      <c r="O831">
        <v>4787.6923699999998</v>
      </c>
      <c r="P831">
        <v>4790.8925900000004</v>
      </c>
      <c r="Q831">
        <v>4784.2653399999999</v>
      </c>
    </row>
    <row r="832" spans="1:17" x14ac:dyDescent="0.55000000000000004">
      <c r="A832">
        <v>1774630800</v>
      </c>
      <c r="B832" t="s">
        <v>0</v>
      </c>
      <c r="C832" t="s">
        <v>1</v>
      </c>
      <c r="D832">
        <v>4486.95</v>
      </c>
      <c r="E832">
        <v>4513.2044299999998</v>
      </c>
      <c r="F832">
        <v>4504.5772999999999</v>
      </c>
      <c r="G832">
        <v>4534.5928299999996</v>
      </c>
      <c r="H832">
        <v>4493.6978099999997</v>
      </c>
      <c r="J832">
        <v>1775646600</v>
      </c>
      <c r="K832" t="s">
        <v>0</v>
      </c>
      <c r="L832" t="s">
        <v>2</v>
      </c>
      <c r="M832">
        <v>4787.46</v>
      </c>
      <c r="N832">
        <v>4785.7827399999996</v>
      </c>
      <c r="O832">
        <v>4786.7375499999998</v>
      </c>
      <c r="P832">
        <v>4789.8302800000001</v>
      </c>
      <c r="Q832">
        <v>4782.7924800000001</v>
      </c>
    </row>
    <row r="833" spans="1:17" x14ac:dyDescent="0.55000000000000004">
      <c r="A833">
        <v>1774634400</v>
      </c>
      <c r="B833" t="s">
        <v>0</v>
      </c>
      <c r="C833" t="s">
        <v>1</v>
      </c>
      <c r="D833">
        <v>4516.8599999999997</v>
      </c>
      <c r="E833">
        <v>4510.6659200000004</v>
      </c>
      <c r="F833">
        <v>4507.6216100000001</v>
      </c>
      <c r="G833">
        <v>4534.4104100000004</v>
      </c>
      <c r="H833">
        <v>4495.1346299999996</v>
      </c>
      <c r="J833">
        <v>1775646900</v>
      </c>
      <c r="K833" t="s">
        <v>0</v>
      </c>
      <c r="L833" t="s">
        <v>2</v>
      </c>
      <c r="M833">
        <v>4784.9399999999996</v>
      </c>
      <c r="N833">
        <v>4784.9205300000003</v>
      </c>
      <c r="O833">
        <v>4785.8290399999996</v>
      </c>
      <c r="P833">
        <v>4788.9698200000003</v>
      </c>
      <c r="Q833">
        <v>4781.41903</v>
      </c>
    </row>
    <row r="834" spans="1:17" x14ac:dyDescent="0.55000000000000004">
      <c r="A834">
        <v>1774638000</v>
      </c>
      <c r="B834" t="s">
        <v>0</v>
      </c>
      <c r="C834" t="s">
        <v>1</v>
      </c>
      <c r="D834">
        <v>4514.41</v>
      </c>
      <c r="E834">
        <v>4502.3944000000001</v>
      </c>
      <c r="F834">
        <v>4505.0080099999996</v>
      </c>
      <c r="G834">
        <v>4528.1402699999999</v>
      </c>
      <c r="H834">
        <v>4489.9691700000003</v>
      </c>
      <c r="J834">
        <v>1775647200</v>
      </c>
      <c r="K834" t="s">
        <v>0</v>
      </c>
      <c r="L834" t="s">
        <v>2</v>
      </c>
      <c r="M834">
        <v>4785.7700000000004</v>
      </c>
      <c r="N834">
        <v>4784.7706200000002</v>
      </c>
      <c r="O834">
        <v>4785.2998299999999</v>
      </c>
      <c r="P834">
        <v>4788.6669300000003</v>
      </c>
      <c r="Q834">
        <v>4780.6602400000002</v>
      </c>
    </row>
    <row r="835" spans="1:17" x14ac:dyDescent="0.55000000000000004">
      <c r="A835">
        <v>1774641600</v>
      </c>
      <c r="B835" t="s">
        <v>0</v>
      </c>
      <c r="C835" t="s">
        <v>1</v>
      </c>
      <c r="D835">
        <v>4495.12</v>
      </c>
      <c r="E835">
        <v>4490.5622300000005</v>
      </c>
      <c r="F835">
        <v>4497.7851199999996</v>
      </c>
      <c r="G835">
        <v>4517.8785099999996</v>
      </c>
      <c r="H835">
        <v>4479.46792</v>
      </c>
      <c r="J835">
        <v>1775647500</v>
      </c>
      <c r="K835" t="s">
        <v>0</v>
      </c>
      <c r="L835" t="s">
        <v>2</v>
      </c>
      <c r="M835">
        <v>4789.76</v>
      </c>
      <c r="N835">
        <v>4785.5623900000001</v>
      </c>
      <c r="O835">
        <v>4785.4311100000004</v>
      </c>
      <c r="P835">
        <v>4789.1581100000003</v>
      </c>
      <c r="Q835">
        <v>4780.8775999999998</v>
      </c>
    </row>
    <row r="836" spans="1:17" x14ac:dyDescent="0.55000000000000004">
      <c r="A836">
        <v>1774821600</v>
      </c>
      <c r="B836" t="s">
        <v>0</v>
      </c>
      <c r="C836" t="s">
        <v>1</v>
      </c>
      <c r="D836">
        <v>4484.8</v>
      </c>
      <c r="E836">
        <v>4478.1913199999999</v>
      </c>
      <c r="F836">
        <v>4487.9882200000002</v>
      </c>
      <c r="G836">
        <v>4506.2332999999999</v>
      </c>
      <c r="H836">
        <v>4466.4558100000004</v>
      </c>
      <c r="J836">
        <v>1775647800</v>
      </c>
      <c r="K836" t="s">
        <v>0</v>
      </c>
      <c r="L836" t="s">
        <v>2</v>
      </c>
      <c r="M836">
        <v>4787.91</v>
      </c>
      <c r="N836">
        <v>4787.25342</v>
      </c>
      <c r="O836">
        <v>4786.3422600000004</v>
      </c>
      <c r="P836">
        <v>4790.3563000000004</v>
      </c>
      <c r="Q836">
        <v>4782.2043700000004</v>
      </c>
    </row>
    <row r="837" spans="1:17" x14ac:dyDescent="0.55000000000000004">
      <c r="A837">
        <v>1774825200</v>
      </c>
      <c r="B837" t="s">
        <v>0</v>
      </c>
      <c r="C837" t="s">
        <v>1</v>
      </c>
      <c r="D837">
        <v>4448.21</v>
      </c>
      <c r="E837">
        <v>4468.0061699999997</v>
      </c>
      <c r="F837">
        <v>4477.99719</v>
      </c>
      <c r="G837">
        <v>4495.6863400000002</v>
      </c>
      <c r="H837">
        <v>4454.4930800000002</v>
      </c>
      <c r="J837">
        <v>1775648100</v>
      </c>
      <c r="K837" t="s">
        <v>0</v>
      </c>
      <c r="L837" t="s">
        <v>2</v>
      </c>
      <c r="M837">
        <v>4783.32</v>
      </c>
      <c r="N837">
        <v>4789.7402099999999</v>
      </c>
      <c r="O837">
        <v>4788.0412399999996</v>
      </c>
      <c r="P837">
        <v>4792.3481099999999</v>
      </c>
      <c r="Q837">
        <v>4784.5541400000002</v>
      </c>
    </row>
    <row r="838" spans="1:17" x14ac:dyDescent="0.55000000000000004">
      <c r="A838">
        <v>1774828800</v>
      </c>
      <c r="B838" t="s">
        <v>0</v>
      </c>
      <c r="C838" t="s">
        <v>1</v>
      </c>
      <c r="D838">
        <v>4432.17</v>
      </c>
      <c r="E838">
        <v>4463.0357999999997</v>
      </c>
      <c r="F838">
        <v>4470.5164999999997</v>
      </c>
      <c r="G838">
        <v>4488.7643099999996</v>
      </c>
      <c r="H838">
        <v>4446.9517500000002</v>
      </c>
      <c r="J838">
        <v>1775648400</v>
      </c>
      <c r="K838" t="s">
        <v>0</v>
      </c>
      <c r="L838" t="s">
        <v>2</v>
      </c>
      <c r="M838">
        <v>4790.34</v>
      </c>
      <c r="N838">
        <v>4792.8085600000004</v>
      </c>
      <c r="O838">
        <v>4790.4249</v>
      </c>
      <c r="P838">
        <v>4795.0716499999999</v>
      </c>
      <c r="Q838">
        <v>4787.7723599999999</v>
      </c>
    </row>
    <row r="839" spans="1:17" x14ac:dyDescent="0.55000000000000004">
      <c r="A839">
        <v>1774832400</v>
      </c>
      <c r="B839" t="s">
        <v>0</v>
      </c>
      <c r="C839" t="s">
        <v>1</v>
      </c>
      <c r="D839">
        <v>4469.97</v>
      </c>
      <c r="E839">
        <v>4464.7550000000001</v>
      </c>
      <c r="F839">
        <v>4467.6357500000004</v>
      </c>
      <c r="G839">
        <v>4487.2101300000004</v>
      </c>
      <c r="H839">
        <v>4446.2555300000004</v>
      </c>
      <c r="J839">
        <v>1775648700</v>
      </c>
      <c r="K839" t="s">
        <v>0</v>
      </c>
      <c r="L839" t="s">
        <v>2</v>
      </c>
      <c r="M839">
        <v>4796.0200000000004</v>
      </c>
      <c r="N839">
        <v>4795.8128500000003</v>
      </c>
      <c r="O839">
        <v>4793.1188700000002</v>
      </c>
      <c r="P839">
        <v>4798.1348900000003</v>
      </c>
      <c r="Q839">
        <v>4791.2578100000001</v>
      </c>
    </row>
    <row r="840" spans="1:17" x14ac:dyDescent="0.55000000000000004">
      <c r="A840">
        <v>1774836000</v>
      </c>
      <c r="B840" t="s">
        <v>0</v>
      </c>
      <c r="C840" t="s">
        <v>1</v>
      </c>
      <c r="D840">
        <v>4481.3999999999996</v>
      </c>
      <c r="E840">
        <v>4471.9063200000001</v>
      </c>
      <c r="F840">
        <v>4469.7710299999999</v>
      </c>
      <c r="G840">
        <v>4490.8761800000002</v>
      </c>
      <c r="H840">
        <v>4452.3736200000003</v>
      </c>
      <c r="J840">
        <v>1775649000</v>
      </c>
      <c r="K840" t="s">
        <v>0</v>
      </c>
      <c r="L840" t="s">
        <v>2</v>
      </c>
      <c r="M840">
        <v>4796.7700000000004</v>
      </c>
      <c r="N840">
        <v>4798.1142200000004</v>
      </c>
      <c r="O840">
        <v>4795.6165499999997</v>
      </c>
      <c r="P840">
        <v>4800.9807700000001</v>
      </c>
      <c r="Q840">
        <v>4794.1546099999996</v>
      </c>
    </row>
    <row r="841" spans="1:17" x14ac:dyDescent="0.55000000000000004">
      <c r="A841">
        <v>1774839600</v>
      </c>
      <c r="B841" t="s">
        <v>0</v>
      </c>
      <c r="C841" t="s">
        <v>1</v>
      </c>
      <c r="D841">
        <v>4496.25</v>
      </c>
      <c r="E841">
        <v>4483.1353499999996</v>
      </c>
      <c r="F841">
        <v>4476.4531900000002</v>
      </c>
      <c r="G841">
        <v>4498.3946900000001</v>
      </c>
      <c r="H841">
        <v>4463.7179699999997</v>
      </c>
      <c r="J841">
        <v>1775649300</v>
      </c>
      <c r="K841" t="s">
        <v>0</v>
      </c>
      <c r="L841" t="s">
        <v>2</v>
      </c>
      <c r="M841">
        <v>4798.3</v>
      </c>
      <c r="N841">
        <v>4799.2850500000004</v>
      </c>
      <c r="O841">
        <v>4797.4507999999996</v>
      </c>
      <c r="P841">
        <v>4803.0792000000001</v>
      </c>
      <c r="Q841">
        <v>4795.7633599999999</v>
      </c>
    </row>
    <row r="842" spans="1:17" x14ac:dyDescent="0.55000000000000004">
      <c r="A842">
        <v>1774843200</v>
      </c>
      <c r="B842" t="s">
        <v>0</v>
      </c>
      <c r="C842" t="s">
        <v>1</v>
      </c>
      <c r="D842">
        <v>4496.8599999999997</v>
      </c>
      <c r="E842">
        <v>4496.6563599999999</v>
      </c>
      <c r="F842">
        <v>4486.5547800000004</v>
      </c>
      <c r="G842">
        <v>4508.1321200000002</v>
      </c>
      <c r="H842">
        <v>4478.12637</v>
      </c>
      <c r="J842">
        <v>1775649600</v>
      </c>
      <c r="K842" t="s">
        <v>0</v>
      </c>
      <c r="L842" t="s">
        <v>2</v>
      </c>
      <c r="M842">
        <v>4803.78</v>
      </c>
      <c r="N842">
        <v>4799.1078699999998</v>
      </c>
      <c r="O842">
        <v>4798.27934</v>
      </c>
      <c r="P842">
        <v>4804.07053</v>
      </c>
      <c r="Q842">
        <v>4795.7214599999998</v>
      </c>
    </row>
    <row r="843" spans="1:17" x14ac:dyDescent="0.55000000000000004">
      <c r="A843">
        <v>1774846800</v>
      </c>
      <c r="B843" t="s">
        <v>0</v>
      </c>
      <c r="C843" t="s">
        <v>1</v>
      </c>
      <c r="D843">
        <v>4522.59</v>
      </c>
      <c r="E843">
        <v>4510.8243199999997</v>
      </c>
      <c r="F843">
        <v>4498.6895500000001</v>
      </c>
      <c r="G843">
        <v>4519.3078800000003</v>
      </c>
      <c r="H843">
        <v>4493.4637899999998</v>
      </c>
      <c r="J843">
        <v>1775649900</v>
      </c>
      <c r="K843" t="s">
        <v>0</v>
      </c>
      <c r="L843" t="s">
        <v>2</v>
      </c>
      <c r="M843">
        <v>4800.51</v>
      </c>
      <c r="N843">
        <v>4797.5413500000004</v>
      </c>
      <c r="O843">
        <v>4797.9103400000004</v>
      </c>
      <c r="P843">
        <v>4803.8162899999998</v>
      </c>
      <c r="Q843">
        <v>4794.01728</v>
      </c>
    </row>
    <row r="844" spans="1:17" x14ac:dyDescent="0.55000000000000004">
      <c r="A844">
        <v>1774850400</v>
      </c>
      <c r="B844" t="s">
        <v>0</v>
      </c>
      <c r="C844" t="s">
        <v>1</v>
      </c>
      <c r="D844">
        <v>4532.6000000000004</v>
      </c>
      <c r="E844">
        <v>4523.5853200000001</v>
      </c>
      <c r="F844">
        <v>4511.1374400000004</v>
      </c>
      <c r="G844">
        <v>4530.2515700000004</v>
      </c>
      <c r="H844">
        <v>4507.62302</v>
      </c>
      <c r="J844">
        <v>1775650200</v>
      </c>
      <c r="K844" t="s">
        <v>0</v>
      </c>
      <c r="L844" t="s">
        <v>2</v>
      </c>
      <c r="M844">
        <v>4805.3100000000004</v>
      </c>
      <c r="N844">
        <v>4795.0170399999997</v>
      </c>
      <c r="O844">
        <v>4796.4636899999996</v>
      </c>
      <c r="P844">
        <v>4802.3989899999997</v>
      </c>
      <c r="Q844">
        <v>4790.9897199999996</v>
      </c>
    </row>
    <row r="845" spans="1:17" x14ac:dyDescent="0.55000000000000004">
      <c r="A845">
        <v>1774854000</v>
      </c>
      <c r="B845" t="s">
        <v>0</v>
      </c>
      <c r="C845" t="s">
        <v>1</v>
      </c>
      <c r="D845">
        <v>4527.47</v>
      </c>
      <c r="E845">
        <v>4533.8622999999998</v>
      </c>
      <c r="F845">
        <v>4522.4998699999996</v>
      </c>
      <c r="G845">
        <v>4539.8870200000001</v>
      </c>
      <c r="H845">
        <v>4518.8534300000001</v>
      </c>
      <c r="J845">
        <v>1775650500</v>
      </c>
      <c r="K845" t="s">
        <v>0</v>
      </c>
      <c r="L845" t="s">
        <v>2</v>
      </c>
      <c r="M845">
        <v>4792.62</v>
      </c>
      <c r="N845">
        <v>4791.9939599999998</v>
      </c>
      <c r="O845">
        <v>4794.22883</v>
      </c>
      <c r="P845">
        <v>4800.1292299999996</v>
      </c>
      <c r="Q845">
        <v>4787.3666899999998</v>
      </c>
    </row>
    <row r="846" spans="1:17" x14ac:dyDescent="0.55000000000000004">
      <c r="A846">
        <v>1774857600</v>
      </c>
      <c r="B846" t="s">
        <v>0</v>
      </c>
      <c r="C846" t="s">
        <v>1</v>
      </c>
      <c r="D846">
        <v>4538.07</v>
      </c>
      <c r="E846">
        <v>4541.6769000000004</v>
      </c>
      <c r="F846">
        <v>4532.0883800000001</v>
      </c>
      <c r="G846">
        <v>4548.4941399999998</v>
      </c>
      <c r="H846">
        <v>4526.74316</v>
      </c>
      <c r="J846">
        <v>1775650800</v>
      </c>
      <c r="K846" t="s">
        <v>0</v>
      </c>
      <c r="L846" t="s">
        <v>2</v>
      </c>
      <c r="M846">
        <v>4770.22</v>
      </c>
      <c r="N846">
        <v>4789.4608799999996</v>
      </c>
      <c r="O846">
        <v>4791.8448500000004</v>
      </c>
      <c r="P846">
        <v>4797.5953300000001</v>
      </c>
      <c r="Q846">
        <v>4784.09782</v>
      </c>
    </row>
    <row r="847" spans="1:17" x14ac:dyDescent="0.55000000000000004">
      <c r="A847">
        <v>1774861200</v>
      </c>
      <c r="B847" t="s">
        <v>0</v>
      </c>
      <c r="C847" t="s">
        <v>1</v>
      </c>
      <c r="D847">
        <v>4532.45</v>
      </c>
      <c r="E847">
        <v>4546.8306300000004</v>
      </c>
      <c r="F847">
        <v>4539.4595099999997</v>
      </c>
      <c r="G847">
        <v>4555.9493599999996</v>
      </c>
      <c r="H847">
        <v>4531.2567900000004</v>
      </c>
      <c r="J847">
        <v>1775651100</v>
      </c>
      <c r="K847" t="s">
        <v>0</v>
      </c>
      <c r="L847" t="s">
        <v>2</v>
      </c>
      <c r="M847">
        <v>4784.3599999999997</v>
      </c>
      <c r="N847">
        <v>4788.54835</v>
      </c>
      <c r="O847">
        <v>4790.1966000000002</v>
      </c>
      <c r="P847">
        <v>4795.6256999999996</v>
      </c>
      <c r="Q847">
        <v>4782.4882900000002</v>
      </c>
    </row>
    <row r="848" spans="1:17" x14ac:dyDescent="0.55000000000000004">
      <c r="A848">
        <v>1774864800</v>
      </c>
      <c r="B848" t="s">
        <v>0</v>
      </c>
      <c r="C848" t="s">
        <v>1</v>
      </c>
      <c r="D848">
        <v>4532.5600000000004</v>
      </c>
      <c r="E848">
        <v>4549.7286100000001</v>
      </c>
      <c r="F848">
        <v>4544.5940600000004</v>
      </c>
      <c r="G848">
        <v>4562.0934800000005</v>
      </c>
      <c r="H848">
        <v>4533.0435900000002</v>
      </c>
      <c r="J848">
        <v>1775651400</v>
      </c>
      <c r="K848" t="s">
        <v>0</v>
      </c>
      <c r="L848" t="s">
        <v>2</v>
      </c>
      <c r="M848">
        <v>4793.3</v>
      </c>
      <c r="N848">
        <v>4789.1780600000002</v>
      </c>
      <c r="O848">
        <v>4789.6873299999997</v>
      </c>
      <c r="P848">
        <v>4794.8972199999998</v>
      </c>
      <c r="Q848">
        <v>4782.9465799999998</v>
      </c>
    </row>
    <row r="849" spans="1:17" x14ac:dyDescent="0.55000000000000004">
      <c r="A849">
        <v>1774868400</v>
      </c>
      <c r="B849" t="s">
        <v>0</v>
      </c>
      <c r="C849" t="s">
        <v>1</v>
      </c>
      <c r="D849">
        <v>4559.53</v>
      </c>
      <c r="E849">
        <v>4550.5925100000004</v>
      </c>
      <c r="F849">
        <v>4547.59328</v>
      </c>
      <c r="G849">
        <v>4566.5794999999998</v>
      </c>
      <c r="H849">
        <v>4532.7093400000003</v>
      </c>
      <c r="J849">
        <v>1775651700</v>
      </c>
      <c r="K849" t="s">
        <v>0</v>
      </c>
      <c r="L849" t="s">
        <v>2</v>
      </c>
      <c r="M849">
        <v>4796.66</v>
      </c>
      <c r="N849">
        <v>4791.0257199999996</v>
      </c>
      <c r="O849">
        <v>4790.35653</v>
      </c>
      <c r="P849">
        <v>4795.3498200000004</v>
      </c>
      <c r="Q849">
        <v>4785.1129099999998</v>
      </c>
    </row>
    <row r="850" spans="1:17" x14ac:dyDescent="0.55000000000000004">
      <c r="A850">
        <v>1774872000</v>
      </c>
      <c r="B850" t="s">
        <v>0</v>
      </c>
      <c r="C850" t="s">
        <v>1</v>
      </c>
      <c r="D850">
        <v>4569.38</v>
      </c>
      <c r="E850">
        <v>4548.7807400000002</v>
      </c>
      <c r="F850">
        <v>4548.1870099999996</v>
      </c>
      <c r="G850">
        <v>4567.8431300000002</v>
      </c>
      <c r="H850">
        <v>4530.9209899999996</v>
      </c>
      <c r="J850">
        <v>1775652000</v>
      </c>
      <c r="K850" t="s">
        <v>0</v>
      </c>
      <c r="L850" t="s">
        <v>2</v>
      </c>
      <c r="M850">
        <v>4794.8599999999997</v>
      </c>
      <c r="N850">
        <v>4793.6753699999999</v>
      </c>
      <c r="O850">
        <v>4792.01595</v>
      </c>
      <c r="P850">
        <v>4796.7719100000004</v>
      </c>
      <c r="Q850">
        <v>4788.4025799999999</v>
      </c>
    </row>
    <row r="851" spans="1:17" x14ac:dyDescent="0.55000000000000004">
      <c r="A851">
        <v>1774875600</v>
      </c>
      <c r="B851" t="s">
        <v>0</v>
      </c>
      <c r="C851" t="s">
        <v>1</v>
      </c>
      <c r="D851">
        <v>4523.1000000000004</v>
      </c>
      <c r="E851">
        <v>4544.1904100000002</v>
      </c>
      <c r="F851">
        <v>4546.1887100000004</v>
      </c>
      <c r="G851">
        <v>4565.4673199999997</v>
      </c>
      <c r="H851">
        <v>4527.5203199999996</v>
      </c>
      <c r="J851">
        <v>1775652300</v>
      </c>
      <c r="K851" t="s">
        <v>0</v>
      </c>
      <c r="L851" t="s">
        <v>2</v>
      </c>
      <c r="M851">
        <v>4797.5200000000004</v>
      </c>
      <c r="N851">
        <v>4796.6705199999997</v>
      </c>
      <c r="O851">
        <v>4794.3432300000004</v>
      </c>
      <c r="P851">
        <v>4798.8507300000001</v>
      </c>
      <c r="Q851">
        <v>4792.1396999999997</v>
      </c>
    </row>
    <row r="852" spans="1:17" x14ac:dyDescent="0.55000000000000004">
      <c r="A852">
        <v>1774879200</v>
      </c>
      <c r="B852" t="s">
        <v>0</v>
      </c>
      <c r="C852" t="s">
        <v>1</v>
      </c>
      <c r="D852">
        <v>4538.32</v>
      </c>
      <c r="E852">
        <v>4538.4868399999996</v>
      </c>
      <c r="F852">
        <v>4542.3377700000001</v>
      </c>
      <c r="G852">
        <v>4559.4170400000003</v>
      </c>
      <c r="H852">
        <v>4523.4934300000004</v>
      </c>
      <c r="J852">
        <v>1775652600</v>
      </c>
      <c r="K852" t="s">
        <v>0</v>
      </c>
      <c r="L852" t="s">
        <v>2</v>
      </c>
      <c r="M852">
        <v>4801.4399999999996</v>
      </c>
      <c r="N852">
        <v>4799.3508300000003</v>
      </c>
      <c r="O852">
        <v>4796.8470299999999</v>
      </c>
      <c r="P852">
        <v>4801.0401599999996</v>
      </c>
      <c r="Q852">
        <v>4795.59303</v>
      </c>
    </row>
    <row r="853" spans="1:17" x14ac:dyDescent="0.55000000000000004">
      <c r="A853">
        <v>1774882800</v>
      </c>
      <c r="B853" t="s">
        <v>0</v>
      </c>
      <c r="C853" t="s">
        <v>1</v>
      </c>
      <c r="D853">
        <v>4548.33</v>
      </c>
      <c r="E853">
        <v>4531.6774599999999</v>
      </c>
      <c r="F853">
        <v>4537.0076200000003</v>
      </c>
      <c r="G853">
        <v>4551.1847799999996</v>
      </c>
      <c r="H853">
        <v>4519.0131700000002</v>
      </c>
      <c r="J853">
        <v>1775652900</v>
      </c>
      <c r="K853" t="s">
        <v>0</v>
      </c>
      <c r="L853" t="s">
        <v>2</v>
      </c>
      <c r="M853">
        <v>4799.53</v>
      </c>
      <c r="N853">
        <v>4801.0618700000005</v>
      </c>
      <c r="O853">
        <v>4798.9544500000002</v>
      </c>
      <c r="P853">
        <v>4802.8437899999999</v>
      </c>
      <c r="Q853">
        <v>4798.0705799999996</v>
      </c>
    </row>
    <row r="854" spans="1:17" x14ac:dyDescent="0.55000000000000004">
      <c r="A854">
        <v>1774886400</v>
      </c>
      <c r="B854" t="s">
        <v>0</v>
      </c>
      <c r="C854" t="s">
        <v>1</v>
      </c>
      <c r="D854">
        <v>4540.07</v>
      </c>
      <c r="E854">
        <v>4524.1393699999999</v>
      </c>
      <c r="F854">
        <v>4530.5735000000004</v>
      </c>
      <c r="G854">
        <v>4541.48441</v>
      </c>
      <c r="H854">
        <v>4513.7235199999996</v>
      </c>
      <c r="J854">
        <v>1775653200</v>
      </c>
      <c r="K854" t="s">
        <v>0</v>
      </c>
      <c r="L854" t="s">
        <v>2</v>
      </c>
      <c r="M854">
        <v>4802.37</v>
      </c>
      <c r="N854">
        <v>4801.4664199999997</v>
      </c>
      <c r="O854">
        <v>4800.2104300000001</v>
      </c>
      <c r="P854">
        <v>4803.8249500000002</v>
      </c>
      <c r="Q854">
        <v>4798.96738</v>
      </c>
    </row>
    <row r="855" spans="1:17" x14ac:dyDescent="0.55000000000000004">
      <c r="A855">
        <v>1774890000</v>
      </c>
      <c r="B855" t="s">
        <v>0</v>
      </c>
      <c r="C855" t="s">
        <v>1</v>
      </c>
      <c r="D855">
        <v>4515.03</v>
      </c>
      <c r="E855">
        <v>4517.0894799999996</v>
      </c>
      <c r="F855">
        <v>4523.8314899999996</v>
      </c>
      <c r="G855">
        <v>4532.0528800000002</v>
      </c>
      <c r="H855">
        <v>4507.5753100000002</v>
      </c>
      <c r="J855">
        <v>1775653500</v>
      </c>
      <c r="K855" t="s">
        <v>0</v>
      </c>
      <c r="L855" t="s">
        <v>2</v>
      </c>
      <c r="M855">
        <v>4797.74</v>
      </c>
      <c r="N855">
        <v>4800.3369599999996</v>
      </c>
      <c r="O855">
        <v>4800.2736999999997</v>
      </c>
      <c r="P855">
        <v>4803.6242199999997</v>
      </c>
      <c r="Q855">
        <v>4798.05242</v>
      </c>
    </row>
    <row r="856" spans="1:17" x14ac:dyDescent="0.55000000000000004">
      <c r="A856">
        <v>1774893600</v>
      </c>
      <c r="B856" t="s">
        <v>0</v>
      </c>
      <c r="C856" t="s">
        <v>1</v>
      </c>
      <c r="D856">
        <v>4499.2</v>
      </c>
      <c r="E856">
        <v>4512.5166399999998</v>
      </c>
      <c r="F856">
        <v>4518.1740600000003</v>
      </c>
      <c r="G856">
        <v>4524.8876600000003</v>
      </c>
      <c r="H856">
        <v>4501.8171000000002</v>
      </c>
      <c r="J856">
        <v>1775653800</v>
      </c>
      <c r="K856" t="s">
        <v>0</v>
      </c>
      <c r="L856" t="s">
        <v>2</v>
      </c>
      <c r="M856">
        <v>4793.2700000000004</v>
      </c>
      <c r="N856">
        <v>4797.8869299999997</v>
      </c>
      <c r="O856">
        <v>4799.0803100000003</v>
      </c>
      <c r="P856">
        <v>4802.2824099999998</v>
      </c>
      <c r="Q856">
        <v>4795.4835400000002</v>
      </c>
    </row>
    <row r="857" spans="1:17" x14ac:dyDescent="0.55000000000000004">
      <c r="A857">
        <v>1774897200</v>
      </c>
      <c r="B857" t="s">
        <v>0</v>
      </c>
      <c r="C857" t="s">
        <v>1</v>
      </c>
      <c r="D857">
        <v>4513.75</v>
      </c>
      <c r="E857">
        <v>4511.9012199999997</v>
      </c>
      <c r="F857">
        <v>4515.0376399999996</v>
      </c>
      <c r="G857">
        <v>4522.1256199999998</v>
      </c>
      <c r="H857">
        <v>4497.76523</v>
      </c>
      <c r="J857">
        <v>1775654100</v>
      </c>
      <c r="K857" t="s">
        <v>0</v>
      </c>
      <c r="L857" t="s">
        <v>2</v>
      </c>
      <c r="M857">
        <v>4793.04</v>
      </c>
      <c r="N857">
        <v>4794.5430100000003</v>
      </c>
      <c r="O857">
        <v>4796.8116600000003</v>
      </c>
      <c r="P857">
        <v>4800.0532599999997</v>
      </c>
      <c r="Q857">
        <v>4791.7175200000001</v>
      </c>
    </row>
    <row r="858" spans="1:17" x14ac:dyDescent="0.55000000000000004">
      <c r="A858">
        <v>1774900800</v>
      </c>
      <c r="B858" t="s">
        <v>0</v>
      </c>
      <c r="C858" t="s">
        <v>1</v>
      </c>
      <c r="D858">
        <v>4511.09</v>
      </c>
      <c r="E858">
        <v>4515.3651099999997</v>
      </c>
      <c r="F858">
        <v>4515.2013800000004</v>
      </c>
      <c r="G858">
        <v>4524.80854</v>
      </c>
      <c r="H858">
        <v>4496.5405499999997</v>
      </c>
      <c r="J858">
        <v>1775654400</v>
      </c>
      <c r="K858" t="s">
        <v>0</v>
      </c>
      <c r="L858" t="s">
        <v>2</v>
      </c>
      <c r="M858">
        <v>4797.71</v>
      </c>
      <c r="N858">
        <v>4790.7268000000004</v>
      </c>
      <c r="O858">
        <v>4793.7692299999999</v>
      </c>
      <c r="P858">
        <v>4797.2470199999998</v>
      </c>
      <c r="Q858">
        <v>4787.2300800000003</v>
      </c>
    </row>
    <row r="859" spans="1:17" x14ac:dyDescent="0.55000000000000004">
      <c r="A859">
        <v>1774908000</v>
      </c>
      <c r="B859" t="s">
        <v>0</v>
      </c>
      <c r="C859" t="s">
        <v>1</v>
      </c>
      <c r="D859">
        <v>4511.09</v>
      </c>
      <c r="E859">
        <v>4522.9170700000004</v>
      </c>
      <c r="F859">
        <v>4519.0592200000001</v>
      </c>
      <c r="G859">
        <v>4532.9485800000002</v>
      </c>
      <c r="H859">
        <v>4498.6731399999999</v>
      </c>
      <c r="J859">
        <v>1775654700</v>
      </c>
      <c r="K859" t="s">
        <v>0</v>
      </c>
      <c r="L859" t="s">
        <v>2</v>
      </c>
      <c r="M859">
        <v>4790.4399999999996</v>
      </c>
      <c r="N859">
        <v>4786.7902800000002</v>
      </c>
      <c r="O859">
        <v>4790.2797600000004</v>
      </c>
      <c r="P859">
        <v>4794.1954800000003</v>
      </c>
      <c r="Q859">
        <v>4782.6100900000001</v>
      </c>
    </row>
    <row r="860" spans="1:17" x14ac:dyDescent="0.55000000000000004">
      <c r="A860">
        <v>1774911600</v>
      </c>
      <c r="B860" t="s">
        <v>0</v>
      </c>
      <c r="C860" t="s">
        <v>1</v>
      </c>
      <c r="D860">
        <v>4513.8900000000003</v>
      </c>
      <c r="E860">
        <v>4533.6447699999999</v>
      </c>
      <c r="F860">
        <v>4526.3519999999999</v>
      </c>
      <c r="G860">
        <v>4545.1242599999996</v>
      </c>
      <c r="H860">
        <v>4504.3843500000003</v>
      </c>
      <c r="J860">
        <v>1775655000</v>
      </c>
      <c r="K860" t="s">
        <v>0</v>
      </c>
      <c r="L860" t="s">
        <v>2</v>
      </c>
      <c r="M860">
        <v>4783</v>
      </c>
      <c r="N860">
        <v>4783.3597900000004</v>
      </c>
      <c r="O860">
        <v>4786.8197700000001</v>
      </c>
      <c r="P860">
        <v>4791.2545600000003</v>
      </c>
      <c r="Q860">
        <v>4778.3766800000003</v>
      </c>
    </row>
    <row r="861" spans="1:17" x14ac:dyDescent="0.55000000000000004">
      <c r="A861">
        <v>1774915200</v>
      </c>
      <c r="B861" t="s">
        <v>0</v>
      </c>
      <c r="C861" t="s">
        <v>1</v>
      </c>
      <c r="D861">
        <v>4547.71</v>
      </c>
      <c r="E861">
        <v>4546.06095</v>
      </c>
      <c r="F861">
        <v>4536.2064799999998</v>
      </c>
      <c r="G861">
        <v>4559.4262900000003</v>
      </c>
      <c r="H861">
        <v>4513.54421</v>
      </c>
      <c r="J861">
        <v>1775655300</v>
      </c>
      <c r="K861" t="s">
        <v>0</v>
      </c>
      <c r="L861" t="s">
        <v>2</v>
      </c>
      <c r="M861">
        <v>4776.87</v>
      </c>
      <c r="N861">
        <v>4780.9129300000004</v>
      </c>
      <c r="O861">
        <v>4783.8663500000002</v>
      </c>
      <c r="P861">
        <v>4788.8460100000002</v>
      </c>
      <c r="Q861">
        <v>4775.2587899999999</v>
      </c>
    </row>
    <row r="862" spans="1:17" x14ac:dyDescent="0.55000000000000004">
      <c r="A862">
        <v>1774918800</v>
      </c>
      <c r="B862" t="s">
        <v>0</v>
      </c>
      <c r="C862" t="s">
        <v>1</v>
      </c>
      <c r="D862">
        <v>4605.2700000000004</v>
      </c>
      <c r="E862">
        <v>4557.7168600000005</v>
      </c>
      <c r="F862">
        <v>4546.9616699999997</v>
      </c>
      <c r="G862">
        <v>4572.9873299999999</v>
      </c>
      <c r="H862">
        <v>4525.4629000000004</v>
      </c>
      <c r="J862">
        <v>1775655600</v>
      </c>
      <c r="K862" t="s">
        <v>0</v>
      </c>
      <c r="L862" t="s">
        <v>2</v>
      </c>
      <c r="M862">
        <v>4774.7</v>
      </c>
      <c r="N862">
        <v>4779.6740099999997</v>
      </c>
      <c r="O862">
        <v>4781.7701800000004</v>
      </c>
      <c r="P862">
        <v>4787.3112300000003</v>
      </c>
      <c r="Q862">
        <v>4773.4138199999998</v>
      </c>
    </row>
    <row r="863" spans="1:17" x14ac:dyDescent="0.55000000000000004">
      <c r="A863">
        <v>1774922400</v>
      </c>
      <c r="B863" t="s">
        <v>0</v>
      </c>
      <c r="C863" t="s">
        <v>1</v>
      </c>
      <c r="D863">
        <v>4568.4799999999996</v>
      </c>
      <c r="E863">
        <v>4565.6764599999997</v>
      </c>
      <c r="F863">
        <v>4556.3190599999998</v>
      </c>
      <c r="G863">
        <v>4582.1238000000003</v>
      </c>
      <c r="H863">
        <v>4537.3634599999996</v>
      </c>
      <c r="J863">
        <v>1775655900</v>
      </c>
      <c r="K863" t="s">
        <v>0</v>
      </c>
      <c r="L863" t="s">
        <v>2</v>
      </c>
      <c r="M863">
        <v>4788.33</v>
      </c>
      <c r="N863">
        <v>4779.5494200000003</v>
      </c>
      <c r="O863">
        <v>4780.6598000000004</v>
      </c>
      <c r="P863">
        <v>4786.7996199999998</v>
      </c>
      <c r="Q863">
        <v>4772.7595499999998</v>
      </c>
    </row>
    <row r="864" spans="1:17" x14ac:dyDescent="0.55000000000000004">
      <c r="A864">
        <v>1774926000</v>
      </c>
      <c r="B864" t="s">
        <v>0</v>
      </c>
      <c r="C864" t="s">
        <v>1</v>
      </c>
      <c r="D864">
        <v>4557.37</v>
      </c>
      <c r="E864">
        <v>4570.1955099999996</v>
      </c>
      <c r="F864">
        <v>4563.2572899999996</v>
      </c>
      <c r="G864">
        <v>4586.1311999999998</v>
      </c>
      <c r="H864">
        <v>4546.8248400000002</v>
      </c>
      <c r="J864">
        <v>1775656200</v>
      </c>
      <c r="K864" t="s">
        <v>0</v>
      </c>
      <c r="L864" t="s">
        <v>2</v>
      </c>
      <c r="M864">
        <v>4772.01</v>
      </c>
      <c r="N864">
        <v>4779.8642</v>
      </c>
      <c r="O864">
        <v>4780.2619999999997</v>
      </c>
      <c r="P864">
        <v>4786.9199099999996</v>
      </c>
      <c r="Q864">
        <v>4773.0124800000003</v>
      </c>
    </row>
    <row r="865" spans="1:17" x14ac:dyDescent="0.55000000000000004">
      <c r="A865">
        <v>1774929600</v>
      </c>
      <c r="B865" t="s">
        <v>0</v>
      </c>
      <c r="C865" t="s">
        <v>1</v>
      </c>
      <c r="D865">
        <v>4564.79</v>
      </c>
      <c r="E865">
        <v>4571.5200299999997</v>
      </c>
      <c r="F865">
        <v>4567.3886599999996</v>
      </c>
      <c r="G865">
        <v>4585.8236999999999</v>
      </c>
      <c r="H865">
        <v>4553.1657400000004</v>
      </c>
      <c r="J865">
        <v>1775656500</v>
      </c>
      <c r="K865" t="s">
        <v>0</v>
      </c>
      <c r="L865" t="s">
        <v>2</v>
      </c>
      <c r="M865">
        <v>4778.1400000000003</v>
      </c>
      <c r="N865">
        <v>4780.5861000000004</v>
      </c>
      <c r="O865">
        <v>4780.4240499999996</v>
      </c>
      <c r="P865">
        <v>4787.3093399999998</v>
      </c>
      <c r="Q865">
        <v>4773.8096400000004</v>
      </c>
    </row>
    <row r="866" spans="1:17" x14ac:dyDescent="0.55000000000000004">
      <c r="A866">
        <v>1774933200</v>
      </c>
      <c r="B866" t="s">
        <v>0</v>
      </c>
      <c r="C866" t="s">
        <v>1</v>
      </c>
      <c r="D866">
        <v>4568.88</v>
      </c>
      <c r="E866">
        <v>4569.9330900000004</v>
      </c>
      <c r="F866">
        <v>4568.6608800000004</v>
      </c>
      <c r="G866">
        <v>4582.3303599999999</v>
      </c>
      <c r="H866">
        <v>4555.7878600000004</v>
      </c>
      <c r="J866">
        <v>1775656800</v>
      </c>
      <c r="K866" t="s">
        <v>0</v>
      </c>
      <c r="L866" t="s">
        <v>2</v>
      </c>
      <c r="M866">
        <v>4785.59</v>
      </c>
      <c r="N866">
        <v>4781.0780699999996</v>
      </c>
      <c r="O866">
        <v>4780.7510599999996</v>
      </c>
      <c r="P866">
        <v>4787.7329600000003</v>
      </c>
      <c r="Q866">
        <v>4774.7159300000003</v>
      </c>
    </row>
    <row r="867" spans="1:17" x14ac:dyDescent="0.55000000000000004">
      <c r="A867">
        <v>1774936800</v>
      </c>
      <c r="B867" t="s">
        <v>0</v>
      </c>
      <c r="C867" t="s">
        <v>1</v>
      </c>
      <c r="D867">
        <v>4557.21</v>
      </c>
      <c r="E867">
        <v>4566.3712400000004</v>
      </c>
      <c r="F867">
        <v>4567.5160599999999</v>
      </c>
      <c r="G867">
        <v>4576.9467500000001</v>
      </c>
      <c r="H867">
        <v>4555.2885999999999</v>
      </c>
      <c r="J867">
        <v>1775657100</v>
      </c>
      <c r="K867" t="s">
        <v>0</v>
      </c>
      <c r="L867" t="s">
        <v>2</v>
      </c>
      <c r="M867">
        <v>4786.4399999999996</v>
      </c>
      <c r="N867">
        <v>4780.7162799999996</v>
      </c>
      <c r="O867">
        <v>4780.7336699999996</v>
      </c>
      <c r="P867">
        <v>4787.52657</v>
      </c>
      <c r="Q867">
        <v>4775.03971</v>
      </c>
    </row>
    <row r="868" spans="1:17" x14ac:dyDescent="0.55000000000000004">
      <c r="A868">
        <v>1774940400</v>
      </c>
      <c r="B868" t="s">
        <v>0</v>
      </c>
      <c r="C868" t="s">
        <v>1</v>
      </c>
      <c r="D868">
        <v>4564.38</v>
      </c>
      <c r="E868">
        <v>4562.5364399999999</v>
      </c>
      <c r="F868">
        <v>4565.0262499999999</v>
      </c>
      <c r="G868">
        <v>4571.9143299999996</v>
      </c>
      <c r="H868">
        <v>4552.5278500000004</v>
      </c>
      <c r="J868">
        <v>1775657400</v>
      </c>
      <c r="K868" t="s">
        <v>0</v>
      </c>
      <c r="L868" t="s">
        <v>2</v>
      </c>
      <c r="M868">
        <v>4780.25</v>
      </c>
      <c r="N868">
        <v>4779.1966400000001</v>
      </c>
      <c r="O868">
        <v>4779.9651599999997</v>
      </c>
      <c r="P868">
        <v>4786.3918299999996</v>
      </c>
      <c r="Q868">
        <v>4774.3681500000002</v>
      </c>
    </row>
    <row r="869" spans="1:17" x14ac:dyDescent="0.55000000000000004">
      <c r="A869">
        <v>1774944000</v>
      </c>
      <c r="B869" t="s">
        <v>0</v>
      </c>
      <c r="C869" t="s">
        <v>1</v>
      </c>
      <c r="D869">
        <v>4568.63</v>
      </c>
      <c r="E869">
        <v>4559.6208399999996</v>
      </c>
      <c r="F869">
        <v>4562.3235400000003</v>
      </c>
      <c r="G869">
        <v>4569.07294</v>
      </c>
      <c r="H869">
        <v>4549.1665300000004</v>
      </c>
      <c r="J869">
        <v>1775657700</v>
      </c>
      <c r="K869" t="s">
        <v>0</v>
      </c>
      <c r="L869" t="s">
        <v>2</v>
      </c>
      <c r="M869">
        <v>4773.1400000000003</v>
      </c>
      <c r="N869">
        <v>4776.5552900000002</v>
      </c>
      <c r="O869">
        <v>4778.2602200000001</v>
      </c>
      <c r="P869">
        <v>4784.2936399999999</v>
      </c>
      <c r="Q869">
        <v>4772.3850499999999</v>
      </c>
    </row>
    <row r="870" spans="1:17" x14ac:dyDescent="0.55000000000000004">
      <c r="A870">
        <v>1774947600</v>
      </c>
      <c r="B870" t="s">
        <v>0</v>
      </c>
      <c r="C870" t="s">
        <v>1</v>
      </c>
      <c r="D870">
        <v>4555.6499999999996</v>
      </c>
      <c r="E870">
        <v>4558.6769299999996</v>
      </c>
      <c r="F870">
        <v>4560.5002400000003</v>
      </c>
      <c r="G870">
        <v>4569.4260800000002</v>
      </c>
      <c r="H870">
        <v>4546.2572</v>
      </c>
      <c r="J870">
        <v>1775658000</v>
      </c>
      <c r="K870" t="s">
        <v>0</v>
      </c>
      <c r="L870" t="s">
        <v>2</v>
      </c>
      <c r="M870">
        <v>4774.4399999999996</v>
      </c>
      <c r="N870">
        <v>4773.0015000000003</v>
      </c>
      <c r="O870">
        <v>4775.6308600000002</v>
      </c>
      <c r="P870">
        <v>4781.2337299999999</v>
      </c>
      <c r="Q870">
        <v>4769.16669</v>
      </c>
    </row>
    <row r="871" spans="1:17" x14ac:dyDescent="0.55000000000000004">
      <c r="A871">
        <v>1774951200</v>
      </c>
      <c r="B871" t="s">
        <v>0</v>
      </c>
      <c r="C871" t="s">
        <v>1</v>
      </c>
      <c r="D871">
        <v>4546.97</v>
      </c>
      <c r="E871">
        <v>4561.0962</v>
      </c>
      <c r="F871">
        <v>4560.7982199999997</v>
      </c>
      <c r="G871">
        <v>4573.7179900000001</v>
      </c>
      <c r="H871">
        <v>4545.6091299999998</v>
      </c>
      <c r="J871">
        <v>1775658300</v>
      </c>
      <c r="K871" t="s">
        <v>0</v>
      </c>
      <c r="L871" t="s">
        <v>2</v>
      </c>
      <c r="M871">
        <v>4767.49</v>
      </c>
      <c r="N871">
        <v>4768.6520200000004</v>
      </c>
      <c r="O871">
        <v>4772.1414400000003</v>
      </c>
      <c r="P871">
        <v>4777.4163200000003</v>
      </c>
      <c r="Q871">
        <v>4764.8182900000002</v>
      </c>
    </row>
    <row r="872" spans="1:17" x14ac:dyDescent="0.55000000000000004">
      <c r="A872">
        <v>1774954800</v>
      </c>
      <c r="B872" t="s">
        <v>0</v>
      </c>
      <c r="C872" t="s">
        <v>1</v>
      </c>
      <c r="D872">
        <v>4582.3500000000004</v>
      </c>
      <c r="E872">
        <v>4567.7710999999999</v>
      </c>
      <c r="F872">
        <v>4564.2846600000003</v>
      </c>
      <c r="G872">
        <v>4582.2785599999997</v>
      </c>
      <c r="H872">
        <v>4549.0760499999997</v>
      </c>
      <c r="J872">
        <v>1775658600</v>
      </c>
      <c r="K872" t="s">
        <v>0</v>
      </c>
      <c r="L872" t="s">
        <v>2</v>
      </c>
      <c r="M872">
        <v>4754.29</v>
      </c>
      <c r="N872">
        <v>4763.91338</v>
      </c>
      <c r="O872">
        <v>4768.0274099999997</v>
      </c>
      <c r="P872">
        <v>4773.1450299999997</v>
      </c>
      <c r="Q872">
        <v>4759.83104</v>
      </c>
    </row>
    <row r="873" spans="1:17" x14ac:dyDescent="0.55000000000000004">
      <c r="A873">
        <v>1774958400</v>
      </c>
      <c r="B873" t="s">
        <v>0</v>
      </c>
      <c r="C873" t="s">
        <v>1</v>
      </c>
      <c r="D873">
        <v>4574.8900000000003</v>
      </c>
      <c r="E873">
        <v>4577.86564</v>
      </c>
      <c r="F873">
        <v>4571.0751499999997</v>
      </c>
      <c r="G873">
        <v>4593.9394899999998</v>
      </c>
      <c r="H873">
        <v>4557.1168600000001</v>
      </c>
      <c r="J873">
        <v>1775658900</v>
      </c>
      <c r="K873" t="s">
        <v>0</v>
      </c>
      <c r="L873" t="s">
        <v>2</v>
      </c>
      <c r="M873">
        <v>4760.95</v>
      </c>
      <c r="N873">
        <v>4759.3684499999999</v>
      </c>
      <c r="O873">
        <v>4763.6979300000003</v>
      </c>
      <c r="P873">
        <v>4768.7472799999996</v>
      </c>
      <c r="Q873">
        <v>4754.7596000000003</v>
      </c>
    </row>
    <row r="874" spans="1:17" x14ac:dyDescent="0.55000000000000004">
      <c r="A874">
        <v>1774962000</v>
      </c>
      <c r="B874" t="s">
        <v>0</v>
      </c>
      <c r="C874" t="s">
        <v>1</v>
      </c>
      <c r="D874">
        <v>4607.37</v>
      </c>
      <c r="E874">
        <v>4591.1494899999998</v>
      </c>
      <c r="F874">
        <v>4581.1123200000002</v>
      </c>
      <c r="G874">
        <v>4607.8032899999998</v>
      </c>
      <c r="H874">
        <v>4568.9736999999996</v>
      </c>
      <c r="J874">
        <v>1775659200</v>
      </c>
      <c r="K874" t="s">
        <v>0</v>
      </c>
      <c r="L874" t="s">
        <v>2</v>
      </c>
      <c r="M874">
        <v>4760.2700000000004</v>
      </c>
      <c r="N874">
        <v>4755.0691999999999</v>
      </c>
      <c r="O874">
        <v>4759.38357</v>
      </c>
      <c r="P874">
        <v>4764.4327999999996</v>
      </c>
      <c r="Q874">
        <v>4749.9035299999996</v>
      </c>
    </row>
    <row r="875" spans="1:17" x14ac:dyDescent="0.55000000000000004">
      <c r="A875">
        <v>1774965600</v>
      </c>
      <c r="B875" t="s">
        <v>0</v>
      </c>
      <c r="C875" t="s">
        <v>1</v>
      </c>
      <c r="D875">
        <v>4599.33</v>
      </c>
      <c r="E875">
        <v>4606.0384899999999</v>
      </c>
      <c r="F875">
        <v>4593.5753999999997</v>
      </c>
      <c r="G875">
        <v>4622.7254499999999</v>
      </c>
      <c r="H875">
        <v>4584.1020900000003</v>
      </c>
      <c r="J875">
        <v>1775659500</v>
      </c>
      <c r="K875" t="s">
        <v>0</v>
      </c>
      <c r="L875" t="s">
        <v>2</v>
      </c>
      <c r="M875">
        <v>4755.47</v>
      </c>
      <c r="N875">
        <v>4751.2044999999998</v>
      </c>
      <c r="O875">
        <v>4755.29403</v>
      </c>
      <c r="P875">
        <v>4760.2536300000002</v>
      </c>
      <c r="Q875">
        <v>4745.3897800000004</v>
      </c>
    </row>
    <row r="876" spans="1:17" x14ac:dyDescent="0.55000000000000004">
      <c r="A876">
        <v>1774969200</v>
      </c>
      <c r="B876" t="s">
        <v>0</v>
      </c>
      <c r="C876" t="s">
        <v>1</v>
      </c>
      <c r="D876">
        <v>4609.37</v>
      </c>
      <c r="E876">
        <v>4621.9860200000003</v>
      </c>
      <c r="F876">
        <v>4607.78071</v>
      </c>
      <c r="G876">
        <v>4637.5049499999996</v>
      </c>
      <c r="H876">
        <v>4600.8515500000003</v>
      </c>
      <c r="J876">
        <v>1775659800</v>
      </c>
      <c r="K876" t="s">
        <v>0</v>
      </c>
      <c r="L876" t="s">
        <v>2</v>
      </c>
      <c r="M876">
        <v>4753.1400000000003</v>
      </c>
      <c r="N876">
        <v>4748.0845799999997</v>
      </c>
      <c r="O876">
        <v>4751.6893099999998</v>
      </c>
      <c r="P876">
        <v>4756.4945600000001</v>
      </c>
      <c r="Q876">
        <v>4741.6944899999999</v>
      </c>
    </row>
    <row r="877" spans="1:17" x14ac:dyDescent="0.55000000000000004">
      <c r="A877">
        <v>1774972800</v>
      </c>
      <c r="B877" t="s">
        <v>0</v>
      </c>
      <c r="C877" t="s">
        <v>1</v>
      </c>
      <c r="D877">
        <v>4638.18</v>
      </c>
      <c r="E877">
        <v>4637.9781199999998</v>
      </c>
      <c r="F877">
        <v>4622.8794200000002</v>
      </c>
      <c r="G877">
        <v>4651.78179</v>
      </c>
      <c r="H877">
        <v>4618.0450600000004</v>
      </c>
      <c r="J877">
        <v>1775660100</v>
      </c>
      <c r="K877" t="s">
        <v>0</v>
      </c>
      <c r="L877" t="s">
        <v>2</v>
      </c>
      <c r="M877">
        <v>4736.57</v>
      </c>
      <c r="N877">
        <v>4745.9402200000004</v>
      </c>
      <c r="O877">
        <v>4748.8147600000002</v>
      </c>
      <c r="P877">
        <v>4753.5464599999996</v>
      </c>
      <c r="Q877">
        <v>4739.1613500000003</v>
      </c>
    </row>
    <row r="878" spans="1:17" x14ac:dyDescent="0.55000000000000004">
      <c r="A878">
        <v>1774976400</v>
      </c>
      <c r="B878" t="s">
        <v>0</v>
      </c>
      <c r="C878" t="s">
        <v>1</v>
      </c>
      <c r="D878">
        <v>4654.99</v>
      </c>
      <c r="E878">
        <v>4652.6313799999998</v>
      </c>
      <c r="F878">
        <v>4637.7554</v>
      </c>
      <c r="G878">
        <v>4664.7009699999999</v>
      </c>
      <c r="H878">
        <v>4634.4959900000003</v>
      </c>
      <c r="J878">
        <v>1775660400</v>
      </c>
      <c r="K878" t="s">
        <v>0</v>
      </c>
      <c r="L878" t="s">
        <v>2</v>
      </c>
      <c r="M878">
        <v>4747.03</v>
      </c>
      <c r="N878">
        <v>4745.2252900000003</v>
      </c>
      <c r="O878">
        <v>4747.0200199999999</v>
      </c>
      <c r="P878">
        <v>4751.6367799999998</v>
      </c>
      <c r="Q878">
        <v>4738.2095799999997</v>
      </c>
    </row>
    <row r="879" spans="1:17" x14ac:dyDescent="0.55000000000000004">
      <c r="A879">
        <v>1774980000</v>
      </c>
      <c r="B879" t="s">
        <v>0</v>
      </c>
      <c r="C879" t="s">
        <v>1</v>
      </c>
      <c r="D879">
        <v>4667.49</v>
      </c>
      <c r="E879">
        <v>4665.2349199999999</v>
      </c>
      <c r="F879">
        <v>4651.4951600000004</v>
      </c>
      <c r="G879">
        <v>4675.8596200000002</v>
      </c>
      <c r="H879">
        <v>4648.7975999999999</v>
      </c>
      <c r="J879">
        <v>1775660700</v>
      </c>
      <c r="K879" t="s">
        <v>0</v>
      </c>
      <c r="L879" t="s">
        <v>2</v>
      </c>
      <c r="M879">
        <v>4742.59</v>
      </c>
      <c r="N879">
        <v>4745.6107099999999</v>
      </c>
      <c r="O879">
        <v>4746.3153700000003</v>
      </c>
      <c r="P879">
        <v>4750.9037200000002</v>
      </c>
      <c r="Q879">
        <v>4738.7066500000001</v>
      </c>
    </row>
    <row r="880" spans="1:17" x14ac:dyDescent="0.55000000000000004">
      <c r="A880">
        <v>1774983600</v>
      </c>
      <c r="B880" t="s">
        <v>0</v>
      </c>
      <c r="C880" t="s">
        <v>1</v>
      </c>
      <c r="D880">
        <v>4682.87</v>
      </c>
      <c r="E880">
        <v>4675.2288600000002</v>
      </c>
      <c r="F880">
        <v>4663.3620099999998</v>
      </c>
      <c r="G880">
        <v>4685.3330699999997</v>
      </c>
      <c r="H880">
        <v>4660.0439399999996</v>
      </c>
      <c r="J880">
        <v>1775661000</v>
      </c>
      <c r="K880" t="s">
        <v>0</v>
      </c>
      <c r="L880" t="s">
        <v>2</v>
      </c>
      <c r="M880">
        <v>4743.45</v>
      </c>
      <c r="N880">
        <v>4747.0558099999998</v>
      </c>
      <c r="O880">
        <v>4746.68559</v>
      </c>
      <c r="P880">
        <v>4751.2569199999998</v>
      </c>
      <c r="Q880">
        <v>4740.3443799999995</v>
      </c>
    </row>
    <row r="881" spans="1:17" x14ac:dyDescent="0.55000000000000004">
      <c r="A881">
        <v>1774987200</v>
      </c>
      <c r="B881" t="s">
        <v>0</v>
      </c>
      <c r="C881" t="s">
        <v>1</v>
      </c>
      <c r="D881">
        <v>4667.25</v>
      </c>
      <c r="E881">
        <v>4682.24748</v>
      </c>
      <c r="F881">
        <v>4672.8047399999996</v>
      </c>
      <c r="G881">
        <v>4692.8898799999997</v>
      </c>
      <c r="H881">
        <v>4667.9423900000002</v>
      </c>
      <c r="J881">
        <v>1775661300</v>
      </c>
      <c r="K881" t="s">
        <v>0</v>
      </c>
      <c r="L881" t="s">
        <v>2</v>
      </c>
      <c r="M881">
        <v>4754.3500000000004</v>
      </c>
      <c r="N881">
        <v>4749.3001599999998</v>
      </c>
      <c r="O881">
        <v>4747.99287</v>
      </c>
      <c r="P881">
        <v>4752.5824400000001</v>
      </c>
      <c r="Q881">
        <v>4743.0517</v>
      </c>
    </row>
    <row r="882" spans="1:17" x14ac:dyDescent="0.55000000000000004">
      <c r="A882">
        <v>1774994400</v>
      </c>
      <c r="B882" t="s">
        <v>0</v>
      </c>
      <c r="C882" t="s">
        <v>1</v>
      </c>
      <c r="D882">
        <v>4680.59</v>
      </c>
      <c r="E882">
        <v>4687.1039499999997</v>
      </c>
      <c r="F882">
        <v>4679.9543400000002</v>
      </c>
      <c r="G882">
        <v>4698.6486999999997</v>
      </c>
      <c r="H882">
        <v>4672.8781900000004</v>
      </c>
      <c r="J882">
        <v>1775661600</v>
      </c>
      <c r="K882" t="s">
        <v>0</v>
      </c>
      <c r="L882" t="s">
        <v>2</v>
      </c>
      <c r="M882">
        <v>4755.17</v>
      </c>
      <c r="N882">
        <v>4751.7798199999997</v>
      </c>
      <c r="O882">
        <v>4749.8863499999998</v>
      </c>
      <c r="P882">
        <v>4754.4687400000003</v>
      </c>
      <c r="Q882">
        <v>4746.3049000000001</v>
      </c>
    </row>
    <row r="883" spans="1:17" x14ac:dyDescent="0.55000000000000004">
      <c r="A883">
        <v>1774998000</v>
      </c>
      <c r="B883" t="s">
        <v>0</v>
      </c>
      <c r="C883" t="s">
        <v>1</v>
      </c>
      <c r="D883">
        <v>4696.32</v>
      </c>
      <c r="E883">
        <v>4689.9276099999997</v>
      </c>
      <c r="F883">
        <v>4684.9409800000003</v>
      </c>
      <c r="G883">
        <v>4702.5907100000004</v>
      </c>
      <c r="H883">
        <v>4675.7081600000001</v>
      </c>
      <c r="J883">
        <v>1775661900</v>
      </c>
      <c r="K883" t="s">
        <v>0</v>
      </c>
      <c r="L883" t="s">
        <v>2</v>
      </c>
      <c r="M883">
        <v>4751.04</v>
      </c>
      <c r="N883">
        <v>4754.1936599999999</v>
      </c>
      <c r="O883">
        <v>4752.04</v>
      </c>
      <c r="P883">
        <v>4756.5646100000004</v>
      </c>
      <c r="Q883">
        <v>4749.5138100000004</v>
      </c>
    </row>
    <row r="884" spans="1:17" x14ac:dyDescent="0.55000000000000004">
      <c r="A884">
        <v>1775001600</v>
      </c>
      <c r="B884" t="s">
        <v>0</v>
      </c>
      <c r="C884" t="s">
        <v>1</v>
      </c>
      <c r="D884">
        <v>4710.8900000000003</v>
      </c>
      <c r="E884">
        <v>4690.7608799999998</v>
      </c>
      <c r="F884">
        <v>4687.8509299999996</v>
      </c>
      <c r="G884">
        <v>4704.9574499999999</v>
      </c>
      <c r="H884">
        <v>4676.9585999999999</v>
      </c>
      <c r="J884">
        <v>1775662200</v>
      </c>
      <c r="K884" t="s">
        <v>0</v>
      </c>
      <c r="L884" t="s">
        <v>2</v>
      </c>
      <c r="M884">
        <v>4757.01</v>
      </c>
      <c r="N884">
        <v>4756.3999400000002</v>
      </c>
      <c r="O884">
        <v>4754.2199700000001</v>
      </c>
      <c r="P884">
        <v>4758.6167800000003</v>
      </c>
      <c r="Q884">
        <v>4752.4543899999999</v>
      </c>
    </row>
    <row r="885" spans="1:17" x14ac:dyDescent="0.55000000000000004">
      <c r="A885">
        <v>1775005200</v>
      </c>
      <c r="B885" t="s">
        <v>0</v>
      </c>
      <c r="C885" t="s">
        <v>1</v>
      </c>
      <c r="D885">
        <v>4693.0200000000004</v>
      </c>
      <c r="E885">
        <v>4689.9121699999996</v>
      </c>
      <c r="F885">
        <v>4688.8815500000001</v>
      </c>
      <c r="G885">
        <v>4705.5848599999999</v>
      </c>
      <c r="H885">
        <v>4676.82528</v>
      </c>
      <c r="J885">
        <v>1775662500</v>
      </c>
      <c r="K885" t="s">
        <v>0</v>
      </c>
      <c r="L885" t="s">
        <v>2</v>
      </c>
      <c r="M885">
        <v>4760.29</v>
      </c>
      <c r="N885">
        <v>4758.02477</v>
      </c>
      <c r="O885">
        <v>4756.12237</v>
      </c>
      <c r="P885">
        <v>4760.3887400000003</v>
      </c>
      <c r="Q885">
        <v>4754.8770100000002</v>
      </c>
    </row>
    <row r="886" spans="1:17" x14ac:dyDescent="0.55000000000000004">
      <c r="A886">
        <v>1775008800</v>
      </c>
      <c r="B886" t="s">
        <v>0</v>
      </c>
      <c r="C886" t="s">
        <v>1</v>
      </c>
      <c r="D886">
        <v>4685.1400000000003</v>
      </c>
      <c r="E886">
        <v>4689.0239099999999</v>
      </c>
      <c r="F886">
        <v>4688.95273</v>
      </c>
      <c r="G886">
        <v>4705.2067500000003</v>
      </c>
      <c r="H886">
        <v>4676.5497500000001</v>
      </c>
      <c r="J886">
        <v>1775662800</v>
      </c>
      <c r="K886" t="s">
        <v>0</v>
      </c>
      <c r="L886" t="s">
        <v>2</v>
      </c>
      <c r="M886">
        <v>4755.8500000000004</v>
      </c>
      <c r="N886">
        <v>4758.8605299999999</v>
      </c>
      <c r="O886">
        <v>4757.4914500000004</v>
      </c>
      <c r="P886">
        <v>4761.6063100000001</v>
      </c>
      <c r="Q886">
        <v>4756.4587799999999</v>
      </c>
    </row>
    <row r="887" spans="1:17" x14ac:dyDescent="0.55000000000000004">
      <c r="A887">
        <v>1775012400</v>
      </c>
      <c r="B887" t="s">
        <v>0</v>
      </c>
      <c r="C887" t="s">
        <v>1</v>
      </c>
      <c r="D887">
        <v>4681.92</v>
      </c>
      <c r="E887">
        <v>4689.4350100000001</v>
      </c>
      <c r="F887">
        <v>4689.1938700000001</v>
      </c>
      <c r="G887">
        <v>4705.4487799999997</v>
      </c>
      <c r="H887">
        <v>4677.1398600000002</v>
      </c>
      <c r="J887">
        <v>1775663100</v>
      </c>
      <c r="K887" t="s">
        <v>0</v>
      </c>
      <c r="L887" t="s">
        <v>2</v>
      </c>
      <c r="M887">
        <v>4758.88</v>
      </c>
      <c r="N887">
        <v>4758.9981699999998</v>
      </c>
      <c r="O887">
        <v>4758.2448100000001</v>
      </c>
      <c r="P887">
        <v>4762.1689200000001</v>
      </c>
      <c r="Q887">
        <v>4757.1681200000003</v>
      </c>
    </row>
    <row r="888" spans="1:17" x14ac:dyDescent="0.55000000000000004">
      <c r="A888">
        <v>1775016000</v>
      </c>
      <c r="B888" t="s">
        <v>0</v>
      </c>
      <c r="C888" t="s">
        <v>1</v>
      </c>
      <c r="D888">
        <v>4676.71</v>
      </c>
      <c r="E888">
        <v>4692.0462799999996</v>
      </c>
      <c r="F888">
        <v>4690.6200799999997</v>
      </c>
      <c r="G888">
        <v>4707.3976599999996</v>
      </c>
      <c r="H888">
        <v>4679.2760600000001</v>
      </c>
      <c r="J888">
        <v>1775663400</v>
      </c>
      <c r="K888" t="s">
        <v>0</v>
      </c>
      <c r="L888" t="s">
        <v>2</v>
      </c>
      <c r="M888">
        <v>4757.54</v>
      </c>
      <c r="N888">
        <v>4758.4406799999997</v>
      </c>
      <c r="O888">
        <v>4758.3427499999998</v>
      </c>
      <c r="P888">
        <v>4762.1080700000002</v>
      </c>
      <c r="Q888">
        <v>4757.0175900000004</v>
      </c>
    </row>
    <row r="889" spans="1:17" x14ac:dyDescent="0.55000000000000004">
      <c r="A889">
        <v>1775019600</v>
      </c>
      <c r="B889" t="s">
        <v>0</v>
      </c>
      <c r="C889" t="s">
        <v>1</v>
      </c>
      <c r="D889">
        <v>4684.58</v>
      </c>
      <c r="E889">
        <v>4697.3918700000004</v>
      </c>
      <c r="F889">
        <v>4694.0059799999999</v>
      </c>
      <c r="G889">
        <v>4711.9639100000004</v>
      </c>
      <c r="H889">
        <v>4683.6559500000003</v>
      </c>
      <c r="J889">
        <v>1775663700</v>
      </c>
      <c r="K889" t="s">
        <v>0</v>
      </c>
      <c r="L889" t="s">
        <v>2</v>
      </c>
      <c r="M889">
        <v>4756.6899999999996</v>
      </c>
      <c r="N889">
        <v>4757.3560399999997</v>
      </c>
      <c r="O889">
        <v>4757.8493900000003</v>
      </c>
      <c r="P889">
        <v>4761.4162200000001</v>
      </c>
      <c r="Q889">
        <v>4756.0412100000003</v>
      </c>
    </row>
    <row r="890" spans="1:17" x14ac:dyDescent="0.55000000000000004">
      <c r="A890">
        <v>1775023200</v>
      </c>
      <c r="B890" t="s">
        <v>0</v>
      </c>
      <c r="C890" t="s">
        <v>1</v>
      </c>
      <c r="D890">
        <v>4730.68</v>
      </c>
      <c r="E890">
        <v>4705.0006599999997</v>
      </c>
      <c r="F890">
        <v>4699.5033199999998</v>
      </c>
      <c r="G890">
        <v>4718.67598</v>
      </c>
      <c r="H890">
        <v>4689.9037900000003</v>
      </c>
      <c r="J890">
        <v>1775664000</v>
      </c>
      <c r="K890" t="s">
        <v>0</v>
      </c>
      <c r="L890" t="s">
        <v>2</v>
      </c>
      <c r="M890">
        <v>4757.55</v>
      </c>
      <c r="N890">
        <v>4755.9663099999998</v>
      </c>
      <c r="O890">
        <v>4756.9078499999996</v>
      </c>
      <c r="P890">
        <v>4760.3182100000004</v>
      </c>
      <c r="Q890">
        <v>4754.49118</v>
      </c>
    </row>
    <row r="891" spans="1:17" x14ac:dyDescent="0.55000000000000004">
      <c r="A891">
        <v>1775026800</v>
      </c>
      <c r="B891" t="s">
        <v>0</v>
      </c>
      <c r="C891" t="s">
        <v>1</v>
      </c>
      <c r="D891">
        <v>4713.0200000000004</v>
      </c>
      <c r="E891">
        <v>4712.8855199999998</v>
      </c>
      <c r="F891">
        <v>4706.1944199999998</v>
      </c>
      <c r="G891">
        <v>4726.4057199999997</v>
      </c>
      <c r="H891">
        <v>4697.3161700000001</v>
      </c>
      <c r="J891">
        <v>1775664300</v>
      </c>
      <c r="K891" t="s">
        <v>0</v>
      </c>
      <c r="L891" t="s">
        <v>2</v>
      </c>
      <c r="M891">
        <v>4757.8999999999996</v>
      </c>
      <c r="N891">
        <v>4754.4944400000004</v>
      </c>
      <c r="O891">
        <v>4755.7011499999999</v>
      </c>
      <c r="P891">
        <v>4758.9178599999996</v>
      </c>
      <c r="Q891">
        <v>4752.6206899999997</v>
      </c>
    </row>
    <row r="892" spans="1:17" x14ac:dyDescent="0.55000000000000004">
      <c r="A892">
        <v>1775030400</v>
      </c>
      <c r="B892" t="s">
        <v>0</v>
      </c>
      <c r="C892" t="s">
        <v>1</v>
      </c>
      <c r="D892">
        <v>4728.68</v>
      </c>
      <c r="E892">
        <v>4720.8230999999996</v>
      </c>
      <c r="F892">
        <v>4713.5087599999997</v>
      </c>
      <c r="G892">
        <v>4734.1052300000001</v>
      </c>
      <c r="H892">
        <v>4704.4881800000003</v>
      </c>
      <c r="J892">
        <v>1775664600</v>
      </c>
      <c r="K892" t="s">
        <v>0</v>
      </c>
      <c r="L892" t="s">
        <v>2</v>
      </c>
      <c r="M892">
        <v>4753.96</v>
      </c>
      <c r="N892">
        <v>4753.1947700000001</v>
      </c>
      <c r="O892">
        <v>4754.4479600000004</v>
      </c>
      <c r="P892">
        <v>4757.5323900000003</v>
      </c>
      <c r="Q892">
        <v>4750.7725399999999</v>
      </c>
    </row>
    <row r="893" spans="1:17" x14ac:dyDescent="0.55000000000000004">
      <c r="A893">
        <v>1775034000</v>
      </c>
      <c r="B893" t="s">
        <v>0</v>
      </c>
      <c r="C893" t="s">
        <v>1</v>
      </c>
      <c r="D893">
        <v>4723.21</v>
      </c>
      <c r="E893">
        <v>4727.9718800000001</v>
      </c>
      <c r="F893">
        <v>4720.7403199999999</v>
      </c>
      <c r="G893">
        <v>4741.3865599999999</v>
      </c>
      <c r="H893">
        <v>4710.9175500000001</v>
      </c>
      <c r="J893">
        <v>1775664900</v>
      </c>
      <c r="K893" t="s">
        <v>0</v>
      </c>
      <c r="L893" t="s">
        <v>2</v>
      </c>
      <c r="M893">
        <v>4748.21</v>
      </c>
      <c r="N893">
        <v>4752.3955699999997</v>
      </c>
      <c r="O893">
        <v>4753.4217699999999</v>
      </c>
      <c r="P893">
        <v>4756.3640299999997</v>
      </c>
      <c r="Q893">
        <v>4749.3087400000004</v>
      </c>
    </row>
    <row r="894" spans="1:17" x14ac:dyDescent="0.55000000000000004">
      <c r="A894">
        <v>1775037600</v>
      </c>
      <c r="B894" t="s">
        <v>0</v>
      </c>
      <c r="C894" t="s">
        <v>1</v>
      </c>
      <c r="D894">
        <v>4731.3500000000004</v>
      </c>
      <c r="E894">
        <v>4734.5190199999997</v>
      </c>
      <c r="F894">
        <v>4727.6296700000003</v>
      </c>
      <c r="G894">
        <v>4748.2632000000003</v>
      </c>
      <c r="H894">
        <v>4716.4803400000001</v>
      </c>
      <c r="J894">
        <v>1775665200</v>
      </c>
      <c r="K894" t="s">
        <v>0</v>
      </c>
      <c r="L894" t="s">
        <v>2</v>
      </c>
      <c r="M894">
        <v>4752.6499999999996</v>
      </c>
      <c r="N894">
        <v>4752.3754099999996</v>
      </c>
      <c r="O894">
        <v>4752.8985899999998</v>
      </c>
      <c r="P894">
        <v>4755.7324200000003</v>
      </c>
      <c r="Q894">
        <v>4748.7007800000001</v>
      </c>
    </row>
    <row r="895" spans="1:17" x14ac:dyDescent="0.55000000000000004">
      <c r="A895">
        <v>1775041200</v>
      </c>
      <c r="B895" t="s">
        <v>0</v>
      </c>
      <c r="C895" t="s">
        <v>1</v>
      </c>
      <c r="D895">
        <v>4752.57</v>
      </c>
      <c r="E895">
        <v>4740.5151900000001</v>
      </c>
      <c r="F895">
        <v>4734.0724300000002</v>
      </c>
      <c r="G895">
        <v>4754.4736999999996</v>
      </c>
      <c r="H895">
        <v>4721.5031900000004</v>
      </c>
      <c r="J895">
        <v>1775665500</v>
      </c>
      <c r="K895" t="s">
        <v>0</v>
      </c>
      <c r="L895" t="s">
        <v>2</v>
      </c>
      <c r="M895">
        <v>4750.1899999999996</v>
      </c>
      <c r="N895">
        <v>4753.0935099999997</v>
      </c>
      <c r="O895">
        <v>4752.9960499999997</v>
      </c>
      <c r="P895">
        <v>4755.8103199999996</v>
      </c>
      <c r="Q895">
        <v>4749.0671400000001</v>
      </c>
    </row>
    <row r="896" spans="1:17" x14ac:dyDescent="0.55000000000000004">
      <c r="A896">
        <v>1775044800</v>
      </c>
      <c r="B896" t="s">
        <v>0</v>
      </c>
      <c r="C896" t="s">
        <v>1</v>
      </c>
      <c r="D896">
        <v>4724.87</v>
      </c>
      <c r="E896">
        <v>4745.7654300000004</v>
      </c>
      <c r="F896">
        <v>4739.9189299999998</v>
      </c>
      <c r="G896">
        <v>4759.5494099999996</v>
      </c>
      <c r="H896">
        <v>4726.2610000000004</v>
      </c>
      <c r="J896">
        <v>1775665800</v>
      </c>
      <c r="K896" t="s">
        <v>0</v>
      </c>
      <c r="L896" t="s">
        <v>2</v>
      </c>
      <c r="M896">
        <v>4755.95</v>
      </c>
      <c r="N896">
        <v>4754.5471799999996</v>
      </c>
      <c r="O896">
        <v>4753.7716200000004</v>
      </c>
      <c r="P896">
        <v>4756.6235699999997</v>
      </c>
      <c r="Q896">
        <v>4750.3724099999999</v>
      </c>
    </row>
    <row r="897" spans="1:17" x14ac:dyDescent="0.55000000000000004">
      <c r="A897">
        <v>1775048400</v>
      </c>
      <c r="B897" t="s">
        <v>0</v>
      </c>
      <c r="C897" t="s">
        <v>1</v>
      </c>
      <c r="D897">
        <v>4738.37</v>
      </c>
      <c r="E897">
        <v>4751.51955</v>
      </c>
      <c r="F897">
        <v>4745.7192400000004</v>
      </c>
      <c r="G897">
        <v>4764.0624200000002</v>
      </c>
      <c r="H897">
        <v>4731.6001200000001</v>
      </c>
      <c r="J897">
        <v>1775666100</v>
      </c>
      <c r="K897" t="s">
        <v>0</v>
      </c>
      <c r="L897" t="s">
        <v>2</v>
      </c>
      <c r="M897">
        <v>4759.13</v>
      </c>
      <c r="N897">
        <v>4756.4169700000002</v>
      </c>
      <c r="O897">
        <v>4755.09429</v>
      </c>
      <c r="P897">
        <v>4757.9876700000004</v>
      </c>
      <c r="Q897">
        <v>4752.4690099999998</v>
      </c>
    </row>
    <row r="898" spans="1:17" x14ac:dyDescent="0.55000000000000004">
      <c r="A898">
        <v>1775052000</v>
      </c>
      <c r="B898" t="s">
        <v>0</v>
      </c>
      <c r="C898" t="s">
        <v>1</v>
      </c>
      <c r="D898">
        <v>4760.79</v>
      </c>
      <c r="E898">
        <v>4757.7383799999998</v>
      </c>
      <c r="F898">
        <v>4751.7288099999996</v>
      </c>
      <c r="G898">
        <v>4768.6394499999997</v>
      </c>
      <c r="H898">
        <v>4738.2734499999997</v>
      </c>
      <c r="J898">
        <v>1775666400</v>
      </c>
      <c r="K898" t="s">
        <v>0</v>
      </c>
      <c r="L898" t="s">
        <v>2</v>
      </c>
      <c r="M898">
        <v>4758.58</v>
      </c>
      <c r="N898">
        <v>4758.3676800000003</v>
      </c>
      <c r="O898">
        <v>4756.73099</v>
      </c>
      <c r="P898">
        <v>4759.6947899999996</v>
      </c>
      <c r="Q898">
        <v>4754.9252299999998</v>
      </c>
    </row>
    <row r="899" spans="1:17" x14ac:dyDescent="0.55000000000000004">
      <c r="A899">
        <v>1775055600</v>
      </c>
      <c r="B899" t="s">
        <v>0</v>
      </c>
      <c r="C899" t="s">
        <v>1</v>
      </c>
      <c r="D899">
        <v>4786.43</v>
      </c>
      <c r="E899">
        <v>4763.9075000000003</v>
      </c>
      <c r="F899">
        <v>4757.8181599999998</v>
      </c>
      <c r="G899">
        <v>4773.27405</v>
      </c>
      <c r="H899">
        <v>4746.2256299999999</v>
      </c>
      <c r="J899">
        <v>1775666700</v>
      </c>
      <c r="K899" t="s">
        <v>0</v>
      </c>
      <c r="L899" t="s">
        <v>2</v>
      </c>
      <c r="M899">
        <v>4760.8900000000003</v>
      </c>
      <c r="N899">
        <v>4760.1383400000004</v>
      </c>
      <c r="O899">
        <v>4758.4346599999999</v>
      </c>
      <c r="P899">
        <v>4761.49755</v>
      </c>
      <c r="Q899">
        <v>4757.2662499999997</v>
      </c>
    </row>
    <row r="900" spans="1:17" x14ac:dyDescent="0.55000000000000004">
      <c r="A900">
        <v>1775059200</v>
      </c>
      <c r="B900" t="s">
        <v>0</v>
      </c>
      <c r="C900" t="s">
        <v>1</v>
      </c>
      <c r="D900">
        <v>4787.38</v>
      </c>
      <c r="E900">
        <v>4769.2165599999998</v>
      </c>
      <c r="F900">
        <v>4763.5173599999998</v>
      </c>
      <c r="G900">
        <v>4777.8004899999996</v>
      </c>
      <c r="H900">
        <v>4754.0303000000004</v>
      </c>
      <c r="J900">
        <v>1775667000</v>
      </c>
      <c r="K900" t="s">
        <v>0</v>
      </c>
      <c r="L900" t="s">
        <v>2</v>
      </c>
      <c r="M900">
        <v>4760.8900000000003</v>
      </c>
      <c r="N900">
        <v>4761.4058999999997</v>
      </c>
      <c r="O900">
        <v>4759.9202800000003</v>
      </c>
      <c r="P900">
        <v>4763.09969</v>
      </c>
      <c r="Q900">
        <v>4759.1095999999998</v>
      </c>
    </row>
    <row r="901" spans="1:17" x14ac:dyDescent="0.55000000000000004">
      <c r="A901">
        <v>1775062800</v>
      </c>
      <c r="B901" t="s">
        <v>0</v>
      </c>
      <c r="C901" t="s">
        <v>1</v>
      </c>
      <c r="D901">
        <v>4774.29</v>
      </c>
      <c r="E901">
        <v>4773.3354099999997</v>
      </c>
      <c r="F901">
        <v>4768.4263799999999</v>
      </c>
      <c r="G901">
        <v>4782.2732299999998</v>
      </c>
      <c r="H901">
        <v>4760.4293299999999</v>
      </c>
      <c r="J901">
        <v>1775667300</v>
      </c>
      <c r="K901" t="s">
        <v>0</v>
      </c>
      <c r="L901" t="s">
        <v>2</v>
      </c>
      <c r="M901">
        <v>4760.53</v>
      </c>
      <c r="N901">
        <v>4761.9163799999997</v>
      </c>
      <c r="O901">
        <v>4760.9183300000004</v>
      </c>
      <c r="P901">
        <v>4764.1753699999999</v>
      </c>
      <c r="Q901">
        <v>4760.0306</v>
      </c>
    </row>
    <row r="902" spans="1:17" x14ac:dyDescent="0.55000000000000004">
      <c r="A902">
        <v>1775066400</v>
      </c>
      <c r="B902" t="s">
        <v>0</v>
      </c>
      <c r="C902" t="s">
        <v>1</v>
      </c>
      <c r="D902">
        <v>4753.07</v>
      </c>
      <c r="E902">
        <v>4776.1901799999996</v>
      </c>
      <c r="F902">
        <v>4772.3082800000002</v>
      </c>
      <c r="G902">
        <v>4786.3789200000001</v>
      </c>
      <c r="H902">
        <v>4764.4545200000002</v>
      </c>
      <c r="J902">
        <v>1775667600</v>
      </c>
      <c r="K902" t="s">
        <v>0</v>
      </c>
      <c r="L902" t="s">
        <v>2</v>
      </c>
      <c r="M902">
        <v>4760.3900000000003</v>
      </c>
      <c r="N902">
        <v>4761.4969899999996</v>
      </c>
      <c r="O902">
        <v>4761.20766</v>
      </c>
      <c r="P902">
        <v>4764.5694700000004</v>
      </c>
      <c r="Q902">
        <v>4759.8199100000002</v>
      </c>
    </row>
    <row r="903" spans="1:17" x14ac:dyDescent="0.55000000000000004">
      <c r="A903">
        <v>1775070000</v>
      </c>
      <c r="B903" t="s">
        <v>0</v>
      </c>
      <c r="C903" t="s">
        <v>1</v>
      </c>
      <c r="D903">
        <v>4766.1499999999996</v>
      </c>
      <c r="E903">
        <v>4777.5932000000003</v>
      </c>
      <c r="F903">
        <v>4774.9507400000002</v>
      </c>
      <c r="G903">
        <v>4789.8644400000003</v>
      </c>
      <c r="H903">
        <v>4765.96922</v>
      </c>
      <c r="J903">
        <v>1775667900</v>
      </c>
      <c r="K903" t="s">
        <v>0</v>
      </c>
      <c r="L903" t="s">
        <v>2</v>
      </c>
      <c r="M903">
        <v>4758.01</v>
      </c>
      <c r="N903">
        <v>4760.0564899999999</v>
      </c>
      <c r="O903">
        <v>4760.6320699999997</v>
      </c>
      <c r="P903">
        <v>4764.0593399999998</v>
      </c>
      <c r="Q903">
        <v>4758.41338</v>
      </c>
    </row>
    <row r="904" spans="1:17" x14ac:dyDescent="0.55000000000000004">
      <c r="A904">
        <v>1775073600</v>
      </c>
      <c r="B904" t="s">
        <v>0</v>
      </c>
      <c r="C904" t="s">
        <v>1</v>
      </c>
      <c r="D904">
        <v>4758.2</v>
      </c>
      <c r="E904">
        <v>4776.2313800000002</v>
      </c>
      <c r="F904">
        <v>4775.5910599999997</v>
      </c>
      <c r="G904">
        <v>4791.6753500000004</v>
      </c>
      <c r="H904">
        <v>4763.68102</v>
      </c>
      <c r="J904">
        <v>1775668200</v>
      </c>
      <c r="K904" t="s">
        <v>0</v>
      </c>
      <c r="L904" t="s">
        <v>2</v>
      </c>
      <c r="M904">
        <v>4760.8100000000004</v>
      </c>
      <c r="N904">
        <v>4757.6555799999996</v>
      </c>
      <c r="O904">
        <v>4759.14383</v>
      </c>
      <c r="P904">
        <v>4762.6329999999998</v>
      </c>
      <c r="Q904">
        <v>4755.9424600000002</v>
      </c>
    </row>
    <row r="905" spans="1:17" x14ac:dyDescent="0.55000000000000004">
      <c r="A905">
        <v>1775080800</v>
      </c>
      <c r="B905" t="s">
        <v>0</v>
      </c>
      <c r="C905" t="s">
        <v>1</v>
      </c>
      <c r="D905">
        <v>4776.45</v>
      </c>
      <c r="E905">
        <v>4771.1387999999997</v>
      </c>
      <c r="F905">
        <v>4773.3649299999997</v>
      </c>
      <c r="G905">
        <v>4790.66428</v>
      </c>
      <c r="H905">
        <v>4756.5771500000001</v>
      </c>
      <c r="J905">
        <v>1775668500</v>
      </c>
      <c r="K905" t="s">
        <v>0</v>
      </c>
      <c r="L905" t="s">
        <v>2</v>
      </c>
      <c r="M905">
        <v>4755.49</v>
      </c>
      <c r="N905">
        <v>4754.3743899999999</v>
      </c>
      <c r="O905">
        <v>4756.75911</v>
      </c>
      <c r="P905">
        <v>4760.2546400000001</v>
      </c>
      <c r="Q905">
        <v>4752.5824199999997</v>
      </c>
    </row>
    <row r="906" spans="1:17" x14ac:dyDescent="0.55000000000000004">
      <c r="A906">
        <v>1775084400</v>
      </c>
      <c r="B906" t="s">
        <v>0</v>
      </c>
      <c r="C906" t="s">
        <v>1</v>
      </c>
      <c r="D906">
        <v>4784.22</v>
      </c>
      <c r="E906">
        <v>4760.9137700000001</v>
      </c>
      <c r="F906">
        <v>4767.1393500000004</v>
      </c>
      <c r="G906">
        <v>4785.1981900000001</v>
      </c>
      <c r="H906">
        <v>4744.02999</v>
      </c>
      <c r="J906">
        <v>1775668800</v>
      </c>
      <c r="K906" t="s">
        <v>0</v>
      </c>
      <c r="L906" t="s">
        <v>2</v>
      </c>
      <c r="M906">
        <v>4747.9799999999996</v>
      </c>
      <c r="N906">
        <v>4750.6161700000002</v>
      </c>
      <c r="O906">
        <v>4753.6876400000001</v>
      </c>
      <c r="P906">
        <v>4757.0490099999997</v>
      </c>
      <c r="Q906">
        <v>4748.7293499999996</v>
      </c>
    </row>
    <row r="907" spans="1:17" x14ac:dyDescent="0.55000000000000004">
      <c r="A907">
        <v>1775088000</v>
      </c>
      <c r="B907" t="s">
        <v>0</v>
      </c>
      <c r="C907" t="s">
        <v>1</v>
      </c>
      <c r="D907">
        <v>4784.8100000000004</v>
      </c>
      <c r="E907">
        <v>4744.8767200000002</v>
      </c>
      <c r="F907">
        <v>4756.00803</v>
      </c>
      <c r="G907">
        <v>4773.9415799999997</v>
      </c>
      <c r="H907">
        <v>4725.4417599999997</v>
      </c>
      <c r="J907">
        <v>1775669100</v>
      </c>
      <c r="K907" t="s">
        <v>0</v>
      </c>
      <c r="L907" t="s">
        <v>2</v>
      </c>
      <c r="M907">
        <v>4751.07</v>
      </c>
      <c r="N907">
        <v>4746.9087099999997</v>
      </c>
      <c r="O907">
        <v>4750.29817</v>
      </c>
      <c r="P907">
        <v>4753.4196400000001</v>
      </c>
      <c r="Q907">
        <v>4744.9340599999996</v>
      </c>
    </row>
    <row r="908" spans="1:17" x14ac:dyDescent="0.55000000000000004">
      <c r="A908">
        <v>1775091600</v>
      </c>
      <c r="B908" t="s">
        <v>0</v>
      </c>
      <c r="C908" t="s">
        <v>1</v>
      </c>
      <c r="D908">
        <v>4696.67</v>
      </c>
      <c r="E908">
        <v>4723.2962500000003</v>
      </c>
      <c r="F908">
        <v>4739.6521400000001</v>
      </c>
      <c r="G908">
        <v>4756.6753500000004</v>
      </c>
      <c r="H908">
        <v>4701.5628900000002</v>
      </c>
      <c r="J908">
        <v>1775669400</v>
      </c>
      <c r="K908" t="s">
        <v>0</v>
      </c>
      <c r="L908" t="s">
        <v>2</v>
      </c>
      <c r="M908">
        <v>4744.8</v>
      </c>
      <c r="N908">
        <v>4743.5295599999999</v>
      </c>
      <c r="O908">
        <v>4746.9138700000003</v>
      </c>
      <c r="P908">
        <v>4749.7783499999996</v>
      </c>
      <c r="Q908">
        <v>4741.5344699999996</v>
      </c>
    </row>
    <row r="909" spans="1:17" x14ac:dyDescent="0.55000000000000004">
      <c r="A909">
        <v>1775095200</v>
      </c>
      <c r="B909" t="s">
        <v>0</v>
      </c>
      <c r="C909" t="s">
        <v>1</v>
      </c>
      <c r="D909">
        <v>4687.46</v>
      </c>
      <c r="E909">
        <v>4699.7236300000004</v>
      </c>
      <c r="F909">
        <v>4719.6878900000002</v>
      </c>
      <c r="G909">
        <v>4734.3556399999998</v>
      </c>
      <c r="H909">
        <v>4677.1336499999998</v>
      </c>
      <c r="J909">
        <v>1775669700</v>
      </c>
      <c r="K909" t="s">
        <v>0</v>
      </c>
      <c r="L909" t="s">
        <v>2</v>
      </c>
      <c r="M909">
        <v>4736.8900000000003</v>
      </c>
      <c r="N909">
        <v>4740.8916200000003</v>
      </c>
      <c r="O909">
        <v>4743.9027400000004</v>
      </c>
      <c r="P909">
        <v>4746.4559399999998</v>
      </c>
      <c r="Q909">
        <v>4738.78424</v>
      </c>
    </row>
    <row r="910" spans="1:17" x14ac:dyDescent="0.55000000000000004">
      <c r="A910">
        <v>1775098800</v>
      </c>
      <c r="B910" t="s">
        <v>0</v>
      </c>
      <c r="C910" t="s">
        <v>1</v>
      </c>
      <c r="D910">
        <v>4676.67</v>
      </c>
      <c r="E910">
        <v>4675.8547099999996</v>
      </c>
      <c r="F910">
        <v>4697.7713000000003</v>
      </c>
      <c r="G910">
        <v>4710.4406900000004</v>
      </c>
      <c r="H910">
        <v>4653.4181900000003</v>
      </c>
      <c r="J910">
        <v>1775670000</v>
      </c>
      <c r="K910" t="s">
        <v>0</v>
      </c>
      <c r="L910" t="s">
        <v>2</v>
      </c>
      <c r="M910">
        <v>4740.7</v>
      </c>
      <c r="N910">
        <v>4739.3208299999997</v>
      </c>
      <c r="O910">
        <v>4741.6117899999999</v>
      </c>
      <c r="P910">
        <v>4743.9384099999997</v>
      </c>
      <c r="Q910">
        <v>4736.8762500000003</v>
      </c>
    </row>
    <row r="911" spans="1:17" x14ac:dyDescent="0.55000000000000004">
      <c r="A911">
        <v>1775102400</v>
      </c>
      <c r="B911" t="s">
        <v>0</v>
      </c>
      <c r="C911" t="s">
        <v>1</v>
      </c>
      <c r="D911">
        <v>4672.75</v>
      </c>
      <c r="E911">
        <v>4653.3662100000001</v>
      </c>
      <c r="F911">
        <v>4675.5687500000004</v>
      </c>
      <c r="G911">
        <v>4686.7022999999999</v>
      </c>
      <c r="H911">
        <v>4631.0978999999998</v>
      </c>
      <c r="J911">
        <v>1775670300</v>
      </c>
      <c r="K911" t="s">
        <v>0</v>
      </c>
      <c r="L911" t="s">
        <v>2</v>
      </c>
      <c r="M911">
        <v>4738.24</v>
      </c>
      <c r="N911">
        <v>4738.6278899999998</v>
      </c>
      <c r="O911">
        <v>4740.1198400000003</v>
      </c>
      <c r="P911">
        <v>4742.3985400000001</v>
      </c>
      <c r="Q911">
        <v>4735.7069600000004</v>
      </c>
    </row>
    <row r="912" spans="1:17" x14ac:dyDescent="0.55000000000000004">
      <c r="A912">
        <v>1775106000</v>
      </c>
      <c r="B912" t="s">
        <v>0</v>
      </c>
      <c r="C912" t="s">
        <v>1</v>
      </c>
      <c r="D912">
        <v>4594.18</v>
      </c>
      <c r="E912">
        <v>4633.6667299999999</v>
      </c>
      <c r="F912">
        <v>4654.6177399999997</v>
      </c>
      <c r="G912">
        <v>4665.1899000000003</v>
      </c>
      <c r="H912">
        <v>4611.7896099999998</v>
      </c>
      <c r="J912">
        <v>1775670600</v>
      </c>
      <c r="K912" t="s">
        <v>0</v>
      </c>
      <c r="L912" t="s">
        <v>2</v>
      </c>
      <c r="M912">
        <v>4736.63</v>
      </c>
      <c r="N912">
        <v>4738.5807599999998</v>
      </c>
      <c r="O912">
        <v>4739.3503000000001</v>
      </c>
      <c r="P912">
        <v>4741.7460600000004</v>
      </c>
      <c r="Q912">
        <v>4735.00342</v>
      </c>
    </row>
    <row r="913" spans="1:17" x14ac:dyDescent="0.55000000000000004">
      <c r="A913">
        <v>1775109600</v>
      </c>
      <c r="B913" t="s">
        <v>0</v>
      </c>
      <c r="C913" t="s">
        <v>1</v>
      </c>
      <c r="D913">
        <v>4599.26</v>
      </c>
      <c r="E913">
        <v>4619.79036</v>
      </c>
      <c r="F913">
        <v>4637.2040500000003</v>
      </c>
      <c r="G913">
        <v>4647.29439</v>
      </c>
      <c r="H913">
        <v>4598.2407199999998</v>
      </c>
      <c r="J913">
        <v>1775670900</v>
      </c>
      <c r="K913" t="s">
        <v>0</v>
      </c>
      <c r="L913" t="s">
        <v>2</v>
      </c>
      <c r="M913">
        <v>4733.8100000000004</v>
      </c>
      <c r="N913">
        <v>4738.7985200000003</v>
      </c>
      <c r="O913">
        <v>4739.0744100000002</v>
      </c>
      <c r="P913">
        <v>4741.6778599999998</v>
      </c>
      <c r="Q913">
        <v>4734.4044999999996</v>
      </c>
    </row>
    <row r="914" spans="1:17" x14ac:dyDescent="0.55000000000000004">
      <c r="A914">
        <v>1775113200</v>
      </c>
      <c r="B914" t="s">
        <v>0</v>
      </c>
      <c r="C914" t="s">
        <v>1</v>
      </c>
      <c r="D914">
        <v>4642.74</v>
      </c>
      <c r="E914">
        <v>4611.72192</v>
      </c>
      <c r="F914">
        <v>4624.46299</v>
      </c>
      <c r="G914">
        <v>4635.6935000000003</v>
      </c>
      <c r="H914">
        <v>4591.30944</v>
      </c>
      <c r="J914">
        <v>1775671200</v>
      </c>
      <c r="K914" t="s">
        <v>0</v>
      </c>
      <c r="L914" t="s">
        <v>2</v>
      </c>
      <c r="M914">
        <v>4740.16</v>
      </c>
      <c r="N914">
        <v>4738.8696799999998</v>
      </c>
      <c r="O914">
        <v>4738.9720399999997</v>
      </c>
      <c r="P914">
        <v>4741.85286</v>
      </c>
      <c r="Q914">
        <v>4733.6543099999999</v>
      </c>
    </row>
    <row r="915" spans="1:17" x14ac:dyDescent="0.55000000000000004">
      <c r="A915">
        <v>1775116800</v>
      </c>
      <c r="B915" t="s">
        <v>0</v>
      </c>
      <c r="C915" t="s">
        <v>1</v>
      </c>
      <c r="D915">
        <v>4620.8500000000004</v>
      </c>
      <c r="E915">
        <v>4607.8404799999998</v>
      </c>
      <c r="F915">
        <v>4616.1517400000002</v>
      </c>
      <c r="G915">
        <v>4629.4123</v>
      </c>
      <c r="H915">
        <v>4589.0462799999996</v>
      </c>
      <c r="J915">
        <v>1775671500</v>
      </c>
      <c r="K915" t="s">
        <v>0</v>
      </c>
      <c r="L915" t="s">
        <v>2</v>
      </c>
      <c r="M915">
        <v>4743.38</v>
      </c>
      <c r="N915">
        <v>4738.1550500000003</v>
      </c>
      <c r="O915">
        <v>4738.5635499999999</v>
      </c>
      <c r="P915">
        <v>4741.7247600000001</v>
      </c>
      <c r="Q915">
        <v>4732.5059700000002</v>
      </c>
    </row>
    <row r="916" spans="1:17" x14ac:dyDescent="0.55000000000000004">
      <c r="A916">
        <v>1775120400</v>
      </c>
      <c r="B916" t="s">
        <v>0</v>
      </c>
      <c r="C916" t="s">
        <v>1</v>
      </c>
      <c r="D916">
        <v>4621.71</v>
      </c>
      <c r="E916">
        <v>4608.2781599999998</v>
      </c>
      <c r="F916">
        <v>4612.2149499999996</v>
      </c>
      <c r="G916">
        <v>4628.1739600000001</v>
      </c>
      <c r="H916">
        <v>4589.8830099999996</v>
      </c>
      <c r="J916">
        <v>1775671800</v>
      </c>
      <c r="K916" t="s">
        <v>0</v>
      </c>
      <c r="L916" t="s">
        <v>2</v>
      </c>
      <c r="M916">
        <v>4743.7700000000004</v>
      </c>
      <c r="N916">
        <v>4736.2323699999997</v>
      </c>
      <c r="O916">
        <v>4737.3979600000002</v>
      </c>
      <c r="P916">
        <v>4740.7529699999996</v>
      </c>
      <c r="Q916">
        <v>4730.4583199999997</v>
      </c>
    </row>
    <row r="917" spans="1:17" x14ac:dyDescent="0.55000000000000004">
      <c r="A917">
        <v>1775124000</v>
      </c>
      <c r="B917" t="s">
        <v>0</v>
      </c>
      <c r="C917" t="s">
        <v>1</v>
      </c>
      <c r="D917">
        <v>4620.47</v>
      </c>
      <c r="E917">
        <v>4612.4748399999999</v>
      </c>
      <c r="F917">
        <v>4612.3448900000003</v>
      </c>
      <c r="G917">
        <v>4631.7489500000001</v>
      </c>
      <c r="H917">
        <v>4593.1692999999996</v>
      </c>
      <c r="J917">
        <v>1775672100</v>
      </c>
      <c r="K917" t="s">
        <v>0</v>
      </c>
      <c r="L917" t="s">
        <v>2</v>
      </c>
      <c r="M917">
        <v>4729.57</v>
      </c>
      <c r="N917">
        <v>4732.9853400000002</v>
      </c>
      <c r="O917">
        <v>4735.1916499999998</v>
      </c>
      <c r="P917">
        <v>4738.6187799999998</v>
      </c>
      <c r="Q917">
        <v>4727.3951800000004</v>
      </c>
    </row>
    <row r="918" spans="1:17" x14ac:dyDescent="0.55000000000000004">
      <c r="A918">
        <v>1775127600</v>
      </c>
      <c r="B918" t="s">
        <v>0</v>
      </c>
      <c r="C918" t="s">
        <v>1</v>
      </c>
      <c r="D918">
        <v>4600.2</v>
      </c>
      <c r="E918">
        <v>4619.8464400000003</v>
      </c>
      <c r="F918">
        <v>4616.0956699999997</v>
      </c>
      <c r="G918">
        <v>4639.0441199999996</v>
      </c>
      <c r="H918">
        <v>4598.7184600000001</v>
      </c>
      <c r="J918">
        <v>1775672400</v>
      </c>
      <c r="K918" t="s">
        <v>0</v>
      </c>
      <c r="L918" t="s">
        <v>2</v>
      </c>
      <c r="M918">
        <v>4723.7</v>
      </c>
      <c r="N918">
        <v>4728.8832300000004</v>
      </c>
      <c r="O918">
        <v>4732.0374400000001</v>
      </c>
      <c r="P918">
        <v>4735.2424199999996</v>
      </c>
      <c r="Q918">
        <v>4723.9827999999998</v>
      </c>
    </row>
    <row r="919" spans="1:17" x14ac:dyDescent="0.55000000000000004">
      <c r="A919">
        <v>1775131200</v>
      </c>
      <c r="B919" t="s">
        <v>0</v>
      </c>
      <c r="C919" t="s">
        <v>1</v>
      </c>
      <c r="D919">
        <v>4601.49</v>
      </c>
      <c r="E919">
        <v>4630.1697599999998</v>
      </c>
      <c r="F919">
        <v>4623.1327099999999</v>
      </c>
      <c r="G919">
        <v>4648.8932500000001</v>
      </c>
      <c r="H919">
        <v>4606.5639099999999</v>
      </c>
      <c r="J919">
        <v>1775672700</v>
      </c>
      <c r="K919" t="s">
        <v>0</v>
      </c>
      <c r="L919" t="s">
        <v>2</v>
      </c>
      <c r="M919">
        <v>4722.5600000000004</v>
      </c>
      <c r="N919">
        <v>4724.3404399999999</v>
      </c>
      <c r="O919">
        <v>4728.18894</v>
      </c>
      <c r="P919">
        <v>4731.0687200000002</v>
      </c>
      <c r="Q919">
        <v>4720.2871299999997</v>
      </c>
    </row>
    <row r="920" spans="1:17" x14ac:dyDescent="0.55000000000000004">
      <c r="A920">
        <v>1775134800</v>
      </c>
      <c r="B920" t="s">
        <v>0</v>
      </c>
      <c r="C920" t="s">
        <v>1</v>
      </c>
      <c r="D920">
        <v>4645.33</v>
      </c>
      <c r="E920">
        <v>4642.2697699999999</v>
      </c>
      <c r="F920">
        <v>4632.7012400000003</v>
      </c>
      <c r="G920">
        <v>4659.8715099999999</v>
      </c>
      <c r="H920">
        <v>4616.2317599999997</v>
      </c>
      <c r="J920">
        <v>1775673000</v>
      </c>
      <c r="K920" t="s">
        <v>0</v>
      </c>
      <c r="L920" t="s">
        <v>2</v>
      </c>
      <c r="M920">
        <v>4722.99</v>
      </c>
      <c r="N920">
        <v>4719.7089100000003</v>
      </c>
      <c r="O920">
        <v>4723.9489199999998</v>
      </c>
      <c r="P920">
        <v>4726.5063399999999</v>
      </c>
      <c r="Q920">
        <v>4716.5681000000004</v>
      </c>
    </row>
    <row r="921" spans="1:17" x14ac:dyDescent="0.55000000000000004">
      <c r="A921">
        <v>1775138400</v>
      </c>
      <c r="B921" t="s">
        <v>0</v>
      </c>
      <c r="C921" t="s">
        <v>1</v>
      </c>
      <c r="D921">
        <v>4681.32</v>
      </c>
      <c r="E921">
        <v>4653.4685799999997</v>
      </c>
      <c r="F921">
        <v>4643.0849099999996</v>
      </c>
      <c r="G921">
        <v>4669.9809699999996</v>
      </c>
      <c r="H921">
        <v>4627.3274499999998</v>
      </c>
      <c r="J921">
        <v>1775673300</v>
      </c>
      <c r="K921" t="s">
        <v>0</v>
      </c>
      <c r="L921" t="s">
        <v>2</v>
      </c>
      <c r="M921">
        <v>4714.91</v>
      </c>
      <c r="N921">
        <v>4715.2878799999999</v>
      </c>
      <c r="O921">
        <v>4719.6184000000003</v>
      </c>
      <c r="P921">
        <v>4721.9145399999998</v>
      </c>
      <c r="Q921">
        <v>4712.9309800000001</v>
      </c>
    </row>
    <row r="922" spans="1:17" x14ac:dyDescent="0.55000000000000004">
      <c r="A922">
        <v>1775142000</v>
      </c>
      <c r="B922" t="s">
        <v>0</v>
      </c>
      <c r="C922" t="s">
        <v>1</v>
      </c>
      <c r="D922">
        <v>4661.0600000000004</v>
      </c>
      <c r="E922">
        <v>4661.5516900000002</v>
      </c>
      <c r="F922">
        <v>4652.3182999999999</v>
      </c>
      <c r="G922">
        <v>4676.8177800000003</v>
      </c>
      <c r="H922">
        <v>4637.3437599999997</v>
      </c>
      <c r="J922">
        <v>1775673600</v>
      </c>
      <c r="K922" t="s">
        <v>0</v>
      </c>
      <c r="L922" t="s">
        <v>2</v>
      </c>
      <c r="M922">
        <v>4709.6099999999997</v>
      </c>
      <c r="N922">
        <v>4711.5570799999996</v>
      </c>
      <c r="O922">
        <v>4715.5877399999999</v>
      </c>
      <c r="P922">
        <v>4717.6855599999999</v>
      </c>
      <c r="Q922">
        <v>4709.6935400000002</v>
      </c>
    </row>
    <row r="923" spans="1:17" x14ac:dyDescent="0.55000000000000004">
      <c r="A923">
        <v>1775145600</v>
      </c>
      <c r="B923" t="s">
        <v>0</v>
      </c>
      <c r="C923" t="s">
        <v>1</v>
      </c>
      <c r="D923">
        <v>4659.3100000000004</v>
      </c>
      <c r="E923">
        <v>4666.2786400000005</v>
      </c>
      <c r="F923">
        <v>4659.2984699999997</v>
      </c>
      <c r="G923">
        <v>4680.1981500000002</v>
      </c>
      <c r="H923">
        <v>4644.6042500000003</v>
      </c>
      <c r="J923">
        <v>1775673900</v>
      </c>
      <c r="K923" t="s">
        <v>0</v>
      </c>
      <c r="L923" t="s">
        <v>2</v>
      </c>
      <c r="M923">
        <v>4710.46</v>
      </c>
      <c r="N923">
        <v>4708.8234300000004</v>
      </c>
      <c r="O923">
        <v>4712.2055799999998</v>
      </c>
      <c r="P923">
        <v>4714.2567600000002</v>
      </c>
      <c r="Q923">
        <v>4707.0811999999996</v>
      </c>
    </row>
    <row r="924" spans="1:17" x14ac:dyDescent="0.55000000000000004">
      <c r="A924">
        <v>1775149200</v>
      </c>
      <c r="B924" t="s">
        <v>0</v>
      </c>
      <c r="C924" t="s">
        <v>1</v>
      </c>
      <c r="D924">
        <v>4648.8100000000004</v>
      </c>
      <c r="E924">
        <v>4667.4105799999998</v>
      </c>
      <c r="F924">
        <v>4663.3545199999999</v>
      </c>
      <c r="G924">
        <v>4680.4327899999998</v>
      </c>
      <c r="H924">
        <v>4648.53917</v>
      </c>
      <c r="J924">
        <v>1775674200</v>
      </c>
      <c r="K924" t="s">
        <v>0</v>
      </c>
      <c r="L924" t="s">
        <v>2</v>
      </c>
      <c r="M924">
        <v>4707.92</v>
      </c>
      <c r="N924">
        <v>4707.0847999999996</v>
      </c>
      <c r="O924">
        <v>4709.6451900000002</v>
      </c>
      <c r="P924">
        <v>4711.7973199999997</v>
      </c>
      <c r="Q924">
        <v>4705.1236099999996</v>
      </c>
    </row>
    <row r="925" spans="1:17" x14ac:dyDescent="0.55000000000000004">
      <c r="A925">
        <v>1775152800</v>
      </c>
      <c r="B925" t="s">
        <v>0</v>
      </c>
      <c r="C925" t="s">
        <v>1</v>
      </c>
      <c r="D925">
        <v>4668.54</v>
      </c>
      <c r="E925">
        <v>4665.39743</v>
      </c>
      <c r="F925">
        <v>4664.3759799999998</v>
      </c>
      <c r="G925">
        <v>4677.8945199999998</v>
      </c>
      <c r="H925">
        <v>4648.7117799999996</v>
      </c>
      <c r="J925">
        <v>1775674500</v>
      </c>
      <c r="K925" t="s">
        <v>0</v>
      </c>
      <c r="L925" t="s">
        <v>2</v>
      </c>
      <c r="M925">
        <v>4705.5600000000004</v>
      </c>
      <c r="N925">
        <v>4706.30584</v>
      </c>
      <c r="O925">
        <v>4707.97552</v>
      </c>
      <c r="P925">
        <v>4710.4562500000002</v>
      </c>
      <c r="Q925">
        <v>4703.8876499999997</v>
      </c>
    </row>
    <row r="926" spans="1:17" x14ac:dyDescent="0.55000000000000004">
      <c r="A926">
        <v>1775156400</v>
      </c>
      <c r="B926" t="s">
        <v>0</v>
      </c>
      <c r="C926" t="s">
        <v>1</v>
      </c>
      <c r="D926">
        <v>4671.99</v>
      </c>
      <c r="E926">
        <v>4660.1426199999996</v>
      </c>
      <c r="F926">
        <v>4662.2592999999997</v>
      </c>
      <c r="G926">
        <v>4673.0936600000005</v>
      </c>
      <c r="H926">
        <v>4645.1536699999997</v>
      </c>
      <c r="J926">
        <v>1775674800</v>
      </c>
      <c r="K926" t="s">
        <v>0</v>
      </c>
      <c r="L926" t="s">
        <v>2</v>
      </c>
      <c r="M926">
        <v>4702.2700000000004</v>
      </c>
      <c r="N926">
        <v>4706.4017899999999</v>
      </c>
      <c r="O926">
        <v>4707.1886599999998</v>
      </c>
      <c r="P926">
        <v>4710.2202500000003</v>
      </c>
      <c r="Q926">
        <v>4703.3300099999997</v>
      </c>
    </row>
    <row r="927" spans="1:17" x14ac:dyDescent="0.55000000000000004">
      <c r="A927">
        <v>1775160000</v>
      </c>
      <c r="B927" t="s">
        <v>0</v>
      </c>
      <c r="C927" t="s">
        <v>1</v>
      </c>
      <c r="D927">
        <v>4676.09</v>
      </c>
      <c r="E927">
        <v>4652.5165800000004</v>
      </c>
      <c r="F927">
        <v>4657.3879399999996</v>
      </c>
      <c r="G927">
        <v>4666.6421600000003</v>
      </c>
      <c r="H927">
        <v>4638.15978</v>
      </c>
      <c r="J927">
        <v>1775675100</v>
      </c>
      <c r="K927" t="s">
        <v>0</v>
      </c>
      <c r="L927" t="s">
        <v>2</v>
      </c>
      <c r="M927">
        <v>4707.91</v>
      </c>
      <c r="N927">
        <v>4707.2879199999998</v>
      </c>
      <c r="O927">
        <v>4707.2382900000002</v>
      </c>
      <c r="P927">
        <v>4710.8704900000002</v>
      </c>
      <c r="Q927">
        <v>4703.4658099999997</v>
      </c>
    </row>
    <row r="928" spans="1:17" x14ac:dyDescent="0.55000000000000004">
      <c r="A928">
        <v>1775426400</v>
      </c>
      <c r="B928" t="s">
        <v>0</v>
      </c>
      <c r="C928" t="s">
        <v>1</v>
      </c>
      <c r="D928">
        <v>4645.8100000000004</v>
      </c>
      <c r="E928">
        <v>4643.6397299999999</v>
      </c>
      <c r="F928">
        <v>4650.5138399999996</v>
      </c>
      <c r="G928">
        <v>4659.6184800000001</v>
      </c>
      <c r="H928">
        <v>4628.9902099999999</v>
      </c>
      <c r="J928">
        <v>1775675400</v>
      </c>
      <c r="K928" t="s">
        <v>0</v>
      </c>
      <c r="L928" t="s">
        <v>2</v>
      </c>
      <c r="M928">
        <v>4715.71</v>
      </c>
      <c r="N928">
        <v>4708.6880899999996</v>
      </c>
      <c r="O928">
        <v>4707.9631900000004</v>
      </c>
      <c r="P928">
        <v>4712.17994</v>
      </c>
      <c r="Q928">
        <v>4704.2980900000002</v>
      </c>
    </row>
    <row r="929" spans="1:17" x14ac:dyDescent="0.55000000000000004">
      <c r="A929">
        <v>1775430000</v>
      </c>
      <c r="B929" t="s">
        <v>0</v>
      </c>
      <c r="C929" t="s">
        <v>1</v>
      </c>
      <c r="D929">
        <v>4610.53</v>
      </c>
      <c r="E929">
        <v>4635.8366100000003</v>
      </c>
      <c r="F929">
        <v>4643.1752200000001</v>
      </c>
      <c r="G929">
        <v>4653.3418899999997</v>
      </c>
      <c r="H929">
        <v>4620.9480299999996</v>
      </c>
      <c r="J929">
        <v>1775675700</v>
      </c>
      <c r="K929" t="s">
        <v>0</v>
      </c>
      <c r="L929" t="s">
        <v>2</v>
      </c>
      <c r="M929">
        <v>4711.33</v>
      </c>
      <c r="N929">
        <v>4710.3393400000004</v>
      </c>
      <c r="O929">
        <v>4709.1512599999996</v>
      </c>
      <c r="P929">
        <v>4713.8054300000003</v>
      </c>
      <c r="Q929">
        <v>4705.6617100000003</v>
      </c>
    </row>
    <row r="930" spans="1:17" x14ac:dyDescent="0.55000000000000004">
      <c r="A930">
        <v>1775433600</v>
      </c>
      <c r="B930" t="s">
        <v>0</v>
      </c>
      <c r="C930" t="s">
        <v>1</v>
      </c>
      <c r="D930">
        <v>4622.5200000000004</v>
      </c>
      <c r="E930">
        <v>4631.3544499999998</v>
      </c>
      <c r="F930">
        <v>4637.2648399999998</v>
      </c>
      <c r="G930">
        <v>4649.0975200000003</v>
      </c>
      <c r="H930">
        <v>4615.6307299999999</v>
      </c>
      <c r="J930">
        <v>1775676000</v>
      </c>
      <c r="K930" t="s">
        <v>0</v>
      </c>
      <c r="L930" t="s">
        <v>2</v>
      </c>
      <c r="M930">
        <v>4710.8599999999997</v>
      </c>
      <c r="N930">
        <v>4712.35862</v>
      </c>
      <c r="O930">
        <v>4710.7549399999998</v>
      </c>
      <c r="P930">
        <v>4715.6234000000004</v>
      </c>
      <c r="Q930">
        <v>4707.48848</v>
      </c>
    </row>
    <row r="931" spans="1:17" x14ac:dyDescent="0.55000000000000004">
      <c r="A931">
        <v>1775437200</v>
      </c>
      <c r="B931" t="s">
        <v>0</v>
      </c>
      <c r="C931" t="s">
        <v>1</v>
      </c>
      <c r="D931">
        <v>4625.9799999999996</v>
      </c>
      <c r="E931">
        <v>4630.7152299999998</v>
      </c>
      <c r="F931">
        <v>4633.9900399999997</v>
      </c>
      <c r="G931">
        <v>4648.12428</v>
      </c>
      <c r="H931">
        <v>4614.2039699999996</v>
      </c>
      <c r="J931">
        <v>1775676300</v>
      </c>
      <c r="K931" t="s">
        <v>0</v>
      </c>
      <c r="L931" t="s">
        <v>2</v>
      </c>
      <c r="M931">
        <v>4708.8100000000004</v>
      </c>
      <c r="N931">
        <v>4714.8035</v>
      </c>
      <c r="O931">
        <v>4712.7792200000004</v>
      </c>
      <c r="P931">
        <v>4717.7801600000003</v>
      </c>
      <c r="Q931">
        <v>4709.8533699999998</v>
      </c>
    </row>
    <row r="932" spans="1:17" x14ac:dyDescent="0.55000000000000004">
      <c r="A932">
        <v>1775440800</v>
      </c>
      <c r="B932" t="s">
        <v>0</v>
      </c>
      <c r="C932" t="s">
        <v>1</v>
      </c>
      <c r="D932">
        <v>4648.0600000000004</v>
      </c>
      <c r="E932">
        <v>4634.0886499999997</v>
      </c>
      <c r="F932">
        <v>4634.0393400000003</v>
      </c>
      <c r="G932">
        <v>4650.2753700000003</v>
      </c>
      <c r="H932">
        <v>4616.6523200000001</v>
      </c>
      <c r="J932">
        <v>1775676600</v>
      </c>
      <c r="K932" t="s">
        <v>0</v>
      </c>
      <c r="L932" t="s">
        <v>2</v>
      </c>
      <c r="M932">
        <v>4717.04</v>
      </c>
      <c r="N932">
        <v>4717.7282100000002</v>
      </c>
      <c r="O932">
        <v>4715.25371</v>
      </c>
      <c r="P932">
        <v>4720.2438000000002</v>
      </c>
      <c r="Q932">
        <v>4712.7828099999997</v>
      </c>
    </row>
    <row r="933" spans="1:17" x14ac:dyDescent="0.55000000000000004">
      <c r="A933">
        <v>1775444400</v>
      </c>
      <c r="B933" t="s">
        <v>0</v>
      </c>
      <c r="C933" t="s">
        <v>1</v>
      </c>
      <c r="D933">
        <v>4640.55</v>
      </c>
      <c r="E933">
        <v>4640.7669100000003</v>
      </c>
      <c r="F933">
        <v>4637.4031199999999</v>
      </c>
      <c r="G933">
        <v>4654.7825899999998</v>
      </c>
      <c r="H933">
        <v>4622.9220500000001</v>
      </c>
      <c r="J933">
        <v>1775676900</v>
      </c>
      <c r="K933" t="s">
        <v>0</v>
      </c>
      <c r="L933" t="s">
        <v>2</v>
      </c>
      <c r="M933">
        <v>4724.3500000000004</v>
      </c>
      <c r="N933">
        <v>4720.8406599999998</v>
      </c>
      <c r="O933">
        <v>4718.0471900000002</v>
      </c>
      <c r="P933">
        <v>4722.8950999999997</v>
      </c>
      <c r="Q933">
        <v>4716.1627600000002</v>
      </c>
    </row>
    <row r="934" spans="1:17" x14ac:dyDescent="0.55000000000000004">
      <c r="A934">
        <v>1775448000</v>
      </c>
      <c r="B934" t="s">
        <v>0</v>
      </c>
      <c r="C934" t="s">
        <v>1</v>
      </c>
      <c r="D934">
        <v>4659.13</v>
      </c>
      <c r="E934">
        <v>4650.3280299999997</v>
      </c>
      <c r="F934">
        <v>4643.8655799999997</v>
      </c>
      <c r="G934">
        <v>4661.91507</v>
      </c>
      <c r="H934">
        <v>4632.4241599999996</v>
      </c>
      <c r="J934">
        <v>1775677200</v>
      </c>
      <c r="K934" t="s">
        <v>0</v>
      </c>
      <c r="L934" t="s">
        <v>2</v>
      </c>
      <c r="M934">
        <v>4722.03</v>
      </c>
      <c r="N934">
        <v>4723.7988400000004</v>
      </c>
      <c r="O934">
        <v>4720.9230200000002</v>
      </c>
      <c r="P934">
        <v>4725.5170099999996</v>
      </c>
      <c r="Q934">
        <v>4719.6027700000004</v>
      </c>
    </row>
    <row r="935" spans="1:17" x14ac:dyDescent="0.55000000000000004">
      <c r="A935">
        <v>1775451600</v>
      </c>
      <c r="B935" t="s">
        <v>0</v>
      </c>
      <c r="C935" t="s">
        <v>1</v>
      </c>
      <c r="D935">
        <v>4652.57</v>
      </c>
      <c r="E935">
        <v>4661.1779900000001</v>
      </c>
      <c r="F935">
        <v>4652.5217899999998</v>
      </c>
      <c r="G935">
        <v>4670.7133199999998</v>
      </c>
      <c r="H935">
        <v>4643.7356200000004</v>
      </c>
      <c r="J935">
        <v>1775677500</v>
      </c>
      <c r="K935" t="s">
        <v>0</v>
      </c>
      <c r="L935" t="s">
        <v>2</v>
      </c>
      <c r="M935">
        <v>4725.92</v>
      </c>
      <c r="N935">
        <v>4726.4465300000002</v>
      </c>
      <c r="O935">
        <v>4723.6847699999998</v>
      </c>
      <c r="P935">
        <v>4727.96029</v>
      </c>
      <c r="Q935">
        <v>4722.7379799999999</v>
      </c>
    </row>
    <row r="936" spans="1:17" x14ac:dyDescent="0.55000000000000004">
      <c r="A936">
        <v>1775455200</v>
      </c>
      <c r="B936" t="s">
        <v>0</v>
      </c>
      <c r="C936" t="s">
        <v>1</v>
      </c>
      <c r="D936">
        <v>4665.9399999999996</v>
      </c>
      <c r="E936">
        <v>4672.1703799999996</v>
      </c>
      <c r="F936">
        <v>4662.3460800000003</v>
      </c>
      <c r="G936">
        <v>4679.7346900000002</v>
      </c>
      <c r="H936">
        <v>4655.1543600000005</v>
      </c>
      <c r="J936">
        <v>1775677800</v>
      </c>
      <c r="K936" t="s">
        <v>0</v>
      </c>
      <c r="L936" t="s">
        <v>2</v>
      </c>
      <c r="M936">
        <v>4729.92</v>
      </c>
      <c r="N936">
        <v>4728.4731000000002</v>
      </c>
      <c r="O936">
        <v>4726.0789299999997</v>
      </c>
      <c r="P936">
        <v>4729.9714999999997</v>
      </c>
      <c r="Q936">
        <v>4725.2857199999999</v>
      </c>
    </row>
    <row r="937" spans="1:17" x14ac:dyDescent="0.55000000000000004">
      <c r="A937">
        <v>1775458800</v>
      </c>
      <c r="B937" t="s">
        <v>0</v>
      </c>
      <c r="C937" t="s">
        <v>1</v>
      </c>
      <c r="D937">
        <v>4684.83</v>
      </c>
      <c r="E937">
        <v>4681.6431000000002</v>
      </c>
      <c r="F937">
        <v>4671.9945900000002</v>
      </c>
      <c r="G937">
        <v>4688.2484000000004</v>
      </c>
      <c r="H937">
        <v>4665.5290699999996</v>
      </c>
      <c r="J937">
        <v>1775678100</v>
      </c>
      <c r="K937" t="s">
        <v>0</v>
      </c>
      <c r="L937" t="s">
        <v>2</v>
      </c>
      <c r="M937">
        <v>4730.9399999999996</v>
      </c>
      <c r="N937">
        <v>4729.6244900000002</v>
      </c>
      <c r="O937">
        <v>4727.8517099999999</v>
      </c>
      <c r="P937">
        <v>4731.2588599999999</v>
      </c>
      <c r="Q937">
        <v>4726.9484700000003</v>
      </c>
    </row>
    <row r="938" spans="1:17" x14ac:dyDescent="0.55000000000000004">
      <c r="A938">
        <v>1775462400</v>
      </c>
      <c r="B938" t="s">
        <v>0</v>
      </c>
      <c r="C938" t="s">
        <v>1</v>
      </c>
      <c r="D938">
        <v>4695.84</v>
      </c>
      <c r="E938">
        <v>4688.0959800000001</v>
      </c>
      <c r="F938">
        <v>4680.0452800000003</v>
      </c>
      <c r="G938">
        <v>4694.8304900000003</v>
      </c>
      <c r="H938">
        <v>4673.7260900000001</v>
      </c>
      <c r="J938">
        <v>1775678400</v>
      </c>
      <c r="K938" t="s">
        <v>0</v>
      </c>
      <c r="L938" t="s">
        <v>2</v>
      </c>
      <c r="M938">
        <v>4731.8500000000004</v>
      </c>
      <c r="N938">
        <v>4729.8218299999999</v>
      </c>
      <c r="O938">
        <v>4728.8367699999999</v>
      </c>
      <c r="P938">
        <v>4731.6648100000002</v>
      </c>
      <c r="Q938">
        <v>4727.5936899999997</v>
      </c>
    </row>
    <row r="939" spans="1:17" x14ac:dyDescent="0.55000000000000004">
      <c r="A939">
        <v>1775466000</v>
      </c>
      <c r="B939" t="s">
        <v>0</v>
      </c>
      <c r="C939" t="s">
        <v>1</v>
      </c>
      <c r="D939">
        <v>4693.71</v>
      </c>
      <c r="E939">
        <v>4690.8933200000001</v>
      </c>
      <c r="F939">
        <v>4685.4692999999997</v>
      </c>
      <c r="G939">
        <v>4698.6455699999997</v>
      </c>
      <c r="H939">
        <v>4678.1513199999999</v>
      </c>
      <c r="J939">
        <v>1775678700</v>
      </c>
      <c r="K939" t="s">
        <v>0</v>
      </c>
      <c r="L939" t="s">
        <v>2</v>
      </c>
      <c r="M939">
        <v>4727.76</v>
      </c>
      <c r="N939">
        <v>4729.1377599999996</v>
      </c>
      <c r="O939">
        <v>4728.9872699999996</v>
      </c>
      <c r="P939">
        <v>4731.1715100000001</v>
      </c>
      <c r="Q939">
        <v>4727.2740299999996</v>
      </c>
    </row>
    <row r="940" spans="1:17" x14ac:dyDescent="0.55000000000000004">
      <c r="A940">
        <v>1775469600</v>
      </c>
      <c r="B940" t="s">
        <v>0</v>
      </c>
      <c r="C940" t="s">
        <v>1</v>
      </c>
      <c r="D940">
        <v>4689.82</v>
      </c>
      <c r="E940">
        <v>4690.2528899999998</v>
      </c>
      <c r="F940">
        <v>4687.8611000000001</v>
      </c>
      <c r="G940">
        <v>4699.4220400000004</v>
      </c>
      <c r="H940">
        <v>4678.3047800000004</v>
      </c>
      <c r="J940">
        <v>1775679000</v>
      </c>
      <c r="K940" t="s">
        <v>0</v>
      </c>
      <c r="L940" t="s">
        <v>2</v>
      </c>
      <c r="M940">
        <v>4728.0200000000004</v>
      </c>
      <c r="N940">
        <v>4727.8953099999999</v>
      </c>
      <c r="O940">
        <v>4728.4412899999998</v>
      </c>
      <c r="P940">
        <v>4729.9288200000001</v>
      </c>
      <c r="Q940">
        <v>4726.2443300000004</v>
      </c>
    </row>
    <row r="941" spans="1:17" x14ac:dyDescent="0.55000000000000004">
      <c r="A941">
        <v>1775473200</v>
      </c>
      <c r="B941" t="s">
        <v>0</v>
      </c>
      <c r="C941" t="s">
        <v>1</v>
      </c>
      <c r="D941">
        <v>4678.09</v>
      </c>
      <c r="E941">
        <v>4686.8796199999997</v>
      </c>
      <c r="F941">
        <v>4687.3703599999999</v>
      </c>
      <c r="G941">
        <v>4697.5813600000001</v>
      </c>
      <c r="H941">
        <v>4674.8840499999997</v>
      </c>
      <c r="J941">
        <v>1775679300</v>
      </c>
      <c r="K941" t="s">
        <v>0</v>
      </c>
      <c r="L941" t="s">
        <v>2</v>
      </c>
      <c r="M941">
        <v>4724.5200000000004</v>
      </c>
      <c r="N941">
        <v>4726.3604400000004</v>
      </c>
      <c r="O941">
        <v>4727.4008599999997</v>
      </c>
      <c r="P941">
        <v>4728.2837499999996</v>
      </c>
      <c r="Q941">
        <v>4724.8384699999997</v>
      </c>
    </row>
    <row r="942" spans="1:17" x14ac:dyDescent="0.55000000000000004">
      <c r="A942">
        <v>1775476800</v>
      </c>
      <c r="B942" t="s">
        <v>0</v>
      </c>
      <c r="C942" t="s">
        <v>1</v>
      </c>
      <c r="D942">
        <v>4675.88</v>
      </c>
      <c r="E942">
        <v>4682.0409399999999</v>
      </c>
      <c r="F942">
        <v>4684.7056499999999</v>
      </c>
      <c r="G942">
        <v>4693.6831199999997</v>
      </c>
      <c r="H942">
        <v>4669.2343600000004</v>
      </c>
      <c r="J942">
        <v>1775679600</v>
      </c>
      <c r="K942" t="s">
        <v>0</v>
      </c>
      <c r="L942" t="s">
        <v>2</v>
      </c>
      <c r="M942">
        <v>4725.13</v>
      </c>
      <c r="N942">
        <v>4724.8950800000002</v>
      </c>
      <c r="O942">
        <v>4726.14797</v>
      </c>
      <c r="P942">
        <v>4726.5141899999999</v>
      </c>
      <c r="Q942">
        <v>4723.4367599999996</v>
      </c>
    </row>
    <row r="943" spans="1:17" x14ac:dyDescent="0.55000000000000004">
      <c r="A943">
        <v>1775480400</v>
      </c>
      <c r="B943" t="s">
        <v>0</v>
      </c>
      <c r="C943" t="s">
        <v>1</v>
      </c>
      <c r="D943">
        <v>4680.1499999999996</v>
      </c>
      <c r="E943">
        <v>4676.7955899999997</v>
      </c>
      <c r="F943">
        <v>4680.7506199999998</v>
      </c>
      <c r="G943">
        <v>4688.6306500000001</v>
      </c>
      <c r="H943">
        <v>4663.2721000000001</v>
      </c>
      <c r="J943">
        <v>1775679900</v>
      </c>
      <c r="K943" t="s">
        <v>0</v>
      </c>
      <c r="L943" t="s">
        <v>2</v>
      </c>
      <c r="M943">
        <v>4723.3</v>
      </c>
      <c r="N943">
        <v>4723.69877</v>
      </c>
      <c r="O943">
        <v>4724.9233700000004</v>
      </c>
      <c r="P943">
        <v>4725.05069</v>
      </c>
      <c r="Q943">
        <v>4722.3233700000001</v>
      </c>
    </row>
    <row r="944" spans="1:17" x14ac:dyDescent="0.55000000000000004">
      <c r="A944">
        <v>1775484000</v>
      </c>
      <c r="B944" t="s">
        <v>0</v>
      </c>
      <c r="C944" t="s">
        <v>1</v>
      </c>
      <c r="D944">
        <v>4682.66</v>
      </c>
      <c r="E944">
        <v>4671.6927100000003</v>
      </c>
      <c r="F944">
        <v>4676.2216600000002</v>
      </c>
      <c r="G944">
        <v>4683.3630300000004</v>
      </c>
      <c r="H944">
        <v>4658.08493</v>
      </c>
      <c r="J944">
        <v>1775680200</v>
      </c>
      <c r="K944" t="s">
        <v>0</v>
      </c>
      <c r="L944" t="s">
        <v>2</v>
      </c>
      <c r="M944">
        <v>4723.8500000000004</v>
      </c>
      <c r="N944">
        <v>4722.9103100000002</v>
      </c>
      <c r="O944">
        <v>4723.9168399999999</v>
      </c>
      <c r="P944">
        <v>4724.1271500000003</v>
      </c>
      <c r="Q944">
        <v>4721.6267099999995</v>
      </c>
    </row>
    <row r="945" spans="1:17" x14ac:dyDescent="0.55000000000000004">
      <c r="A945">
        <v>1775487600</v>
      </c>
      <c r="B945" t="s">
        <v>0</v>
      </c>
      <c r="C945" t="s">
        <v>1</v>
      </c>
      <c r="D945">
        <v>4668.12</v>
      </c>
      <c r="E945">
        <v>4666.8029399999996</v>
      </c>
      <c r="F945">
        <v>4671.5123000000003</v>
      </c>
      <c r="G945">
        <v>4677.8176000000003</v>
      </c>
      <c r="H945">
        <v>4654.2140099999997</v>
      </c>
      <c r="J945">
        <v>1775680500</v>
      </c>
      <c r="K945" t="s">
        <v>0</v>
      </c>
      <c r="L945" t="s">
        <v>2</v>
      </c>
      <c r="M945">
        <v>4722.8900000000003</v>
      </c>
      <c r="N945">
        <v>4722.4712600000003</v>
      </c>
      <c r="O945">
        <v>4723.1940500000001</v>
      </c>
      <c r="P945">
        <v>4723.8307999999997</v>
      </c>
      <c r="Q945">
        <v>4721.3127699999995</v>
      </c>
    </row>
    <row r="946" spans="1:17" x14ac:dyDescent="0.55000000000000004">
      <c r="A946">
        <v>1775491200</v>
      </c>
      <c r="B946" t="s">
        <v>0</v>
      </c>
      <c r="C946" t="s">
        <v>1</v>
      </c>
      <c r="D946">
        <v>4660.5600000000004</v>
      </c>
      <c r="E946">
        <v>4662.7863600000001</v>
      </c>
      <c r="F946">
        <v>4667.1493300000002</v>
      </c>
      <c r="G946">
        <v>4672.7678500000002</v>
      </c>
      <c r="H946">
        <v>4651.8237200000003</v>
      </c>
      <c r="J946">
        <v>1775680800</v>
      </c>
      <c r="K946" t="s">
        <v>0</v>
      </c>
      <c r="L946" t="s">
        <v>2</v>
      </c>
      <c r="M946">
        <v>4722.43</v>
      </c>
      <c r="N946">
        <v>4722.2353499999999</v>
      </c>
      <c r="O946">
        <v>4722.7147000000004</v>
      </c>
      <c r="P946">
        <v>4724.0691800000004</v>
      </c>
      <c r="Q946">
        <v>4721.1569099999997</v>
      </c>
    </row>
    <row r="947" spans="1:17" x14ac:dyDescent="0.55000000000000004">
      <c r="A947">
        <v>1775494800</v>
      </c>
      <c r="B947" t="s">
        <v>0</v>
      </c>
      <c r="C947" t="s">
        <v>1</v>
      </c>
      <c r="D947">
        <v>4653.5200000000004</v>
      </c>
      <c r="E947">
        <v>4659.8936000000003</v>
      </c>
      <c r="F947">
        <v>4663.5214599999999</v>
      </c>
      <c r="G947">
        <v>4668.7659999999996</v>
      </c>
      <c r="H947">
        <v>4650.4404699999996</v>
      </c>
      <c r="J947">
        <v>1775681100</v>
      </c>
      <c r="K947" t="s">
        <v>0</v>
      </c>
      <c r="L947" t="s">
        <v>2</v>
      </c>
      <c r="M947">
        <v>4720.17</v>
      </c>
      <c r="N947">
        <v>4721.9773100000002</v>
      </c>
      <c r="O947">
        <v>4722.3459999999995</v>
      </c>
      <c r="P947">
        <v>4724.5929900000001</v>
      </c>
      <c r="Q947">
        <v>4720.84094</v>
      </c>
    </row>
    <row r="948" spans="1:17" x14ac:dyDescent="0.55000000000000004">
      <c r="A948">
        <v>1775498400</v>
      </c>
      <c r="B948" t="s">
        <v>0</v>
      </c>
      <c r="C948" t="s">
        <v>1</v>
      </c>
      <c r="D948">
        <v>4658.3500000000004</v>
      </c>
      <c r="E948">
        <v>4658.0575900000003</v>
      </c>
      <c r="F948">
        <v>4660.78953</v>
      </c>
      <c r="G948">
        <v>4666.1510900000003</v>
      </c>
      <c r="H948">
        <v>4649.87482</v>
      </c>
      <c r="J948">
        <v>1775681400</v>
      </c>
      <c r="K948" t="s">
        <v>0</v>
      </c>
      <c r="L948" t="s">
        <v>2</v>
      </c>
      <c r="M948">
        <v>4719.0600000000004</v>
      </c>
      <c r="N948">
        <v>4721.5456000000004</v>
      </c>
      <c r="O948">
        <v>4721.9458000000004</v>
      </c>
      <c r="P948">
        <v>4725.0539500000004</v>
      </c>
      <c r="Q948">
        <v>4720.1426700000002</v>
      </c>
    </row>
    <row r="949" spans="1:17" x14ac:dyDescent="0.55000000000000004">
      <c r="A949">
        <v>1775502000</v>
      </c>
      <c r="B949" t="s">
        <v>0</v>
      </c>
      <c r="C949" t="s">
        <v>1</v>
      </c>
      <c r="D949">
        <v>4655.6000000000004</v>
      </c>
      <c r="E949">
        <v>4656.7122900000004</v>
      </c>
      <c r="F949">
        <v>4658.7509099999997</v>
      </c>
      <c r="G949">
        <v>4664.4943899999998</v>
      </c>
      <c r="H949">
        <v>4649.3904899999998</v>
      </c>
      <c r="J949">
        <v>1775681700</v>
      </c>
      <c r="K949" t="s">
        <v>0</v>
      </c>
      <c r="L949" t="s">
        <v>2</v>
      </c>
      <c r="M949">
        <v>4719.3</v>
      </c>
      <c r="N949">
        <v>4720.80843</v>
      </c>
      <c r="O949">
        <v>4721.3771200000001</v>
      </c>
      <c r="P949">
        <v>4725.23434</v>
      </c>
      <c r="Q949">
        <v>4718.9312300000001</v>
      </c>
    </row>
    <row r="950" spans="1:17" x14ac:dyDescent="0.55000000000000004">
      <c r="A950">
        <v>1775505600</v>
      </c>
      <c r="B950" t="s">
        <v>0</v>
      </c>
      <c r="C950" t="s">
        <v>1</v>
      </c>
      <c r="D950">
        <v>4650.67</v>
      </c>
      <c r="E950">
        <v>4655.4198699999997</v>
      </c>
      <c r="F950">
        <v>4657.0853900000002</v>
      </c>
      <c r="G950">
        <v>4663.5195899999999</v>
      </c>
      <c r="H950">
        <v>4648.44481</v>
      </c>
      <c r="J950">
        <v>1775685600</v>
      </c>
      <c r="K950" t="s">
        <v>0</v>
      </c>
      <c r="L950" t="s">
        <v>2</v>
      </c>
      <c r="M950">
        <v>4727.51</v>
      </c>
      <c r="N950">
        <v>4719.7038499999999</v>
      </c>
      <c r="O950">
        <v>4720.5404799999997</v>
      </c>
      <c r="P950">
        <v>4724.9138300000004</v>
      </c>
      <c r="Q950">
        <v>4717.1239500000001</v>
      </c>
    </row>
    <row r="951" spans="1:17" x14ac:dyDescent="0.55000000000000004">
      <c r="A951">
        <v>1775512800</v>
      </c>
      <c r="B951" t="s">
        <v>0</v>
      </c>
      <c r="C951" t="s">
        <v>1</v>
      </c>
      <c r="D951">
        <v>4658.29</v>
      </c>
      <c r="E951">
        <v>4653.7980500000003</v>
      </c>
      <c r="F951">
        <v>4655.4417199999998</v>
      </c>
      <c r="G951">
        <v>4662.6555699999999</v>
      </c>
      <c r="H951">
        <v>4646.5046400000001</v>
      </c>
      <c r="J951">
        <v>1775685900</v>
      </c>
      <c r="K951" t="s">
        <v>0</v>
      </c>
      <c r="L951" t="s">
        <v>2</v>
      </c>
      <c r="M951">
        <v>4722.29</v>
      </c>
      <c r="N951">
        <v>4718.08518</v>
      </c>
      <c r="O951">
        <v>4719.3128299999998</v>
      </c>
      <c r="P951">
        <v>4723.7262600000004</v>
      </c>
      <c r="Q951">
        <v>4714.7631000000001</v>
      </c>
    </row>
    <row r="952" spans="1:17" x14ac:dyDescent="0.55000000000000004">
      <c r="A952">
        <v>1775516400</v>
      </c>
      <c r="B952" t="s">
        <v>0</v>
      </c>
      <c r="C952" t="s">
        <v>1</v>
      </c>
      <c r="D952">
        <v>4658.88</v>
      </c>
      <c r="E952">
        <v>4651.3682900000003</v>
      </c>
      <c r="F952">
        <v>4653.4050100000004</v>
      </c>
      <c r="G952">
        <v>4661.13879</v>
      </c>
      <c r="H952">
        <v>4643.3231900000001</v>
      </c>
      <c r="J952">
        <v>1775686200</v>
      </c>
      <c r="K952" t="s">
        <v>0</v>
      </c>
      <c r="L952" t="s">
        <v>2</v>
      </c>
      <c r="M952">
        <v>4711.97</v>
      </c>
      <c r="N952">
        <v>4716.2950099999998</v>
      </c>
      <c r="O952">
        <v>4717.8039200000003</v>
      </c>
      <c r="P952">
        <v>4721.8775400000004</v>
      </c>
      <c r="Q952">
        <v>4712.1874200000002</v>
      </c>
    </row>
    <row r="953" spans="1:17" x14ac:dyDescent="0.55000000000000004">
      <c r="A953">
        <v>1775520000</v>
      </c>
      <c r="B953" t="s">
        <v>0</v>
      </c>
      <c r="C953" t="s">
        <v>1</v>
      </c>
      <c r="D953">
        <v>4655.2</v>
      </c>
      <c r="E953">
        <v>4648.4548500000001</v>
      </c>
      <c r="F953">
        <v>4650.9299300000002</v>
      </c>
      <c r="G953">
        <v>4659.1617100000003</v>
      </c>
      <c r="H953">
        <v>4639.1095400000004</v>
      </c>
      <c r="J953">
        <v>1775686500</v>
      </c>
      <c r="K953" t="s">
        <v>0</v>
      </c>
      <c r="L953" t="s">
        <v>2</v>
      </c>
      <c r="M953">
        <v>4711.67</v>
      </c>
      <c r="N953">
        <v>4714.8555699999997</v>
      </c>
      <c r="O953">
        <v>4716.3297499999999</v>
      </c>
      <c r="P953">
        <v>4719.81149</v>
      </c>
      <c r="Q953">
        <v>4710.0498799999996</v>
      </c>
    </row>
    <row r="954" spans="1:17" x14ac:dyDescent="0.55000000000000004">
      <c r="A954">
        <v>1775523600</v>
      </c>
      <c r="B954" t="s">
        <v>0</v>
      </c>
      <c r="C954" t="s">
        <v>1</v>
      </c>
      <c r="D954">
        <v>4627.1400000000003</v>
      </c>
      <c r="E954">
        <v>4645.8675199999998</v>
      </c>
      <c r="F954">
        <v>4648.3987200000001</v>
      </c>
      <c r="G954">
        <v>4657.1723899999997</v>
      </c>
      <c r="H954">
        <v>4634.6682600000004</v>
      </c>
      <c r="J954">
        <v>1775686800</v>
      </c>
      <c r="K954" t="s">
        <v>0</v>
      </c>
      <c r="L954" t="s">
        <v>2</v>
      </c>
      <c r="M954">
        <v>4712.42</v>
      </c>
      <c r="N954">
        <v>4713.9761200000003</v>
      </c>
      <c r="O954">
        <v>4715.1529300000002</v>
      </c>
      <c r="P954">
        <v>4718.02999</v>
      </c>
      <c r="Q954">
        <v>4708.6918100000003</v>
      </c>
    </row>
    <row r="955" spans="1:17" x14ac:dyDescent="0.55000000000000004">
      <c r="A955">
        <v>1775527200</v>
      </c>
      <c r="B955" t="s">
        <v>0</v>
      </c>
      <c r="C955" t="s">
        <v>1</v>
      </c>
      <c r="D955">
        <v>4650.53</v>
      </c>
      <c r="E955">
        <v>4645.2016400000002</v>
      </c>
      <c r="F955">
        <v>4646.8001800000002</v>
      </c>
      <c r="G955">
        <v>4655.7704599999997</v>
      </c>
      <c r="H955">
        <v>4631.7611900000002</v>
      </c>
      <c r="J955">
        <v>1775687100</v>
      </c>
      <c r="K955" t="s">
        <v>0</v>
      </c>
      <c r="L955" t="s">
        <v>2</v>
      </c>
      <c r="M955">
        <v>4713.3100000000004</v>
      </c>
      <c r="N955">
        <v>4713.7100899999996</v>
      </c>
      <c r="O955">
        <v>4714.4315100000003</v>
      </c>
      <c r="P955">
        <v>4716.9073799999996</v>
      </c>
      <c r="Q955">
        <v>4708.3400199999996</v>
      </c>
    </row>
    <row r="956" spans="1:17" x14ac:dyDescent="0.55000000000000004">
      <c r="A956">
        <v>1775530800</v>
      </c>
      <c r="B956" t="s">
        <v>0</v>
      </c>
      <c r="C956" t="s">
        <v>1</v>
      </c>
      <c r="D956">
        <v>4649.4399999999996</v>
      </c>
      <c r="E956">
        <v>4646.2634399999997</v>
      </c>
      <c r="F956">
        <v>4646.5318100000004</v>
      </c>
      <c r="G956">
        <v>4655.9356900000002</v>
      </c>
      <c r="H956">
        <v>4630.9348900000005</v>
      </c>
      <c r="J956">
        <v>1775687400</v>
      </c>
      <c r="K956" t="s">
        <v>0</v>
      </c>
      <c r="L956" t="s">
        <v>2</v>
      </c>
      <c r="M956">
        <v>4716.7</v>
      </c>
      <c r="N956">
        <v>4713.95046</v>
      </c>
      <c r="O956">
        <v>4714.1909900000001</v>
      </c>
      <c r="P956">
        <v>4716.5631899999998</v>
      </c>
      <c r="Q956">
        <v>4708.80483</v>
      </c>
    </row>
    <row r="957" spans="1:17" x14ac:dyDescent="0.55000000000000004">
      <c r="A957">
        <v>1775534400</v>
      </c>
      <c r="B957" t="s">
        <v>0</v>
      </c>
      <c r="C957" t="s">
        <v>1</v>
      </c>
      <c r="D957">
        <v>4659.3500000000004</v>
      </c>
      <c r="E957">
        <v>4649.0954199999996</v>
      </c>
      <c r="F957">
        <v>4647.8136100000002</v>
      </c>
      <c r="G957">
        <v>4658.1328299999996</v>
      </c>
      <c r="H957">
        <v>4631.8726900000001</v>
      </c>
      <c r="J957">
        <v>1775687700</v>
      </c>
      <c r="K957" t="s">
        <v>0</v>
      </c>
      <c r="L957" t="s">
        <v>2</v>
      </c>
      <c r="M957">
        <v>4713.54</v>
      </c>
      <c r="N957">
        <v>4714.3981999999996</v>
      </c>
      <c r="O957">
        <v>4714.2945900000004</v>
      </c>
      <c r="P957">
        <v>4716.7896600000004</v>
      </c>
      <c r="Q957">
        <v>4709.8871200000003</v>
      </c>
    </row>
    <row r="958" spans="1:17" x14ac:dyDescent="0.55000000000000004">
      <c r="A958">
        <v>1775538000</v>
      </c>
      <c r="B958" t="s">
        <v>0</v>
      </c>
      <c r="C958" t="s">
        <v>1</v>
      </c>
      <c r="D958">
        <v>4642.99</v>
      </c>
      <c r="E958">
        <v>4652.9688200000001</v>
      </c>
      <c r="F958">
        <v>4650.3912200000004</v>
      </c>
      <c r="G958">
        <v>4662.1190500000002</v>
      </c>
      <c r="H958">
        <v>4634.2582599999996</v>
      </c>
      <c r="J958">
        <v>1775688000</v>
      </c>
      <c r="K958" t="s">
        <v>0</v>
      </c>
      <c r="L958" t="s">
        <v>2</v>
      </c>
      <c r="M958">
        <v>4712.92</v>
      </c>
      <c r="N958">
        <v>4714.8585199999998</v>
      </c>
      <c r="O958">
        <v>4714.5765600000004</v>
      </c>
      <c r="P958">
        <v>4717.2867299999998</v>
      </c>
      <c r="Q958">
        <v>4711.0015700000004</v>
      </c>
    </row>
    <row r="959" spans="1:17" x14ac:dyDescent="0.55000000000000004">
      <c r="A959">
        <v>1775541600</v>
      </c>
      <c r="B959" t="s">
        <v>0</v>
      </c>
      <c r="C959" t="s">
        <v>1</v>
      </c>
      <c r="D959">
        <v>4653.55</v>
      </c>
      <c r="E959">
        <v>4657.63994</v>
      </c>
      <c r="F959">
        <v>4654.0155800000002</v>
      </c>
      <c r="G959">
        <v>4667.4200899999996</v>
      </c>
      <c r="H959">
        <v>4638.2373699999998</v>
      </c>
      <c r="J959">
        <v>1775688300</v>
      </c>
      <c r="K959" t="s">
        <v>0</v>
      </c>
      <c r="L959" t="s">
        <v>2</v>
      </c>
      <c r="M959">
        <v>4715.3999999999996</v>
      </c>
      <c r="N959">
        <v>4715.0875999999998</v>
      </c>
      <c r="O959">
        <v>4714.8320800000001</v>
      </c>
      <c r="P959">
        <v>4717.7783200000003</v>
      </c>
      <c r="Q959">
        <v>4711.7916400000004</v>
      </c>
    </row>
    <row r="960" spans="1:17" x14ac:dyDescent="0.55000000000000004">
      <c r="A960">
        <v>1775545200</v>
      </c>
      <c r="B960" t="s">
        <v>0</v>
      </c>
      <c r="C960" t="s">
        <v>1</v>
      </c>
      <c r="D960">
        <v>4646.1000000000004</v>
      </c>
      <c r="E960">
        <v>4661.9213600000003</v>
      </c>
      <c r="F960">
        <v>4657.9684699999998</v>
      </c>
      <c r="G960">
        <v>4673.1949500000001</v>
      </c>
      <c r="H960">
        <v>4642.4807099999998</v>
      </c>
      <c r="J960">
        <v>1775688600</v>
      </c>
      <c r="K960" t="s">
        <v>0</v>
      </c>
      <c r="L960" t="s">
        <v>2</v>
      </c>
      <c r="M960">
        <v>4716.68</v>
      </c>
      <c r="N960">
        <v>4714.8722500000003</v>
      </c>
      <c r="O960">
        <v>4714.8521700000001</v>
      </c>
      <c r="P960">
        <v>4718.0196699999997</v>
      </c>
      <c r="Q960">
        <v>4711.9679400000005</v>
      </c>
    </row>
    <row r="961" spans="1:17" x14ac:dyDescent="0.55000000000000004">
      <c r="A961">
        <v>1775548800</v>
      </c>
      <c r="B961" t="s">
        <v>0</v>
      </c>
      <c r="C961" t="s">
        <v>1</v>
      </c>
      <c r="D961">
        <v>4683.07</v>
      </c>
      <c r="E961">
        <v>4664.9588899999999</v>
      </c>
      <c r="F961">
        <v>4661.4636799999998</v>
      </c>
      <c r="G961">
        <v>4678.2071699999997</v>
      </c>
      <c r="H961">
        <v>4645.9594900000002</v>
      </c>
      <c r="J961">
        <v>1775688900</v>
      </c>
      <c r="K961" t="s">
        <v>0</v>
      </c>
      <c r="L961" t="s">
        <v>2</v>
      </c>
      <c r="M961">
        <v>4717.7</v>
      </c>
      <c r="N961">
        <v>4714.1823199999999</v>
      </c>
      <c r="O961">
        <v>4714.5172400000001</v>
      </c>
      <c r="P961">
        <v>4717.8017399999999</v>
      </c>
      <c r="Q961">
        <v>4711.4114799999998</v>
      </c>
    </row>
    <row r="962" spans="1:17" x14ac:dyDescent="0.55000000000000004">
      <c r="A962">
        <v>1775552400</v>
      </c>
      <c r="B962" t="s">
        <v>0</v>
      </c>
      <c r="C962" t="s">
        <v>1</v>
      </c>
      <c r="D962">
        <v>4670.88</v>
      </c>
      <c r="E962">
        <v>4664.7793000000001</v>
      </c>
      <c r="F962">
        <v>4663.1214900000004</v>
      </c>
      <c r="G962">
        <v>4680.4007199999996</v>
      </c>
      <c r="H962">
        <v>4647.4332800000002</v>
      </c>
      <c r="J962">
        <v>1775689200</v>
      </c>
      <c r="K962" t="s">
        <v>0</v>
      </c>
      <c r="L962" t="s">
        <v>2</v>
      </c>
      <c r="M962">
        <v>4715.09</v>
      </c>
      <c r="N962">
        <v>4713.1441599999998</v>
      </c>
      <c r="O962">
        <v>4713.8307000000004</v>
      </c>
      <c r="P962">
        <v>4717.0881499999996</v>
      </c>
      <c r="Q962">
        <v>4710.2698</v>
      </c>
    </row>
    <row r="963" spans="1:17" x14ac:dyDescent="0.55000000000000004">
      <c r="A963">
        <v>1775556000</v>
      </c>
      <c r="B963" t="s">
        <v>0</v>
      </c>
      <c r="C963" t="s">
        <v>1</v>
      </c>
      <c r="D963">
        <v>4652.0600000000004</v>
      </c>
      <c r="E963">
        <v>4661.4227700000001</v>
      </c>
      <c r="F963">
        <v>4662.2721300000003</v>
      </c>
      <c r="G963">
        <v>4678.9481599999999</v>
      </c>
      <c r="H963">
        <v>4645.9204499999996</v>
      </c>
      <c r="J963">
        <v>1775689500</v>
      </c>
      <c r="K963" t="s">
        <v>0</v>
      </c>
      <c r="L963" t="s">
        <v>2</v>
      </c>
      <c r="M963">
        <v>4707.4799999999996</v>
      </c>
      <c r="N963">
        <v>4712.04666</v>
      </c>
      <c r="O963">
        <v>4712.9386800000002</v>
      </c>
      <c r="P963">
        <v>4716.0624200000002</v>
      </c>
      <c r="Q963">
        <v>4709.0119199999999</v>
      </c>
    </row>
    <row r="964" spans="1:17" x14ac:dyDescent="0.55000000000000004">
      <c r="A964">
        <v>1775559600</v>
      </c>
      <c r="B964" t="s">
        <v>0</v>
      </c>
      <c r="C964" t="s">
        <v>1</v>
      </c>
      <c r="D964">
        <v>4659.8100000000004</v>
      </c>
      <c r="E964">
        <v>4656.0070800000003</v>
      </c>
      <c r="F964">
        <v>4659.1396100000002</v>
      </c>
      <c r="G964">
        <v>4674.3870100000004</v>
      </c>
      <c r="H964">
        <v>4641.8294699999997</v>
      </c>
      <c r="J964">
        <v>1775689800</v>
      </c>
      <c r="K964" t="s">
        <v>0</v>
      </c>
      <c r="L964" t="s">
        <v>2</v>
      </c>
      <c r="M964">
        <v>4708.6499999999996</v>
      </c>
      <c r="N964">
        <v>4711.3429699999997</v>
      </c>
      <c r="O964">
        <v>4712.1408199999996</v>
      </c>
      <c r="P964">
        <v>4714.9593100000002</v>
      </c>
      <c r="Q964">
        <v>4708.0540099999998</v>
      </c>
    </row>
    <row r="965" spans="1:17" x14ac:dyDescent="0.55000000000000004">
      <c r="A965">
        <v>1775563200</v>
      </c>
      <c r="B965" t="s">
        <v>0</v>
      </c>
      <c r="C965" t="s">
        <v>1</v>
      </c>
      <c r="D965">
        <v>4651.4799999999996</v>
      </c>
      <c r="E965">
        <v>4649.4971299999997</v>
      </c>
      <c r="F965">
        <v>4654.31837</v>
      </c>
      <c r="G965">
        <v>4668.1805100000001</v>
      </c>
      <c r="H965">
        <v>4636.55555</v>
      </c>
      <c r="J965">
        <v>1775690100</v>
      </c>
      <c r="K965" t="s">
        <v>0</v>
      </c>
      <c r="L965" t="s">
        <v>2</v>
      </c>
      <c r="M965">
        <v>4713.1400000000003</v>
      </c>
      <c r="N965">
        <v>4711.1959900000002</v>
      </c>
      <c r="O965">
        <v>4711.6684100000002</v>
      </c>
      <c r="P965">
        <v>4714.1898199999996</v>
      </c>
      <c r="Q965">
        <v>4707.7310500000003</v>
      </c>
    </row>
    <row r="966" spans="1:17" x14ac:dyDescent="0.55000000000000004">
      <c r="A966">
        <v>1775566800</v>
      </c>
      <c r="B966" t="s">
        <v>0</v>
      </c>
      <c r="C966" t="s">
        <v>1</v>
      </c>
      <c r="D966">
        <v>4644.34</v>
      </c>
      <c r="E966">
        <v>4643.7738900000004</v>
      </c>
      <c r="F966">
        <v>4649.0461299999997</v>
      </c>
      <c r="G966">
        <v>4661.9041999999999</v>
      </c>
      <c r="H966">
        <v>4630.97372</v>
      </c>
      <c r="J966">
        <v>1775690400</v>
      </c>
      <c r="K966" t="s">
        <v>0</v>
      </c>
      <c r="L966" t="s">
        <v>2</v>
      </c>
      <c r="M966">
        <v>4713.45</v>
      </c>
      <c r="N966">
        <v>4711.5189300000002</v>
      </c>
      <c r="O966">
        <v>4711.5936700000002</v>
      </c>
      <c r="P966">
        <v>4713.8849399999999</v>
      </c>
      <c r="Q966">
        <v>4708.1534600000005</v>
      </c>
    </row>
    <row r="967" spans="1:17" x14ac:dyDescent="0.55000000000000004">
      <c r="A967">
        <v>1775570400</v>
      </c>
      <c r="B967" t="s">
        <v>0</v>
      </c>
      <c r="C967" t="s">
        <v>1</v>
      </c>
      <c r="D967">
        <v>4633.43</v>
      </c>
      <c r="E967">
        <v>4641.0452500000001</v>
      </c>
      <c r="F967">
        <v>4645.0456899999999</v>
      </c>
      <c r="G967">
        <v>4657.9989500000001</v>
      </c>
      <c r="H967">
        <v>4627.1167599999999</v>
      </c>
      <c r="J967">
        <v>1775690700</v>
      </c>
      <c r="K967" t="s">
        <v>0</v>
      </c>
      <c r="L967" t="s">
        <v>2</v>
      </c>
      <c r="M967">
        <v>4710.1499999999996</v>
      </c>
      <c r="N967">
        <v>4712.1841000000004</v>
      </c>
      <c r="O967">
        <v>4711.8888800000004</v>
      </c>
      <c r="P967">
        <v>4714.0187999999998</v>
      </c>
      <c r="Q967">
        <v>4709.1030000000001</v>
      </c>
    </row>
    <row r="968" spans="1:17" x14ac:dyDescent="0.55000000000000004">
      <c r="A968">
        <v>1775574000</v>
      </c>
      <c r="B968" t="s">
        <v>0</v>
      </c>
      <c r="C968" t="s">
        <v>1</v>
      </c>
      <c r="D968">
        <v>4655.55</v>
      </c>
      <c r="E968">
        <v>4643.5250699999997</v>
      </c>
      <c r="F968">
        <v>4644.2853800000003</v>
      </c>
      <c r="G968">
        <v>4658.74953</v>
      </c>
      <c r="H968">
        <v>4627.5602099999996</v>
      </c>
      <c r="J968">
        <v>1775691000</v>
      </c>
      <c r="K968" t="s">
        <v>0</v>
      </c>
      <c r="L968" t="s">
        <v>2</v>
      </c>
      <c r="M968">
        <v>4710.71</v>
      </c>
      <c r="N968">
        <v>4713.0355799999998</v>
      </c>
      <c r="O968">
        <v>4712.4622300000001</v>
      </c>
      <c r="P968">
        <v>4714.5491300000003</v>
      </c>
      <c r="Q968">
        <v>4710.2986799999999</v>
      </c>
    </row>
    <row r="969" spans="1:17" x14ac:dyDescent="0.55000000000000004">
      <c r="A969">
        <v>1775577600</v>
      </c>
      <c r="B969" t="s">
        <v>0</v>
      </c>
      <c r="C969" t="s">
        <v>1</v>
      </c>
      <c r="D969">
        <v>4657.09</v>
      </c>
      <c r="E969">
        <v>4652.0383599999996</v>
      </c>
      <c r="F969">
        <v>4648.1618699999999</v>
      </c>
      <c r="G969">
        <v>4666.0118700000003</v>
      </c>
      <c r="H969">
        <v>4633.2463399999997</v>
      </c>
      <c r="J969">
        <v>1775691300</v>
      </c>
      <c r="K969" t="s">
        <v>0</v>
      </c>
      <c r="L969" t="s">
        <v>2</v>
      </c>
      <c r="M969">
        <v>4712.8</v>
      </c>
      <c r="N969">
        <v>4713.7610000000004</v>
      </c>
      <c r="O969">
        <v>4713.1116199999997</v>
      </c>
      <c r="P969">
        <v>4715.3045199999997</v>
      </c>
      <c r="Q969">
        <v>4711.4084300000004</v>
      </c>
    </row>
    <row r="970" spans="1:17" x14ac:dyDescent="0.55000000000000004">
      <c r="A970">
        <v>1775581200</v>
      </c>
      <c r="B970" t="s">
        <v>0</v>
      </c>
      <c r="C970" t="s">
        <v>1</v>
      </c>
      <c r="D970">
        <v>4675.87</v>
      </c>
      <c r="E970">
        <v>4667.2839899999999</v>
      </c>
      <c r="F970">
        <v>4657.7229299999999</v>
      </c>
      <c r="G970">
        <v>4680.5114700000004</v>
      </c>
      <c r="H970">
        <v>4644.3130300000003</v>
      </c>
      <c r="J970">
        <v>1775691600</v>
      </c>
      <c r="K970" t="s">
        <v>0</v>
      </c>
      <c r="L970" t="s">
        <v>2</v>
      </c>
      <c r="M970">
        <v>4713.59</v>
      </c>
      <c r="N970">
        <v>4714.0163899999998</v>
      </c>
      <c r="O970">
        <v>4713.5640000000003</v>
      </c>
      <c r="P970">
        <v>4715.9395100000002</v>
      </c>
      <c r="Q970">
        <v>4711.9626099999996</v>
      </c>
    </row>
    <row r="971" spans="1:17" x14ac:dyDescent="0.55000000000000004">
      <c r="A971">
        <v>1775584800</v>
      </c>
      <c r="B971" t="s">
        <v>0</v>
      </c>
      <c r="C971" t="s">
        <v>1</v>
      </c>
      <c r="D971">
        <v>4662.0600000000004</v>
      </c>
      <c r="E971">
        <v>4688.53388</v>
      </c>
      <c r="F971">
        <v>4673.1283999999996</v>
      </c>
      <c r="G971">
        <v>4701.6452799999997</v>
      </c>
      <c r="H971">
        <v>4661.0112399999998</v>
      </c>
      <c r="J971">
        <v>1775691900</v>
      </c>
      <c r="K971" t="s">
        <v>0</v>
      </c>
      <c r="L971" t="s">
        <v>2</v>
      </c>
      <c r="M971">
        <v>4717.7</v>
      </c>
      <c r="N971">
        <v>4713.5798299999997</v>
      </c>
      <c r="O971">
        <v>4713.5719200000003</v>
      </c>
      <c r="P971">
        <v>4716.12428</v>
      </c>
      <c r="Q971">
        <v>4711.6226500000002</v>
      </c>
    </row>
    <row r="972" spans="1:17" x14ac:dyDescent="0.55000000000000004">
      <c r="A972">
        <v>1775588400</v>
      </c>
      <c r="B972" t="s">
        <v>0</v>
      </c>
      <c r="C972" t="s">
        <v>1</v>
      </c>
      <c r="D972">
        <v>4700.6099999999997</v>
      </c>
      <c r="E972">
        <v>4715.0739999999996</v>
      </c>
      <c r="F972">
        <v>4694.1012000000001</v>
      </c>
      <c r="G972">
        <v>4728.1917199999998</v>
      </c>
      <c r="H972">
        <v>4682.7849399999996</v>
      </c>
      <c r="J972">
        <v>1775692200</v>
      </c>
      <c r="K972" t="s">
        <v>0</v>
      </c>
      <c r="L972" t="s">
        <v>2</v>
      </c>
      <c r="M972">
        <v>4715.08</v>
      </c>
      <c r="N972">
        <v>4712.3145299999996</v>
      </c>
      <c r="O972">
        <v>4712.9432200000001</v>
      </c>
      <c r="P972">
        <v>4715.6140100000002</v>
      </c>
      <c r="Q972">
        <v>4710.3112899999996</v>
      </c>
    </row>
    <row r="973" spans="1:17" x14ac:dyDescent="0.55000000000000004">
      <c r="A973">
        <v>1775592000</v>
      </c>
      <c r="B973" t="s">
        <v>0</v>
      </c>
      <c r="C973" t="s">
        <v>1</v>
      </c>
      <c r="D973">
        <v>4705.5600000000004</v>
      </c>
      <c r="E973">
        <v>4742.7425000000003</v>
      </c>
      <c r="F973">
        <v>4718.4218499999997</v>
      </c>
      <c r="G973">
        <v>4756.0643099999998</v>
      </c>
      <c r="H973">
        <v>4707.6582699999999</v>
      </c>
      <c r="J973">
        <v>1775692500</v>
      </c>
      <c r="K973" t="s">
        <v>0</v>
      </c>
      <c r="L973" t="s">
        <v>2</v>
      </c>
      <c r="M973">
        <v>4715.66</v>
      </c>
      <c r="N973">
        <v>4710.5830800000003</v>
      </c>
      <c r="O973">
        <v>4711.7631499999998</v>
      </c>
      <c r="P973">
        <v>4714.4553299999998</v>
      </c>
      <c r="Q973">
        <v>4708.3122000000003</v>
      </c>
    </row>
    <row r="974" spans="1:17" x14ac:dyDescent="0.55000000000000004">
      <c r="A974">
        <v>1775599200</v>
      </c>
      <c r="B974" t="s">
        <v>0</v>
      </c>
      <c r="C974" t="s">
        <v>1</v>
      </c>
      <c r="D974">
        <v>4818.5</v>
      </c>
      <c r="E974">
        <v>4770.34728</v>
      </c>
      <c r="F974">
        <v>4744.3845700000002</v>
      </c>
      <c r="G974">
        <v>4784.19758</v>
      </c>
      <c r="H974">
        <v>4734.0701499999996</v>
      </c>
      <c r="J974">
        <v>1775692800</v>
      </c>
      <c r="K974" t="s">
        <v>0</v>
      </c>
      <c r="L974" t="s">
        <v>2</v>
      </c>
      <c r="M974">
        <v>4705.3599999999997</v>
      </c>
      <c r="N974">
        <v>4708.5802599999997</v>
      </c>
      <c r="O974">
        <v>4710.1717099999996</v>
      </c>
      <c r="P974">
        <v>4712.8370999999997</v>
      </c>
      <c r="Q974">
        <v>4705.9211400000004</v>
      </c>
    </row>
    <row r="975" spans="1:17" x14ac:dyDescent="0.55000000000000004">
      <c r="A975">
        <v>1775602800</v>
      </c>
      <c r="B975" t="s">
        <v>0</v>
      </c>
      <c r="C975" t="s">
        <v>1</v>
      </c>
      <c r="D975">
        <v>4833.2</v>
      </c>
      <c r="E975">
        <v>4793.5917900000004</v>
      </c>
      <c r="F975">
        <v>4768.9881800000003</v>
      </c>
      <c r="G975">
        <v>4808.3689100000001</v>
      </c>
      <c r="H975">
        <v>4759.5120900000002</v>
      </c>
      <c r="J975">
        <v>1775693100</v>
      </c>
      <c r="K975" t="s">
        <v>0</v>
      </c>
      <c r="L975" t="s">
        <v>2</v>
      </c>
      <c r="M975">
        <v>4700.6099999999997</v>
      </c>
      <c r="N975">
        <v>4706.8173699999998</v>
      </c>
      <c r="O975">
        <v>4708.4945399999997</v>
      </c>
      <c r="P975">
        <v>4711.07593</v>
      </c>
      <c r="Q975">
        <v>4703.7196599999997</v>
      </c>
    </row>
    <row r="976" spans="1:17" x14ac:dyDescent="0.55000000000000004">
      <c r="A976">
        <v>1775606400</v>
      </c>
      <c r="B976" t="s">
        <v>0</v>
      </c>
      <c r="C976" t="s">
        <v>1</v>
      </c>
      <c r="D976">
        <v>4817.79</v>
      </c>
      <c r="E976">
        <v>4810.3809000000001</v>
      </c>
      <c r="F976">
        <v>4789.6845400000002</v>
      </c>
      <c r="G976">
        <v>4826.17551</v>
      </c>
      <c r="H976">
        <v>4780.6488099999997</v>
      </c>
      <c r="J976">
        <v>1775693400</v>
      </c>
      <c r="K976" t="s">
        <v>0</v>
      </c>
      <c r="L976" t="s">
        <v>2</v>
      </c>
      <c r="M976">
        <v>4702.29</v>
      </c>
      <c r="N976">
        <v>4705.7225200000003</v>
      </c>
      <c r="O976">
        <v>4707.1085300000004</v>
      </c>
      <c r="P976">
        <v>4709.6772300000002</v>
      </c>
      <c r="Q976">
        <v>4702.2288600000002</v>
      </c>
    </row>
    <row r="977" spans="1:17" x14ac:dyDescent="0.55000000000000004">
      <c r="A977">
        <v>1775610000</v>
      </c>
      <c r="B977" t="s">
        <v>0</v>
      </c>
      <c r="C977" t="s">
        <v>1</v>
      </c>
      <c r="D977">
        <v>4810.29</v>
      </c>
      <c r="E977">
        <v>4820.2559600000004</v>
      </c>
      <c r="F977">
        <v>4804.9702500000003</v>
      </c>
      <c r="G977">
        <v>4836.2878899999996</v>
      </c>
      <c r="H977">
        <v>4796.0105599999997</v>
      </c>
      <c r="J977">
        <v>1775693700</v>
      </c>
      <c r="K977" t="s">
        <v>0</v>
      </c>
      <c r="L977" t="s">
        <v>2</v>
      </c>
      <c r="M977">
        <v>4704.1499999999996</v>
      </c>
      <c r="N977">
        <v>4705.51944</v>
      </c>
      <c r="O977">
        <v>4706.3139899999996</v>
      </c>
      <c r="P977">
        <v>4709.0008600000001</v>
      </c>
      <c r="Q977">
        <v>4701.7628000000004</v>
      </c>
    </row>
    <row r="978" spans="1:17" x14ac:dyDescent="0.55000000000000004">
      <c r="A978">
        <v>1775613600</v>
      </c>
      <c r="B978" t="s">
        <v>0</v>
      </c>
      <c r="C978" t="s">
        <v>1</v>
      </c>
      <c r="D978">
        <v>4804.17</v>
      </c>
      <c r="E978">
        <v>4823.7711399999998</v>
      </c>
      <c r="F978">
        <v>4814.3707000000004</v>
      </c>
      <c r="G978">
        <v>4839.48261</v>
      </c>
      <c r="H978">
        <v>4805.5474100000001</v>
      </c>
      <c r="J978">
        <v>1775694000</v>
      </c>
      <c r="K978" t="s">
        <v>0</v>
      </c>
      <c r="L978" t="s">
        <v>2</v>
      </c>
      <c r="M978">
        <v>4710.76</v>
      </c>
      <c r="N978">
        <v>4706.2543400000004</v>
      </c>
      <c r="O978">
        <v>4706.2841600000002</v>
      </c>
      <c r="P978">
        <v>4709.2233100000003</v>
      </c>
      <c r="Q978">
        <v>4702.3966</v>
      </c>
    </row>
    <row r="979" spans="1:17" x14ac:dyDescent="0.55000000000000004">
      <c r="A979">
        <v>1775617200</v>
      </c>
      <c r="B979" t="s">
        <v>0</v>
      </c>
      <c r="C979" t="s">
        <v>1</v>
      </c>
      <c r="D979">
        <v>4797.83</v>
      </c>
      <c r="E979">
        <v>4822.3245399999996</v>
      </c>
      <c r="F979">
        <v>4818.3476199999996</v>
      </c>
      <c r="G979">
        <v>4837.1471499999998</v>
      </c>
      <c r="H979">
        <v>4809.5740800000003</v>
      </c>
      <c r="J979">
        <v>1775694300</v>
      </c>
      <c r="K979" t="s">
        <v>0</v>
      </c>
      <c r="L979" t="s">
        <v>2</v>
      </c>
      <c r="M979">
        <v>4706.45</v>
      </c>
      <c r="N979">
        <v>4707.7115899999999</v>
      </c>
      <c r="O979">
        <v>4706.9978700000001</v>
      </c>
      <c r="P979">
        <v>4710.2626099999998</v>
      </c>
      <c r="Q979">
        <v>4703.9778800000004</v>
      </c>
    </row>
    <row r="980" spans="1:17" x14ac:dyDescent="0.55000000000000004">
      <c r="A980">
        <v>1775620800</v>
      </c>
      <c r="B980" t="s">
        <v>0</v>
      </c>
      <c r="C980" t="s">
        <v>1</v>
      </c>
      <c r="D980">
        <v>4804.01</v>
      </c>
      <c r="E980">
        <v>4817.85178</v>
      </c>
      <c r="F980">
        <v>4818.0996999999998</v>
      </c>
      <c r="G980">
        <v>4831.6884</v>
      </c>
      <c r="H980">
        <v>4809.2247900000002</v>
      </c>
      <c r="J980">
        <v>1775694600</v>
      </c>
      <c r="K980" t="s">
        <v>0</v>
      </c>
      <c r="L980" t="s">
        <v>2</v>
      </c>
      <c r="M980">
        <v>4712.43</v>
      </c>
      <c r="N980">
        <v>4709.6893</v>
      </c>
      <c r="O980">
        <v>4708.3435900000004</v>
      </c>
      <c r="P980">
        <v>4711.9561700000004</v>
      </c>
      <c r="Q980">
        <v>4706.0835800000004</v>
      </c>
    </row>
    <row r="981" spans="1:17" x14ac:dyDescent="0.55000000000000004">
      <c r="A981">
        <v>1775624400</v>
      </c>
      <c r="B981" t="s">
        <v>0</v>
      </c>
      <c r="C981" t="s">
        <v>1</v>
      </c>
      <c r="D981">
        <v>4827.79</v>
      </c>
      <c r="E981">
        <v>4812.0962600000003</v>
      </c>
      <c r="F981">
        <v>4815.0979799999996</v>
      </c>
      <c r="G981">
        <v>4825.2866000000004</v>
      </c>
      <c r="H981">
        <v>4805.9864200000002</v>
      </c>
      <c r="J981">
        <v>1775694900</v>
      </c>
      <c r="K981" t="s">
        <v>0</v>
      </c>
      <c r="L981" t="s">
        <v>2</v>
      </c>
      <c r="M981">
        <v>4713.18</v>
      </c>
      <c r="N981">
        <v>4711.7185300000001</v>
      </c>
      <c r="O981">
        <v>4710.0310600000003</v>
      </c>
      <c r="P981">
        <v>4713.9459399999996</v>
      </c>
      <c r="Q981">
        <v>4708.2601599999998</v>
      </c>
    </row>
    <row r="982" spans="1:17" x14ac:dyDescent="0.55000000000000004">
      <c r="A982">
        <v>1775628000</v>
      </c>
      <c r="B982" t="s">
        <v>0</v>
      </c>
      <c r="C982" t="s">
        <v>1</v>
      </c>
      <c r="D982">
        <v>4820.45</v>
      </c>
      <c r="E982">
        <v>4805.9995600000002</v>
      </c>
      <c r="F982">
        <v>4810.5487700000003</v>
      </c>
      <c r="G982">
        <v>4819.0247900000004</v>
      </c>
      <c r="H982">
        <v>4800.9825199999996</v>
      </c>
      <c r="J982">
        <v>1775695200</v>
      </c>
      <c r="K982" t="s">
        <v>0</v>
      </c>
      <c r="L982" t="s">
        <v>2</v>
      </c>
      <c r="M982">
        <v>4718.38</v>
      </c>
      <c r="N982">
        <v>4713.4407600000004</v>
      </c>
      <c r="O982">
        <v>4711.7359100000003</v>
      </c>
      <c r="P982">
        <v>4715.8671599999998</v>
      </c>
      <c r="Q982">
        <v>4709.96263</v>
      </c>
    </row>
    <row r="983" spans="1:17" x14ac:dyDescent="0.55000000000000004">
      <c r="A983">
        <v>1775631600</v>
      </c>
      <c r="B983" t="s">
        <v>0</v>
      </c>
      <c r="C983" t="s">
        <v>1</v>
      </c>
      <c r="D983">
        <v>4813.53</v>
      </c>
      <c r="E983">
        <v>4800.5404699999999</v>
      </c>
      <c r="F983">
        <v>4805.5446199999997</v>
      </c>
      <c r="G983">
        <v>4814.0508</v>
      </c>
      <c r="H983">
        <v>4794.8066500000004</v>
      </c>
      <c r="J983">
        <v>1775695500</v>
      </c>
      <c r="K983" t="s">
        <v>0</v>
      </c>
      <c r="L983" t="s">
        <v>2</v>
      </c>
      <c r="M983">
        <v>4715.6000000000004</v>
      </c>
      <c r="N983">
        <v>4714.5217199999997</v>
      </c>
      <c r="O983">
        <v>4713.1288100000002</v>
      </c>
      <c r="P983">
        <v>4717.3659699999998</v>
      </c>
      <c r="Q983">
        <v>4710.8537200000001</v>
      </c>
    </row>
    <row r="984" spans="1:17" x14ac:dyDescent="0.55000000000000004">
      <c r="A984">
        <v>1775635200</v>
      </c>
      <c r="B984" t="s">
        <v>0</v>
      </c>
      <c r="C984" t="s">
        <v>1</v>
      </c>
      <c r="D984">
        <v>4794.2299999999996</v>
      </c>
      <c r="E984">
        <v>4796.1379999999999</v>
      </c>
      <c r="F984">
        <v>4800.8413099999998</v>
      </c>
      <c r="G984">
        <v>4811.01001</v>
      </c>
      <c r="H984">
        <v>4788.3820800000003</v>
      </c>
      <c r="J984">
        <v>1775695800</v>
      </c>
      <c r="K984" t="s">
        <v>0</v>
      </c>
      <c r="L984" t="s">
        <v>2</v>
      </c>
      <c r="M984">
        <v>4709.4399999999996</v>
      </c>
      <c r="N984">
        <v>4714.9207299999998</v>
      </c>
      <c r="O984">
        <v>4714.02477</v>
      </c>
      <c r="P984">
        <v>4718.2574599999998</v>
      </c>
      <c r="Q984">
        <v>4710.8123900000001</v>
      </c>
    </row>
    <row r="985" spans="1:17" x14ac:dyDescent="0.55000000000000004">
      <c r="A985">
        <v>1775638800</v>
      </c>
      <c r="B985" t="s">
        <v>0</v>
      </c>
      <c r="C985" t="s">
        <v>1</v>
      </c>
      <c r="D985">
        <v>4783.0600000000004</v>
      </c>
      <c r="E985">
        <v>4793.0950400000002</v>
      </c>
      <c r="F985">
        <v>4796.9681700000001</v>
      </c>
      <c r="G985">
        <v>4809.4615400000002</v>
      </c>
      <c r="H985">
        <v>4782.3878100000002</v>
      </c>
      <c r="J985">
        <v>1775696100</v>
      </c>
      <c r="K985" t="s">
        <v>0</v>
      </c>
      <c r="L985" t="s">
        <v>2</v>
      </c>
      <c r="M985">
        <v>4706.83</v>
      </c>
      <c r="N985">
        <v>4714.8494300000002</v>
      </c>
      <c r="O985">
        <v>4714.4371000000001</v>
      </c>
      <c r="P985">
        <v>4718.5699299999997</v>
      </c>
      <c r="Q985">
        <v>4710.0617300000004</v>
      </c>
    </row>
    <row r="986" spans="1:17" x14ac:dyDescent="0.55000000000000004">
      <c r="A986">
        <v>1775642400</v>
      </c>
      <c r="B986" t="s">
        <v>0</v>
      </c>
      <c r="C986" t="s">
        <v>1</v>
      </c>
      <c r="D986">
        <v>4782.71</v>
      </c>
      <c r="E986">
        <v>4790.9343200000003</v>
      </c>
      <c r="F986">
        <v>4793.9512500000001</v>
      </c>
      <c r="G986">
        <v>4808.6906399999998</v>
      </c>
      <c r="H986">
        <v>4777.0109599999996</v>
      </c>
      <c r="J986">
        <v>1775696400</v>
      </c>
      <c r="K986" t="s">
        <v>0</v>
      </c>
      <c r="L986" t="s">
        <v>2</v>
      </c>
      <c r="M986">
        <v>4712.88</v>
      </c>
      <c r="N986">
        <v>4714.57791</v>
      </c>
      <c r="O986">
        <v>4714.5074999999997</v>
      </c>
      <c r="P986">
        <v>4718.5633900000003</v>
      </c>
      <c r="Q986">
        <v>4708.9425799999999</v>
      </c>
    </row>
    <row r="987" spans="1:17" x14ac:dyDescent="0.55000000000000004">
      <c r="A987">
        <v>1775646000</v>
      </c>
      <c r="B987" t="s">
        <v>0</v>
      </c>
      <c r="C987" t="s">
        <v>1</v>
      </c>
      <c r="D987">
        <v>4798.3</v>
      </c>
      <c r="E987">
        <v>4788.5848500000002</v>
      </c>
      <c r="F987">
        <v>4791.2680499999997</v>
      </c>
      <c r="G987">
        <v>4807.6720299999997</v>
      </c>
      <c r="H987">
        <v>4771.8755099999998</v>
      </c>
      <c r="J987">
        <v>1775696700</v>
      </c>
      <c r="K987" t="s">
        <v>0</v>
      </c>
      <c r="L987" t="s">
        <v>2</v>
      </c>
      <c r="M987">
        <v>4716.1099999999997</v>
      </c>
      <c r="N987">
        <v>4714.2182700000003</v>
      </c>
      <c r="O987">
        <v>4714.3628900000003</v>
      </c>
      <c r="P987">
        <v>4718.3112300000003</v>
      </c>
      <c r="Q987">
        <v>4707.9848199999997</v>
      </c>
    </row>
    <row r="988" spans="1:17" x14ac:dyDescent="0.55000000000000004">
      <c r="A988">
        <v>1775649600</v>
      </c>
      <c r="B988" t="s">
        <v>0</v>
      </c>
      <c r="C988" t="s">
        <v>1</v>
      </c>
      <c r="D988">
        <v>4799.53</v>
      </c>
      <c r="E988">
        <v>4784.3674600000004</v>
      </c>
      <c r="F988">
        <v>4787.8177500000002</v>
      </c>
      <c r="G988">
        <v>4804.9373800000003</v>
      </c>
      <c r="H988">
        <v>4766.1459500000001</v>
      </c>
      <c r="J988">
        <v>1775697000</v>
      </c>
      <c r="K988" t="s">
        <v>0</v>
      </c>
      <c r="L988" t="s">
        <v>2</v>
      </c>
      <c r="M988">
        <v>4720.74</v>
      </c>
      <c r="N988">
        <v>4713.9330499999996</v>
      </c>
      <c r="O988">
        <v>4714.14797</v>
      </c>
      <c r="P988">
        <v>4718.0206099999996</v>
      </c>
      <c r="Q988">
        <v>4707.3361599999998</v>
      </c>
    </row>
    <row r="989" spans="1:17" x14ac:dyDescent="0.55000000000000004">
      <c r="A989">
        <v>1775653200</v>
      </c>
      <c r="B989" t="s">
        <v>0</v>
      </c>
      <c r="C989" t="s">
        <v>1</v>
      </c>
      <c r="D989">
        <v>4778.1400000000003</v>
      </c>
      <c r="E989">
        <v>4777.33151</v>
      </c>
      <c r="F989">
        <v>4782.5746300000001</v>
      </c>
      <c r="G989">
        <v>4799.3947500000004</v>
      </c>
      <c r="H989">
        <v>4759.5095300000003</v>
      </c>
      <c r="J989">
        <v>1775697300</v>
      </c>
      <c r="K989" t="s">
        <v>0</v>
      </c>
      <c r="L989" t="s">
        <v>2</v>
      </c>
      <c r="M989">
        <v>4720.84</v>
      </c>
      <c r="N989">
        <v>4713.7846</v>
      </c>
      <c r="O989">
        <v>4713.9662799999996</v>
      </c>
      <c r="P989">
        <v>4717.8002800000004</v>
      </c>
      <c r="Q989">
        <v>4707.17382</v>
      </c>
    </row>
    <row r="990" spans="1:17" x14ac:dyDescent="0.55000000000000004">
      <c r="A990">
        <v>1775656800</v>
      </c>
      <c r="B990" t="s">
        <v>0</v>
      </c>
      <c r="C990" t="s">
        <v>1</v>
      </c>
      <c r="D990">
        <v>4736.57</v>
      </c>
      <c r="E990">
        <v>4767.6981400000004</v>
      </c>
      <c r="F990">
        <v>4775.1363799999999</v>
      </c>
      <c r="G990">
        <v>4790.6205499999996</v>
      </c>
      <c r="H990">
        <v>4751.4012599999996</v>
      </c>
      <c r="J990">
        <v>1775697600</v>
      </c>
      <c r="K990" t="s">
        <v>0</v>
      </c>
      <c r="L990" t="s">
        <v>2</v>
      </c>
      <c r="M990">
        <v>4711.79</v>
      </c>
      <c r="N990">
        <v>4713.8724599999996</v>
      </c>
      <c r="O990">
        <v>4713.9193699999996</v>
      </c>
      <c r="P990">
        <v>4717.7747399999998</v>
      </c>
      <c r="Q990">
        <v>4707.4680500000004</v>
      </c>
    </row>
    <row r="991" spans="1:17" x14ac:dyDescent="0.55000000000000004">
      <c r="A991">
        <v>1775660400</v>
      </c>
      <c r="B991" t="s">
        <v>0</v>
      </c>
      <c r="C991" t="s">
        <v>1</v>
      </c>
      <c r="D991">
        <v>4756.6899999999996</v>
      </c>
      <c r="E991">
        <v>4757.1411099999996</v>
      </c>
      <c r="F991">
        <v>4766.1387500000001</v>
      </c>
      <c r="G991">
        <v>4779.22667</v>
      </c>
      <c r="H991">
        <v>4742.8109899999999</v>
      </c>
      <c r="J991">
        <v>1775697900</v>
      </c>
      <c r="K991" t="s">
        <v>0</v>
      </c>
      <c r="L991" t="s">
        <v>2</v>
      </c>
      <c r="M991">
        <v>4704.93</v>
      </c>
      <c r="N991">
        <v>4714.5318799999995</v>
      </c>
      <c r="O991">
        <v>4714.2256299999999</v>
      </c>
      <c r="P991">
        <v>4718.1056200000003</v>
      </c>
      <c r="Q991">
        <v>4708.4302699999998</v>
      </c>
    </row>
    <row r="992" spans="1:17" x14ac:dyDescent="0.55000000000000004">
      <c r="A992">
        <v>1775664000</v>
      </c>
      <c r="B992" t="s">
        <v>0</v>
      </c>
      <c r="C992" t="s">
        <v>1</v>
      </c>
      <c r="D992">
        <v>4760.53</v>
      </c>
      <c r="E992">
        <v>4745.3368799999998</v>
      </c>
      <c r="F992">
        <v>4755.7378099999996</v>
      </c>
      <c r="G992">
        <v>4766.8191100000004</v>
      </c>
      <c r="H992">
        <v>4733.7471500000001</v>
      </c>
      <c r="J992">
        <v>1775698200</v>
      </c>
      <c r="K992" t="s">
        <v>0</v>
      </c>
      <c r="L992" t="s">
        <v>2</v>
      </c>
      <c r="M992">
        <v>4718.3999999999996</v>
      </c>
      <c r="N992">
        <v>4716.0091400000001</v>
      </c>
      <c r="O992">
        <v>4715.1173799999997</v>
      </c>
      <c r="P992">
        <v>4719.1020799999997</v>
      </c>
      <c r="Q992">
        <v>4710.21072</v>
      </c>
    </row>
    <row r="993" spans="1:17" x14ac:dyDescent="0.55000000000000004">
      <c r="A993">
        <v>1775667600</v>
      </c>
      <c r="B993" t="s">
        <v>0</v>
      </c>
      <c r="C993" t="s">
        <v>1</v>
      </c>
      <c r="D993">
        <v>4733.8100000000004</v>
      </c>
      <c r="E993">
        <v>4733.0011699999995</v>
      </c>
      <c r="F993">
        <v>4744.36949</v>
      </c>
      <c r="G993">
        <v>4754.3659699999998</v>
      </c>
      <c r="H993">
        <v>4723.9617699999999</v>
      </c>
      <c r="J993">
        <v>1775698500</v>
      </c>
      <c r="K993" t="s">
        <v>0</v>
      </c>
      <c r="L993" t="s">
        <v>2</v>
      </c>
      <c r="M993">
        <v>4718.8100000000004</v>
      </c>
      <c r="N993">
        <v>4717.7376400000003</v>
      </c>
      <c r="O993">
        <v>4716.4275100000004</v>
      </c>
      <c r="P993">
        <v>4720.4697999999999</v>
      </c>
      <c r="Q993">
        <v>4712.6809800000001</v>
      </c>
    </row>
    <row r="994" spans="1:17" x14ac:dyDescent="0.55000000000000004">
      <c r="A994">
        <v>1775671200</v>
      </c>
      <c r="B994" t="s">
        <v>0</v>
      </c>
      <c r="C994" t="s">
        <v>1</v>
      </c>
      <c r="D994">
        <v>4705.5600000000004</v>
      </c>
      <c r="E994">
        <v>4722.4793499999996</v>
      </c>
      <c r="F994">
        <v>4733.4244200000003</v>
      </c>
      <c r="G994">
        <v>4742.875</v>
      </c>
      <c r="H994">
        <v>4714.4735899999996</v>
      </c>
      <c r="J994">
        <v>1775698800</v>
      </c>
      <c r="K994" t="s">
        <v>0</v>
      </c>
      <c r="L994" t="s">
        <v>2</v>
      </c>
      <c r="M994">
        <v>4717.71</v>
      </c>
      <c r="N994">
        <v>4719.5542299999997</v>
      </c>
      <c r="O994">
        <v>4717.9908699999996</v>
      </c>
      <c r="P994">
        <v>4722.0633699999998</v>
      </c>
      <c r="Q994">
        <v>4715.2369200000003</v>
      </c>
    </row>
    <row r="995" spans="1:17" x14ac:dyDescent="0.55000000000000004">
      <c r="A995">
        <v>1775674800</v>
      </c>
      <c r="B995" t="s">
        <v>0</v>
      </c>
      <c r="C995" t="s">
        <v>1</v>
      </c>
      <c r="D995">
        <v>4730.9399999999996</v>
      </c>
      <c r="E995">
        <v>4716.1693999999998</v>
      </c>
      <c r="F995">
        <v>4724.79691</v>
      </c>
      <c r="G995">
        <v>4733.9530100000002</v>
      </c>
      <c r="H995">
        <v>4707.4100399999998</v>
      </c>
      <c r="J995">
        <v>1775699100</v>
      </c>
      <c r="K995" t="s">
        <v>0</v>
      </c>
      <c r="L995" t="s">
        <v>2</v>
      </c>
      <c r="M995">
        <v>4722.28</v>
      </c>
      <c r="N995">
        <v>4721.3807299999999</v>
      </c>
      <c r="O995">
        <v>4719.6858000000002</v>
      </c>
      <c r="P995">
        <v>4723.6817099999998</v>
      </c>
      <c r="Q995">
        <v>4717.6485199999997</v>
      </c>
    </row>
    <row r="996" spans="1:17" x14ac:dyDescent="0.55000000000000004">
      <c r="A996">
        <v>1775678400</v>
      </c>
      <c r="B996" t="s">
        <v>0</v>
      </c>
      <c r="C996" t="s">
        <v>1</v>
      </c>
      <c r="D996">
        <v>4719.3</v>
      </c>
      <c r="E996">
        <v>4713.03604</v>
      </c>
      <c r="F996">
        <v>4718.9164700000001</v>
      </c>
      <c r="G996">
        <v>4728.4727300000004</v>
      </c>
      <c r="H996">
        <v>4703.5571499999996</v>
      </c>
      <c r="J996">
        <v>1775699400</v>
      </c>
      <c r="K996" t="s">
        <v>0</v>
      </c>
      <c r="L996" t="s">
        <v>2</v>
      </c>
      <c r="M996">
        <v>4723.6099999999997</v>
      </c>
      <c r="N996">
        <v>4722.8700200000003</v>
      </c>
      <c r="O996">
        <v>4721.2779099999998</v>
      </c>
      <c r="P996">
        <v>4725.1296700000003</v>
      </c>
      <c r="Q996">
        <v>4719.6911799999998</v>
      </c>
    </row>
    <row r="997" spans="1:17" x14ac:dyDescent="0.55000000000000004">
      <c r="A997">
        <v>1775685600</v>
      </c>
      <c r="B997" t="s">
        <v>0</v>
      </c>
      <c r="C997" t="s">
        <v>1</v>
      </c>
      <c r="D997">
        <v>4717.7</v>
      </c>
      <c r="E997">
        <v>4713.33662</v>
      </c>
      <c r="F997">
        <v>4716.12655</v>
      </c>
      <c r="G997">
        <v>4726.0757400000002</v>
      </c>
      <c r="H997">
        <v>4701.9125899999999</v>
      </c>
      <c r="J997">
        <v>1775699700</v>
      </c>
      <c r="K997" t="s">
        <v>0</v>
      </c>
      <c r="L997" t="s">
        <v>2</v>
      </c>
      <c r="M997">
        <v>4727.47</v>
      </c>
      <c r="N997">
        <v>4723.8673500000004</v>
      </c>
      <c r="O997">
        <v>4722.5726299999997</v>
      </c>
      <c r="P997">
        <v>4726.2400600000001</v>
      </c>
      <c r="Q997">
        <v>4721.07683</v>
      </c>
    </row>
    <row r="998" spans="1:17" x14ac:dyDescent="0.55000000000000004">
      <c r="A998">
        <v>1775689200</v>
      </c>
      <c r="B998" t="s">
        <v>0</v>
      </c>
      <c r="C998" t="s">
        <v>1</v>
      </c>
      <c r="D998">
        <v>4715.66</v>
      </c>
      <c r="E998">
        <v>4716.3303900000001</v>
      </c>
      <c r="F998">
        <v>4716.22847</v>
      </c>
      <c r="G998">
        <v>4725.6533900000004</v>
      </c>
      <c r="H998">
        <v>4702.9516899999999</v>
      </c>
      <c r="J998">
        <v>1775700000</v>
      </c>
      <c r="K998" t="s">
        <v>0</v>
      </c>
      <c r="L998" t="s">
        <v>2</v>
      </c>
      <c r="M998">
        <v>4722.1099999999997</v>
      </c>
      <c r="N998">
        <v>4724.0564700000004</v>
      </c>
      <c r="O998">
        <v>4723.3145500000001</v>
      </c>
      <c r="P998">
        <v>4726.7379799999999</v>
      </c>
      <c r="Q998">
        <v>4721.8292199999996</v>
      </c>
    </row>
    <row r="999" spans="1:17" x14ac:dyDescent="0.55000000000000004">
      <c r="A999">
        <v>1775692800</v>
      </c>
      <c r="B999" t="s">
        <v>0</v>
      </c>
      <c r="C999" t="s">
        <v>1</v>
      </c>
      <c r="D999">
        <v>4706.83</v>
      </c>
      <c r="E999">
        <v>4720.6298500000003</v>
      </c>
      <c r="F999">
        <v>4718.4291599999997</v>
      </c>
      <c r="G999">
        <v>4727.0989399999999</v>
      </c>
      <c r="H999">
        <v>4705.4812700000002</v>
      </c>
      <c r="J999">
        <v>1775700300</v>
      </c>
      <c r="K999" t="s">
        <v>0</v>
      </c>
      <c r="L999" t="s">
        <v>2</v>
      </c>
      <c r="M999">
        <v>4722.18</v>
      </c>
      <c r="N999">
        <v>4723.9224700000004</v>
      </c>
      <c r="O999">
        <v>4723.6185100000002</v>
      </c>
      <c r="P999">
        <v>4726.5528599999998</v>
      </c>
      <c r="Q999">
        <v>4722.1272900000004</v>
      </c>
    </row>
    <row r="1000" spans="1:17" x14ac:dyDescent="0.55000000000000004">
      <c r="A1000">
        <v>1775696400</v>
      </c>
      <c r="B1000" t="s">
        <v>0</v>
      </c>
      <c r="C1000" t="s">
        <v>1</v>
      </c>
      <c r="D1000">
        <v>4727.47</v>
      </c>
      <c r="E1000">
        <v>4726.6954599999999</v>
      </c>
      <c r="F1000">
        <v>4722.5623100000003</v>
      </c>
      <c r="G1000">
        <v>4729.7932199999996</v>
      </c>
      <c r="H1000">
        <v>4709.0566200000003</v>
      </c>
      <c r="J1000">
        <v>1775700600</v>
      </c>
      <c r="K1000" t="s">
        <v>0</v>
      </c>
      <c r="L1000" t="s">
        <v>2</v>
      </c>
      <c r="M1000">
        <v>4723.05</v>
      </c>
      <c r="N1000">
        <v>4723.7445500000003</v>
      </c>
      <c r="O1000">
        <v>4723.6815299999998</v>
      </c>
      <c r="P1000">
        <v>4726.01955</v>
      </c>
      <c r="Q1000">
        <v>4722.0633399999997</v>
      </c>
    </row>
    <row r="1001" spans="1:17" x14ac:dyDescent="0.55000000000000004">
      <c r="A1001">
        <v>1775700000</v>
      </c>
      <c r="B1001" t="s">
        <v>0</v>
      </c>
      <c r="C1001" t="s">
        <v>1</v>
      </c>
      <c r="D1001">
        <v>4725.08</v>
      </c>
      <c r="E1001">
        <v>4729.8584899999996</v>
      </c>
      <c r="F1001">
        <v>4726.2103999999999</v>
      </c>
      <c r="G1001">
        <v>4731.5688799999998</v>
      </c>
      <c r="H1001">
        <v>4714.4965899999997</v>
      </c>
      <c r="J1001">
        <v>1775700900</v>
      </c>
      <c r="K1001" t="s">
        <v>0</v>
      </c>
      <c r="L1001" t="s">
        <v>2</v>
      </c>
      <c r="M1001">
        <v>4724.33</v>
      </c>
      <c r="N1001">
        <v>4723.4584000000004</v>
      </c>
      <c r="O1001">
        <v>4723.5699599999998</v>
      </c>
      <c r="P1001">
        <v>4725.7200499999999</v>
      </c>
      <c r="Q1001">
        <v>4722.0739199999998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A2BC-CBD7-4189-B356-500CAE5FC700}">
  <dimension ref="A1:AM1000"/>
  <sheetViews>
    <sheetView tabSelected="1" topLeftCell="L1" zoomScale="60" zoomScaleNormal="60" workbookViewId="0">
      <pane ySplit="1" topLeftCell="A2" activePane="bottomLeft" state="frozen"/>
      <selection pane="bottomLeft" activeCell="AD27" sqref="AD27"/>
    </sheetView>
  </sheetViews>
  <sheetFormatPr defaultRowHeight="14.4" x14ac:dyDescent="0.55000000000000004"/>
  <cols>
    <col min="1" max="1" width="13.1015625" bestFit="1" customWidth="1"/>
    <col min="2" max="2" width="9.578125" bestFit="1" customWidth="1"/>
    <col min="3" max="3" width="12.26171875" bestFit="1" customWidth="1"/>
    <col min="4" max="4" width="7.7890625" bestFit="1" customWidth="1"/>
    <col min="5" max="8" width="10.68359375" bestFit="1" customWidth="1"/>
    <col min="9" max="9" width="10.1015625" bestFit="1" customWidth="1"/>
    <col min="10" max="10" width="12.83984375" bestFit="1" customWidth="1"/>
    <col min="11" max="11" width="8.3125" bestFit="1" customWidth="1"/>
    <col min="12" max="12" width="10.68359375" bestFit="1" customWidth="1"/>
    <col min="13" max="14" width="11.20703125" bestFit="1" customWidth="1"/>
    <col min="15" max="15" width="10.68359375" bestFit="1" customWidth="1"/>
    <col min="18" max="18" width="10.68359375" bestFit="1" customWidth="1"/>
    <col min="20" max="20" width="9.15625" bestFit="1" customWidth="1"/>
    <col min="21" max="21" width="9.15625" customWidth="1"/>
    <col min="22" max="22" width="18.578125" bestFit="1" customWidth="1"/>
    <col min="23" max="23" width="23.1015625" bestFit="1" customWidth="1"/>
    <col min="24" max="24" width="10.68359375" bestFit="1" customWidth="1"/>
    <col min="25" max="25" width="11.3125" bestFit="1" customWidth="1"/>
    <col min="26" max="26" width="23.05078125" bestFit="1" customWidth="1"/>
    <col min="27" max="27" width="11.20703125" bestFit="1" customWidth="1"/>
    <col min="28" max="28" width="22.5234375" bestFit="1" customWidth="1"/>
    <col min="29" max="29" width="10.68359375" bestFit="1" customWidth="1"/>
    <col min="32" max="32" width="9.68359375" bestFit="1" customWidth="1"/>
    <col min="33" max="33" width="22.83984375" bestFit="1" customWidth="1"/>
    <col min="34" max="34" width="22.3125" bestFit="1" customWidth="1"/>
  </cols>
  <sheetData>
    <row r="1" spans="1:39" x14ac:dyDescent="0.55000000000000004">
      <c r="A1" s="6" t="s">
        <v>11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R1" s="5" t="s">
        <v>19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15</v>
      </c>
      <c r="Y1" s="5" t="s">
        <v>16</v>
      </c>
      <c r="Z1" s="5" t="s">
        <v>26</v>
      </c>
      <c r="AA1" s="4" t="s">
        <v>17</v>
      </c>
      <c r="AB1" s="4" t="s">
        <v>27</v>
      </c>
      <c r="AC1" s="4" t="s">
        <v>18</v>
      </c>
      <c r="AF1" s="9" t="str">
        <f>X1</f>
        <v>ssa_m5</v>
      </c>
      <c r="AG1" s="9" t="str">
        <f>Z1</f>
        <v>ssa_high_m5_interpolation</v>
      </c>
      <c r="AH1" s="9" t="str">
        <f>AB1</f>
        <v>ssa_low_m5_interpolation</v>
      </c>
    </row>
    <row r="2" spans="1:39" x14ac:dyDescent="0.55000000000000004">
      <c r="A2">
        <f>ALGLIB_SSA_XAUUSD!J2</f>
        <v>1775127600</v>
      </c>
      <c r="B2" t="str">
        <f>_xlfn.XLOOKUP($A2,ALGLIB_SSA_XAUUSD!$A$2:$A$1000,ALGLIB_SSA_XAUUSD!$B$2:$B$1000,"",0)</f>
        <v>XAUUSD</v>
      </c>
      <c r="C2" t="str">
        <f>_xlfn.XLOOKUP($A2,ALGLIB_SSA_XAUUSD!$A$2:$A$1000,ALGLIB_SSA_XAUUSD!$C$2:$C$1000,"",0)</f>
        <v>H1</v>
      </c>
      <c r="D2" s="2">
        <f>_xlfn.XLOOKUP($A2,ALGLIB_SSA_XAUUSD!$A$2:$A$1000,ALGLIB_SSA_XAUUSD!$D$2:$D$1000,"",0)</f>
        <v>4600.2</v>
      </c>
      <c r="E2" s="2">
        <f>_xlfn.XLOOKUP($A2,ALGLIB_SSA_XAUUSD!$A$2:$A$1000,ALGLIB_SSA_XAUUSD!$E$2:$E$1000,"",0)</f>
        <v>4619.8464400000003</v>
      </c>
      <c r="F2" s="2">
        <f>_xlfn.XLOOKUP($A2,ALGLIB_SSA_XAUUSD!$A$2:$A$1000,ALGLIB_SSA_XAUUSD!$F$2:$F$1000,"",0)</f>
        <v>4616.0956699999997</v>
      </c>
      <c r="G2" s="2">
        <f>_xlfn.XLOOKUP($A2,ALGLIB_SSA_XAUUSD!$A$2:$A$1000,ALGLIB_SSA_XAUUSD!$G$2:$G$1000,"",0)</f>
        <v>4639.0441199999996</v>
      </c>
      <c r="H2" s="2">
        <f>_xlfn.XLOOKUP($A2,ALGLIB_SSA_XAUUSD!$A$2:$A$1000,ALGLIB_SSA_XAUUSD!$H$2:$H$1000,"",0)</f>
        <v>4598.7184600000001</v>
      </c>
      <c r="I2" t="str">
        <f>_xlfn.XLOOKUP($A2,ALGLIB_SSA_XAUUSD!$J$2:$J$1000,ALGLIB_SSA_XAUUSD!$K$2:$K$1000,"",0)</f>
        <v>XAUUSD</v>
      </c>
      <c r="J2" t="str">
        <f>_xlfn.XLOOKUP($A2,ALGLIB_SSA_XAUUSD!$J$2:$J$1000,ALGLIB_SSA_XAUUSD!$L$2:$L$1000,"",0)</f>
        <v>M5</v>
      </c>
      <c r="K2">
        <f>_xlfn.XLOOKUP($A2,ALGLIB_SSA_XAUUSD!$J$2:$J$1000,ALGLIB_SSA_XAUUSD!$M$2:$M$1000,"",0)</f>
        <v>4626.58</v>
      </c>
      <c r="L2">
        <f>_xlfn.XLOOKUP($A2,ALGLIB_SSA_XAUUSD!$J$2:$J$1000,ALGLIB_SSA_XAUUSD!$N$2:$N$1000,"",0)</f>
        <v>4627.2148999999999</v>
      </c>
      <c r="M2">
        <f>_xlfn.XLOOKUP($A2,ALGLIB_SSA_XAUUSD!$J$2:$J$1000,ALGLIB_SSA_XAUUSD!$O$2:$O$1000,"",0)</f>
        <v>4627.2148999999999</v>
      </c>
      <c r="N2">
        <f>_xlfn.XLOOKUP($A2,ALGLIB_SSA_XAUUSD!$J$2:$J$1000,ALGLIB_SSA_XAUUSD!$P$2:$P$1000,"",0)</f>
        <v>4628.9426700000004</v>
      </c>
      <c r="O2">
        <f>_xlfn.XLOOKUP($A2,ALGLIB_SSA_XAUUSD!$J$2:$J$1000,ALGLIB_SSA_XAUUSD!$Q$2:$Q$1000,"",0)</f>
        <v>4622.0950700000003</v>
      </c>
      <c r="R2">
        <f>A2</f>
        <v>1775127600</v>
      </c>
      <c r="S2" t="str">
        <f>I2</f>
        <v>XAUUSD</v>
      </c>
      <c r="T2" t="str">
        <f>J2</f>
        <v>M5</v>
      </c>
      <c r="U2">
        <f>K2</f>
        <v>4626.58</v>
      </c>
      <c r="V2">
        <f>E2</f>
        <v>4619.8464400000003</v>
      </c>
      <c r="W2">
        <f>F2</f>
        <v>4616.0956699999997</v>
      </c>
      <c r="X2">
        <f>L2</f>
        <v>4627.2148999999999</v>
      </c>
      <c r="Y2">
        <f>M2</f>
        <v>4627.2148999999999</v>
      </c>
      <c r="Z2">
        <f>G2</f>
        <v>4639.0441199999996</v>
      </c>
      <c r="AA2">
        <f>N2</f>
        <v>4628.9426700000004</v>
      </c>
      <c r="AB2">
        <f>H2</f>
        <v>4598.7184600000001</v>
      </c>
      <c r="AC2">
        <f>O2</f>
        <v>4622.0950700000003</v>
      </c>
      <c r="AF2">
        <f>X2</f>
        <v>4627.2148999999999</v>
      </c>
      <c r="AG2">
        <f>Z2</f>
        <v>4639.0441199999996</v>
      </c>
      <c r="AH2">
        <f>AB2</f>
        <v>4598.7184600000001</v>
      </c>
    </row>
    <row r="3" spans="1:39" x14ac:dyDescent="0.55000000000000004">
      <c r="A3">
        <f>ALGLIB_SSA_XAUUSD!J3</f>
        <v>1775127900</v>
      </c>
      <c r="B3" t="str">
        <f>_xlfn.XLOOKUP($A3,ALGLIB_SSA_XAUUSD!$A$2:$A$1000,ALGLIB_SSA_XAUUSD!$B$2:$B$1000,"",0)</f>
        <v/>
      </c>
      <c r="C3" t="str">
        <f>_xlfn.XLOOKUP($A3,ALGLIB_SSA_XAUUSD!$A$2:$A$1000,ALGLIB_SSA_XAUUSD!$C$2:$C$1000,"",0)</f>
        <v/>
      </c>
      <c r="D3" s="1">
        <f>D2+(D14-D2)*1/12</f>
        <v>4600.3074999999999</v>
      </c>
      <c r="E3" s="1">
        <f>E2+(E14-E2)*1/12</f>
        <v>4620.7067166666666</v>
      </c>
      <c r="F3" s="1">
        <f>F2+(F14-F2)*1/12</f>
        <v>4616.6820899999993</v>
      </c>
      <c r="G3" s="1">
        <f>G2+(G14-G2)*1/12</f>
        <v>4639.8648808333328</v>
      </c>
      <c r="H3" s="1">
        <f>H2+(H14-H2)*1/12</f>
        <v>4599.3722475000004</v>
      </c>
      <c r="I3" t="str">
        <f>_xlfn.XLOOKUP($A3,ALGLIB_SSA_XAUUSD!$J$2:$J$1000,ALGLIB_SSA_XAUUSD!$K$2:$K$1000,"",0)</f>
        <v>XAUUSD</v>
      </c>
      <c r="J3" t="str">
        <f>_xlfn.XLOOKUP($A3,ALGLIB_SSA_XAUUSD!$J$2:$J$1000,ALGLIB_SSA_XAUUSD!$L$2:$L$1000,"",0)</f>
        <v>M5</v>
      </c>
      <c r="K3">
        <f>_xlfn.XLOOKUP($A3,ALGLIB_SSA_XAUUSD!$J$2:$J$1000,ALGLIB_SSA_XAUUSD!$M$2:$M$1000,"",0)</f>
        <v>4625.78</v>
      </c>
      <c r="L3">
        <f>_xlfn.XLOOKUP($A3,ALGLIB_SSA_XAUUSD!$J$2:$J$1000,ALGLIB_SSA_XAUUSD!$N$2:$N$1000,"",0)</f>
        <v>4627.1535899999999</v>
      </c>
      <c r="M3">
        <f>_xlfn.XLOOKUP($A3,ALGLIB_SSA_XAUUSD!$J$2:$J$1000,ALGLIB_SSA_XAUUSD!$O$2:$O$1000,"",0)</f>
        <v>4627.1842399999996</v>
      </c>
      <c r="N3">
        <f>_xlfn.XLOOKUP($A3,ALGLIB_SSA_XAUUSD!$J$2:$J$1000,ALGLIB_SSA_XAUUSD!$P$2:$P$1000,"",0)</f>
        <v>4629.7388700000001</v>
      </c>
      <c r="O3">
        <f>_xlfn.XLOOKUP($A3,ALGLIB_SSA_XAUUSD!$J$2:$J$1000,ALGLIB_SSA_XAUUSD!$Q$2:$Q$1000,"",0)</f>
        <v>4623.55998</v>
      </c>
      <c r="R3">
        <f t="shared" ref="R3:R66" si="0">A3</f>
        <v>1775127900</v>
      </c>
      <c r="S3" t="str">
        <f t="shared" ref="S3:S66" si="1">I3</f>
        <v>XAUUSD</v>
      </c>
      <c r="T3" t="str">
        <f t="shared" ref="T3:T66" si="2">J3</f>
        <v>M5</v>
      </c>
      <c r="U3">
        <f t="shared" ref="U3:U66" si="3">K3</f>
        <v>4625.78</v>
      </c>
      <c r="V3">
        <v>4620.7067200000001</v>
      </c>
      <c r="W3">
        <v>4616.6820900000002</v>
      </c>
      <c r="X3">
        <v>4627.1535899999999</v>
      </c>
      <c r="Y3">
        <v>4627.1842399999996</v>
      </c>
      <c r="Z3">
        <f t="shared" ref="Z3:Z66" si="4">G3</f>
        <v>4639.8648808333328</v>
      </c>
      <c r="AA3">
        <f t="shared" ref="AA3:AA66" si="5">N3</f>
        <v>4629.7388700000001</v>
      </c>
      <c r="AB3">
        <f t="shared" ref="AB3:AB66" si="6">H3</f>
        <v>4599.3722475000004</v>
      </c>
      <c r="AC3">
        <f t="shared" ref="AC3:AC66" si="7">O3</f>
        <v>4623.55998</v>
      </c>
      <c r="AF3">
        <f t="shared" ref="AF3:AF66" si="8">X3</f>
        <v>4627.1535899999999</v>
      </c>
      <c r="AG3">
        <f t="shared" ref="AG3:AG66" si="9">Z3</f>
        <v>4639.8648808333328</v>
      </c>
      <c r="AH3">
        <f t="shared" ref="AH3:AH66" si="10">AB3</f>
        <v>4599.3722475000004</v>
      </c>
      <c r="AI3" s="3"/>
      <c r="AJ3" s="3"/>
      <c r="AK3" s="3"/>
      <c r="AL3" s="3"/>
      <c r="AM3" s="3"/>
    </row>
    <row r="4" spans="1:39" x14ac:dyDescent="0.55000000000000004">
      <c r="A4">
        <f>ALGLIB_SSA_XAUUSD!J4</f>
        <v>1775128200</v>
      </c>
      <c r="B4" t="str">
        <f>_xlfn.XLOOKUP($A4,ALGLIB_SSA_XAUUSD!$A$2:$A$1000,ALGLIB_SSA_XAUUSD!$B$2:$B$1000,"",0)</f>
        <v/>
      </c>
      <c r="C4" t="str">
        <f>_xlfn.XLOOKUP($A4,ALGLIB_SSA_XAUUSD!$A$2:$A$1000,ALGLIB_SSA_XAUUSD!$C$2:$C$1000,"",0)</f>
        <v/>
      </c>
      <c r="D4" s="1">
        <f>D2+(D14-D2)*2/12</f>
        <v>4600.415</v>
      </c>
      <c r="E4" s="1">
        <f>E2+(E14-E2)*2/12</f>
        <v>4621.5669933333338</v>
      </c>
      <c r="F4" s="1">
        <f>F2+(F14-F2)*2/12</f>
        <v>4617.2685099999999</v>
      </c>
      <c r="G4" s="1">
        <f>G2+(G14-G2)*2/12</f>
        <v>4640.685641666666</v>
      </c>
      <c r="H4" s="1">
        <f>H2+(H14-H2)*2/12</f>
        <v>4600.0260349999999</v>
      </c>
      <c r="I4" t="str">
        <f>_xlfn.XLOOKUP($A4,ALGLIB_SSA_XAUUSD!$J$2:$J$1000,ALGLIB_SSA_XAUUSD!$K$2:$K$1000,"",0)</f>
        <v>XAUUSD</v>
      </c>
      <c r="J4" t="str">
        <f>_xlfn.XLOOKUP($A4,ALGLIB_SSA_XAUUSD!$J$2:$J$1000,ALGLIB_SSA_XAUUSD!$L$2:$L$1000,"",0)</f>
        <v>M5</v>
      </c>
      <c r="K4">
        <f>_xlfn.XLOOKUP($A4,ALGLIB_SSA_XAUUSD!$J$2:$J$1000,ALGLIB_SSA_XAUUSD!$M$2:$M$1000,"",0)</f>
        <v>4627.5</v>
      </c>
      <c r="L4">
        <f>_xlfn.XLOOKUP($A4,ALGLIB_SSA_XAUUSD!$J$2:$J$1000,ALGLIB_SSA_XAUUSD!$N$2:$N$1000,"",0)</f>
        <v>4626.4943400000002</v>
      </c>
      <c r="M4">
        <f>_xlfn.XLOOKUP($A4,ALGLIB_SSA_XAUUSD!$J$2:$J$1000,ALGLIB_SSA_XAUUSD!$O$2:$O$1000,"",0)</f>
        <v>4626.8392899999999</v>
      </c>
      <c r="N4">
        <f>_xlfn.XLOOKUP($A4,ALGLIB_SSA_XAUUSD!$J$2:$J$1000,ALGLIB_SSA_XAUUSD!$P$2:$P$1000,"",0)</f>
        <v>4630.0632800000003</v>
      </c>
      <c r="O4">
        <f>_xlfn.XLOOKUP($A4,ALGLIB_SSA_XAUUSD!$J$2:$J$1000,ALGLIB_SSA_XAUUSD!$Q$2:$Q$1000,"",0)</f>
        <v>4623.5508099999997</v>
      </c>
      <c r="R4">
        <f t="shared" si="0"/>
        <v>1775128200</v>
      </c>
      <c r="S4" t="str">
        <f t="shared" si="1"/>
        <v>XAUUSD</v>
      </c>
      <c r="T4" t="str">
        <f t="shared" si="2"/>
        <v>M5</v>
      </c>
      <c r="U4">
        <f t="shared" si="3"/>
        <v>4627.5</v>
      </c>
      <c r="V4">
        <v>4621.5669900000003</v>
      </c>
      <c r="W4">
        <v>4617.2685099999999</v>
      </c>
      <c r="X4">
        <v>4626.4943400000002</v>
      </c>
      <c r="Y4">
        <v>4626.8392899999999</v>
      </c>
      <c r="Z4">
        <f t="shared" si="4"/>
        <v>4640.685641666666</v>
      </c>
      <c r="AA4">
        <f t="shared" si="5"/>
        <v>4630.0632800000003</v>
      </c>
      <c r="AB4">
        <f t="shared" si="6"/>
        <v>4600.0260349999999</v>
      </c>
      <c r="AC4">
        <f t="shared" si="7"/>
        <v>4623.5508099999997</v>
      </c>
      <c r="AF4">
        <f t="shared" si="8"/>
        <v>4626.4943400000002</v>
      </c>
      <c r="AG4">
        <f t="shared" si="9"/>
        <v>4640.685641666666</v>
      </c>
      <c r="AH4">
        <f t="shared" si="10"/>
        <v>4600.0260349999999</v>
      </c>
      <c r="AI4" s="3"/>
      <c r="AJ4" s="3"/>
      <c r="AK4" s="3"/>
      <c r="AL4" s="3"/>
      <c r="AM4" s="3"/>
    </row>
    <row r="5" spans="1:39" x14ac:dyDescent="0.55000000000000004">
      <c r="A5">
        <f>ALGLIB_SSA_XAUUSD!J5</f>
        <v>1775128500</v>
      </c>
      <c r="B5" t="str">
        <f>_xlfn.XLOOKUP($A5,ALGLIB_SSA_XAUUSD!$A$2:$A$1000,ALGLIB_SSA_XAUUSD!$B$2:$B$1000,"",0)</f>
        <v/>
      </c>
      <c r="C5" t="str">
        <f>_xlfn.XLOOKUP($A5,ALGLIB_SSA_XAUUSD!$A$2:$A$1000,ALGLIB_SSA_XAUUSD!$C$2:$C$1000,"",0)</f>
        <v/>
      </c>
      <c r="D5" s="1">
        <f>D2+(D14-D2)*3/12</f>
        <v>4600.5225</v>
      </c>
      <c r="E5" s="1">
        <f>E2+(E14-E2)*3/12</f>
        <v>4622.4272700000001</v>
      </c>
      <c r="F5" s="1">
        <f>F2+(F14-F2)*3/12</f>
        <v>4617.8549299999995</v>
      </c>
      <c r="G5" s="1">
        <f>G2+(G14-G2)*3/12</f>
        <v>4641.5064024999992</v>
      </c>
      <c r="H5" s="1">
        <f>H2+(H14-H2)*3/12</f>
        <v>4600.6798225000002</v>
      </c>
      <c r="I5" t="str">
        <f>_xlfn.XLOOKUP($A5,ALGLIB_SSA_XAUUSD!$J$2:$J$1000,ALGLIB_SSA_XAUUSD!$K$2:$K$1000,"",0)</f>
        <v>XAUUSD</v>
      </c>
      <c r="J5" t="str">
        <f>_xlfn.XLOOKUP($A5,ALGLIB_SSA_XAUUSD!$J$2:$J$1000,ALGLIB_SSA_XAUUSD!$L$2:$L$1000,"",0)</f>
        <v>M5</v>
      </c>
      <c r="K5">
        <f>_xlfn.XLOOKUP($A5,ALGLIB_SSA_XAUUSD!$J$2:$J$1000,ALGLIB_SSA_XAUUSD!$M$2:$M$1000,"",0)</f>
        <v>4624.55</v>
      </c>
      <c r="L5">
        <f>_xlfn.XLOOKUP($A5,ALGLIB_SSA_XAUUSD!$J$2:$J$1000,ALGLIB_SSA_XAUUSD!$N$2:$N$1000,"",0)</f>
        <v>4624.5197399999997</v>
      </c>
      <c r="M5">
        <f>_xlfn.XLOOKUP($A5,ALGLIB_SSA_XAUUSD!$J$2:$J$1000,ALGLIB_SSA_XAUUSD!$O$2:$O$1000,"",0)</f>
        <v>4625.6795199999997</v>
      </c>
      <c r="N5">
        <f>_xlfn.XLOOKUP($A5,ALGLIB_SSA_XAUUSD!$J$2:$J$1000,ALGLIB_SSA_XAUUSD!$P$2:$P$1000,"",0)</f>
        <v>4629.3204800000003</v>
      </c>
      <c r="O5">
        <f>_xlfn.XLOOKUP($A5,ALGLIB_SSA_XAUUSD!$J$2:$J$1000,ALGLIB_SSA_XAUUSD!$Q$2:$Q$1000,"",0)</f>
        <v>4622.1270100000002</v>
      </c>
      <c r="R5">
        <f t="shared" si="0"/>
        <v>1775128500</v>
      </c>
      <c r="S5" t="str">
        <f t="shared" si="1"/>
        <v>XAUUSD</v>
      </c>
      <c r="T5" t="str">
        <f t="shared" si="2"/>
        <v>M5</v>
      </c>
      <c r="U5">
        <f t="shared" si="3"/>
        <v>4624.55</v>
      </c>
      <c r="V5">
        <v>4622.4272700000001</v>
      </c>
      <c r="W5">
        <v>4617.8549300000004</v>
      </c>
      <c r="X5">
        <v>4624.5197399999997</v>
      </c>
      <c r="Y5">
        <v>4625.6795199999997</v>
      </c>
      <c r="Z5">
        <f t="shared" si="4"/>
        <v>4641.5064024999992</v>
      </c>
      <c r="AA5">
        <f t="shared" si="5"/>
        <v>4629.3204800000003</v>
      </c>
      <c r="AB5">
        <f t="shared" si="6"/>
        <v>4600.6798225000002</v>
      </c>
      <c r="AC5">
        <f t="shared" si="7"/>
        <v>4622.1270100000002</v>
      </c>
      <c r="AF5">
        <f t="shared" si="8"/>
        <v>4624.5197399999997</v>
      </c>
      <c r="AG5">
        <f t="shared" si="9"/>
        <v>4641.5064024999992</v>
      </c>
      <c r="AH5">
        <f t="shared" si="10"/>
        <v>4600.6798225000002</v>
      </c>
      <c r="AI5" s="3"/>
      <c r="AJ5" s="3"/>
      <c r="AK5" s="3"/>
      <c r="AL5" s="3"/>
      <c r="AM5" s="3"/>
    </row>
    <row r="6" spans="1:39" x14ac:dyDescent="0.55000000000000004">
      <c r="A6">
        <f>ALGLIB_SSA_XAUUSD!J6</f>
        <v>1775128800</v>
      </c>
      <c r="B6" t="str">
        <f>_xlfn.XLOOKUP($A6,ALGLIB_SSA_XAUUSD!$A$2:$A$1000,ALGLIB_SSA_XAUUSD!$B$2:$B$1000,"",0)</f>
        <v/>
      </c>
      <c r="C6" t="str">
        <f>_xlfn.XLOOKUP($A6,ALGLIB_SSA_XAUUSD!$A$2:$A$1000,ALGLIB_SSA_XAUUSD!$C$2:$C$1000,"",0)</f>
        <v/>
      </c>
      <c r="D6" s="1">
        <f>D2+(D14-D2)*4/12</f>
        <v>4600.63</v>
      </c>
      <c r="E6" s="1">
        <f>E2+(E14-E2)*4/12</f>
        <v>4623.2875466666665</v>
      </c>
      <c r="F6" s="1">
        <f>F2+(F14-F2)*4/12</f>
        <v>4618.4413500000001</v>
      </c>
      <c r="G6" s="1">
        <f>G2+(G14-G2)*4/12</f>
        <v>4642.3271633333334</v>
      </c>
      <c r="H6" s="1">
        <f>H2+(H14-H2)*4/12</f>
        <v>4601.3336099999997</v>
      </c>
      <c r="I6" t="str">
        <f>_xlfn.XLOOKUP($A6,ALGLIB_SSA_XAUUSD!$J$2:$J$1000,ALGLIB_SSA_XAUUSD!$K$2:$K$1000,"",0)</f>
        <v>XAUUSD</v>
      </c>
      <c r="J6" t="str">
        <f>_xlfn.XLOOKUP($A6,ALGLIB_SSA_XAUUSD!$J$2:$J$1000,ALGLIB_SSA_XAUUSD!$L$2:$L$1000,"",0)</f>
        <v>M5</v>
      </c>
      <c r="K6">
        <f>_xlfn.XLOOKUP($A6,ALGLIB_SSA_XAUUSD!$J$2:$J$1000,ALGLIB_SSA_XAUUSD!$M$2:$M$1000,"",0)</f>
        <v>4625.5600000000004</v>
      </c>
      <c r="L6">
        <f>_xlfn.XLOOKUP($A6,ALGLIB_SSA_XAUUSD!$J$2:$J$1000,ALGLIB_SSA_XAUUSD!$N$2:$N$1000,"",0)</f>
        <v>4621.2593299999999</v>
      </c>
      <c r="M6">
        <f>_xlfn.XLOOKUP($A6,ALGLIB_SSA_XAUUSD!$J$2:$J$1000,ALGLIB_SSA_XAUUSD!$O$2:$O$1000,"",0)</f>
        <v>4623.4694200000004</v>
      </c>
      <c r="N6">
        <f>_xlfn.XLOOKUP($A6,ALGLIB_SSA_XAUUSD!$J$2:$J$1000,ALGLIB_SSA_XAUUSD!$P$2:$P$1000,"",0)</f>
        <v>4627.1788500000002</v>
      </c>
      <c r="O6">
        <f>_xlfn.XLOOKUP($A6,ALGLIB_SSA_XAUUSD!$J$2:$J$1000,ALGLIB_SSA_XAUUSD!$Q$2:$Q$1000,"",0)</f>
        <v>4619.3455800000002</v>
      </c>
      <c r="R6">
        <f t="shared" si="0"/>
        <v>1775128800</v>
      </c>
      <c r="S6" t="str">
        <f t="shared" si="1"/>
        <v>XAUUSD</v>
      </c>
      <c r="T6" t="str">
        <f t="shared" si="2"/>
        <v>M5</v>
      </c>
      <c r="U6">
        <f t="shared" si="3"/>
        <v>4625.5600000000004</v>
      </c>
      <c r="V6">
        <v>4623.28755</v>
      </c>
      <c r="W6">
        <v>4618.4413500000001</v>
      </c>
      <c r="X6">
        <v>4621.2593299999999</v>
      </c>
      <c r="Y6">
        <v>4623.4694200000004</v>
      </c>
      <c r="Z6">
        <f t="shared" si="4"/>
        <v>4642.3271633333334</v>
      </c>
      <c r="AA6">
        <f t="shared" si="5"/>
        <v>4627.1788500000002</v>
      </c>
      <c r="AB6">
        <f t="shared" si="6"/>
        <v>4601.3336099999997</v>
      </c>
      <c r="AC6">
        <f t="shared" si="7"/>
        <v>4619.3455800000002</v>
      </c>
      <c r="AF6">
        <f t="shared" si="8"/>
        <v>4621.2593299999999</v>
      </c>
      <c r="AG6">
        <f t="shared" si="9"/>
        <v>4642.3271633333334</v>
      </c>
      <c r="AH6">
        <f t="shared" si="10"/>
        <v>4601.3336099999997</v>
      </c>
      <c r="AI6" s="3"/>
      <c r="AJ6" s="3"/>
      <c r="AK6" s="3"/>
      <c r="AL6" s="3"/>
      <c r="AM6" s="3"/>
    </row>
    <row r="7" spans="1:39" x14ac:dyDescent="0.55000000000000004">
      <c r="A7">
        <f>ALGLIB_SSA_XAUUSD!J7</f>
        <v>1775129100</v>
      </c>
      <c r="B7" t="str">
        <f>_xlfn.XLOOKUP($A7,ALGLIB_SSA_XAUUSD!$A$2:$A$1000,ALGLIB_SSA_XAUUSD!$B$2:$B$1000,"",0)</f>
        <v/>
      </c>
      <c r="C7" t="str">
        <f>_xlfn.XLOOKUP($A7,ALGLIB_SSA_XAUUSD!$A$2:$A$1000,ALGLIB_SSA_XAUUSD!$C$2:$C$1000,"",0)</f>
        <v/>
      </c>
      <c r="D7" s="1">
        <f>D2+(D14-D2)*5/12</f>
        <v>4600.7375000000002</v>
      </c>
      <c r="E7" s="1">
        <f>E2+(E14-E2)*5/12</f>
        <v>4624.1478233333337</v>
      </c>
      <c r="F7" s="1">
        <f>F2+(F14-F2)*5/12</f>
        <v>4619.0277699999997</v>
      </c>
      <c r="G7" s="1">
        <f>G2+(G14-G2)*5/12</f>
        <v>4643.1479241666666</v>
      </c>
      <c r="H7" s="1">
        <f>H2+(H14-H2)*5/12</f>
        <v>4601.9873975</v>
      </c>
      <c r="I7" t="str">
        <f>_xlfn.XLOOKUP($A7,ALGLIB_SSA_XAUUSD!$J$2:$J$1000,ALGLIB_SSA_XAUUSD!$K$2:$K$1000,"",0)</f>
        <v>XAUUSD</v>
      </c>
      <c r="J7" t="str">
        <f>_xlfn.XLOOKUP($A7,ALGLIB_SSA_XAUUSD!$J$2:$J$1000,ALGLIB_SSA_XAUUSD!$L$2:$L$1000,"",0)</f>
        <v>M5</v>
      </c>
      <c r="K7">
        <f>_xlfn.XLOOKUP($A7,ALGLIB_SSA_XAUUSD!$J$2:$J$1000,ALGLIB_SSA_XAUUSD!$M$2:$M$1000,"",0)</f>
        <v>4614.9799999999996</v>
      </c>
      <c r="L7">
        <f>_xlfn.XLOOKUP($A7,ALGLIB_SSA_XAUUSD!$J$2:$J$1000,ALGLIB_SSA_XAUUSD!$N$2:$N$1000,"",0)</f>
        <v>4616.8744900000002</v>
      </c>
      <c r="M7">
        <f>_xlfn.XLOOKUP($A7,ALGLIB_SSA_XAUUSD!$J$2:$J$1000,ALGLIB_SSA_XAUUSD!$O$2:$O$1000,"",0)</f>
        <v>4620.1719599999997</v>
      </c>
      <c r="N7">
        <f>_xlfn.XLOOKUP($A7,ALGLIB_SSA_XAUUSD!$J$2:$J$1000,ALGLIB_SSA_XAUUSD!$P$2:$P$1000,"",0)</f>
        <v>4623.8186500000002</v>
      </c>
      <c r="O7">
        <f>_xlfn.XLOOKUP($A7,ALGLIB_SSA_XAUUSD!$J$2:$J$1000,ALGLIB_SSA_XAUUSD!$Q$2:$Q$1000,"",0)</f>
        <v>4615.1333599999998</v>
      </c>
      <c r="R7">
        <f t="shared" si="0"/>
        <v>1775129100</v>
      </c>
      <c r="S7" t="str">
        <f t="shared" si="1"/>
        <v>XAUUSD</v>
      </c>
      <c r="T7" t="str">
        <f t="shared" si="2"/>
        <v>M5</v>
      </c>
      <c r="U7">
        <f t="shared" si="3"/>
        <v>4614.9799999999996</v>
      </c>
      <c r="V7">
        <v>4624.1478200000001</v>
      </c>
      <c r="W7">
        <v>4619.0277699999997</v>
      </c>
      <c r="X7">
        <v>4616.8744900000002</v>
      </c>
      <c r="Y7">
        <v>4620.1719599999997</v>
      </c>
      <c r="Z7">
        <f t="shared" si="4"/>
        <v>4643.1479241666666</v>
      </c>
      <c r="AA7">
        <f t="shared" si="5"/>
        <v>4623.8186500000002</v>
      </c>
      <c r="AB7">
        <f t="shared" si="6"/>
        <v>4601.9873975</v>
      </c>
      <c r="AC7">
        <f t="shared" si="7"/>
        <v>4615.1333599999998</v>
      </c>
      <c r="AF7">
        <f t="shared" si="8"/>
        <v>4616.8744900000002</v>
      </c>
      <c r="AG7">
        <f t="shared" si="9"/>
        <v>4643.1479241666666</v>
      </c>
      <c r="AH7">
        <f t="shared" si="10"/>
        <v>4601.9873975</v>
      </c>
      <c r="AI7" s="3"/>
      <c r="AJ7" s="3"/>
      <c r="AK7" s="3"/>
      <c r="AL7" s="3"/>
      <c r="AM7" s="3"/>
    </row>
    <row r="8" spans="1:39" x14ac:dyDescent="0.55000000000000004">
      <c r="A8">
        <f>ALGLIB_SSA_XAUUSD!J8</f>
        <v>1775129400</v>
      </c>
      <c r="B8" t="str">
        <f>_xlfn.XLOOKUP($A8,ALGLIB_SSA_XAUUSD!$A$2:$A$1000,ALGLIB_SSA_XAUUSD!$B$2:$B$1000,"",0)</f>
        <v/>
      </c>
      <c r="C8" t="str">
        <f>_xlfn.XLOOKUP($A8,ALGLIB_SSA_XAUUSD!$A$2:$A$1000,ALGLIB_SSA_XAUUSD!$C$2:$C$1000,"",0)</f>
        <v/>
      </c>
      <c r="D8" s="1">
        <f>D2+(D14-D2)*6/12</f>
        <v>4600.8449999999993</v>
      </c>
      <c r="E8" s="1">
        <f>E2+(E14-E2)*6/12</f>
        <v>4625.0081</v>
      </c>
      <c r="F8" s="1">
        <f>F2+(F14-F2)*6/12</f>
        <v>4619.6141900000002</v>
      </c>
      <c r="G8" s="1">
        <f>G2+(G14-G2)*6/12</f>
        <v>4643.9686849999998</v>
      </c>
      <c r="H8" s="1">
        <f>H2+(H14-H2)*6/12</f>
        <v>4602.6411850000004</v>
      </c>
      <c r="I8" t="str">
        <f>_xlfn.XLOOKUP($A8,ALGLIB_SSA_XAUUSD!$J$2:$J$1000,ALGLIB_SSA_XAUUSD!$K$2:$K$1000,"",0)</f>
        <v>XAUUSD</v>
      </c>
      <c r="J8" t="str">
        <f>_xlfn.XLOOKUP($A8,ALGLIB_SSA_XAUUSD!$J$2:$J$1000,ALGLIB_SSA_XAUUSD!$L$2:$L$1000,"",0)</f>
        <v>M5</v>
      </c>
      <c r="K8">
        <f>_xlfn.XLOOKUP($A8,ALGLIB_SSA_XAUUSD!$J$2:$J$1000,ALGLIB_SSA_XAUUSD!$M$2:$M$1000,"",0)</f>
        <v>4613.45</v>
      </c>
      <c r="L8">
        <f>_xlfn.XLOOKUP($A8,ALGLIB_SSA_XAUUSD!$J$2:$J$1000,ALGLIB_SSA_XAUUSD!$N$2:$N$1000,"",0)</f>
        <v>4612.3584099999998</v>
      </c>
      <c r="M8">
        <f>_xlfn.XLOOKUP($A8,ALGLIB_SSA_XAUUSD!$J$2:$J$1000,ALGLIB_SSA_XAUUSD!$O$2:$O$1000,"",0)</f>
        <v>4616.2651800000003</v>
      </c>
      <c r="N8">
        <f>_xlfn.XLOOKUP($A8,ALGLIB_SSA_XAUUSD!$J$2:$J$1000,ALGLIB_SSA_XAUUSD!$P$2:$P$1000,"",0)</f>
        <v>4619.4719599999999</v>
      </c>
      <c r="O8">
        <f>_xlfn.XLOOKUP($A8,ALGLIB_SSA_XAUUSD!$J$2:$J$1000,ALGLIB_SSA_XAUUSD!$Q$2:$Q$1000,"",0)</f>
        <v>4610.3074100000003</v>
      </c>
      <c r="R8">
        <f t="shared" si="0"/>
        <v>1775129400</v>
      </c>
      <c r="S8" t="str">
        <f t="shared" si="1"/>
        <v>XAUUSD</v>
      </c>
      <c r="T8" t="str">
        <f t="shared" si="2"/>
        <v>M5</v>
      </c>
      <c r="U8">
        <f t="shared" si="3"/>
        <v>4613.45</v>
      </c>
      <c r="V8">
        <v>4625.0081</v>
      </c>
      <c r="W8">
        <v>4619.6141900000002</v>
      </c>
      <c r="X8">
        <v>4612.3584099999998</v>
      </c>
      <c r="Y8">
        <v>4616.2651800000003</v>
      </c>
      <c r="Z8">
        <f t="shared" si="4"/>
        <v>4643.9686849999998</v>
      </c>
      <c r="AA8">
        <f t="shared" si="5"/>
        <v>4619.4719599999999</v>
      </c>
      <c r="AB8">
        <f t="shared" si="6"/>
        <v>4602.6411850000004</v>
      </c>
      <c r="AC8">
        <f t="shared" si="7"/>
        <v>4610.3074100000003</v>
      </c>
      <c r="AF8">
        <f t="shared" si="8"/>
        <v>4612.3584099999998</v>
      </c>
      <c r="AG8">
        <f t="shared" si="9"/>
        <v>4643.9686849999998</v>
      </c>
      <c r="AH8">
        <f t="shared" si="10"/>
        <v>4602.6411850000004</v>
      </c>
      <c r="AI8" s="3"/>
      <c r="AJ8" s="3"/>
      <c r="AK8" s="3"/>
      <c r="AL8" s="3"/>
      <c r="AM8" s="3"/>
    </row>
    <row r="9" spans="1:39" x14ac:dyDescent="0.55000000000000004">
      <c r="A9">
        <f>ALGLIB_SSA_XAUUSD!J9</f>
        <v>1775129700</v>
      </c>
      <c r="B9" t="str">
        <f>_xlfn.XLOOKUP($A9,ALGLIB_SSA_XAUUSD!$A$2:$A$1000,ALGLIB_SSA_XAUUSD!$B$2:$B$1000,"",0)</f>
        <v/>
      </c>
      <c r="C9" t="str">
        <f>_xlfn.XLOOKUP($A9,ALGLIB_SSA_XAUUSD!$A$2:$A$1000,ALGLIB_SSA_XAUUSD!$C$2:$C$1000,"",0)</f>
        <v/>
      </c>
      <c r="D9" s="1">
        <f>D2+(D14-D2)*7/12</f>
        <v>4600.9524999999994</v>
      </c>
      <c r="E9" s="1">
        <f>E2+(E14-E2)*7/12</f>
        <v>4625.8683766666663</v>
      </c>
      <c r="F9" s="1">
        <f>F2+(F14-F2)*7/12</f>
        <v>4620.2006099999999</v>
      </c>
      <c r="G9" s="1">
        <f>G2+(G14-G2)*7/12</f>
        <v>4644.789445833333</v>
      </c>
      <c r="H9" s="1">
        <f>H2+(H14-H2)*7/12</f>
        <v>4603.2949724999999</v>
      </c>
      <c r="I9" t="str">
        <f>_xlfn.XLOOKUP($A9,ALGLIB_SSA_XAUUSD!$J$2:$J$1000,ALGLIB_SSA_XAUUSD!$K$2:$K$1000,"",0)</f>
        <v>XAUUSD</v>
      </c>
      <c r="J9" t="str">
        <f>_xlfn.XLOOKUP($A9,ALGLIB_SSA_XAUUSD!$J$2:$J$1000,ALGLIB_SSA_XAUUSD!$L$2:$L$1000,"",0)</f>
        <v>M5</v>
      </c>
      <c r="K9">
        <f>_xlfn.XLOOKUP($A9,ALGLIB_SSA_XAUUSD!$J$2:$J$1000,ALGLIB_SSA_XAUUSD!$M$2:$M$1000,"",0)</f>
        <v>4608.84</v>
      </c>
      <c r="L9">
        <f>_xlfn.XLOOKUP($A9,ALGLIB_SSA_XAUUSD!$J$2:$J$1000,ALGLIB_SSA_XAUUSD!$N$2:$N$1000,"",0)</f>
        <v>4608.0569599999999</v>
      </c>
      <c r="M9">
        <f>_xlfn.XLOOKUP($A9,ALGLIB_SSA_XAUUSD!$J$2:$J$1000,ALGLIB_SSA_XAUUSD!$O$2:$O$1000,"",0)</f>
        <v>4612.1610700000001</v>
      </c>
      <c r="N9">
        <f>_xlfn.XLOOKUP($A9,ALGLIB_SSA_XAUUSD!$J$2:$J$1000,ALGLIB_SSA_XAUUSD!$P$2:$P$1000,"",0)</f>
        <v>4615.32276</v>
      </c>
      <c r="O9">
        <f>_xlfn.XLOOKUP($A9,ALGLIB_SSA_XAUUSD!$J$2:$J$1000,ALGLIB_SSA_XAUUSD!$Q$2:$Q$1000,"",0)</f>
        <v>4605.4399000000003</v>
      </c>
      <c r="R9">
        <f t="shared" si="0"/>
        <v>1775129700</v>
      </c>
      <c r="S9" t="str">
        <f t="shared" si="1"/>
        <v>XAUUSD</v>
      </c>
      <c r="T9" t="str">
        <f t="shared" si="2"/>
        <v>M5</v>
      </c>
      <c r="U9">
        <f t="shared" si="3"/>
        <v>4608.84</v>
      </c>
      <c r="V9">
        <v>4625.8683799999999</v>
      </c>
      <c r="W9">
        <v>4620.2006099999999</v>
      </c>
      <c r="X9">
        <v>4608.0569599999999</v>
      </c>
      <c r="Y9">
        <v>4612.1610700000001</v>
      </c>
      <c r="Z9">
        <f t="shared" si="4"/>
        <v>4644.789445833333</v>
      </c>
      <c r="AA9">
        <f t="shared" si="5"/>
        <v>4615.32276</v>
      </c>
      <c r="AB9">
        <f t="shared" si="6"/>
        <v>4603.2949724999999</v>
      </c>
      <c r="AC9">
        <f t="shared" si="7"/>
        <v>4605.4399000000003</v>
      </c>
      <c r="AF9">
        <f t="shared" si="8"/>
        <v>4608.0569599999999</v>
      </c>
      <c r="AG9">
        <f t="shared" si="9"/>
        <v>4644.789445833333</v>
      </c>
      <c r="AH9">
        <f t="shared" si="10"/>
        <v>4603.2949724999999</v>
      </c>
      <c r="AI9" s="3"/>
      <c r="AJ9" s="3"/>
      <c r="AK9" s="3"/>
      <c r="AL9" s="3"/>
      <c r="AM9" s="3"/>
    </row>
    <row r="10" spans="1:39" x14ac:dyDescent="0.55000000000000004">
      <c r="A10">
        <f>ALGLIB_SSA_XAUUSD!J10</f>
        <v>1775130000</v>
      </c>
      <c r="B10" t="str">
        <f>_xlfn.XLOOKUP($A10,ALGLIB_SSA_XAUUSD!$A$2:$A$1000,ALGLIB_SSA_XAUUSD!$B$2:$B$1000,"",0)</f>
        <v/>
      </c>
      <c r="C10" t="str">
        <f>_xlfn.XLOOKUP($A10,ALGLIB_SSA_XAUUSD!$A$2:$A$1000,ALGLIB_SSA_XAUUSD!$C$2:$C$1000,"",0)</f>
        <v/>
      </c>
      <c r="D10" s="1">
        <f>D2+(D14-D2)*8/12</f>
        <v>4601.0599999999995</v>
      </c>
      <c r="E10" s="1">
        <f>E2+(E14-E2)*8/12</f>
        <v>4626.7286533333336</v>
      </c>
      <c r="F10" s="1">
        <f>F2+(F14-F2)*8/12</f>
        <v>4620.7870299999995</v>
      </c>
      <c r="G10" s="1">
        <f>G2+(G14-G2)*8/12</f>
        <v>4645.6102066666663</v>
      </c>
      <c r="H10" s="1">
        <f>H2+(H14-H2)*8/12</f>
        <v>4603.9487600000002</v>
      </c>
      <c r="I10" t="str">
        <f>_xlfn.XLOOKUP($A10,ALGLIB_SSA_XAUUSD!$J$2:$J$1000,ALGLIB_SSA_XAUUSD!$K$2:$K$1000,"",0)</f>
        <v>XAUUSD</v>
      </c>
      <c r="J10" t="str">
        <f>_xlfn.XLOOKUP($A10,ALGLIB_SSA_XAUUSD!$J$2:$J$1000,ALGLIB_SSA_XAUUSD!$L$2:$L$1000,"",0)</f>
        <v>M5</v>
      </c>
      <c r="K10">
        <f>_xlfn.XLOOKUP($A10,ALGLIB_SSA_XAUUSD!$J$2:$J$1000,ALGLIB_SSA_XAUUSD!$M$2:$M$1000,"",0)</f>
        <v>4600.1000000000004</v>
      </c>
      <c r="L10">
        <f>_xlfn.XLOOKUP($A10,ALGLIB_SSA_XAUUSD!$J$2:$J$1000,ALGLIB_SSA_XAUUSD!$N$2:$N$1000,"",0)</f>
        <v>4604.4892600000003</v>
      </c>
      <c r="M10">
        <f>_xlfn.XLOOKUP($A10,ALGLIB_SSA_XAUUSD!$J$2:$J$1000,ALGLIB_SSA_XAUUSD!$O$2:$O$1000,"",0)</f>
        <v>4608.3251600000003</v>
      </c>
      <c r="N10">
        <f>_xlfn.XLOOKUP($A10,ALGLIB_SSA_XAUUSD!$J$2:$J$1000,ALGLIB_SSA_XAUUSD!$P$2:$P$1000,"",0)</f>
        <v>4611.6117700000004</v>
      </c>
      <c r="O10">
        <f>_xlfn.XLOOKUP($A10,ALGLIB_SSA_XAUUSD!$J$2:$J$1000,ALGLIB_SSA_XAUUSD!$Q$2:$Q$1000,"",0)</f>
        <v>4600.8629899999996</v>
      </c>
      <c r="R10">
        <f t="shared" si="0"/>
        <v>1775130000</v>
      </c>
      <c r="S10" t="str">
        <f t="shared" si="1"/>
        <v>XAUUSD</v>
      </c>
      <c r="T10" t="str">
        <f t="shared" si="2"/>
        <v>M5</v>
      </c>
      <c r="U10">
        <f t="shared" si="3"/>
        <v>4600.1000000000004</v>
      </c>
      <c r="V10">
        <v>4626.72865</v>
      </c>
      <c r="W10">
        <v>4620.7870300000004</v>
      </c>
      <c r="X10">
        <v>4604.4892600000003</v>
      </c>
      <c r="Y10">
        <v>4608.3251600000003</v>
      </c>
      <c r="Z10">
        <f t="shared" si="4"/>
        <v>4645.6102066666663</v>
      </c>
      <c r="AA10">
        <f t="shared" si="5"/>
        <v>4611.6117700000004</v>
      </c>
      <c r="AB10">
        <f t="shared" si="6"/>
        <v>4603.9487600000002</v>
      </c>
      <c r="AC10">
        <f t="shared" si="7"/>
        <v>4600.8629899999996</v>
      </c>
      <c r="AF10">
        <f t="shared" si="8"/>
        <v>4604.4892600000003</v>
      </c>
      <c r="AG10">
        <f t="shared" si="9"/>
        <v>4645.6102066666663</v>
      </c>
      <c r="AH10">
        <f t="shared" si="10"/>
        <v>4603.9487600000002</v>
      </c>
      <c r="AI10" s="3"/>
      <c r="AJ10" s="3"/>
      <c r="AK10" s="3"/>
      <c r="AL10" s="3"/>
      <c r="AM10" s="3"/>
    </row>
    <row r="11" spans="1:39" x14ac:dyDescent="0.55000000000000004">
      <c r="A11">
        <f>ALGLIB_SSA_XAUUSD!J11</f>
        <v>1775130300</v>
      </c>
      <c r="B11" t="str">
        <f>_xlfn.XLOOKUP($A11,ALGLIB_SSA_XAUUSD!$A$2:$A$1000,ALGLIB_SSA_XAUUSD!$B$2:$B$1000,"",0)</f>
        <v/>
      </c>
      <c r="C11" t="str">
        <f>_xlfn.XLOOKUP($A11,ALGLIB_SSA_XAUUSD!$A$2:$A$1000,ALGLIB_SSA_XAUUSD!$C$2:$C$1000,"",0)</f>
        <v/>
      </c>
      <c r="D11" s="1">
        <f>D2+(D14-D2)*9/12</f>
        <v>4601.1674999999996</v>
      </c>
      <c r="E11" s="1">
        <f>E2+(E14-E2)*9/12</f>
        <v>4627.5889299999999</v>
      </c>
      <c r="F11" s="1">
        <f>F2+(F14-F2)*9/12</f>
        <v>4621.37345</v>
      </c>
      <c r="G11" s="1">
        <f>G2+(G14-G2)*9/12</f>
        <v>4646.4309675000004</v>
      </c>
      <c r="H11" s="1">
        <f>H2+(H14-H2)*9/12</f>
        <v>4604.6025474999997</v>
      </c>
      <c r="I11" t="str">
        <f>_xlfn.XLOOKUP($A11,ALGLIB_SSA_XAUUSD!$J$2:$J$1000,ALGLIB_SSA_XAUUSD!$K$2:$K$1000,"",0)</f>
        <v>XAUUSD</v>
      </c>
      <c r="J11" t="str">
        <f>_xlfn.XLOOKUP($A11,ALGLIB_SSA_XAUUSD!$J$2:$J$1000,ALGLIB_SSA_XAUUSD!$L$2:$L$1000,"",0)</f>
        <v>M5</v>
      </c>
      <c r="K11">
        <f>_xlfn.XLOOKUP($A11,ALGLIB_SSA_XAUUSD!$J$2:$J$1000,ALGLIB_SSA_XAUUSD!$M$2:$M$1000,"",0)</f>
        <v>4604.26</v>
      </c>
      <c r="L11">
        <f>_xlfn.XLOOKUP($A11,ALGLIB_SSA_XAUUSD!$J$2:$J$1000,ALGLIB_SSA_XAUUSD!$N$2:$N$1000,"",0)</f>
        <v>4602.3008300000001</v>
      </c>
      <c r="M11">
        <f>_xlfn.XLOOKUP($A11,ALGLIB_SSA_XAUUSD!$J$2:$J$1000,ALGLIB_SSA_XAUUSD!$O$2:$O$1000,"",0)</f>
        <v>4605.3130000000001</v>
      </c>
      <c r="N11">
        <f>_xlfn.XLOOKUP($A11,ALGLIB_SSA_XAUUSD!$J$2:$J$1000,ALGLIB_SSA_XAUUSD!$P$2:$P$1000,"",0)</f>
        <v>4608.92346</v>
      </c>
      <c r="O11">
        <f>_xlfn.XLOOKUP($A11,ALGLIB_SSA_XAUUSD!$J$2:$J$1000,ALGLIB_SSA_XAUUSD!$Q$2:$Q$1000,"",0)</f>
        <v>4597.6154399999996</v>
      </c>
      <c r="R11">
        <f t="shared" si="0"/>
        <v>1775130300</v>
      </c>
      <c r="S11" t="str">
        <f t="shared" si="1"/>
        <v>XAUUSD</v>
      </c>
      <c r="T11" t="str">
        <f t="shared" si="2"/>
        <v>M5</v>
      </c>
      <c r="U11">
        <f t="shared" si="3"/>
        <v>4604.26</v>
      </c>
      <c r="V11">
        <v>4627.5889299999999</v>
      </c>
      <c r="W11">
        <v>4621.37345</v>
      </c>
      <c r="X11">
        <v>4602.3008300000001</v>
      </c>
      <c r="Y11">
        <v>4605.3130000000001</v>
      </c>
      <c r="Z11">
        <f t="shared" si="4"/>
        <v>4646.4309675000004</v>
      </c>
      <c r="AA11">
        <f t="shared" si="5"/>
        <v>4608.92346</v>
      </c>
      <c r="AB11">
        <f t="shared" si="6"/>
        <v>4604.6025474999997</v>
      </c>
      <c r="AC11">
        <f t="shared" si="7"/>
        <v>4597.6154399999996</v>
      </c>
      <c r="AF11">
        <f t="shared" si="8"/>
        <v>4602.3008300000001</v>
      </c>
      <c r="AG11">
        <f t="shared" si="9"/>
        <v>4646.4309675000004</v>
      </c>
      <c r="AH11">
        <f t="shared" si="10"/>
        <v>4604.6025474999997</v>
      </c>
      <c r="AI11" s="3"/>
      <c r="AJ11" s="3"/>
      <c r="AK11" s="3"/>
      <c r="AL11" s="3"/>
      <c r="AM11" s="3"/>
    </row>
    <row r="12" spans="1:39" x14ac:dyDescent="0.55000000000000004">
      <c r="A12">
        <f>ALGLIB_SSA_XAUUSD!J12</f>
        <v>1775130600</v>
      </c>
      <c r="B12" t="str">
        <f>_xlfn.XLOOKUP($A12,ALGLIB_SSA_XAUUSD!$A$2:$A$1000,ALGLIB_SSA_XAUUSD!$B$2:$B$1000,"",0)</f>
        <v/>
      </c>
      <c r="C12" t="str">
        <f>_xlfn.XLOOKUP($A12,ALGLIB_SSA_XAUUSD!$A$2:$A$1000,ALGLIB_SSA_XAUUSD!$C$2:$C$1000,"",0)</f>
        <v/>
      </c>
      <c r="D12" s="1">
        <f>D2+(D14-D2)*10/12</f>
        <v>4601.2749999999996</v>
      </c>
      <c r="E12" s="1">
        <f>E2+(E14-E2)*10/12</f>
        <v>4628.4492066666662</v>
      </c>
      <c r="F12" s="1">
        <f>F2+(F14-F2)*10/12</f>
        <v>4621.9598699999997</v>
      </c>
      <c r="G12" s="1">
        <f>G2+(G14-G2)*10/12</f>
        <v>4647.2517283333336</v>
      </c>
      <c r="H12" s="1">
        <f>H2+(H14-H2)*10/12</f>
        <v>4605.256335</v>
      </c>
      <c r="I12" t="str">
        <f>_xlfn.XLOOKUP($A12,ALGLIB_SSA_XAUUSD!$J$2:$J$1000,ALGLIB_SSA_XAUUSD!$K$2:$K$1000,"",0)</f>
        <v>XAUUSD</v>
      </c>
      <c r="J12" t="str">
        <f>_xlfn.XLOOKUP($A12,ALGLIB_SSA_XAUUSD!$J$2:$J$1000,ALGLIB_SSA_XAUUSD!$L$2:$L$1000,"",0)</f>
        <v>M5</v>
      </c>
      <c r="K12">
        <f>_xlfn.XLOOKUP($A12,ALGLIB_SSA_XAUUSD!$J$2:$J$1000,ALGLIB_SSA_XAUUSD!$M$2:$M$1000,"",0)</f>
        <v>4601.4399999999996</v>
      </c>
      <c r="L12">
        <f>_xlfn.XLOOKUP($A12,ALGLIB_SSA_XAUUSD!$J$2:$J$1000,ALGLIB_SSA_XAUUSD!$N$2:$N$1000,"",0)</f>
        <v>4601.4458100000002</v>
      </c>
      <c r="M12">
        <f>_xlfn.XLOOKUP($A12,ALGLIB_SSA_XAUUSD!$J$2:$J$1000,ALGLIB_SSA_XAUUSD!$O$2:$O$1000,"",0)</f>
        <v>4603.3793999999998</v>
      </c>
      <c r="N12">
        <f>_xlfn.XLOOKUP($A12,ALGLIB_SSA_XAUUSD!$J$2:$J$1000,ALGLIB_SSA_XAUUSD!$P$2:$P$1000,"",0)</f>
        <v>4607.5299699999996</v>
      </c>
      <c r="O12">
        <f>_xlfn.XLOOKUP($A12,ALGLIB_SSA_XAUUSD!$J$2:$J$1000,ALGLIB_SSA_XAUUSD!$Q$2:$Q$1000,"",0)</f>
        <v>4595.8357900000001</v>
      </c>
      <c r="R12">
        <f t="shared" si="0"/>
        <v>1775130600</v>
      </c>
      <c r="S12" t="str">
        <f t="shared" si="1"/>
        <v>XAUUSD</v>
      </c>
      <c r="T12" t="str">
        <f t="shared" si="2"/>
        <v>M5</v>
      </c>
      <c r="U12">
        <f t="shared" si="3"/>
        <v>4601.4399999999996</v>
      </c>
      <c r="V12">
        <v>4628.4492099999998</v>
      </c>
      <c r="W12">
        <v>4621.9598699999997</v>
      </c>
      <c r="X12">
        <v>4601.4458100000002</v>
      </c>
      <c r="Y12">
        <v>4603.3793999999998</v>
      </c>
      <c r="Z12">
        <f t="shared" si="4"/>
        <v>4647.2517283333336</v>
      </c>
      <c r="AA12">
        <f t="shared" si="5"/>
        <v>4607.5299699999996</v>
      </c>
      <c r="AB12">
        <f t="shared" si="6"/>
        <v>4605.256335</v>
      </c>
      <c r="AC12">
        <f t="shared" si="7"/>
        <v>4595.8357900000001</v>
      </c>
      <c r="AF12">
        <f t="shared" si="8"/>
        <v>4601.4458100000002</v>
      </c>
      <c r="AG12">
        <f t="shared" si="9"/>
        <v>4647.2517283333336</v>
      </c>
      <c r="AH12">
        <f t="shared" si="10"/>
        <v>4605.256335</v>
      </c>
      <c r="AI12" s="3"/>
      <c r="AJ12" s="3"/>
      <c r="AK12" s="3"/>
      <c r="AL12" s="3"/>
      <c r="AM12" s="3"/>
    </row>
    <row r="13" spans="1:39" x14ac:dyDescent="0.55000000000000004">
      <c r="A13">
        <f>ALGLIB_SSA_XAUUSD!J13</f>
        <v>1775130900</v>
      </c>
      <c r="B13" t="str">
        <f>_xlfn.XLOOKUP($A13,ALGLIB_SSA_XAUUSD!$A$2:$A$1000,ALGLIB_SSA_XAUUSD!$B$2:$B$1000,"",0)</f>
        <v/>
      </c>
      <c r="C13" t="str">
        <f>_xlfn.XLOOKUP($A13,ALGLIB_SSA_XAUUSD!$A$2:$A$1000,ALGLIB_SSA_XAUUSD!$C$2:$C$1000,"",0)</f>
        <v/>
      </c>
      <c r="D13" s="1">
        <f>D2+(D14-D2)*11/12</f>
        <v>4601.3824999999997</v>
      </c>
      <c r="E13" s="1">
        <f>E2+(E14-E2)*11/12</f>
        <v>4629.3094833333334</v>
      </c>
      <c r="F13" s="1">
        <f>F2+(F14-F2)*11/12</f>
        <v>4622.5462900000002</v>
      </c>
      <c r="G13" s="1">
        <f>G2+(G14-G2)*11/12</f>
        <v>4648.0724891666669</v>
      </c>
      <c r="H13" s="1">
        <f>H2+(H14-H2)*11/12</f>
        <v>4605.9101224999995</v>
      </c>
      <c r="I13" t="str">
        <f>_xlfn.XLOOKUP($A13,ALGLIB_SSA_XAUUSD!$J$2:$J$1000,ALGLIB_SSA_XAUUSD!$K$2:$K$1000,"",0)</f>
        <v>XAUUSD</v>
      </c>
      <c r="J13" t="str">
        <f>_xlfn.XLOOKUP($A13,ALGLIB_SSA_XAUUSD!$J$2:$J$1000,ALGLIB_SSA_XAUUSD!$L$2:$L$1000,"",0)</f>
        <v>M5</v>
      </c>
      <c r="K13">
        <f>_xlfn.XLOOKUP($A13,ALGLIB_SSA_XAUUSD!$J$2:$J$1000,ALGLIB_SSA_XAUUSD!$M$2:$M$1000,"",0)</f>
        <v>4600.2</v>
      </c>
      <c r="L13">
        <f>_xlfn.XLOOKUP($A13,ALGLIB_SSA_XAUUSD!$J$2:$J$1000,ALGLIB_SSA_XAUUSD!$N$2:$N$1000,"",0)</f>
        <v>4602.1149599999999</v>
      </c>
      <c r="M13">
        <f>_xlfn.XLOOKUP($A13,ALGLIB_SSA_XAUUSD!$J$2:$J$1000,ALGLIB_SSA_XAUUSD!$O$2:$O$1000,"",0)</f>
        <v>4602.7471800000003</v>
      </c>
      <c r="N13">
        <f>_xlfn.XLOOKUP($A13,ALGLIB_SSA_XAUUSD!$J$2:$J$1000,ALGLIB_SSA_XAUUSD!$P$2:$P$1000,"",0)</f>
        <v>4607.2350299999998</v>
      </c>
      <c r="O13">
        <f>_xlfn.XLOOKUP($A13,ALGLIB_SSA_XAUUSD!$J$2:$J$1000,ALGLIB_SSA_XAUUSD!$Q$2:$Q$1000,"",0)</f>
        <v>4595.5988799999996</v>
      </c>
      <c r="R13">
        <f t="shared" si="0"/>
        <v>1775130900</v>
      </c>
      <c r="S13" t="str">
        <f t="shared" si="1"/>
        <v>XAUUSD</v>
      </c>
      <c r="T13" t="str">
        <f t="shared" si="2"/>
        <v>M5</v>
      </c>
      <c r="U13">
        <f t="shared" si="3"/>
        <v>4600.2</v>
      </c>
      <c r="V13">
        <v>4629.3094799999999</v>
      </c>
      <c r="W13">
        <v>4622.5462900000002</v>
      </c>
      <c r="X13">
        <v>4602.1149599999999</v>
      </c>
      <c r="Y13">
        <v>4602.7471800000003</v>
      </c>
      <c r="Z13">
        <f t="shared" si="4"/>
        <v>4648.0724891666669</v>
      </c>
      <c r="AA13">
        <f t="shared" si="5"/>
        <v>4607.2350299999998</v>
      </c>
      <c r="AB13">
        <f t="shared" si="6"/>
        <v>4605.9101224999995</v>
      </c>
      <c r="AC13">
        <f t="shared" si="7"/>
        <v>4595.5988799999996</v>
      </c>
      <c r="AF13">
        <f t="shared" si="8"/>
        <v>4602.1149599999999</v>
      </c>
      <c r="AG13">
        <f t="shared" si="9"/>
        <v>4648.0724891666669</v>
      </c>
      <c r="AH13">
        <f t="shared" si="10"/>
        <v>4605.9101224999995</v>
      </c>
      <c r="AI13" s="3"/>
      <c r="AJ13" s="3"/>
      <c r="AK13" s="3"/>
      <c r="AL13" s="3"/>
      <c r="AM13" s="3"/>
    </row>
    <row r="14" spans="1:39" x14ac:dyDescent="0.55000000000000004">
      <c r="A14">
        <f>ALGLIB_SSA_XAUUSD!J14</f>
        <v>1775131200</v>
      </c>
      <c r="B14" t="str">
        <f>_xlfn.XLOOKUP($A14,ALGLIB_SSA_XAUUSD!$A$2:$A$1000,ALGLIB_SSA_XAUUSD!$B$2:$B$1000,"",0)</f>
        <v>XAUUSD</v>
      </c>
      <c r="C14" t="str">
        <f>_xlfn.XLOOKUP($A14,ALGLIB_SSA_XAUUSD!$A$2:$A$1000,ALGLIB_SSA_XAUUSD!$C$2:$C$1000,"",0)</f>
        <v>H1</v>
      </c>
      <c r="D14" s="2">
        <f>_xlfn.XLOOKUP($A14,ALGLIB_SSA_XAUUSD!$A$2:$A$1000,ALGLIB_SSA_XAUUSD!$D$2:$D$1000,"",0)</f>
        <v>4601.49</v>
      </c>
      <c r="E14" s="2">
        <f>_xlfn.XLOOKUP($A14,ALGLIB_SSA_XAUUSD!$A$2:$A$1000,ALGLIB_SSA_XAUUSD!$E$2:$E$1000,"",0)</f>
        <v>4630.1697599999998</v>
      </c>
      <c r="F14" s="2">
        <f>_xlfn.XLOOKUP($A14,ALGLIB_SSA_XAUUSD!$A$2:$A$1000,ALGLIB_SSA_XAUUSD!$F$2:$F$1000,"",0)</f>
        <v>4623.1327099999999</v>
      </c>
      <c r="G14" s="2">
        <f>_xlfn.XLOOKUP($A14,ALGLIB_SSA_XAUUSD!$A$2:$A$1000,ALGLIB_SSA_XAUUSD!$G$2:$G$1000,"",0)</f>
        <v>4648.8932500000001</v>
      </c>
      <c r="H14" s="2">
        <f>_xlfn.XLOOKUP($A14,ALGLIB_SSA_XAUUSD!$A$2:$A$1000,ALGLIB_SSA_XAUUSD!$H$2:$H$1000,"",0)</f>
        <v>4606.5639099999999</v>
      </c>
      <c r="I14" t="str">
        <f>_xlfn.XLOOKUP($A14,ALGLIB_SSA_XAUUSD!$J$2:$J$1000,ALGLIB_SSA_XAUUSD!$K$2:$K$1000,"",0)</f>
        <v>XAUUSD</v>
      </c>
      <c r="J14" t="str">
        <f>_xlfn.XLOOKUP($A14,ALGLIB_SSA_XAUUSD!$J$2:$J$1000,ALGLIB_SSA_XAUUSD!$L$2:$L$1000,"",0)</f>
        <v>M5</v>
      </c>
      <c r="K14">
        <f>_xlfn.XLOOKUP($A14,ALGLIB_SSA_XAUUSD!$J$2:$J$1000,ALGLIB_SSA_XAUUSD!$M$2:$M$1000,"",0)</f>
        <v>4607.01</v>
      </c>
      <c r="L14">
        <f>_xlfn.XLOOKUP($A14,ALGLIB_SSA_XAUUSD!$J$2:$J$1000,ALGLIB_SSA_XAUUSD!$N$2:$N$1000,"",0)</f>
        <v>4604.3494899999996</v>
      </c>
      <c r="M14">
        <f>_xlfn.XLOOKUP($A14,ALGLIB_SSA_XAUUSD!$J$2:$J$1000,ALGLIB_SSA_XAUUSD!$O$2:$O$1000,"",0)</f>
        <v>4603.5483400000003</v>
      </c>
      <c r="N14">
        <f>_xlfn.XLOOKUP($A14,ALGLIB_SSA_XAUUSD!$J$2:$J$1000,ALGLIB_SSA_XAUUSD!$P$2:$P$1000,"",0)</f>
        <v>4608.3770000000004</v>
      </c>
      <c r="O14">
        <f>_xlfn.XLOOKUP($A14,ALGLIB_SSA_XAUUSD!$J$2:$J$1000,ALGLIB_SSA_XAUUSD!$Q$2:$Q$1000,"",0)</f>
        <v>4597.0596400000004</v>
      </c>
      <c r="R14">
        <f t="shared" si="0"/>
        <v>1775131200</v>
      </c>
      <c r="S14" t="str">
        <f t="shared" si="1"/>
        <v>XAUUSD</v>
      </c>
      <c r="T14" t="str">
        <f t="shared" si="2"/>
        <v>M5</v>
      </c>
      <c r="U14">
        <f t="shared" si="3"/>
        <v>4607.01</v>
      </c>
      <c r="V14">
        <v>4630.1697599999998</v>
      </c>
      <c r="W14">
        <v>4623.1327099999999</v>
      </c>
      <c r="X14">
        <v>4604.3494899999996</v>
      </c>
      <c r="Y14">
        <v>4603.5483400000003</v>
      </c>
      <c r="Z14">
        <f t="shared" si="4"/>
        <v>4648.8932500000001</v>
      </c>
      <c r="AA14">
        <f t="shared" si="5"/>
        <v>4608.3770000000004</v>
      </c>
      <c r="AB14">
        <f t="shared" si="6"/>
        <v>4606.5639099999999</v>
      </c>
      <c r="AC14">
        <f t="shared" si="7"/>
        <v>4597.0596400000004</v>
      </c>
      <c r="AF14">
        <f t="shared" si="8"/>
        <v>4604.3494899999996</v>
      </c>
      <c r="AG14">
        <f t="shared" si="9"/>
        <v>4648.8932500000001</v>
      </c>
      <c r="AH14">
        <f t="shared" si="10"/>
        <v>4606.5639099999999</v>
      </c>
    </row>
    <row r="15" spans="1:39" x14ac:dyDescent="0.55000000000000004">
      <c r="A15">
        <f>ALGLIB_SSA_XAUUSD!J15</f>
        <v>1775131500</v>
      </c>
      <c r="B15" t="str">
        <f>_xlfn.XLOOKUP($A15,ALGLIB_SSA_XAUUSD!$A$2:$A$1000,ALGLIB_SSA_XAUUSD!$B$2:$B$1000,"",0)</f>
        <v/>
      </c>
      <c r="C15" t="str">
        <f>_xlfn.XLOOKUP($A15,ALGLIB_SSA_XAUUSD!$A$2:$A$1000,ALGLIB_SSA_XAUUSD!$C$2:$C$1000,"",0)</f>
        <v/>
      </c>
      <c r="D15" s="1">
        <f>D14+(D26-D14)*1/12</f>
        <v>4605.1433333333334</v>
      </c>
      <c r="E15" s="1">
        <f>E14+(E26-E14)*1/12</f>
        <v>4631.1780941666666</v>
      </c>
      <c r="F15" s="1">
        <f>F14+(F26-F14)*1/12</f>
        <v>4623.9300874999999</v>
      </c>
      <c r="G15" s="1">
        <f>G14+(G26-G14)*1/12</f>
        <v>4649.8081050000001</v>
      </c>
      <c r="H15" s="1">
        <f>H14+(H26-H14)*1/12</f>
        <v>4607.3695641666664</v>
      </c>
      <c r="I15" t="str">
        <f>_xlfn.XLOOKUP($A15,ALGLIB_SSA_XAUUSD!$J$2:$J$1000,ALGLIB_SSA_XAUUSD!$K$2:$K$1000,"",0)</f>
        <v>XAUUSD</v>
      </c>
      <c r="J15" t="str">
        <f>_xlfn.XLOOKUP($A15,ALGLIB_SSA_XAUUSD!$J$2:$J$1000,ALGLIB_SSA_XAUUSD!$L$2:$L$1000,"",0)</f>
        <v>M5</v>
      </c>
      <c r="K15">
        <f>_xlfn.XLOOKUP($A15,ALGLIB_SSA_XAUUSD!$J$2:$J$1000,ALGLIB_SSA_XAUUSD!$M$2:$M$1000,"",0)</f>
        <v>4603.93</v>
      </c>
      <c r="L15">
        <f>_xlfn.XLOOKUP($A15,ALGLIB_SSA_XAUUSD!$J$2:$J$1000,ALGLIB_SSA_XAUUSD!$N$2:$N$1000,"",0)</f>
        <v>4607.7338399999999</v>
      </c>
      <c r="M15">
        <f>_xlfn.XLOOKUP($A15,ALGLIB_SSA_XAUUSD!$J$2:$J$1000,ALGLIB_SSA_XAUUSD!$O$2:$O$1000,"",0)</f>
        <v>4605.6410900000001</v>
      </c>
      <c r="N15">
        <f>_xlfn.XLOOKUP($A15,ALGLIB_SSA_XAUUSD!$J$2:$J$1000,ALGLIB_SSA_XAUUSD!$P$2:$P$1000,"",0)</f>
        <v>4610.7752399999999</v>
      </c>
      <c r="O15">
        <f>_xlfn.XLOOKUP($A15,ALGLIB_SSA_XAUUSD!$J$2:$J$1000,ALGLIB_SSA_XAUUSD!$Q$2:$Q$1000,"",0)</f>
        <v>4600.2291100000002</v>
      </c>
      <c r="R15">
        <f t="shared" si="0"/>
        <v>1775131500</v>
      </c>
      <c r="S15" t="str">
        <f t="shared" si="1"/>
        <v>XAUUSD</v>
      </c>
      <c r="T15" t="str">
        <f t="shared" si="2"/>
        <v>M5</v>
      </c>
      <c r="U15">
        <f t="shared" si="3"/>
        <v>4603.93</v>
      </c>
      <c r="V15">
        <v>4631.1780900000003</v>
      </c>
      <c r="W15">
        <v>4623.9300899999998</v>
      </c>
      <c r="X15">
        <v>4607.7338399999999</v>
      </c>
      <c r="Y15">
        <v>4605.6410900000001</v>
      </c>
      <c r="Z15">
        <f t="shared" si="4"/>
        <v>4649.8081050000001</v>
      </c>
      <c r="AA15">
        <f t="shared" si="5"/>
        <v>4610.7752399999999</v>
      </c>
      <c r="AB15">
        <f t="shared" si="6"/>
        <v>4607.3695641666664</v>
      </c>
      <c r="AC15">
        <f t="shared" si="7"/>
        <v>4600.2291100000002</v>
      </c>
      <c r="AF15">
        <f t="shared" si="8"/>
        <v>4607.7338399999999</v>
      </c>
      <c r="AG15">
        <f t="shared" si="9"/>
        <v>4649.8081050000001</v>
      </c>
      <c r="AH15">
        <f t="shared" si="10"/>
        <v>4607.3695641666664</v>
      </c>
    </row>
    <row r="16" spans="1:39" x14ac:dyDescent="0.55000000000000004">
      <c r="A16">
        <f>ALGLIB_SSA_XAUUSD!J16</f>
        <v>1775131800</v>
      </c>
      <c r="B16" t="str">
        <f>_xlfn.XLOOKUP($A16,ALGLIB_SSA_XAUUSD!$A$2:$A$1000,ALGLIB_SSA_XAUUSD!$B$2:$B$1000,"",0)</f>
        <v/>
      </c>
      <c r="C16" t="str">
        <f>_xlfn.XLOOKUP($A16,ALGLIB_SSA_XAUUSD!$A$2:$A$1000,ALGLIB_SSA_XAUUSD!$C$2:$C$1000,"",0)</f>
        <v/>
      </c>
      <c r="D16" s="1">
        <f>D14+(D26-D14)*2/12</f>
        <v>4608.7966666666662</v>
      </c>
      <c r="E16" s="1">
        <f>E14+(E26-E14)*2/12</f>
        <v>4632.1864283333334</v>
      </c>
      <c r="F16" s="1">
        <f>F14+(F26-F14)*2/12</f>
        <v>4624.7274649999999</v>
      </c>
      <c r="G16" s="1">
        <f>G14+(G26-G14)*2/12</f>
        <v>4650.7229600000001</v>
      </c>
      <c r="H16" s="1">
        <f>H14+(H26-H14)*2/12</f>
        <v>4608.1752183333329</v>
      </c>
      <c r="I16" t="str">
        <f>_xlfn.XLOOKUP($A16,ALGLIB_SSA_XAUUSD!$J$2:$J$1000,ALGLIB_SSA_XAUUSD!$K$2:$K$1000,"",0)</f>
        <v>XAUUSD</v>
      </c>
      <c r="J16" t="str">
        <f>_xlfn.XLOOKUP($A16,ALGLIB_SSA_XAUUSD!$J$2:$J$1000,ALGLIB_SSA_XAUUSD!$L$2:$L$1000,"",0)</f>
        <v>M5</v>
      </c>
      <c r="K16">
        <f>_xlfn.XLOOKUP($A16,ALGLIB_SSA_XAUUSD!$J$2:$J$1000,ALGLIB_SSA_XAUUSD!$M$2:$M$1000,"",0)</f>
        <v>4612.54</v>
      </c>
      <c r="L16">
        <f>_xlfn.XLOOKUP($A16,ALGLIB_SSA_XAUUSD!$J$2:$J$1000,ALGLIB_SSA_XAUUSD!$N$2:$N$1000,"",0)</f>
        <v>4611.9904299999998</v>
      </c>
      <c r="M16">
        <f>_xlfn.XLOOKUP($A16,ALGLIB_SSA_XAUUSD!$J$2:$J$1000,ALGLIB_SSA_XAUUSD!$O$2:$O$1000,"",0)</f>
        <v>4608.8157600000004</v>
      </c>
      <c r="N16">
        <f>_xlfn.XLOOKUP($A16,ALGLIB_SSA_XAUUSD!$J$2:$J$1000,ALGLIB_SSA_XAUUSD!$P$2:$P$1000,"",0)</f>
        <v>4614.0695599999999</v>
      </c>
      <c r="O16">
        <f>_xlfn.XLOOKUP($A16,ALGLIB_SSA_XAUUSD!$J$2:$J$1000,ALGLIB_SSA_XAUUSD!$Q$2:$Q$1000,"",0)</f>
        <v>4604.5279600000003</v>
      </c>
      <c r="R16">
        <f t="shared" si="0"/>
        <v>1775131800</v>
      </c>
      <c r="S16" t="str">
        <f t="shared" si="1"/>
        <v>XAUUSD</v>
      </c>
      <c r="T16" t="str">
        <f t="shared" si="2"/>
        <v>M5</v>
      </c>
      <c r="U16">
        <f t="shared" si="3"/>
        <v>4612.54</v>
      </c>
      <c r="V16">
        <v>4632.1864299999997</v>
      </c>
      <c r="W16">
        <v>4624.7274699999998</v>
      </c>
      <c r="X16">
        <v>4611.9904299999998</v>
      </c>
      <c r="Y16">
        <v>4608.8157600000004</v>
      </c>
      <c r="Z16">
        <f t="shared" si="4"/>
        <v>4650.7229600000001</v>
      </c>
      <c r="AA16">
        <f t="shared" si="5"/>
        <v>4614.0695599999999</v>
      </c>
      <c r="AB16">
        <f t="shared" si="6"/>
        <v>4608.1752183333329</v>
      </c>
      <c r="AC16">
        <f t="shared" si="7"/>
        <v>4604.5279600000003</v>
      </c>
      <c r="AF16">
        <f t="shared" si="8"/>
        <v>4611.9904299999998</v>
      </c>
      <c r="AG16">
        <f t="shared" si="9"/>
        <v>4650.7229600000001</v>
      </c>
      <c r="AH16">
        <f t="shared" si="10"/>
        <v>4608.1752183333329</v>
      </c>
    </row>
    <row r="17" spans="1:34" x14ac:dyDescent="0.55000000000000004">
      <c r="A17">
        <f>ALGLIB_SSA_XAUUSD!J17</f>
        <v>1775132100</v>
      </c>
      <c r="B17" t="str">
        <f>_xlfn.XLOOKUP($A17,ALGLIB_SSA_XAUUSD!$A$2:$A$1000,ALGLIB_SSA_XAUUSD!$B$2:$B$1000,"",0)</f>
        <v/>
      </c>
      <c r="C17" t="str">
        <f>_xlfn.XLOOKUP($A17,ALGLIB_SSA_XAUUSD!$A$2:$A$1000,ALGLIB_SSA_XAUUSD!$C$2:$C$1000,"",0)</f>
        <v/>
      </c>
      <c r="D17" s="1">
        <f>D14+(D26-D14)*3/12</f>
        <v>4612.45</v>
      </c>
      <c r="E17" s="1">
        <f>E14+(E26-E14)*3/12</f>
        <v>4633.1947624999993</v>
      </c>
      <c r="F17" s="1">
        <f>F14+(F26-F14)*3/12</f>
        <v>4625.5248425</v>
      </c>
      <c r="G17" s="1">
        <f>G14+(G26-G14)*3/12</f>
        <v>4651.637815</v>
      </c>
      <c r="H17" s="1">
        <f>H14+(H26-H14)*3/12</f>
        <v>4608.9808725000003</v>
      </c>
      <c r="I17" t="str">
        <f>_xlfn.XLOOKUP($A17,ALGLIB_SSA_XAUUSD!$J$2:$J$1000,ALGLIB_SSA_XAUUSD!$K$2:$K$1000,"",0)</f>
        <v>XAUUSD</v>
      </c>
      <c r="J17" t="str">
        <f>_xlfn.XLOOKUP($A17,ALGLIB_SSA_XAUUSD!$J$2:$J$1000,ALGLIB_SSA_XAUUSD!$L$2:$L$1000,"",0)</f>
        <v>M5</v>
      </c>
      <c r="K17">
        <f>_xlfn.XLOOKUP($A17,ALGLIB_SSA_XAUUSD!$J$2:$J$1000,ALGLIB_SSA_XAUUSD!$M$2:$M$1000,"",0)</f>
        <v>4613.71</v>
      </c>
      <c r="L17">
        <f>_xlfn.XLOOKUP($A17,ALGLIB_SSA_XAUUSD!$J$2:$J$1000,ALGLIB_SSA_XAUUSD!$N$2:$N$1000,"",0)</f>
        <v>4616.4376300000004</v>
      </c>
      <c r="M17">
        <f>_xlfn.XLOOKUP($A17,ALGLIB_SSA_XAUUSD!$J$2:$J$1000,ALGLIB_SSA_XAUUSD!$O$2:$O$1000,"",0)</f>
        <v>4612.6266900000001</v>
      </c>
      <c r="N17">
        <f>_xlfn.XLOOKUP($A17,ALGLIB_SSA_XAUUSD!$J$2:$J$1000,ALGLIB_SSA_XAUUSD!$P$2:$P$1000,"",0)</f>
        <v>4617.9350999999997</v>
      </c>
      <c r="O17">
        <f>_xlfn.XLOOKUP($A17,ALGLIB_SSA_XAUUSD!$J$2:$J$1000,ALGLIB_SSA_XAUUSD!$Q$2:$Q$1000,"",0)</f>
        <v>4609.5104499999998</v>
      </c>
      <c r="R17">
        <f t="shared" si="0"/>
        <v>1775132100</v>
      </c>
      <c r="S17" t="str">
        <f t="shared" si="1"/>
        <v>XAUUSD</v>
      </c>
      <c r="T17" t="str">
        <f t="shared" si="2"/>
        <v>M5</v>
      </c>
      <c r="U17">
        <f t="shared" si="3"/>
        <v>4613.71</v>
      </c>
      <c r="V17">
        <v>4633.1947600000003</v>
      </c>
      <c r="W17">
        <v>4625.52484</v>
      </c>
      <c r="X17">
        <v>4616.4376300000004</v>
      </c>
      <c r="Y17">
        <v>4612.6266900000001</v>
      </c>
      <c r="Z17">
        <f t="shared" si="4"/>
        <v>4651.637815</v>
      </c>
      <c r="AA17">
        <f t="shared" si="5"/>
        <v>4617.9350999999997</v>
      </c>
      <c r="AB17">
        <f t="shared" si="6"/>
        <v>4608.9808725000003</v>
      </c>
      <c r="AC17">
        <f t="shared" si="7"/>
        <v>4609.5104499999998</v>
      </c>
      <c r="AF17">
        <f t="shared" si="8"/>
        <v>4616.4376300000004</v>
      </c>
      <c r="AG17">
        <f t="shared" si="9"/>
        <v>4651.637815</v>
      </c>
      <c r="AH17">
        <f t="shared" si="10"/>
        <v>4608.9808725000003</v>
      </c>
    </row>
    <row r="18" spans="1:34" x14ac:dyDescent="0.55000000000000004">
      <c r="A18">
        <f>ALGLIB_SSA_XAUUSD!J18</f>
        <v>1775132400</v>
      </c>
      <c r="B18" t="str">
        <f>_xlfn.XLOOKUP($A18,ALGLIB_SSA_XAUUSD!$A$2:$A$1000,ALGLIB_SSA_XAUUSD!$B$2:$B$1000,"",0)</f>
        <v/>
      </c>
      <c r="C18" t="str">
        <f>_xlfn.XLOOKUP($A18,ALGLIB_SSA_XAUUSD!$A$2:$A$1000,ALGLIB_SSA_XAUUSD!$C$2:$C$1000,"",0)</f>
        <v/>
      </c>
      <c r="D18" s="1">
        <f>D14+(D26-D14)*4/12</f>
        <v>4616.1033333333335</v>
      </c>
      <c r="E18" s="1">
        <f>E14+(E26-E14)*4/12</f>
        <v>4634.2030966666662</v>
      </c>
      <c r="F18" s="1">
        <f>F14+(F26-F14)*4/12</f>
        <v>4626.32222</v>
      </c>
      <c r="G18" s="1">
        <f>G14+(G26-G14)*4/12</f>
        <v>4652.55267</v>
      </c>
      <c r="H18" s="1">
        <f>H14+(H26-H14)*4/12</f>
        <v>4609.7865266666668</v>
      </c>
      <c r="I18" t="str">
        <f>_xlfn.XLOOKUP($A18,ALGLIB_SSA_XAUUSD!$J$2:$J$1000,ALGLIB_SSA_XAUUSD!$K$2:$K$1000,"",0)</f>
        <v>XAUUSD</v>
      </c>
      <c r="J18" t="str">
        <f>_xlfn.XLOOKUP($A18,ALGLIB_SSA_XAUUSD!$J$2:$J$1000,ALGLIB_SSA_XAUUSD!$L$2:$L$1000,"",0)</f>
        <v>M5</v>
      </c>
      <c r="K18">
        <f>_xlfn.XLOOKUP($A18,ALGLIB_SSA_XAUUSD!$J$2:$J$1000,ALGLIB_SSA_XAUUSD!$M$2:$M$1000,"",0)</f>
        <v>4628.26</v>
      </c>
      <c r="L18">
        <f>_xlfn.XLOOKUP($A18,ALGLIB_SSA_XAUUSD!$J$2:$J$1000,ALGLIB_SSA_XAUUSD!$N$2:$N$1000,"",0)</f>
        <v>4620.5756499999998</v>
      </c>
      <c r="M18">
        <f>_xlfn.XLOOKUP($A18,ALGLIB_SSA_XAUUSD!$J$2:$J$1000,ALGLIB_SSA_XAUUSD!$O$2:$O$1000,"",0)</f>
        <v>4616.6011699999999</v>
      </c>
      <c r="N18">
        <f>_xlfn.XLOOKUP($A18,ALGLIB_SSA_XAUUSD!$J$2:$J$1000,ALGLIB_SSA_XAUUSD!$P$2:$P$1000,"",0)</f>
        <v>4621.93361</v>
      </c>
      <c r="O18">
        <f>_xlfn.XLOOKUP($A18,ALGLIB_SSA_XAUUSD!$J$2:$J$1000,ALGLIB_SSA_XAUUSD!$Q$2:$Q$1000,"",0)</f>
        <v>4614.2644899999996</v>
      </c>
      <c r="R18">
        <f t="shared" si="0"/>
        <v>1775132400</v>
      </c>
      <c r="S18" t="str">
        <f t="shared" si="1"/>
        <v>XAUUSD</v>
      </c>
      <c r="T18" t="str">
        <f t="shared" si="2"/>
        <v>M5</v>
      </c>
      <c r="U18">
        <f t="shared" si="3"/>
        <v>4628.26</v>
      </c>
      <c r="V18">
        <v>4634.2030999999997</v>
      </c>
      <c r="W18">
        <v>4626.32222</v>
      </c>
      <c r="X18">
        <v>4620.5756499999998</v>
      </c>
      <c r="Y18">
        <v>4616.6011699999999</v>
      </c>
      <c r="Z18">
        <f t="shared" si="4"/>
        <v>4652.55267</v>
      </c>
      <c r="AA18">
        <f t="shared" si="5"/>
        <v>4621.93361</v>
      </c>
      <c r="AB18">
        <f t="shared" si="6"/>
        <v>4609.7865266666668</v>
      </c>
      <c r="AC18">
        <f t="shared" si="7"/>
        <v>4614.2644899999996</v>
      </c>
      <c r="AF18">
        <f t="shared" si="8"/>
        <v>4620.5756499999998</v>
      </c>
      <c r="AG18">
        <f t="shared" si="9"/>
        <v>4652.55267</v>
      </c>
      <c r="AH18">
        <f t="shared" si="10"/>
        <v>4609.7865266666668</v>
      </c>
    </row>
    <row r="19" spans="1:34" x14ac:dyDescent="0.55000000000000004">
      <c r="A19">
        <f>ALGLIB_SSA_XAUUSD!J19</f>
        <v>1775132700</v>
      </c>
      <c r="B19" t="str">
        <f>_xlfn.XLOOKUP($A19,ALGLIB_SSA_XAUUSD!$A$2:$A$1000,ALGLIB_SSA_XAUUSD!$B$2:$B$1000,"",0)</f>
        <v/>
      </c>
      <c r="C19" t="str">
        <f>_xlfn.XLOOKUP($A19,ALGLIB_SSA_XAUUSD!$A$2:$A$1000,ALGLIB_SSA_XAUUSD!$C$2:$C$1000,"",0)</f>
        <v/>
      </c>
      <c r="D19" s="1">
        <f>D14+(D26-D14)*5/12</f>
        <v>4619.7566666666662</v>
      </c>
      <c r="E19" s="1">
        <f>E14+(E26-E14)*5/12</f>
        <v>4635.211430833333</v>
      </c>
      <c r="F19" s="1">
        <f>F14+(F26-F14)*5/12</f>
        <v>4627.1195975000001</v>
      </c>
      <c r="G19" s="1">
        <f>G14+(G26-G14)*5/12</f>
        <v>4653.467525</v>
      </c>
      <c r="H19" s="1">
        <f>H14+(H26-H14)*5/12</f>
        <v>4610.5921808333333</v>
      </c>
      <c r="I19" t="str">
        <f>_xlfn.XLOOKUP($A19,ALGLIB_SSA_XAUUSD!$J$2:$J$1000,ALGLIB_SSA_XAUUSD!$K$2:$K$1000,"",0)</f>
        <v>XAUUSD</v>
      </c>
      <c r="J19" t="str">
        <f>_xlfn.XLOOKUP($A19,ALGLIB_SSA_XAUUSD!$J$2:$J$1000,ALGLIB_SSA_XAUUSD!$L$2:$L$1000,"",0)</f>
        <v>M5</v>
      </c>
      <c r="K19">
        <f>_xlfn.XLOOKUP($A19,ALGLIB_SSA_XAUUSD!$J$2:$J$1000,ALGLIB_SSA_XAUUSD!$M$2:$M$1000,"",0)</f>
        <v>4626.08</v>
      </c>
      <c r="L19">
        <f>_xlfn.XLOOKUP($A19,ALGLIB_SSA_XAUUSD!$J$2:$J$1000,ALGLIB_SSA_XAUUSD!$N$2:$N$1000,"",0)</f>
        <v>4623.53748</v>
      </c>
      <c r="M19">
        <f>_xlfn.XLOOKUP($A19,ALGLIB_SSA_XAUUSD!$J$2:$J$1000,ALGLIB_SSA_XAUUSD!$O$2:$O$1000,"",0)</f>
        <v>4620.0693300000003</v>
      </c>
      <c r="N19">
        <f>_xlfn.XLOOKUP($A19,ALGLIB_SSA_XAUUSD!$J$2:$J$1000,ALGLIB_SSA_XAUUSD!$P$2:$P$1000,"",0)</f>
        <v>4625.38033</v>
      </c>
      <c r="O19">
        <f>_xlfn.XLOOKUP($A19,ALGLIB_SSA_XAUUSD!$J$2:$J$1000,ALGLIB_SSA_XAUUSD!$Q$2:$Q$1000,"",0)</f>
        <v>4618.0848299999998</v>
      </c>
      <c r="R19">
        <f t="shared" si="0"/>
        <v>1775132700</v>
      </c>
      <c r="S19" t="str">
        <f t="shared" si="1"/>
        <v>XAUUSD</v>
      </c>
      <c r="T19" t="str">
        <f t="shared" si="2"/>
        <v>M5</v>
      </c>
      <c r="U19">
        <f t="shared" si="3"/>
        <v>4626.08</v>
      </c>
      <c r="V19">
        <v>4635.2114300000003</v>
      </c>
      <c r="W19">
        <v>4627.1196</v>
      </c>
      <c r="X19">
        <v>4623.53748</v>
      </c>
      <c r="Y19">
        <v>4620.0693300000003</v>
      </c>
      <c r="Z19">
        <f t="shared" si="4"/>
        <v>4653.467525</v>
      </c>
      <c r="AA19">
        <f t="shared" si="5"/>
        <v>4625.38033</v>
      </c>
      <c r="AB19">
        <f t="shared" si="6"/>
        <v>4610.5921808333333</v>
      </c>
      <c r="AC19">
        <f t="shared" si="7"/>
        <v>4618.0848299999998</v>
      </c>
      <c r="AF19">
        <f t="shared" si="8"/>
        <v>4623.53748</v>
      </c>
      <c r="AG19">
        <f t="shared" si="9"/>
        <v>4653.467525</v>
      </c>
      <c r="AH19">
        <f t="shared" si="10"/>
        <v>4610.5921808333333</v>
      </c>
    </row>
    <row r="20" spans="1:34" x14ac:dyDescent="0.55000000000000004">
      <c r="A20">
        <f>ALGLIB_SSA_XAUUSD!J20</f>
        <v>1775133000</v>
      </c>
      <c r="B20" t="str">
        <f>_xlfn.XLOOKUP($A20,ALGLIB_SSA_XAUUSD!$A$2:$A$1000,ALGLIB_SSA_XAUUSD!$B$2:$B$1000,"",0)</f>
        <v/>
      </c>
      <c r="C20" t="str">
        <f>_xlfn.XLOOKUP($A20,ALGLIB_SSA_XAUUSD!$A$2:$A$1000,ALGLIB_SSA_XAUUSD!$C$2:$C$1000,"",0)</f>
        <v/>
      </c>
      <c r="D20" s="1">
        <f>D14+(D26-D14)*6/12</f>
        <v>4623.41</v>
      </c>
      <c r="E20" s="1">
        <f>E14+(E26-E14)*6/12</f>
        <v>4636.2197649999998</v>
      </c>
      <c r="F20" s="1">
        <f>F14+(F26-F14)*6/12</f>
        <v>4627.9169750000001</v>
      </c>
      <c r="G20" s="1">
        <f>G14+(G26-G14)*6/12</f>
        <v>4654.38238</v>
      </c>
      <c r="H20" s="1">
        <f>H14+(H26-H14)*6/12</f>
        <v>4611.3978349999998</v>
      </c>
      <c r="I20" t="str">
        <f>_xlfn.XLOOKUP($A20,ALGLIB_SSA_XAUUSD!$J$2:$J$1000,ALGLIB_SSA_XAUUSD!$K$2:$K$1000,"",0)</f>
        <v>XAUUSD</v>
      </c>
      <c r="J20" t="str">
        <f>_xlfn.XLOOKUP($A20,ALGLIB_SSA_XAUUSD!$J$2:$J$1000,ALGLIB_SSA_XAUUSD!$L$2:$L$1000,"",0)</f>
        <v>M5</v>
      </c>
      <c r="K20">
        <f>_xlfn.XLOOKUP($A20,ALGLIB_SSA_XAUUSD!$J$2:$J$1000,ALGLIB_SSA_XAUUSD!$M$2:$M$1000,"",0)</f>
        <v>4621.9399999999996</v>
      </c>
      <c r="L20">
        <f>_xlfn.XLOOKUP($A20,ALGLIB_SSA_XAUUSD!$J$2:$J$1000,ALGLIB_SSA_XAUUSD!$N$2:$N$1000,"",0)</f>
        <v>4624.9415399999998</v>
      </c>
      <c r="M20">
        <f>_xlfn.XLOOKUP($A20,ALGLIB_SSA_XAUUSD!$J$2:$J$1000,ALGLIB_SSA_XAUUSD!$O$2:$O$1000,"",0)</f>
        <v>4622.5054399999999</v>
      </c>
      <c r="N20">
        <f>_xlfn.XLOOKUP($A20,ALGLIB_SSA_XAUUSD!$J$2:$J$1000,ALGLIB_SSA_XAUUSD!$P$2:$P$1000,"",0)</f>
        <v>4627.80357</v>
      </c>
      <c r="O20">
        <f>_xlfn.XLOOKUP($A20,ALGLIB_SSA_XAUUSD!$J$2:$J$1000,ALGLIB_SSA_XAUUSD!$Q$2:$Q$1000,"",0)</f>
        <v>4620.1751299999996</v>
      </c>
      <c r="R20">
        <f t="shared" si="0"/>
        <v>1775133000</v>
      </c>
      <c r="S20" t="str">
        <f t="shared" si="1"/>
        <v>XAUUSD</v>
      </c>
      <c r="T20" t="str">
        <f t="shared" si="2"/>
        <v>M5</v>
      </c>
      <c r="U20">
        <f t="shared" si="3"/>
        <v>4621.9399999999996</v>
      </c>
      <c r="V20">
        <v>4636.2197699999997</v>
      </c>
      <c r="W20">
        <v>4627.91698</v>
      </c>
      <c r="X20">
        <v>4624.9415399999998</v>
      </c>
      <c r="Y20">
        <v>4622.5054399999999</v>
      </c>
      <c r="Z20">
        <f t="shared" si="4"/>
        <v>4654.38238</v>
      </c>
      <c r="AA20">
        <f t="shared" si="5"/>
        <v>4627.80357</v>
      </c>
      <c r="AB20">
        <f t="shared" si="6"/>
        <v>4611.3978349999998</v>
      </c>
      <c r="AC20">
        <f t="shared" si="7"/>
        <v>4620.1751299999996</v>
      </c>
      <c r="AF20">
        <f t="shared" si="8"/>
        <v>4624.9415399999998</v>
      </c>
      <c r="AG20">
        <f t="shared" si="9"/>
        <v>4654.38238</v>
      </c>
      <c r="AH20">
        <f t="shared" si="10"/>
        <v>4611.3978349999998</v>
      </c>
    </row>
    <row r="21" spans="1:34" x14ac:dyDescent="0.55000000000000004">
      <c r="A21">
        <f>ALGLIB_SSA_XAUUSD!J21</f>
        <v>1775133300</v>
      </c>
      <c r="B21" t="str">
        <f>_xlfn.XLOOKUP($A21,ALGLIB_SSA_XAUUSD!$A$2:$A$1000,ALGLIB_SSA_XAUUSD!$B$2:$B$1000,"",0)</f>
        <v/>
      </c>
      <c r="C21" t="str">
        <f>_xlfn.XLOOKUP($A21,ALGLIB_SSA_XAUUSD!$A$2:$A$1000,ALGLIB_SSA_XAUUSD!$C$2:$C$1000,"",0)</f>
        <v/>
      </c>
      <c r="D21" s="1">
        <f>D14+(D26-D14)*7/12</f>
        <v>4627.0633333333335</v>
      </c>
      <c r="E21" s="1">
        <f>E14+(E26-E14)*7/12</f>
        <v>4637.2280991666667</v>
      </c>
      <c r="F21" s="1">
        <f>F14+(F26-F14)*7/12</f>
        <v>4628.7143525000001</v>
      </c>
      <c r="G21" s="1">
        <f>G14+(G26-G14)*7/12</f>
        <v>4655.297235</v>
      </c>
      <c r="H21" s="1">
        <f>H14+(H26-H14)*7/12</f>
        <v>4612.2034891666663</v>
      </c>
      <c r="I21" t="str">
        <f>_xlfn.XLOOKUP($A21,ALGLIB_SSA_XAUUSD!$J$2:$J$1000,ALGLIB_SSA_XAUUSD!$K$2:$K$1000,"",0)</f>
        <v>XAUUSD</v>
      </c>
      <c r="J21" t="str">
        <f>_xlfn.XLOOKUP($A21,ALGLIB_SSA_XAUUSD!$J$2:$J$1000,ALGLIB_SSA_XAUUSD!$L$2:$L$1000,"",0)</f>
        <v>M5</v>
      </c>
      <c r="K21">
        <f>_xlfn.XLOOKUP($A21,ALGLIB_SSA_XAUUSD!$J$2:$J$1000,ALGLIB_SSA_XAUUSD!$M$2:$M$1000,"",0)</f>
        <v>4621.45</v>
      </c>
      <c r="L21">
        <f>_xlfn.XLOOKUP($A21,ALGLIB_SSA_XAUUSD!$J$2:$J$1000,ALGLIB_SSA_XAUUSD!$N$2:$N$1000,"",0)</f>
        <v>4624.5640899999999</v>
      </c>
      <c r="M21">
        <f>_xlfn.XLOOKUP($A21,ALGLIB_SSA_XAUUSD!$J$2:$J$1000,ALGLIB_SSA_XAUUSD!$O$2:$O$1000,"",0)</f>
        <v>4623.5347599999996</v>
      </c>
      <c r="N21">
        <f>_xlfn.XLOOKUP($A21,ALGLIB_SSA_XAUUSD!$J$2:$J$1000,ALGLIB_SSA_XAUUSD!$P$2:$P$1000,"",0)</f>
        <v>4628.8857099999996</v>
      </c>
      <c r="O21">
        <f>_xlfn.XLOOKUP($A21,ALGLIB_SSA_XAUUSD!$J$2:$J$1000,ALGLIB_SSA_XAUUSD!$Q$2:$Q$1000,"",0)</f>
        <v>4620.2811799999999</v>
      </c>
      <c r="R21">
        <f t="shared" si="0"/>
        <v>1775133300</v>
      </c>
      <c r="S21" t="str">
        <f t="shared" si="1"/>
        <v>XAUUSD</v>
      </c>
      <c r="T21" t="str">
        <f t="shared" si="2"/>
        <v>M5</v>
      </c>
      <c r="U21">
        <f t="shared" si="3"/>
        <v>4621.45</v>
      </c>
      <c r="V21">
        <v>4637.2281000000003</v>
      </c>
      <c r="W21">
        <v>4628.7143500000002</v>
      </c>
      <c r="X21">
        <v>4624.5640899999999</v>
      </c>
      <c r="Y21">
        <v>4623.5347599999996</v>
      </c>
      <c r="Z21">
        <f t="shared" si="4"/>
        <v>4655.297235</v>
      </c>
      <c r="AA21">
        <f t="shared" si="5"/>
        <v>4628.8857099999996</v>
      </c>
      <c r="AB21">
        <f t="shared" si="6"/>
        <v>4612.2034891666663</v>
      </c>
      <c r="AC21">
        <f t="shared" si="7"/>
        <v>4620.2811799999999</v>
      </c>
      <c r="AF21">
        <f t="shared" si="8"/>
        <v>4624.5640899999999</v>
      </c>
      <c r="AG21">
        <f t="shared" si="9"/>
        <v>4655.297235</v>
      </c>
      <c r="AH21">
        <f t="shared" si="10"/>
        <v>4612.2034891666663</v>
      </c>
    </row>
    <row r="22" spans="1:34" x14ac:dyDescent="0.55000000000000004">
      <c r="A22">
        <f>ALGLIB_SSA_XAUUSD!J22</f>
        <v>1775133600</v>
      </c>
      <c r="B22" t="str">
        <f>_xlfn.XLOOKUP($A22,ALGLIB_SSA_XAUUSD!$A$2:$A$1000,ALGLIB_SSA_XAUUSD!$B$2:$B$1000,"",0)</f>
        <v/>
      </c>
      <c r="C22" t="str">
        <f>_xlfn.XLOOKUP($A22,ALGLIB_SSA_XAUUSD!$A$2:$A$1000,ALGLIB_SSA_XAUUSD!$C$2:$C$1000,"",0)</f>
        <v/>
      </c>
      <c r="D22" s="1">
        <f>D14+(D26-D14)*8/12</f>
        <v>4630.7166666666662</v>
      </c>
      <c r="E22" s="1">
        <f>E14+(E26-E14)*8/12</f>
        <v>4638.2364333333335</v>
      </c>
      <c r="F22" s="1">
        <f>F14+(F26-F14)*8/12</f>
        <v>4629.5117300000002</v>
      </c>
      <c r="G22" s="1">
        <f>G14+(G26-G14)*8/12</f>
        <v>4656.21209</v>
      </c>
      <c r="H22" s="1">
        <f>H14+(H26-H14)*8/12</f>
        <v>4613.0091433333328</v>
      </c>
      <c r="I22" t="str">
        <f>_xlfn.XLOOKUP($A22,ALGLIB_SSA_XAUUSD!$J$2:$J$1000,ALGLIB_SSA_XAUUSD!$K$2:$K$1000,"",0)</f>
        <v>XAUUSD</v>
      </c>
      <c r="J22" t="str">
        <f>_xlfn.XLOOKUP($A22,ALGLIB_SSA_XAUUSD!$J$2:$J$1000,ALGLIB_SSA_XAUUSD!$L$2:$L$1000,"",0)</f>
        <v>M5</v>
      </c>
      <c r="K22">
        <f>_xlfn.XLOOKUP($A22,ALGLIB_SSA_XAUUSD!$J$2:$J$1000,ALGLIB_SSA_XAUUSD!$M$2:$M$1000,"",0)</f>
        <v>4618.28</v>
      </c>
      <c r="L22">
        <f>_xlfn.XLOOKUP($A22,ALGLIB_SSA_XAUUSD!$J$2:$J$1000,ALGLIB_SSA_XAUUSD!$N$2:$N$1000,"",0)</f>
        <v>4622.27567</v>
      </c>
      <c r="M22">
        <f>_xlfn.XLOOKUP($A22,ALGLIB_SSA_XAUUSD!$J$2:$J$1000,ALGLIB_SSA_XAUUSD!$O$2:$O$1000,"",0)</f>
        <v>4622.9052199999996</v>
      </c>
      <c r="N22">
        <f>_xlfn.XLOOKUP($A22,ALGLIB_SSA_XAUUSD!$J$2:$J$1000,ALGLIB_SSA_XAUUSD!$P$2:$P$1000,"",0)</f>
        <v>4628.3621599999997</v>
      </c>
      <c r="O22">
        <f>_xlfn.XLOOKUP($A22,ALGLIB_SSA_XAUUSD!$J$2:$J$1000,ALGLIB_SSA_XAUUSD!$Q$2:$Q$1000,"",0)</f>
        <v>4618.2539999999999</v>
      </c>
      <c r="R22">
        <f t="shared" si="0"/>
        <v>1775133600</v>
      </c>
      <c r="S22" t="str">
        <f t="shared" si="1"/>
        <v>XAUUSD</v>
      </c>
      <c r="T22" t="str">
        <f t="shared" si="2"/>
        <v>M5</v>
      </c>
      <c r="U22">
        <f t="shared" si="3"/>
        <v>4618.28</v>
      </c>
      <c r="V22">
        <v>4638.2364299999999</v>
      </c>
      <c r="W22">
        <v>4629.5117300000002</v>
      </c>
      <c r="X22">
        <v>4622.27567</v>
      </c>
      <c r="Y22">
        <v>4622.9052199999996</v>
      </c>
      <c r="Z22">
        <f t="shared" si="4"/>
        <v>4656.21209</v>
      </c>
      <c r="AA22">
        <f t="shared" si="5"/>
        <v>4628.3621599999997</v>
      </c>
      <c r="AB22">
        <f t="shared" si="6"/>
        <v>4613.0091433333328</v>
      </c>
      <c r="AC22">
        <f t="shared" si="7"/>
        <v>4618.2539999999999</v>
      </c>
      <c r="AF22">
        <f t="shared" si="8"/>
        <v>4622.27567</v>
      </c>
      <c r="AG22">
        <f t="shared" si="9"/>
        <v>4656.21209</v>
      </c>
      <c r="AH22">
        <f t="shared" si="10"/>
        <v>4613.0091433333328</v>
      </c>
    </row>
    <row r="23" spans="1:34" x14ac:dyDescent="0.55000000000000004">
      <c r="A23">
        <f>ALGLIB_SSA_XAUUSD!J23</f>
        <v>1775133900</v>
      </c>
      <c r="B23" t="str">
        <f>_xlfn.XLOOKUP($A23,ALGLIB_SSA_XAUUSD!$A$2:$A$1000,ALGLIB_SSA_XAUUSD!$B$2:$B$1000,"",0)</f>
        <v/>
      </c>
      <c r="C23" t="str">
        <f>_xlfn.XLOOKUP($A23,ALGLIB_SSA_XAUUSD!$A$2:$A$1000,ALGLIB_SSA_XAUUSD!$C$2:$C$1000,"",0)</f>
        <v/>
      </c>
      <c r="D23" s="1">
        <f>D14+(D26-D14)*9/12</f>
        <v>4634.37</v>
      </c>
      <c r="E23" s="1">
        <f>E14+(E26-E14)*9/12</f>
        <v>4639.2447675000003</v>
      </c>
      <c r="F23" s="1">
        <f>F14+(F26-F14)*9/12</f>
        <v>4630.3091075000002</v>
      </c>
      <c r="G23" s="1">
        <f>G14+(G26-G14)*9/12</f>
        <v>4657.126945</v>
      </c>
      <c r="H23" s="1">
        <f>H14+(H26-H14)*9/12</f>
        <v>4613.8147974999993</v>
      </c>
      <c r="I23" t="str">
        <f>_xlfn.XLOOKUP($A23,ALGLIB_SSA_XAUUSD!$J$2:$J$1000,ALGLIB_SSA_XAUUSD!$K$2:$K$1000,"",0)</f>
        <v>XAUUSD</v>
      </c>
      <c r="J23" t="str">
        <f>_xlfn.XLOOKUP($A23,ALGLIB_SSA_XAUUSD!$J$2:$J$1000,ALGLIB_SSA_XAUUSD!$L$2:$L$1000,"",0)</f>
        <v>M5</v>
      </c>
      <c r="K23">
        <f>_xlfn.XLOOKUP($A23,ALGLIB_SSA_XAUUSD!$J$2:$J$1000,ALGLIB_SSA_XAUUSD!$M$2:$M$1000,"",0)</f>
        <v>4619.49</v>
      </c>
      <c r="L23">
        <f>_xlfn.XLOOKUP($A23,ALGLIB_SSA_XAUUSD!$J$2:$J$1000,ALGLIB_SSA_XAUUSD!$N$2:$N$1000,"",0)</f>
        <v>4618.1843399999998</v>
      </c>
      <c r="M23">
        <f>_xlfn.XLOOKUP($A23,ALGLIB_SSA_XAUUSD!$J$2:$J$1000,ALGLIB_SSA_XAUUSD!$O$2:$O$1000,"",0)</f>
        <v>4620.5447800000002</v>
      </c>
      <c r="N23">
        <f>_xlfn.XLOOKUP($A23,ALGLIB_SSA_XAUUSD!$J$2:$J$1000,ALGLIB_SSA_XAUUSD!$P$2:$P$1000,"",0)</f>
        <v>4626.1302100000003</v>
      </c>
      <c r="O23">
        <f>_xlfn.XLOOKUP($A23,ALGLIB_SSA_XAUUSD!$J$2:$J$1000,ALGLIB_SSA_XAUUSD!$Q$2:$Q$1000,"",0)</f>
        <v>4614.26451</v>
      </c>
      <c r="R23">
        <f t="shared" si="0"/>
        <v>1775133900</v>
      </c>
      <c r="S23" t="str">
        <f t="shared" si="1"/>
        <v>XAUUSD</v>
      </c>
      <c r="T23" t="str">
        <f t="shared" si="2"/>
        <v>M5</v>
      </c>
      <c r="U23">
        <f t="shared" si="3"/>
        <v>4619.49</v>
      </c>
      <c r="V23">
        <v>4639.2447700000002</v>
      </c>
      <c r="W23">
        <v>4630.3091100000001</v>
      </c>
      <c r="X23">
        <v>4618.1843399999998</v>
      </c>
      <c r="Y23">
        <v>4620.5447800000002</v>
      </c>
      <c r="Z23">
        <f t="shared" si="4"/>
        <v>4657.126945</v>
      </c>
      <c r="AA23">
        <f t="shared" si="5"/>
        <v>4626.1302100000003</v>
      </c>
      <c r="AB23">
        <f t="shared" si="6"/>
        <v>4613.8147974999993</v>
      </c>
      <c r="AC23">
        <f t="shared" si="7"/>
        <v>4614.26451</v>
      </c>
      <c r="AF23">
        <f t="shared" si="8"/>
        <v>4618.1843399999998</v>
      </c>
      <c r="AG23">
        <f t="shared" si="9"/>
        <v>4657.126945</v>
      </c>
      <c r="AH23">
        <f t="shared" si="10"/>
        <v>4613.8147974999993</v>
      </c>
    </row>
    <row r="24" spans="1:34" x14ac:dyDescent="0.55000000000000004">
      <c r="A24">
        <f>ALGLIB_SSA_XAUUSD!J24</f>
        <v>1775134200</v>
      </c>
      <c r="B24" t="str">
        <f>_xlfn.XLOOKUP($A24,ALGLIB_SSA_XAUUSD!$A$2:$A$1000,ALGLIB_SSA_XAUUSD!$B$2:$B$1000,"",0)</f>
        <v/>
      </c>
      <c r="C24" t="str">
        <f>_xlfn.XLOOKUP($A24,ALGLIB_SSA_XAUUSD!$A$2:$A$1000,ALGLIB_SSA_XAUUSD!$C$2:$C$1000,"",0)</f>
        <v/>
      </c>
      <c r="D24" s="1">
        <f>D14+(D26-D14)*10/12</f>
        <v>4638.0233333333335</v>
      </c>
      <c r="E24" s="1">
        <f>E14+(E26-E14)*10/12</f>
        <v>4640.2531016666662</v>
      </c>
      <c r="F24" s="1">
        <f>F14+(F26-F14)*10/12</f>
        <v>4631.1064850000002</v>
      </c>
      <c r="G24" s="1">
        <f>G14+(G26-G14)*10/12</f>
        <v>4658.0418</v>
      </c>
      <c r="H24" s="1">
        <f>H14+(H26-H14)*10/12</f>
        <v>4614.6204516666667</v>
      </c>
      <c r="I24" t="str">
        <f>_xlfn.XLOOKUP($A24,ALGLIB_SSA_XAUUSD!$J$2:$J$1000,ALGLIB_SSA_XAUUSD!$K$2:$K$1000,"",0)</f>
        <v>XAUUSD</v>
      </c>
      <c r="J24" t="str">
        <f>_xlfn.XLOOKUP($A24,ALGLIB_SSA_XAUUSD!$J$2:$J$1000,ALGLIB_SSA_XAUUSD!$L$2:$L$1000,"",0)</f>
        <v>M5</v>
      </c>
      <c r="K24">
        <f>_xlfn.XLOOKUP($A24,ALGLIB_SSA_XAUUSD!$J$2:$J$1000,ALGLIB_SSA_XAUUSD!$M$2:$M$1000,"",0)</f>
        <v>4620.28</v>
      </c>
      <c r="L24">
        <f>_xlfn.XLOOKUP($A24,ALGLIB_SSA_XAUUSD!$J$2:$J$1000,ALGLIB_SSA_XAUUSD!$N$2:$N$1000,"",0)</f>
        <v>4612.5639000000001</v>
      </c>
      <c r="M24">
        <f>_xlfn.XLOOKUP($A24,ALGLIB_SSA_XAUUSD!$J$2:$J$1000,ALGLIB_SSA_XAUUSD!$O$2:$O$1000,"",0)</f>
        <v>4616.5543399999997</v>
      </c>
      <c r="N24">
        <f>_xlfn.XLOOKUP($A24,ALGLIB_SSA_XAUUSD!$J$2:$J$1000,ALGLIB_SSA_XAUUSD!$P$2:$P$1000,"",0)</f>
        <v>4622.2283100000004</v>
      </c>
      <c r="O24">
        <f>_xlfn.XLOOKUP($A24,ALGLIB_SSA_XAUUSD!$J$2:$J$1000,ALGLIB_SSA_XAUUSD!$Q$2:$Q$1000,"",0)</f>
        <v>4608.6792599999999</v>
      </c>
      <c r="R24">
        <f t="shared" si="0"/>
        <v>1775134200</v>
      </c>
      <c r="S24" t="str">
        <f t="shared" si="1"/>
        <v>XAUUSD</v>
      </c>
      <c r="T24" t="str">
        <f t="shared" si="2"/>
        <v>M5</v>
      </c>
      <c r="U24">
        <f t="shared" si="3"/>
        <v>4620.28</v>
      </c>
      <c r="V24">
        <v>4640.2530999999999</v>
      </c>
      <c r="W24">
        <v>4631.1064900000001</v>
      </c>
      <c r="X24">
        <v>4612.5639000000001</v>
      </c>
      <c r="Y24">
        <v>4616.5543399999997</v>
      </c>
      <c r="Z24">
        <f t="shared" si="4"/>
        <v>4658.0418</v>
      </c>
      <c r="AA24">
        <f t="shared" si="5"/>
        <v>4622.2283100000004</v>
      </c>
      <c r="AB24">
        <f t="shared" si="6"/>
        <v>4614.6204516666667</v>
      </c>
      <c r="AC24">
        <f t="shared" si="7"/>
        <v>4608.6792599999999</v>
      </c>
      <c r="AF24">
        <f t="shared" si="8"/>
        <v>4612.5639000000001</v>
      </c>
      <c r="AG24">
        <f t="shared" si="9"/>
        <v>4658.0418</v>
      </c>
      <c r="AH24">
        <f t="shared" si="10"/>
        <v>4614.6204516666667</v>
      </c>
    </row>
    <row r="25" spans="1:34" x14ac:dyDescent="0.55000000000000004">
      <c r="A25">
        <f>ALGLIB_SSA_XAUUSD!J25</f>
        <v>1775134500</v>
      </c>
      <c r="B25" t="str">
        <f>_xlfn.XLOOKUP($A25,ALGLIB_SSA_XAUUSD!$A$2:$A$1000,ALGLIB_SSA_XAUUSD!$B$2:$B$1000,"",0)</f>
        <v/>
      </c>
      <c r="C25" t="str">
        <f>_xlfn.XLOOKUP($A25,ALGLIB_SSA_XAUUSD!$A$2:$A$1000,ALGLIB_SSA_XAUUSD!$C$2:$C$1000,"",0)</f>
        <v/>
      </c>
      <c r="D25" s="1">
        <f>D14+(D26-D14)*11/12</f>
        <v>4641.6766666666663</v>
      </c>
      <c r="E25" s="1">
        <f>E14+(E26-E14)*11/12</f>
        <v>4641.2614358333331</v>
      </c>
      <c r="F25" s="1">
        <f>F14+(F26-F14)*11/12</f>
        <v>4631.9038625000003</v>
      </c>
      <c r="G25" s="1">
        <f>G14+(G26-G14)*11/12</f>
        <v>4658.956655</v>
      </c>
      <c r="H25" s="1">
        <f>H14+(H26-H14)*11/12</f>
        <v>4615.4261058333332</v>
      </c>
      <c r="I25" t="str">
        <f>_xlfn.XLOOKUP($A25,ALGLIB_SSA_XAUUSD!$J$2:$J$1000,ALGLIB_SSA_XAUUSD!$K$2:$K$1000,"",0)</f>
        <v>XAUUSD</v>
      </c>
      <c r="J25" t="str">
        <f>_xlfn.XLOOKUP($A25,ALGLIB_SSA_XAUUSD!$J$2:$J$1000,ALGLIB_SSA_XAUUSD!$L$2:$L$1000,"",0)</f>
        <v>M5</v>
      </c>
      <c r="K25">
        <f>_xlfn.XLOOKUP($A25,ALGLIB_SSA_XAUUSD!$J$2:$J$1000,ALGLIB_SSA_XAUUSD!$M$2:$M$1000,"",0)</f>
        <v>4601.49</v>
      </c>
      <c r="L25">
        <f>_xlfn.XLOOKUP($A25,ALGLIB_SSA_XAUUSD!$J$2:$J$1000,ALGLIB_SSA_XAUUSD!$N$2:$N$1000,"",0)</f>
        <v>4605.9618600000003</v>
      </c>
      <c r="M25">
        <f>_xlfn.XLOOKUP($A25,ALGLIB_SSA_XAUUSD!$J$2:$J$1000,ALGLIB_SSA_XAUUSD!$O$2:$O$1000,"",0)</f>
        <v>4611.2581</v>
      </c>
      <c r="N25">
        <f>_xlfn.XLOOKUP($A25,ALGLIB_SSA_XAUUSD!$J$2:$J$1000,ALGLIB_SSA_XAUUSD!$P$2:$P$1000,"",0)</f>
        <v>4616.9907400000002</v>
      </c>
      <c r="O25">
        <f>_xlfn.XLOOKUP($A25,ALGLIB_SSA_XAUUSD!$J$2:$J$1000,ALGLIB_SSA_XAUUSD!$Q$2:$Q$1000,"",0)</f>
        <v>4601.9813899999999</v>
      </c>
      <c r="R25">
        <f t="shared" si="0"/>
        <v>1775134500</v>
      </c>
      <c r="S25" t="str">
        <f t="shared" si="1"/>
        <v>XAUUSD</v>
      </c>
      <c r="T25" t="str">
        <f t="shared" si="2"/>
        <v>M5</v>
      </c>
      <c r="U25">
        <f t="shared" si="3"/>
        <v>4601.49</v>
      </c>
      <c r="V25">
        <v>4641.2614400000002</v>
      </c>
      <c r="W25">
        <v>4631.9038600000003</v>
      </c>
      <c r="X25">
        <v>4605.9618600000003</v>
      </c>
      <c r="Y25">
        <v>4611.2581</v>
      </c>
      <c r="Z25">
        <f t="shared" si="4"/>
        <v>4658.956655</v>
      </c>
      <c r="AA25">
        <f t="shared" si="5"/>
        <v>4616.9907400000002</v>
      </c>
      <c r="AB25">
        <f t="shared" si="6"/>
        <v>4615.4261058333332</v>
      </c>
      <c r="AC25">
        <f t="shared" si="7"/>
        <v>4601.9813899999999</v>
      </c>
      <c r="AF25">
        <f t="shared" si="8"/>
        <v>4605.9618600000003</v>
      </c>
      <c r="AG25">
        <f t="shared" si="9"/>
        <v>4658.956655</v>
      </c>
      <c r="AH25">
        <f t="shared" si="10"/>
        <v>4615.4261058333332</v>
      </c>
    </row>
    <row r="26" spans="1:34" x14ac:dyDescent="0.55000000000000004">
      <c r="A26">
        <f>ALGLIB_SSA_XAUUSD!J26</f>
        <v>1775134800</v>
      </c>
      <c r="B26" t="str">
        <f>_xlfn.XLOOKUP($A26,ALGLIB_SSA_XAUUSD!$A$2:$A$1000,ALGLIB_SSA_XAUUSD!$B$2:$B$1000,"",0)</f>
        <v>XAUUSD</v>
      </c>
      <c r="C26" t="str">
        <f>_xlfn.XLOOKUP($A26,ALGLIB_SSA_XAUUSD!$A$2:$A$1000,ALGLIB_SSA_XAUUSD!$C$2:$C$1000,"",0)</f>
        <v>H1</v>
      </c>
      <c r="D26" s="2">
        <f>_xlfn.XLOOKUP($A26,ALGLIB_SSA_XAUUSD!$A$2:$A$1000,ALGLIB_SSA_XAUUSD!$D$2:$D$1000,"",0)</f>
        <v>4645.33</v>
      </c>
      <c r="E26" s="2">
        <f>_xlfn.XLOOKUP($A26,ALGLIB_SSA_XAUUSD!$A$2:$A$1000,ALGLIB_SSA_XAUUSD!$E$2:$E$1000,"",0)</f>
        <v>4642.2697699999999</v>
      </c>
      <c r="F26" s="2">
        <f>_xlfn.XLOOKUP($A26,ALGLIB_SSA_XAUUSD!$A$2:$A$1000,ALGLIB_SSA_XAUUSD!$F$2:$F$1000,"",0)</f>
        <v>4632.7012400000003</v>
      </c>
      <c r="G26" s="2">
        <f>_xlfn.XLOOKUP($A26,ALGLIB_SSA_XAUUSD!$A$2:$A$1000,ALGLIB_SSA_XAUUSD!$G$2:$G$1000,"",0)</f>
        <v>4659.8715099999999</v>
      </c>
      <c r="H26" s="2">
        <f>_xlfn.XLOOKUP($A26,ALGLIB_SSA_XAUUSD!$A$2:$A$1000,ALGLIB_SSA_XAUUSD!$H$2:$H$1000,"",0)</f>
        <v>4616.2317599999997</v>
      </c>
      <c r="I26" t="str">
        <f>_xlfn.XLOOKUP($A26,ALGLIB_SSA_XAUUSD!$J$2:$J$1000,ALGLIB_SSA_XAUUSD!$K$2:$K$1000,"",0)</f>
        <v>XAUUSD</v>
      </c>
      <c r="J26" t="str">
        <f>_xlfn.XLOOKUP($A26,ALGLIB_SSA_XAUUSD!$J$2:$J$1000,ALGLIB_SSA_XAUUSD!$L$2:$L$1000,"",0)</f>
        <v>M5</v>
      </c>
      <c r="K26">
        <f>_xlfn.XLOOKUP($A26,ALGLIB_SSA_XAUUSD!$J$2:$J$1000,ALGLIB_SSA_XAUUSD!$M$2:$M$1000,"",0)</f>
        <v>4595.07</v>
      </c>
      <c r="L26">
        <f>_xlfn.XLOOKUP($A26,ALGLIB_SSA_XAUUSD!$J$2:$J$1000,ALGLIB_SSA_XAUUSD!$N$2:$N$1000,"",0)</f>
        <v>4599.3973800000003</v>
      </c>
      <c r="M26">
        <f>_xlfn.XLOOKUP($A26,ALGLIB_SSA_XAUUSD!$J$2:$J$1000,ALGLIB_SSA_XAUUSD!$O$2:$O$1000,"",0)</f>
        <v>4605.3277399999997</v>
      </c>
      <c r="N26">
        <f>_xlfn.XLOOKUP($A26,ALGLIB_SSA_XAUUSD!$J$2:$J$1000,ALGLIB_SSA_XAUUSD!$P$2:$P$1000,"",0)</f>
        <v>4611.0778300000002</v>
      </c>
      <c r="O26">
        <f>_xlfn.XLOOKUP($A26,ALGLIB_SSA_XAUUSD!$J$2:$J$1000,ALGLIB_SSA_XAUUSD!$Q$2:$Q$1000,"",0)</f>
        <v>4595.15834</v>
      </c>
      <c r="R26">
        <f t="shared" si="0"/>
        <v>1775134800</v>
      </c>
      <c r="S26" t="str">
        <f t="shared" si="1"/>
        <v>XAUUSD</v>
      </c>
      <c r="T26" t="str">
        <f t="shared" si="2"/>
        <v>M5</v>
      </c>
      <c r="U26">
        <f t="shared" si="3"/>
        <v>4595.07</v>
      </c>
      <c r="V26">
        <v>4642.2697699999999</v>
      </c>
      <c r="W26">
        <v>4632.7012400000003</v>
      </c>
      <c r="X26">
        <v>4599.3973800000003</v>
      </c>
      <c r="Y26">
        <v>4605.3277399999997</v>
      </c>
      <c r="Z26">
        <f t="shared" si="4"/>
        <v>4659.8715099999999</v>
      </c>
      <c r="AA26">
        <f t="shared" si="5"/>
        <v>4611.0778300000002</v>
      </c>
      <c r="AB26">
        <f t="shared" si="6"/>
        <v>4616.2317599999997</v>
      </c>
      <c r="AC26">
        <f t="shared" si="7"/>
        <v>4595.15834</v>
      </c>
      <c r="AF26">
        <f t="shared" si="8"/>
        <v>4599.3973800000003</v>
      </c>
      <c r="AG26">
        <f t="shared" si="9"/>
        <v>4659.8715099999999</v>
      </c>
      <c r="AH26">
        <f t="shared" si="10"/>
        <v>4616.2317599999997</v>
      </c>
    </row>
    <row r="27" spans="1:34" x14ac:dyDescent="0.55000000000000004">
      <c r="A27">
        <f>ALGLIB_SSA_XAUUSD!J27</f>
        <v>1775135100</v>
      </c>
      <c r="B27" t="str">
        <f>_xlfn.XLOOKUP($A27,ALGLIB_SSA_XAUUSD!$A$2:$A$1000,ALGLIB_SSA_XAUUSD!$B$2:$B$1000,"",0)</f>
        <v/>
      </c>
      <c r="C27" t="str">
        <f>_xlfn.XLOOKUP($A27,ALGLIB_SSA_XAUUSD!$A$2:$A$1000,ALGLIB_SSA_XAUUSD!$C$2:$C$1000,"",0)</f>
        <v/>
      </c>
      <c r="D27" s="1">
        <f>D26+(D38-D26)*1/12</f>
        <v>4648.3291666666664</v>
      </c>
      <c r="E27" s="1">
        <f>E26+(E38-E26)*1/12</f>
        <v>4643.2030041666667</v>
      </c>
      <c r="F27" s="1">
        <f>F26+(F38-F26)*1/12</f>
        <v>4633.5665458333333</v>
      </c>
      <c r="G27" s="1">
        <f>G26+(G38-G26)*1/12</f>
        <v>4660.7139649999999</v>
      </c>
      <c r="H27" s="1">
        <f>H26+(H38-H26)*1/12</f>
        <v>4617.1564008333335</v>
      </c>
      <c r="I27" t="str">
        <f>_xlfn.XLOOKUP($A27,ALGLIB_SSA_XAUUSD!$J$2:$J$1000,ALGLIB_SSA_XAUUSD!$K$2:$K$1000,"",0)</f>
        <v>XAUUSD</v>
      </c>
      <c r="J27" t="str">
        <f>_xlfn.XLOOKUP($A27,ALGLIB_SSA_XAUUSD!$J$2:$J$1000,ALGLIB_SSA_XAUUSD!$L$2:$L$1000,"",0)</f>
        <v>M5</v>
      </c>
      <c r="K27">
        <f>_xlfn.XLOOKUP($A27,ALGLIB_SSA_XAUUSD!$J$2:$J$1000,ALGLIB_SSA_XAUUSD!$M$2:$M$1000,"",0)</f>
        <v>4600.43</v>
      </c>
      <c r="L27">
        <f>_xlfn.XLOOKUP($A27,ALGLIB_SSA_XAUUSD!$J$2:$J$1000,ALGLIB_SSA_XAUUSD!$N$2:$N$1000,"",0)</f>
        <v>4593.7296200000001</v>
      </c>
      <c r="M27">
        <f>_xlfn.XLOOKUP($A27,ALGLIB_SSA_XAUUSD!$J$2:$J$1000,ALGLIB_SSA_XAUUSD!$O$2:$O$1000,"",0)</f>
        <v>4599.5286800000003</v>
      </c>
      <c r="N27">
        <f>_xlfn.XLOOKUP($A27,ALGLIB_SSA_XAUUSD!$J$2:$J$1000,ALGLIB_SSA_XAUUSD!$P$2:$P$1000,"",0)</f>
        <v>4605.5109499999999</v>
      </c>
      <c r="O27">
        <f>_xlfn.XLOOKUP($A27,ALGLIB_SSA_XAUUSD!$J$2:$J$1000,ALGLIB_SSA_XAUUSD!$Q$2:$Q$1000,"",0)</f>
        <v>4589.1928900000003</v>
      </c>
      <c r="R27">
        <f t="shared" si="0"/>
        <v>1775135100</v>
      </c>
      <c r="S27" t="str">
        <f t="shared" si="1"/>
        <v>XAUUSD</v>
      </c>
      <c r="T27" t="str">
        <f t="shared" si="2"/>
        <v>M5</v>
      </c>
      <c r="U27">
        <f t="shared" si="3"/>
        <v>4600.43</v>
      </c>
      <c r="V27">
        <v>4643.2030000000004</v>
      </c>
      <c r="W27">
        <v>4633.5665499999996</v>
      </c>
      <c r="X27">
        <v>4593.7296200000001</v>
      </c>
      <c r="Y27">
        <v>4599.5286800000003</v>
      </c>
      <c r="Z27">
        <f t="shared" si="4"/>
        <v>4660.7139649999999</v>
      </c>
      <c r="AA27">
        <f t="shared" si="5"/>
        <v>4605.5109499999999</v>
      </c>
      <c r="AB27">
        <f t="shared" si="6"/>
        <v>4617.1564008333335</v>
      </c>
      <c r="AC27">
        <f t="shared" si="7"/>
        <v>4589.1928900000003</v>
      </c>
      <c r="AF27">
        <f t="shared" si="8"/>
        <v>4593.7296200000001</v>
      </c>
      <c r="AG27">
        <f t="shared" si="9"/>
        <v>4660.7139649999999</v>
      </c>
      <c r="AH27">
        <f t="shared" si="10"/>
        <v>4617.1564008333335</v>
      </c>
    </row>
    <row r="28" spans="1:34" x14ac:dyDescent="0.55000000000000004">
      <c r="A28">
        <f>ALGLIB_SSA_XAUUSD!J28</f>
        <v>1775135400</v>
      </c>
      <c r="B28" t="str">
        <f>_xlfn.XLOOKUP($A28,ALGLIB_SSA_XAUUSD!$A$2:$A$1000,ALGLIB_SSA_XAUUSD!$B$2:$B$1000,"",0)</f>
        <v/>
      </c>
      <c r="C28" t="str">
        <f>_xlfn.XLOOKUP($A28,ALGLIB_SSA_XAUUSD!$A$2:$A$1000,ALGLIB_SSA_XAUUSD!$C$2:$C$1000,"",0)</f>
        <v/>
      </c>
      <c r="D28" s="1">
        <f>D26+(D38-D26)*2/12</f>
        <v>4651.3283333333329</v>
      </c>
      <c r="E28" s="1">
        <f>E26+(E38-E26)*2/12</f>
        <v>4644.1362383333335</v>
      </c>
      <c r="F28" s="1">
        <f>F26+(F38-F26)*2/12</f>
        <v>4634.4318516666672</v>
      </c>
      <c r="G28" s="1">
        <f>G26+(G38-G26)*2/12</f>
        <v>4661.5564199999999</v>
      </c>
      <c r="H28" s="1">
        <f>H26+(H38-H26)*2/12</f>
        <v>4618.0810416666664</v>
      </c>
      <c r="I28" t="str">
        <f>_xlfn.XLOOKUP($A28,ALGLIB_SSA_XAUUSD!$J$2:$J$1000,ALGLIB_SSA_XAUUSD!$K$2:$K$1000,"",0)</f>
        <v>XAUUSD</v>
      </c>
      <c r="J28" t="str">
        <f>_xlfn.XLOOKUP($A28,ALGLIB_SSA_XAUUSD!$J$2:$J$1000,ALGLIB_SSA_XAUUSD!$L$2:$L$1000,"",0)</f>
        <v>M5</v>
      </c>
      <c r="K28">
        <f>_xlfn.XLOOKUP($A28,ALGLIB_SSA_XAUUSD!$J$2:$J$1000,ALGLIB_SSA_XAUUSD!$M$2:$M$1000,"",0)</f>
        <v>4587.6099999999997</v>
      </c>
      <c r="L28">
        <f>_xlfn.XLOOKUP($A28,ALGLIB_SSA_XAUUSD!$J$2:$J$1000,ALGLIB_SSA_XAUUSD!$N$2:$N$1000,"",0)</f>
        <v>4589.5883400000002</v>
      </c>
      <c r="M28">
        <f>_xlfn.XLOOKUP($A28,ALGLIB_SSA_XAUUSD!$J$2:$J$1000,ALGLIB_SSA_XAUUSD!$O$2:$O$1000,"",0)</f>
        <v>4594.5585099999998</v>
      </c>
      <c r="N28">
        <f>_xlfn.XLOOKUP($A28,ALGLIB_SSA_XAUUSD!$J$2:$J$1000,ALGLIB_SSA_XAUUSD!$P$2:$P$1000,"",0)</f>
        <v>4600.8793999999998</v>
      </c>
      <c r="O28">
        <f>_xlfn.XLOOKUP($A28,ALGLIB_SSA_XAUUSD!$J$2:$J$1000,ALGLIB_SSA_XAUUSD!$Q$2:$Q$1000,"",0)</f>
        <v>4584.5234700000001</v>
      </c>
      <c r="R28">
        <f t="shared" si="0"/>
        <v>1775135400</v>
      </c>
      <c r="S28" t="str">
        <f t="shared" si="1"/>
        <v>XAUUSD</v>
      </c>
      <c r="T28" t="str">
        <f t="shared" si="2"/>
        <v>M5</v>
      </c>
      <c r="U28">
        <f t="shared" si="3"/>
        <v>4587.6099999999997</v>
      </c>
      <c r="V28">
        <v>4644.1362399999998</v>
      </c>
      <c r="W28">
        <v>4634.4318499999999</v>
      </c>
      <c r="X28">
        <v>4589.5883400000002</v>
      </c>
      <c r="Y28">
        <v>4594.5585099999998</v>
      </c>
      <c r="Z28">
        <f t="shared" si="4"/>
        <v>4661.5564199999999</v>
      </c>
      <c r="AA28">
        <f t="shared" si="5"/>
        <v>4600.8793999999998</v>
      </c>
      <c r="AB28">
        <f t="shared" si="6"/>
        <v>4618.0810416666664</v>
      </c>
      <c r="AC28">
        <f t="shared" si="7"/>
        <v>4584.5234700000001</v>
      </c>
      <c r="AF28">
        <f t="shared" si="8"/>
        <v>4589.5883400000002</v>
      </c>
      <c r="AG28">
        <f t="shared" si="9"/>
        <v>4661.5564199999999</v>
      </c>
      <c r="AH28">
        <f t="shared" si="10"/>
        <v>4618.0810416666664</v>
      </c>
    </row>
    <row r="29" spans="1:34" x14ac:dyDescent="0.55000000000000004">
      <c r="A29">
        <f>ALGLIB_SSA_XAUUSD!J29</f>
        <v>1775135700</v>
      </c>
      <c r="B29" t="str">
        <f>_xlfn.XLOOKUP($A29,ALGLIB_SSA_XAUUSD!$A$2:$A$1000,ALGLIB_SSA_XAUUSD!$B$2:$B$1000,"",0)</f>
        <v/>
      </c>
      <c r="C29" t="str">
        <f>_xlfn.XLOOKUP($A29,ALGLIB_SSA_XAUUSD!$A$2:$A$1000,ALGLIB_SSA_XAUUSD!$C$2:$C$1000,"",0)</f>
        <v/>
      </c>
      <c r="D29" s="1">
        <f>D26+(D38-D26)*3/12</f>
        <v>4654.3274999999994</v>
      </c>
      <c r="E29" s="1">
        <f>E26+(E38-E26)*3/12</f>
        <v>4645.0694724999994</v>
      </c>
      <c r="F29" s="1">
        <f>F26+(F38-F26)*3/12</f>
        <v>4635.2971575000001</v>
      </c>
      <c r="G29" s="1">
        <f>G26+(G38-G26)*3/12</f>
        <v>4662.3988749999999</v>
      </c>
      <c r="H29" s="1">
        <f>H26+(H38-H26)*3/12</f>
        <v>4619.0056824999992</v>
      </c>
      <c r="I29" t="str">
        <f>_xlfn.XLOOKUP($A29,ALGLIB_SSA_XAUUSD!$J$2:$J$1000,ALGLIB_SSA_XAUUSD!$K$2:$K$1000,"",0)</f>
        <v>XAUUSD</v>
      </c>
      <c r="J29" t="str">
        <f>_xlfn.XLOOKUP($A29,ALGLIB_SSA_XAUUSD!$J$2:$J$1000,ALGLIB_SSA_XAUUSD!$L$2:$L$1000,"",0)</f>
        <v>M5</v>
      </c>
      <c r="K29">
        <f>_xlfn.XLOOKUP($A29,ALGLIB_SSA_XAUUSD!$J$2:$J$1000,ALGLIB_SSA_XAUUSD!$M$2:$M$1000,"",0)</f>
        <v>4591.18</v>
      </c>
      <c r="L29">
        <f>_xlfn.XLOOKUP($A29,ALGLIB_SSA_XAUUSD!$J$2:$J$1000,ALGLIB_SSA_XAUUSD!$N$2:$N$1000,"",0)</f>
        <v>4587.7102100000002</v>
      </c>
      <c r="M29">
        <f>_xlfn.XLOOKUP($A29,ALGLIB_SSA_XAUUSD!$J$2:$J$1000,ALGLIB_SSA_XAUUSD!$O$2:$O$1000,"",0)</f>
        <v>4591.13436</v>
      </c>
      <c r="N29">
        <f>_xlfn.XLOOKUP($A29,ALGLIB_SSA_XAUUSD!$J$2:$J$1000,ALGLIB_SSA_XAUUSD!$P$2:$P$1000,"",0)</f>
        <v>4598.0306399999999</v>
      </c>
      <c r="O29">
        <f>_xlfn.XLOOKUP($A29,ALGLIB_SSA_XAUUSD!$J$2:$J$1000,ALGLIB_SSA_XAUUSD!$Q$2:$Q$1000,"",0)</f>
        <v>4581.7385199999999</v>
      </c>
      <c r="R29">
        <f t="shared" si="0"/>
        <v>1775135700</v>
      </c>
      <c r="S29" t="str">
        <f t="shared" si="1"/>
        <v>XAUUSD</v>
      </c>
      <c r="T29" t="str">
        <f t="shared" si="2"/>
        <v>M5</v>
      </c>
      <c r="U29">
        <f t="shared" si="3"/>
        <v>4591.18</v>
      </c>
      <c r="V29">
        <v>4645.0694700000004</v>
      </c>
      <c r="W29">
        <v>4635.2971600000001</v>
      </c>
      <c r="X29">
        <v>4587.7102100000002</v>
      </c>
      <c r="Y29">
        <v>4591.13436</v>
      </c>
      <c r="Z29">
        <f t="shared" si="4"/>
        <v>4662.3988749999999</v>
      </c>
      <c r="AA29">
        <f t="shared" si="5"/>
        <v>4598.0306399999999</v>
      </c>
      <c r="AB29">
        <f t="shared" si="6"/>
        <v>4619.0056824999992</v>
      </c>
      <c r="AC29">
        <f t="shared" si="7"/>
        <v>4581.7385199999999</v>
      </c>
      <c r="AF29">
        <f t="shared" si="8"/>
        <v>4587.7102100000002</v>
      </c>
      <c r="AG29">
        <f t="shared" si="9"/>
        <v>4662.3988749999999</v>
      </c>
      <c r="AH29">
        <f t="shared" si="10"/>
        <v>4619.0056824999992</v>
      </c>
    </row>
    <row r="30" spans="1:34" x14ac:dyDescent="0.55000000000000004">
      <c r="A30">
        <f>ALGLIB_SSA_XAUUSD!J30</f>
        <v>1775136000</v>
      </c>
      <c r="B30" t="str">
        <f>_xlfn.XLOOKUP($A30,ALGLIB_SSA_XAUUSD!$A$2:$A$1000,ALGLIB_SSA_XAUUSD!$B$2:$B$1000,"",0)</f>
        <v/>
      </c>
      <c r="C30" t="str">
        <f>_xlfn.XLOOKUP($A30,ALGLIB_SSA_XAUUSD!$A$2:$A$1000,ALGLIB_SSA_XAUUSD!$C$2:$C$1000,"",0)</f>
        <v/>
      </c>
      <c r="D30" s="1">
        <f>D26+(D38-D26)*4/12</f>
        <v>4657.3266666666668</v>
      </c>
      <c r="E30" s="1">
        <f>E26+(E38-E26)*4/12</f>
        <v>4646.0027066666662</v>
      </c>
      <c r="F30" s="1">
        <f>F26+(F38-F26)*4/12</f>
        <v>4636.1624633333331</v>
      </c>
      <c r="G30" s="1">
        <f>G26+(G38-G26)*4/12</f>
        <v>4663.2413299999998</v>
      </c>
      <c r="H30" s="1">
        <f>H26+(H38-H26)*4/12</f>
        <v>4619.930323333333</v>
      </c>
      <c r="I30" t="str">
        <f>_xlfn.XLOOKUP($A30,ALGLIB_SSA_XAUUSD!$J$2:$J$1000,ALGLIB_SSA_XAUUSD!$K$2:$K$1000,"",0)</f>
        <v>XAUUSD</v>
      </c>
      <c r="J30" t="str">
        <f>_xlfn.XLOOKUP($A30,ALGLIB_SSA_XAUUSD!$J$2:$J$1000,ALGLIB_SSA_XAUUSD!$L$2:$L$1000,"",0)</f>
        <v>M5</v>
      </c>
      <c r="K30">
        <f>_xlfn.XLOOKUP($A30,ALGLIB_SSA_XAUUSD!$J$2:$J$1000,ALGLIB_SSA_XAUUSD!$M$2:$M$1000,"",0)</f>
        <v>4582.9799999999996</v>
      </c>
      <c r="L30">
        <f>_xlfn.XLOOKUP($A30,ALGLIB_SSA_XAUUSD!$J$2:$J$1000,ALGLIB_SSA_XAUUSD!$N$2:$N$1000,"",0)</f>
        <v>4588.3168400000004</v>
      </c>
      <c r="M30">
        <f>_xlfn.XLOOKUP($A30,ALGLIB_SSA_XAUUSD!$J$2:$J$1000,ALGLIB_SSA_XAUUSD!$O$2:$O$1000,"",0)</f>
        <v>4589.7255999999998</v>
      </c>
      <c r="N30">
        <f>_xlfn.XLOOKUP($A30,ALGLIB_SSA_XAUUSD!$J$2:$J$1000,ALGLIB_SSA_XAUUSD!$P$2:$P$1000,"",0)</f>
        <v>4597.5022099999996</v>
      </c>
      <c r="O30">
        <f>_xlfn.XLOOKUP($A30,ALGLIB_SSA_XAUUSD!$J$2:$J$1000,ALGLIB_SSA_XAUUSD!$Q$2:$Q$1000,"",0)</f>
        <v>4581.1429099999996</v>
      </c>
      <c r="R30">
        <f t="shared" si="0"/>
        <v>1775136000</v>
      </c>
      <c r="S30" t="str">
        <f t="shared" si="1"/>
        <v>XAUUSD</v>
      </c>
      <c r="T30" t="str">
        <f t="shared" si="2"/>
        <v>M5</v>
      </c>
      <c r="U30">
        <f t="shared" si="3"/>
        <v>4582.9799999999996</v>
      </c>
      <c r="V30">
        <v>4646.0027099999998</v>
      </c>
      <c r="W30">
        <v>4636.1624599999996</v>
      </c>
      <c r="X30">
        <v>4588.3168400000004</v>
      </c>
      <c r="Y30">
        <v>4589.7255999999998</v>
      </c>
      <c r="Z30">
        <f t="shared" si="4"/>
        <v>4663.2413299999998</v>
      </c>
      <c r="AA30">
        <f t="shared" si="5"/>
        <v>4597.5022099999996</v>
      </c>
      <c r="AB30">
        <f t="shared" si="6"/>
        <v>4619.930323333333</v>
      </c>
      <c r="AC30">
        <f t="shared" si="7"/>
        <v>4581.1429099999996</v>
      </c>
      <c r="AF30">
        <f t="shared" si="8"/>
        <v>4588.3168400000004</v>
      </c>
      <c r="AG30">
        <f t="shared" si="9"/>
        <v>4663.2413299999998</v>
      </c>
      <c r="AH30">
        <f t="shared" si="10"/>
        <v>4619.930323333333</v>
      </c>
    </row>
    <row r="31" spans="1:34" x14ac:dyDescent="0.55000000000000004">
      <c r="A31">
        <f>ALGLIB_SSA_XAUUSD!J31</f>
        <v>1775136300</v>
      </c>
      <c r="B31" t="str">
        <f>_xlfn.XLOOKUP($A31,ALGLIB_SSA_XAUUSD!$A$2:$A$1000,ALGLIB_SSA_XAUUSD!$B$2:$B$1000,"",0)</f>
        <v/>
      </c>
      <c r="C31" t="str">
        <f>_xlfn.XLOOKUP($A31,ALGLIB_SSA_XAUUSD!$A$2:$A$1000,ALGLIB_SSA_XAUUSD!$C$2:$C$1000,"",0)</f>
        <v/>
      </c>
      <c r="D31" s="1">
        <f>D26+(D38-D26)*5/12</f>
        <v>4660.3258333333333</v>
      </c>
      <c r="E31" s="1">
        <f>E26+(E38-E26)*5/12</f>
        <v>4646.935940833333</v>
      </c>
      <c r="F31" s="1">
        <f>F26+(F38-F26)*5/12</f>
        <v>4637.027769166667</v>
      </c>
      <c r="G31" s="1">
        <f>G26+(G38-G26)*5/12</f>
        <v>4664.0837849999998</v>
      </c>
      <c r="H31" s="1">
        <f>H26+(H38-H26)*5/12</f>
        <v>4620.8549641666668</v>
      </c>
      <c r="I31" t="str">
        <f>_xlfn.XLOOKUP($A31,ALGLIB_SSA_XAUUSD!$J$2:$J$1000,ALGLIB_SSA_XAUUSD!$K$2:$K$1000,"",0)</f>
        <v>XAUUSD</v>
      </c>
      <c r="J31" t="str">
        <f>_xlfn.XLOOKUP($A31,ALGLIB_SSA_XAUUSD!$J$2:$J$1000,ALGLIB_SSA_XAUUSD!$L$2:$L$1000,"",0)</f>
        <v>M5</v>
      </c>
      <c r="K31">
        <f>_xlfn.XLOOKUP($A31,ALGLIB_SSA_XAUUSD!$J$2:$J$1000,ALGLIB_SSA_XAUUSD!$M$2:$M$1000,"",0)</f>
        <v>4597.4799999999996</v>
      </c>
      <c r="L31">
        <f>_xlfn.XLOOKUP($A31,ALGLIB_SSA_XAUUSD!$J$2:$J$1000,ALGLIB_SSA_XAUUSD!$N$2:$N$1000,"",0)</f>
        <v>4591.47102</v>
      </c>
      <c r="M31">
        <f>_xlfn.XLOOKUP($A31,ALGLIB_SSA_XAUUSD!$J$2:$J$1000,ALGLIB_SSA_XAUUSD!$O$2:$O$1000,"",0)</f>
        <v>4590.5983100000003</v>
      </c>
      <c r="N31">
        <f>_xlfn.XLOOKUP($A31,ALGLIB_SSA_XAUUSD!$J$2:$J$1000,ALGLIB_SSA_XAUUSD!$P$2:$P$1000,"",0)</f>
        <v>4599.3926099999999</v>
      </c>
      <c r="O31">
        <f>_xlfn.XLOOKUP($A31,ALGLIB_SSA_XAUUSD!$J$2:$J$1000,ALGLIB_SSA_XAUUSD!$Q$2:$Q$1000,"",0)</f>
        <v>4582.8550400000004</v>
      </c>
      <c r="R31">
        <f t="shared" si="0"/>
        <v>1775136300</v>
      </c>
      <c r="S31" t="str">
        <f t="shared" si="1"/>
        <v>XAUUSD</v>
      </c>
      <c r="T31" t="str">
        <f t="shared" si="2"/>
        <v>M5</v>
      </c>
      <c r="U31">
        <f t="shared" si="3"/>
        <v>4597.4799999999996</v>
      </c>
      <c r="V31">
        <v>4646.9359400000003</v>
      </c>
      <c r="W31">
        <v>4637.0277699999997</v>
      </c>
      <c r="X31">
        <v>4591.47102</v>
      </c>
      <c r="Y31">
        <v>4590.5983100000003</v>
      </c>
      <c r="Z31">
        <f t="shared" si="4"/>
        <v>4664.0837849999998</v>
      </c>
      <c r="AA31">
        <f t="shared" si="5"/>
        <v>4599.3926099999999</v>
      </c>
      <c r="AB31">
        <f t="shared" si="6"/>
        <v>4620.8549641666668</v>
      </c>
      <c r="AC31">
        <f t="shared" si="7"/>
        <v>4582.8550400000004</v>
      </c>
      <c r="AF31">
        <f t="shared" si="8"/>
        <v>4591.47102</v>
      </c>
      <c r="AG31">
        <f t="shared" si="9"/>
        <v>4664.0837849999998</v>
      </c>
      <c r="AH31">
        <f t="shared" si="10"/>
        <v>4620.8549641666668</v>
      </c>
    </row>
    <row r="32" spans="1:34" x14ac:dyDescent="0.55000000000000004">
      <c r="A32">
        <f>ALGLIB_SSA_XAUUSD!J32</f>
        <v>1775136600</v>
      </c>
      <c r="B32" t="str">
        <f>_xlfn.XLOOKUP($A32,ALGLIB_SSA_XAUUSD!$A$2:$A$1000,ALGLIB_SSA_XAUUSD!$B$2:$B$1000,"",0)</f>
        <v/>
      </c>
      <c r="C32" t="str">
        <f>_xlfn.XLOOKUP($A32,ALGLIB_SSA_XAUUSD!$A$2:$A$1000,ALGLIB_SSA_XAUUSD!$C$2:$C$1000,"",0)</f>
        <v/>
      </c>
      <c r="D32" s="1">
        <f>D26+(D38-D26)*6/12</f>
        <v>4663.3249999999998</v>
      </c>
      <c r="E32" s="1">
        <f>E26+(E38-E26)*6/12</f>
        <v>4647.8691749999998</v>
      </c>
      <c r="F32" s="1">
        <f>F26+(F38-F26)*6/12</f>
        <v>4637.893075</v>
      </c>
      <c r="G32" s="1">
        <f>G26+(G38-G26)*6/12</f>
        <v>4664.9262399999998</v>
      </c>
      <c r="H32" s="1">
        <f>H26+(H38-H26)*6/12</f>
        <v>4621.7796049999997</v>
      </c>
      <c r="I32" t="str">
        <f>_xlfn.XLOOKUP($A32,ALGLIB_SSA_XAUUSD!$J$2:$J$1000,ALGLIB_SSA_XAUUSD!$K$2:$K$1000,"",0)</f>
        <v>XAUUSD</v>
      </c>
      <c r="J32" t="str">
        <f>_xlfn.XLOOKUP($A32,ALGLIB_SSA_XAUUSD!$J$2:$J$1000,ALGLIB_SSA_XAUUSD!$L$2:$L$1000,"",0)</f>
        <v>M5</v>
      </c>
      <c r="K32">
        <f>_xlfn.XLOOKUP($A32,ALGLIB_SSA_XAUUSD!$J$2:$J$1000,ALGLIB_SSA_XAUUSD!$M$2:$M$1000,"",0)</f>
        <v>4599.59</v>
      </c>
      <c r="L32">
        <f>_xlfn.XLOOKUP($A32,ALGLIB_SSA_XAUUSD!$J$2:$J$1000,ALGLIB_SSA_XAUUSD!$N$2:$N$1000,"",0)</f>
        <v>4596.8587500000003</v>
      </c>
      <c r="M32">
        <f>_xlfn.XLOOKUP($A32,ALGLIB_SSA_XAUUSD!$J$2:$J$1000,ALGLIB_SSA_XAUUSD!$O$2:$O$1000,"",0)</f>
        <v>4593.7285300000003</v>
      </c>
      <c r="N32">
        <f>_xlfn.XLOOKUP($A32,ALGLIB_SSA_XAUUSD!$J$2:$J$1000,ALGLIB_SSA_XAUUSD!$P$2:$P$1000,"",0)</f>
        <v>4603.6295700000001</v>
      </c>
      <c r="O32">
        <f>_xlfn.XLOOKUP($A32,ALGLIB_SSA_XAUUSD!$J$2:$J$1000,ALGLIB_SSA_XAUUSD!$Q$2:$Q$1000,"",0)</f>
        <v>4586.8312999999998</v>
      </c>
      <c r="R32">
        <f t="shared" si="0"/>
        <v>1775136600</v>
      </c>
      <c r="S32" t="str">
        <f t="shared" si="1"/>
        <v>XAUUSD</v>
      </c>
      <c r="T32" t="str">
        <f t="shared" si="2"/>
        <v>M5</v>
      </c>
      <c r="U32">
        <f t="shared" si="3"/>
        <v>4599.59</v>
      </c>
      <c r="V32">
        <v>4647.8691799999997</v>
      </c>
      <c r="W32">
        <v>4637.8930799999998</v>
      </c>
      <c r="X32">
        <v>4596.8587500000003</v>
      </c>
      <c r="Y32">
        <v>4593.7285300000003</v>
      </c>
      <c r="Z32">
        <f t="shared" si="4"/>
        <v>4664.9262399999998</v>
      </c>
      <c r="AA32">
        <f t="shared" si="5"/>
        <v>4603.6295700000001</v>
      </c>
      <c r="AB32">
        <f t="shared" si="6"/>
        <v>4621.7796049999997</v>
      </c>
      <c r="AC32">
        <f t="shared" si="7"/>
        <v>4586.8312999999998</v>
      </c>
      <c r="AF32">
        <f t="shared" si="8"/>
        <v>4596.8587500000003</v>
      </c>
      <c r="AG32">
        <f t="shared" si="9"/>
        <v>4664.9262399999998</v>
      </c>
      <c r="AH32">
        <f t="shared" si="10"/>
        <v>4621.7796049999997</v>
      </c>
    </row>
    <row r="33" spans="1:34" x14ac:dyDescent="0.55000000000000004">
      <c r="A33">
        <f>ALGLIB_SSA_XAUUSD!J33</f>
        <v>1775136900</v>
      </c>
      <c r="B33" t="str">
        <f>_xlfn.XLOOKUP($A33,ALGLIB_SSA_XAUUSD!$A$2:$A$1000,ALGLIB_SSA_XAUUSD!$B$2:$B$1000,"",0)</f>
        <v/>
      </c>
      <c r="C33" t="str">
        <f>_xlfn.XLOOKUP($A33,ALGLIB_SSA_XAUUSD!$A$2:$A$1000,ALGLIB_SSA_XAUUSD!$C$2:$C$1000,"",0)</f>
        <v/>
      </c>
      <c r="D33" s="1">
        <f>D26+(D38-D26)*7/12</f>
        <v>4666.3241666666663</v>
      </c>
      <c r="E33" s="1">
        <f>E26+(E38-E26)*7/12</f>
        <v>4648.8024091666666</v>
      </c>
      <c r="F33" s="1">
        <f>F26+(F38-F26)*7/12</f>
        <v>4638.7583808333329</v>
      </c>
      <c r="G33" s="1">
        <f>G26+(G38-G26)*7/12</f>
        <v>4665.7686949999998</v>
      </c>
      <c r="H33" s="1">
        <f>H26+(H38-H26)*7/12</f>
        <v>4622.7042458333326</v>
      </c>
      <c r="I33" t="str">
        <f>_xlfn.XLOOKUP($A33,ALGLIB_SSA_XAUUSD!$J$2:$J$1000,ALGLIB_SSA_XAUUSD!$K$2:$K$1000,"",0)</f>
        <v>XAUUSD</v>
      </c>
      <c r="J33" t="str">
        <f>_xlfn.XLOOKUP($A33,ALGLIB_SSA_XAUUSD!$J$2:$J$1000,ALGLIB_SSA_XAUUSD!$L$2:$L$1000,"",0)</f>
        <v>M5</v>
      </c>
      <c r="K33">
        <f>_xlfn.XLOOKUP($A33,ALGLIB_SSA_XAUUSD!$J$2:$J$1000,ALGLIB_SSA_XAUUSD!$M$2:$M$1000,"",0)</f>
        <v>4590.12</v>
      </c>
      <c r="L33">
        <f>_xlfn.XLOOKUP($A33,ALGLIB_SSA_XAUUSD!$J$2:$J$1000,ALGLIB_SSA_XAUUSD!$N$2:$N$1000,"",0)</f>
        <v>4603.9754400000002</v>
      </c>
      <c r="M33">
        <f>_xlfn.XLOOKUP($A33,ALGLIB_SSA_XAUUSD!$J$2:$J$1000,ALGLIB_SSA_XAUUSD!$O$2:$O$1000,"",0)</f>
        <v>4598.8519800000004</v>
      </c>
      <c r="N33">
        <f>_xlfn.XLOOKUP($A33,ALGLIB_SSA_XAUUSD!$J$2:$J$1000,ALGLIB_SSA_XAUUSD!$P$2:$P$1000,"",0)</f>
        <v>4609.8396199999997</v>
      </c>
      <c r="O33">
        <f>_xlfn.XLOOKUP($A33,ALGLIB_SSA_XAUUSD!$J$2:$J$1000,ALGLIB_SSA_XAUUSD!$Q$2:$Q$1000,"",0)</f>
        <v>4592.54864</v>
      </c>
      <c r="R33">
        <f t="shared" si="0"/>
        <v>1775136900</v>
      </c>
      <c r="S33" t="str">
        <f t="shared" si="1"/>
        <v>XAUUSD</v>
      </c>
      <c r="T33" t="str">
        <f t="shared" si="2"/>
        <v>M5</v>
      </c>
      <c r="U33">
        <f t="shared" si="3"/>
        <v>4590.12</v>
      </c>
      <c r="V33">
        <v>4648.8024100000002</v>
      </c>
      <c r="W33">
        <v>4638.7583800000002</v>
      </c>
      <c r="X33">
        <v>4603.9754400000002</v>
      </c>
      <c r="Y33">
        <v>4598.8519800000004</v>
      </c>
      <c r="Z33">
        <f t="shared" si="4"/>
        <v>4665.7686949999998</v>
      </c>
      <c r="AA33">
        <f t="shared" si="5"/>
        <v>4609.8396199999997</v>
      </c>
      <c r="AB33">
        <f t="shared" si="6"/>
        <v>4622.7042458333326</v>
      </c>
      <c r="AC33">
        <f t="shared" si="7"/>
        <v>4592.54864</v>
      </c>
      <c r="AF33">
        <f t="shared" si="8"/>
        <v>4603.9754400000002</v>
      </c>
      <c r="AG33">
        <f t="shared" si="9"/>
        <v>4665.7686949999998</v>
      </c>
      <c r="AH33">
        <f t="shared" si="10"/>
        <v>4622.7042458333326</v>
      </c>
    </row>
    <row r="34" spans="1:34" x14ac:dyDescent="0.55000000000000004">
      <c r="A34">
        <f>ALGLIB_SSA_XAUUSD!J34</f>
        <v>1775137200</v>
      </c>
      <c r="B34" t="str">
        <f>_xlfn.XLOOKUP($A34,ALGLIB_SSA_XAUUSD!$A$2:$A$1000,ALGLIB_SSA_XAUUSD!$B$2:$B$1000,"",0)</f>
        <v/>
      </c>
      <c r="C34" t="str">
        <f>_xlfn.XLOOKUP($A34,ALGLIB_SSA_XAUUSD!$A$2:$A$1000,ALGLIB_SSA_XAUUSD!$C$2:$C$1000,"",0)</f>
        <v/>
      </c>
      <c r="D34" s="1">
        <f>D26+(D38-D26)*8/12</f>
        <v>4669.3233333333328</v>
      </c>
      <c r="E34" s="1">
        <f>E26+(E38-E26)*8/12</f>
        <v>4649.7356433333334</v>
      </c>
      <c r="F34" s="1">
        <f>F26+(F38-F26)*8/12</f>
        <v>4639.6236866666668</v>
      </c>
      <c r="G34" s="1">
        <f>G26+(G38-G26)*8/12</f>
        <v>4666.6111499999997</v>
      </c>
      <c r="H34" s="1">
        <f>H26+(H38-H26)*8/12</f>
        <v>4623.6288866666664</v>
      </c>
      <c r="I34" t="str">
        <f>_xlfn.XLOOKUP($A34,ALGLIB_SSA_XAUUSD!$J$2:$J$1000,ALGLIB_SSA_XAUUSD!$K$2:$K$1000,"",0)</f>
        <v>XAUUSD</v>
      </c>
      <c r="J34" t="str">
        <f>_xlfn.XLOOKUP($A34,ALGLIB_SSA_XAUUSD!$J$2:$J$1000,ALGLIB_SSA_XAUUSD!$L$2:$L$1000,"",0)</f>
        <v>M5</v>
      </c>
      <c r="K34">
        <f>_xlfn.XLOOKUP($A34,ALGLIB_SSA_XAUUSD!$J$2:$J$1000,ALGLIB_SSA_XAUUSD!$M$2:$M$1000,"",0)</f>
        <v>4602.13</v>
      </c>
      <c r="L34">
        <f>_xlfn.XLOOKUP($A34,ALGLIB_SSA_XAUUSD!$J$2:$J$1000,ALGLIB_SSA_XAUUSD!$N$2:$N$1000,"",0)</f>
        <v>4612.5609199999999</v>
      </c>
      <c r="M34">
        <f>_xlfn.XLOOKUP($A34,ALGLIB_SSA_XAUUSD!$J$2:$J$1000,ALGLIB_SSA_XAUUSD!$O$2:$O$1000,"",0)</f>
        <v>4605.7064499999997</v>
      </c>
      <c r="N34">
        <f>_xlfn.XLOOKUP($A34,ALGLIB_SSA_XAUUSD!$J$2:$J$1000,ALGLIB_SSA_XAUUSD!$P$2:$P$1000,"",0)</f>
        <v>4617.7261699999999</v>
      </c>
      <c r="O34">
        <f>_xlfn.XLOOKUP($A34,ALGLIB_SSA_XAUUSD!$J$2:$J$1000,ALGLIB_SSA_XAUUSD!$Q$2:$Q$1000,"",0)</f>
        <v>4599.7664699999996</v>
      </c>
      <c r="R34">
        <f t="shared" si="0"/>
        <v>1775137200</v>
      </c>
      <c r="S34" t="str">
        <f t="shared" si="1"/>
        <v>XAUUSD</v>
      </c>
      <c r="T34" t="str">
        <f t="shared" si="2"/>
        <v>M5</v>
      </c>
      <c r="U34">
        <f t="shared" si="3"/>
        <v>4602.13</v>
      </c>
      <c r="V34">
        <v>4649.7356399999999</v>
      </c>
      <c r="W34">
        <v>4639.6236900000004</v>
      </c>
      <c r="X34">
        <v>4612.5609199999999</v>
      </c>
      <c r="Y34">
        <v>4605.7064499999997</v>
      </c>
      <c r="Z34">
        <f t="shared" si="4"/>
        <v>4666.6111499999997</v>
      </c>
      <c r="AA34">
        <f t="shared" si="5"/>
        <v>4617.7261699999999</v>
      </c>
      <c r="AB34">
        <f t="shared" si="6"/>
        <v>4623.6288866666664</v>
      </c>
      <c r="AC34">
        <f t="shared" si="7"/>
        <v>4599.7664699999996</v>
      </c>
      <c r="AF34">
        <f t="shared" si="8"/>
        <v>4612.5609199999999</v>
      </c>
      <c r="AG34">
        <f t="shared" si="9"/>
        <v>4666.6111499999997</v>
      </c>
      <c r="AH34">
        <f t="shared" si="10"/>
        <v>4623.6288866666664</v>
      </c>
    </row>
    <row r="35" spans="1:34" x14ac:dyDescent="0.55000000000000004">
      <c r="A35">
        <f>ALGLIB_SSA_XAUUSD!J35</f>
        <v>1775137500</v>
      </c>
      <c r="B35" t="str">
        <f>_xlfn.XLOOKUP($A35,ALGLIB_SSA_XAUUSD!$A$2:$A$1000,ALGLIB_SSA_XAUUSD!$B$2:$B$1000,"",0)</f>
        <v/>
      </c>
      <c r="C35" t="str">
        <f>_xlfn.XLOOKUP($A35,ALGLIB_SSA_XAUUSD!$A$2:$A$1000,ALGLIB_SSA_XAUUSD!$C$2:$C$1000,"",0)</f>
        <v/>
      </c>
      <c r="D35" s="1">
        <f>D26+(D38-D26)*9/12</f>
        <v>4672.3225000000002</v>
      </c>
      <c r="E35" s="1">
        <f>E26+(E38-E26)*9/12</f>
        <v>4650.6688775000002</v>
      </c>
      <c r="F35" s="1">
        <f>F26+(F38-F26)*9/12</f>
        <v>4640.4889924999998</v>
      </c>
      <c r="G35" s="1">
        <f>G26+(G38-G26)*9/12</f>
        <v>4667.4536049999997</v>
      </c>
      <c r="H35" s="1">
        <f>H26+(H38-H26)*9/12</f>
        <v>4624.5535275000002</v>
      </c>
      <c r="I35" t="str">
        <f>_xlfn.XLOOKUP($A35,ALGLIB_SSA_XAUUSD!$J$2:$J$1000,ALGLIB_SSA_XAUUSD!$K$2:$K$1000,"",0)</f>
        <v>XAUUSD</v>
      </c>
      <c r="J35" t="str">
        <f>_xlfn.XLOOKUP($A35,ALGLIB_SSA_XAUUSD!$J$2:$J$1000,ALGLIB_SSA_XAUUSD!$L$2:$L$1000,"",0)</f>
        <v>M5</v>
      </c>
      <c r="K35">
        <f>_xlfn.XLOOKUP($A35,ALGLIB_SSA_XAUUSD!$J$2:$J$1000,ALGLIB_SSA_XAUUSD!$M$2:$M$1000,"",0)</f>
        <v>4634.43</v>
      </c>
      <c r="L35">
        <f>_xlfn.XLOOKUP($A35,ALGLIB_SSA_XAUUSD!$J$2:$J$1000,ALGLIB_SSA_XAUUSD!$N$2:$N$1000,"",0)</f>
        <v>4621.7490299999999</v>
      </c>
      <c r="M35">
        <f>_xlfn.XLOOKUP($A35,ALGLIB_SSA_XAUUSD!$J$2:$J$1000,ALGLIB_SSA_XAUUSD!$O$2:$O$1000,"",0)</f>
        <v>4613.7277400000003</v>
      </c>
      <c r="N35">
        <f>_xlfn.XLOOKUP($A35,ALGLIB_SSA_XAUUSD!$J$2:$J$1000,ALGLIB_SSA_XAUUSD!$P$2:$P$1000,"",0)</f>
        <v>4626.7140799999997</v>
      </c>
      <c r="O35">
        <f>_xlfn.XLOOKUP($A35,ALGLIB_SSA_XAUUSD!$J$2:$J$1000,ALGLIB_SSA_XAUUSD!$Q$2:$Q$1000,"",0)</f>
        <v>4608.1671299999998</v>
      </c>
      <c r="R35">
        <f t="shared" si="0"/>
        <v>1775137500</v>
      </c>
      <c r="S35" t="str">
        <f t="shared" si="1"/>
        <v>XAUUSD</v>
      </c>
      <c r="T35" t="str">
        <f t="shared" si="2"/>
        <v>M5</v>
      </c>
      <c r="U35">
        <f t="shared" si="3"/>
        <v>4634.43</v>
      </c>
      <c r="V35">
        <v>4650.6688800000002</v>
      </c>
      <c r="W35">
        <v>4640.4889899999998</v>
      </c>
      <c r="X35">
        <v>4621.7490299999999</v>
      </c>
      <c r="Y35">
        <v>4613.7277400000003</v>
      </c>
      <c r="Z35">
        <f t="shared" si="4"/>
        <v>4667.4536049999997</v>
      </c>
      <c r="AA35">
        <f t="shared" si="5"/>
        <v>4626.7140799999997</v>
      </c>
      <c r="AB35">
        <f t="shared" si="6"/>
        <v>4624.5535275000002</v>
      </c>
      <c r="AC35">
        <f t="shared" si="7"/>
        <v>4608.1671299999998</v>
      </c>
      <c r="AF35">
        <f t="shared" si="8"/>
        <v>4621.7490299999999</v>
      </c>
      <c r="AG35">
        <f t="shared" si="9"/>
        <v>4667.4536049999997</v>
      </c>
      <c r="AH35">
        <f t="shared" si="10"/>
        <v>4624.5535275000002</v>
      </c>
    </row>
    <row r="36" spans="1:34" x14ac:dyDescent="0.55000000000000004">
      <c r="A36">
        <f>ALGLIB_SSA_XAUUSD!J36</f>
        <v>1775137800</v>
      </c>
      <c r="B36" t="str">
        <f>_xlfn.XLOOKUP($A36,ALGLIB_SSA_XAUUSD!$A$2:$A$1000,ALGLIB_SSA_XAUUSD!$B$2:$B$1000,"",0)</f>
        <v/>
      </c>
      <c r="C36" t="str">
        <f>_xlfn.XLOOKUP($A36,ALGLIB_SSA_XAUUSD!$A$2:$A$1000,ALGLIB_SSA_XAUUSD!$C$2:$C$1000,"",0)</f>
        <v/>
      </c>
      <c r="D36" s="1">
        <f>D26+(D38-D26)*10/12</f>
        <v>4675.3216666666667</v>
      </c>
      <c r="E36" s="1">
        <f>E26+(E38-E26)*10/12</f>
        <v>4651.6021116666661</v>
      </c>
      <c r="F36" s="1">
        <f>F26+(F38-F26)*10/12</f>
        <v>4641.3542983333327</v>
      </c>
      <c r="G36" s="1">
        <f>G26+(G38-G26)*10/12</f>
        <v>4668.2960599999997</v>
      </c>
      <c r="H36" s="1">
        <f>H26+(H38-H26)*10/12</f>
        <v>4625.4781683333331</v>
      </c>
      <c r="I36" t="str">
        <f>_xlfn.XLOOKUP($A36,ALGLIB_SSA_XAUUSD!$J$2:$J$1000,ALGLIB_SSA_XAUUSD!$K$2:$K$1000,"",0)</f>
        <v>XAUUSD</v>
      </c>
      <c r="J36" t="str">
        <f>_xlfn.XLOOKUP($A36,ALGLIB_SSA_XAUUSD!$J$2:$J$1000,ALGLIB_SSA_XAUUSD!$L$2:$L$1000,"",0)</f>
        <v>M5</v>
      </c>
      <c r="K36">
        <f>_xlfn.XLOOKUP($A36,ALGLIB_SSA_XAUUSD!$J$2:$J$1000,ALGLIB_SSA_XAUUSD!$M$2:$M$1000,"",0)</f>
        <v>4635.58</v>
      </c>
      <c r="L36">
        <f>_xlfn.XLOOKUP($A36,ALGLIB_SSA_XAUUSD!$J$2:$J$1000,ALGLIB_SSA_XAUUSD!$N$2:$N$1000,"",0)</f>
        <v>4630.2641400000002</v>
      </c>
      <c r="M36">
        <f>_xlfn.XLOOKUP($A36,ALGLIB_SSA_XAUUSD!$J$2:$J$1000,ALGLIB_SSA_XAUUSD!$O$2:$O$1000,"",0)</f>
        <v>4621.9959399999998</v>
      </c>
      <c r="N36">
        <f>_xlfn.XLOOKUP($A36,ALGLIB_SSA_XAUUSD!$J$2:$J$1000,ALGLIB_SSA_XAUUSD!$P$2:$P$1000,"",0)</f>
        <v>4635.4237999999996</v>
      </c>
      <c r="O36">
        <f>_xlfn.XLOOKUP($A36,ALGLIB_SSA_XAUUSD!$J$2:$J$1000,ALGLIB_SSA_XAUUSD!$Q$2:$Q$1000,"",0)</f>
        <v>4616.9749099999999</v>
      </c>
      <c r="R36">
        <f t="shared" si="0"/>
        <v>1775137800</v>
      </c>
      <c r="S36" t="str">
        <f t="shared" si="1"/>
        <v>XAUUSD</v>
      </c>
      <c r="T36" t="str">
        <f t="shared" si="2"/>
        <v>M5</v>
      </c>
      <c r="U36">
        <f t="shared" si="3"/>
        <v>4635.58</v>
      </c>
      <c r="V36">
        <v>4651.6021099999998</v>
      </c>
      <c r="W36">
        <v>4641.3543</v>
      </c>
      <c r="X36">
        <v>4630.2641400000002</v>
      </c>
      <c r="Y36">
        <v>4621.9959399999998</v>
      </c>
      <c r="Z36">
        <f t="shared" si="4"/>
        <v>4668.2960599999997</v>
      </c>
      <c r="AA36">
        <f t="shared" si="5"/>
        <v>4635.4237999999996</v>
      </c>
      <c r="AB36">
        <f t="shared" si="6"/>
        <v>4625.4781683333331</v>
      </c>
      <c r="AC36">
        <f t="shared" si="7"/>
        <v>4616.9749099999999</v>
      </c>
      <c r="AF36">
        <f t="shared" si="8"/>
        <v>4630.2641400000002</v>
      </c>
      <c r="AG36">
        <f t="shared" si="9"/>
        <v>4668.2960599999997</v>
      </c>
      <c r="AH36">
        <f t="shared" si="10"/>
        <v>4625.4781683333331</v>
      </c>
    </row>
    <row r="37" spans="1:34" x14ac:dyDescent="0.55000000000000004">
      <c r="A37">
        <f>ALGLIB_SSA_XAUUSD!J37</f>
        <v>1775138100</v>
      </c>
      <c r="B37" t="str">
        <f>_xlfn.XLOOKUP($A37,ALGLIB_SSA_XAUUSD!$A$2:$A$1000,ALGLIB_SSA_XAUUSD!$B$2:$B$1000,"",0)</f>
        <v/>
      </c>
      <c r="C37" t="str">
        <f>_xlfn.XLOOKUP($A37,ALGLIB_SSA_XAUUSD!$A$2:$A$1000,ALGLIB_SSA_XAUUSD!$C$2:$C$1000,"",0)</f>
        <v/>
      </c>
      <c r="D37" s="1">
        <f>D26+(D38-D26)*11/12</f>
        <v>4678.3208333333332</v>
      </c>
      <c r="E37" s="1">
        <f>E26+(E38-E26)*11/12</f>
        <v>4652.5353458333329</v>
      </c>
      <c r="F37" s="1">
        <f>F26+(F38-F26)*11/12</f>
        <v>4642.2196041666666</v>
      </c>
      <c r="G37" s="1">
        <f>G26+(G38-G26)*11/12</f>
        <v>4669.1385149999996</v>
      </c>
      <c r="H37" s="1">
        <f>H26+(H38-H26)*11/12</f>
        <v>4626.402809166666</v>
      </c>
      <c r="I37" t="str">
        <f>_xlfn.XLOOKUP($A37,ALGLIB_SSA_XAUUSD!$J$2:$J$1000,ALGLIB_SSA_XAUUSD!$K$2:$K$1000,"",0)</f>
        <v>XAUUSD</v>
      </c>
      <c r="J37" t="str">
        <f>_xlfn.XLOOKUP($A37,ALGLIB_SSA_XAUUSD!$J$2:$J$1000,ALGLIB_SSA_XAUUSD!$L$2:$L$1000,"",0)</f>
        <v>M5</v>
      </c>
      <c r="K37">
        <f>_xlfn.XLOOKUP($A37,ALGLIB_SSA_XAUUSD!$J$2:$J$1000,ALGLIB_SSA_XAUUSD!$M$2:$M$1000,"",0)</f>
        <v>4645.33</v>
      </c>
      <c r="L37">
        <f>_xlfn.XLOOKUP($A37,ALGLIB_SSA_XAUUSD!$J$2:$J$1000,ALGLIB_SSA_XAUUSD!$N$2:$N$1000,"",0)</f>
        <v>4637.8590899999999</v>
      </c>
      <c r="M37">
        <f>_xlfn.XLOOKUP($A37,ALGLIB_SSA_XAUUSD!$J$2:$J$1000,ALGLIB_SSA_XAUUSD!$O$2:$O$1000,"",0)</f>
        <v>4629.9275100000004</v>
      </c>
      <c r="N37">
        <f>_xlfn.XLOOKUP($A37,ALGLIB_SSA_XAUUSD!$J$2:$J$1000,ALGLIB_SSA_XAUUSD!$P$2:$P$1000,"",0)</f>
        <v>4643.3448699999999</v>
      </c>
      <c r="O37">
        <f>_xlfn.XLOOKUP($A37,ALGLIB_SSA_XAUUSD!$J$2:$J$1000,ALGLIB_SSA_XAUUSD!$Q$2:$Q$1000,"",0)</f>
        <v>4625.1524900000004</v>
      </c>
      <c r="R37">
        <f t="shared" si="0"/>
        <v>1775138100</v>
      </c>
      <c r="S37" t="str">
        <f t="shared" si="1"/>
        <v>XAUUSD</v>
      </c>
      <c r="T37" t="str">
        <f t="shared" si="2"/>
        <v>M5</v>
      </c>
      <c r="U37">
        <f t="shared" si="3"/>
        <v>4645.33</v>
      </c>
      <c r="V37">
        <v>4652.5353500000001</v>
      </c>
      <c r="W37">
        <v>4642.2196000000004</v>
      </c>
      <c r="X37">
        <v>4637.8590899999999</v>
      </c>
      <c r="Y37">
        <v>4629.9275100000004</v>
      </c>
      <c r="Z37">
        <f t="shared" si="4"/>
        <v>4669.1385149999996</v>
      </c>
      <c r="AA37">
        <f t="shared" si="5"/>
        <v>4643.3448699999999</v>
      </c>
      <c r="AB37">
        <f t="shared" si="6"/>
        <v>4626.402809166666</v>
      </c>
      <c r="AC37">
        <f t="shared" si="7"/>
        <v>4625.1524900000004</v>
      </c>
      <c r="AF37">
        <f t="shared" si="8"/>
        <v>4637.8590899999999</v>
      </c>
      <c r="AG37">
        <f t="shared" si="9"/>
        <v>4669.1385149999996</v>
      </c>
      <c r="AH37">
        <f t="shared" si="10"/>
        <v>4626.402809166666</v>
      </c>
    </row>
    <row r="38" spans="1:34" x14ac:dyDescent="0.55000000000000004">
      <c r="A38">
        <f>ALGLIB_SSA_XAUUSD!J38</f>
        <v>1775138400</v>
      </c>
      <c r="B38" t="str">
        <f>_xlfn.XLOOKUP($A38,ALGLIB_SSA_XAUUSD!$A$2:$A$1000,ALGLIB_SSA_XAUUSD!$B$2:$B$1000,"",0)</f>
        <v>XAUUSD</v>
      </c>
      <c r="C38" t="str">
        <f>_xlfn.XLOOKUP($A38,ALGLIB_SSA_XAUUSD!$A$2:$A$1000,ALGLIB_SSA_XAUUSD!$C$2:$C$1000,"",0)</f>
        <v>H1</v>
      </c>
      <c r="D38" s="2">
        <f>_xlfn.XLOOKUP($A38,ALGLIB_SSA_XAUUSD!$A$2:$A$1000,ALGLIB_SSA_XAUUSD!$D$2:$D$1000,"",0)</f>
        <v>4681.32</v>
      </c>
      <c r="E38" s="2">
        <f>_xlfn.XLOOKUP($A38,ALGLIB_SSA_XAUUSD!$A$2:$A$1000,ALGLIB_SSA_XAUUSD!$E$2:$E$1000,"",0)</f>
        <v>4653.4685799999997</v>
      </c>
      <c r="F38" s="2">
        <f>_xlfn.XLOOKUP($A38,ALGLIB_SSA_XAUUSD!$A$2:$A$1000,ALGLIB_SSA_XAUUSD!$F$2:$F$1000,"",0)</f>
        <v>4643.0849099999996</v>
      </c>
      <c r="G38" s="2">
        <f>_xlfn.XLOOKUP($A38,ALGLIB_SSA_XAUUSD!$A$2:$A$1000,ALGLIB_SSA_XAUUSD!$G$2:$G$1000,"",0)</f>
        <v>4669.9809699999996</v>
      </c>
      <c r="H38" s="2">
        <f>_xlfn.XLOOKUP($A38,ALGLIB_SSA_XAUUSD!$A$2:$A$1000,ALGLIB_SSA_XAUUSD!$H$2:$H$1000,"",0)</f>
        <v>4627.3274499999998</v>
      </c>
      <c r="I38" t="str">
        <f>_xlfn.XLOOKUP($A38,ALGLIB_SSA_XAUUSD!$J$2:$J$1000,ALGLIB_SSA_XAUUSD!$K$2:$K$1000,"",0)</f>
        <v>XAUUSD</v>
      </c>
      <c r="J38" t="str">
        <f>_xlfn.XLOOKUP($A38,ALGLIB_SSA_XAUUSD!$J$2:$J$1000,ALGLIB_SSA_XAUUSD!$L$2:$L$1000,"",0)</f>
        <v>M5</v>
      </c>
      <c r="K38">
        <f>_xlfn.XLOOKUP($A38,ALGLIB_SSA_XAUUSD!$J$2:$J$1000,ALGLIB_SSA_XAUUSD!$M$2:$M$1000,"",0)</f>
        <v>4642.46</v>
      </c>
      <c r="L38">
        <f>_xlfn.XLOOKUP($A38,ALGLIB_SSA_XAUUSD!$J$2:$J$1000,ALGLIB_SSA_XAUUSD!$N$2:$N$1000,"",0)</f>
        <v>4644.39779</v>
      </c>
      <c r="M38">
        <f>_xlfn.XLOOKUP($A38,ALGLIB_SSA_XAUUSD!$J$2:$J$1000,ALGLIB_SSA_XAUUSD!$O$2:$O$1000,"",0)</f>
        <v>4637.1626500000002</v>
      </c>
      <c r="N38">
        <f>_xlfn.XLOOKUP($A38,ALGLIB_SSA_XAUUSD!$J$2:$J$1000,ALGLIB_SSA_XAUUSD!$P$2:$P$1000,"",0)</f>
        <v>4650.2238699999998</v>
      </c>
      <c r="O38">
        <f>_xlfn.XLOOKUP($A38,ALGLIB_SSA_XAUUSD!$J$2:$J$1000,ALGLIB_SSA_XAUUSD!$Q$2:$Q$1000,"",0)</f>
        <v>4632.5078000000003</v>
      </c>
      <c r="R38">
        <f t="shared" si="0"/>
        <v>1775138400</v>
      </c>
      <c r="S38" t="str">
        <f t="shared" si="1"/>
        <v>XAUUSD</v>
      </c>
      <c r="T38" t="str">
        <f t="shared" si="2"/>
        <v>M5</v>
      </c>
      <c r="U38">
        <f t="shared" si="3"/>
        <v>4642.46</v>
      </c>
      <c r="V38">
        <v>4653.4685799999997</v>
      </c>
      <c r="W38">
        <v>4643.0849099999996</v>
      </c>
      <c r="X38">
        <v>4644.39779</v>
      </c>
      <c r="Y38">
        <v>4637.1626500000002</v>
      </c>
      <c r="Z38">
        <f t="shared" si="4"/>
        <v>4669.9809699999996</v>
      </c>
      <c r="AA38">
        <f t="shared" si="5"/>
        <v>4650.2238699999998</v>
      </c>
      <c r="AB38">
        <f t="shared" si="6"/>
        <v>4627.3274499999998</v>
      </c>
      <c r="AC38">
        <f t="shared" si="7"/>
        <v>4632.5078000000003</v>
      </c>
      <c r="AF38">
        <f t="shared" si="8"/>
        <v>4644.39779</v>
      </c>
      <c r="AG38">
        <f t="shared" si="9"/>
        <v>4669.9809699999996</v>
      </c>
      <c r="AH38">
        <f t="shared" si="10"/>
        <v>4627.3274499999998</v>
      </c>
    </row>
    <row r="39" spans="1:34" x14ac:dyDescent="0.55000000000000004">
      <c r="A39">
        <f>ALGLIB_SSA_XAUUSD!J39</f>
        <v>1775138700</v>
      </c>
      <c r="B39" t="str">
        <f>_xlfn.XLOOKUP($A39,ALGLIB_SSA_XAUUSD!$A$2:$A$1000,ALGLIB_SSA_XAUUSD!$B$2:$B$1000,"",0)</f>
        <v/>
      </c>
      <c r="C39" t="str">
        <f>_xlfn.XLOOKUP($A39,ALGLIB_SSA_XAUUSD!$A$2:$A$1000,ALGLIB_SSA_XAUUSD!$C$2:$C$1000,"",0)</f>
        <v/>
      </c>
      <c r="D39" s="1">
        <f>D38+(D50-D38)*1/12</f>
        <v>4679.6316666666662</v>
      </c>
      <c r="E39" s="1">
        <f>E38+(E50-E38)*1/12</f>
        <v>4654.1421725</v>
      </c>
      <c r="F39" s="1">
        <f>F38+(F50-F38)*1/12</f>
        <v>4643.8543591666667</v>
      </c>
      <c r="G39" s="1">
        <f>G38+(G50-G38)*1/12</f>
        <v>4670.550704166666</v>
      </c>
      <c r="H39" s="1">
        <f>H38+(H50-H38)*1/12</f>
        <v>4628.1621424999994</v>
      </c>
      <c r="I39" t="str">
        <f>_xlfn.XLOOKUP($A39,ALGLIB_SSA_XAUUSD!$J$2:$J$1000,ALGLIB_SSA_XAUUSD!$K$2:$K$1000,"",0)</f>
        <v>XAUUSD</v>
      </c>
      <c r="J39" t="str">
        <f>_xlfn.XLOOKUP($A39,ALGLIB_SSA_XAUUSD!$J$2:$J$1000,ALGLIB_SSA_XAUUSD!$L$2:$L$1000,"",0)</f>
        <v>M5</v>
      </c>
      <c r="K39">
        <f>_xlfn.XLOOKUP($A39,ALGLIB_SSA_XAUUSD!$J$2:$J$1000,ALGLIB_SSA_XAUUSD!$M$2:$M$1000,"",0)</f>
        <v>4648.01</v>
      </c>
      <c r="L39">
        <f>_xlfn.XLOOKUP($A39,ALGLIB_SSA_XAUUSD!$J$2:$J$1000,ALGLIB_SSA_XAUUSD!$N$2:$N$1000,"",0)</f>
        <v>4650.2838199999997</v>
      </c>
      <c r="M39">
        <f>_xlfn.XLOOKUP($A39,ALGLIB_SSA_XAUUSD!$J$2:$J$1000,ALGLIB_SSA_XAUUSD!$O$2:$O$1000,"",0)</f>
        <v>4643.7232400000003</v>
      </c>
      <c r="N39">
        <f>_xlfn.XLOOKUP($A39,ALGLIB_SSA_XAUUSD!$J$2:$J$1000,ALGLIB_SSA_XAUUSD!$P$2:$P$1000,"",0)</f>
        <v>4656.3179899999996</v>
      </c>
      <c r="O39">
        <f>_xlfn.XLOOKUP($A39,ALGLIB_SSA_XAUUSD!$J$2:$J$1000,ALGLIB_SSA_XAUUSD!$Q$2:$Q$1000,"",0)</f>
        <v>4639.1625899999999</v>
      </c>
      <c r="R39">
        <f t="shared" si="0"/>
        <v>1775138700</v>
      </c>
      <c r="S39" t="str">
        <f t="shared" si="1"/>
        <v>XAUUSD</v>
      </c>
      <c r="T39" t="str">
        <f t="shared" si="2"/>
        <v>M5</v>
      </c>
      <c r="U39">
        <f t="shared" si="3"/>
        <v>4648.01</v>
      </c>
      <c r="V39">
        <v>4654.1421700000001</v>
      </c>
      <c r="W39">
        <v>4643.8543600000003</v>
      </c>
      <c r="X39">
        <v>4650.2838199999997</v>
      </c>
      <c r="Y39">
        <v>4643.7232400000003</v>
      </c>
      <c r="Z39">
        <f t="shared" si="4"/>
        <v>4670.550704166666</v>
      </c>
      <c r="AA39">
        <f t="shared" si="5"/>
        <v>4656.3179899999996</v>
      </c>
      <c r="AB39">
        <f t="shared" si="6"/>
        <v>4628.1621424999994</v>
      </c>
      <c r="AC39">
        <f t="shared" si="7"/>
        <v>4639.1625899999999</v>
      </c>
      <c r="AF39">
        <f t="shared" si="8"/>
        <v>4650.2838199999997</v>
      </c>
      <c r="AG39">
        <f t="shared" si="9"/>
        <v>4670.550704166666</v>
      </c>
      <c r="AH39">
        <f t="shared" si="10"/>
        <v>4628.1621424999994</v>
      </c>
    </row>
    <row r="40" spans="1:34" x14ac:dyDescent="0.55000000000000004">
      <c r="A40">
        <f>ALGLIB_SSA_XAUUSD!J40</f>
        <v>1775139000</v>
      </c>
      <c r="B40" t="str">
        <f>_xlfn.XLOOKUP($A40,ALGLIB_SSA_XAUUSD!$A$2:$A$1000,ALGLIB_SSA_XAUUSD!$B$2:$B$1000,"",0)</f>
        <v/>
      </c>
      <c r="C40" t="str">
        <f>_xlfn.XLOOKUP($A40,ALGLIB_SSA_XAUUSD!$A$2:$A$1000,ALGLIB_SSA_XAUUSD!$C$2:$C$1000,"",0)</f>
        <v/>
      </c>
      <c r="D40" s="1">
        <f>D38+(D50-D38)*2/12</f>
        <v>4677.9433333333327</v>
      </c>
      <c r="E40" s="1">
        <f>E38+(E50-E38)*2/12</f>
        <v>4654.8157649999994</v>
      </c>
      <c r="F40" s="1">
        <f>F38+(F50-F38)*2/12</f>
        <v>4644.6238083333328</v>
      </c>
      <c r="G40" s="1">
        <f>G38+(G50-G38)*2/12</f>
        <v>4671.1204383333334</v>
      </c>
      <c r="H40" s="1">
        <f>H38+(H50-H38)*2/12</f>
        <v>4628.9968349999999</v>
      </c>
      <c r="I40" t="str">
        <f>_xlfn.XLOOKUP($A40,ALGLIB_SSA_XAUUSD!$J$2:$J$1000,ALGLIB_SSA_XAUUSD!$K$2:$K$1000,"",0)</f>
        <v>XAUUSD</v>
      </c>
      <c r="J40" t="str">
        <f>_xlfn.XLOOKUP($A40,ALGLIB_SSA_XAUUSD!$J$2:$J$1000,ALGLIB_SSA_XAUUSD!$L$2:$L$1000,"",0)</f>
        <v>M5</v>
      </c>
      <c r="K40">
        <f>_xlfn.XLOOKUP($A40,ALGLIB_SSA_XAUUSD!$J$2:$J$1000,ALGLIB_SSA_XAUUSD!$M$2:$M$1000,"",0)</f>
        <v>4647.7700000000004</v>
      </c>
      <c r="L40">
        <f>_xlfn.XLOOKUP($A40,ALGLIB_SSA_XAUUSD!$J$2:$J$1000,ALGLIB_SSA_XAUUSD!$N$2:$N$1000,"",0)</f>
        <v>4655.8185400000002</v>
      </c>
      <c r="M40">
        <f>_xlfn.XLOOKUP($A40,ALGLIB_SSA_XAUUSD!$J$2:$J$1000,ALGLIB_SSA_XAUUSD!$O$2:$O$1000,"",0)</f>
        <v>4649.7708899999998</v>
      </c>
      <c r="N40">
        <f>_xlfn.XLOOKUP($A40,ALGLIB_SSA_XAUUSD!$J$2:$J$1000,ALGLIB_SSA_XAUUSD!$P$2:$P$1000,"",0)</f>
        <v>4661.9669700000004</v>
      </c>
      <c r="O40">
        <f>_xlfn.XLOOKUP($A40,ALGLIB_SSA_XAUUSD!$J$2:$J$1000,ALGLIB_SSA_XAUUSD!$Q$2:$Q$1000,"",0)</f>
        <v>4645.2204400000001</v>
      </c>
      <c r="R40">
        <f t="shared" si="0"/>
        <v>1775139000</v>
      </c>
      <c r="S40" t="str">
        <f t="shared" si="1"/>
        <v>XAUUSD</v>
      </c>
      <c r="T40" t="str">
        <f t="shared" si="2"/>
        <v>M5</v>
      </c>
      <c r="U40">
        <f t="shared" si="3"/>
        <v>4647.7700000000004</v>
      </c>
      <c r="V40">
        <v>4654.8157600000004</v>
      </c>
      <c r="W40">
        <v>4644.62381</v>
      </c>
      <c r="X40">
        <v>4655.8185400000002</v>
      </c>
      <c r="Y40">
        <v>4649.7708899999998</v>
      </c>
      <c r="Z40">
        <f t="shared" si="4"/>
        <v>4671.1204383333334</v>
      </c>
      <c r="AA40">
        <f t="shared" si="5"/>
        <v>4661.9669700000004</v>
      </c>
      <c r="AB40">
        <f t="shared" si="6"/>
        <v>4628.9968349999999</v>
      </c>
      <c r="AC40">
        <f t="shared" si="7"/>
        <v>4645.2204400000001</v>
      </c>
      <c r="AF40">
        <f t="shared" si="8"/>
        <v>4655.8185400000002</v>
      </c>
      <c r="AG40">
        <f t="shared" si="9"/>
        <v>4671.1204383333334</v>
      </c>
      <c r="AH40">
        <f t="shared" si="10"/>
        <v>4628.9968349999999</v>
      </c>
    </row>
    <row r="41" spans="1:34" x14ac:dyDescent="0.55000000000000004">
      <c r="A41">
        <f>ALGLIB_SSA_XAUUSD!J41</f>
        <v>1775139300</v>
      </c>
      <c r="B41" t="str">
        <f>_xlfn.XLOOKUP($A41,ALGLIB_SSA_XAUUSD!$A$2:$A$1000,ALGLIB_SSA_XAUUSD!$B$2:$B$1000,"",0)</f>
        <v/>
      </c>
      <c r="C41" t="str">
        <f>_xlfn.XLOOKUP($A41,ALGLIB_SSA_XAUUSD!$A$2:$A$1000,ALGLIB_SSA_XAUUSD!$C$2:$C$1000,"",0)</f>
        <v/>
      </c>
      <c r="D41" s="1">
        <f>D38+(D50-D38)*3/12</f>
        <v>4676.2550000000001</v>
      </c>
      <c r="E41" s="1">
        <f>E38+(E50-E38)*3/12</f>
        <v>4655.4893574999996</v>
      </c>
      <c r="F41" s="1">
        <f>F38+(F50-F38)*3/12</f>
        <v>4645.3932574999999</v>
      </c>
      <c r="G41" s="1">
        <f>G38+(G50-G38)*3/12</f>
        <v>4671.6901724999998</v>
      </c>
      <c r="H41" s="1">
        <f>H38+(H50-H38)*3/12</f>
        <v>4629.8315274999995</v>
      </c>
      <c r="I41" t="str">
        <f>_xlfn.XLOOKUP($A41,ALGLIB_SSA_XAUUSD!$J$2:$J$1000,ALGLIB_SSA_XAUUSD!$K$2:$K$1000,"",0)</f>
        <v>XAUUSD</v>
      </c>
      <c r="J41" t="str">
        <f>_xlfn.XLOOKUP($A41,ALGLIB_SSA_XAUUSD!$J$2:$J$1000,ALGLIB_SSA_XAUUSD!$L$2:$L$1000,"",0)</f>
        <v>M5</v>
      </c>
      <c r="K41">
        <f>_xlfn.XLOOKUP($A41,ALGLIB_SSA_XAUUSD!$J$2:$J$1000,ALGLIB_SSA_XAUUSD!$M$2:$M$1000,"",0)</f>
        <v>4660.72</v>
      </c>
      <c r="L41">
        <f>_xlfn.XLOOKUP($A41,ALGLIB_SSA_XAUUSD!$J$2:$J$1000,ALGLIB_SSA_XAUUSD!$N$2:$N$1000,"",0)</f>
        <v>4661.4185500000003</v>
      </c>
      <c r="M41">
        <f>_xlfn.XLOOKUP($A41,ALGLIB_SSA_XAUUSD!$J$2:$J$1000,ALGLIB_SSA_XAUUSD!$O$2:$O$1000,"",0)</f>
        <v>4655.5947200000001</v>
      </c>
      <c r="N41">
        <f>_xlfn.XLOOKUP($A41,ALGLIB_SSA_XAUUSD!$J$2:$J$1000,ALGLIB_SSA_XAUUSD!$P$2:$P$1000,"",0)</f>
        <v>4667.3708200000001</v>
      </c>
      <c r="O41">
        <f>_xlfn.XLOOKUP($A41,ALGLIB_SSA_XAUUSD!$J$2:$J$1000,ALGLIB_SSA_XAUUSD!$Q$2:$Q$1000,"",0)</f>
        <v>4650.7812700000004</v>
      </c>
      <c r="R41">
        <f t="shared" si="0"/>
        <v>1775139300</v>
      </c>
      <c r="S41" t="str">
        <f t="shared" si="1"/>
        <v>XAUUSD</v>
      </c>
      <c r="T41" t="str">
        <f t="shared" si="2"/>
        <v>M5</v>
      </c>
      <c r="U41">
        <f t="shared" si="3"/>
        <v>4660.72</v>
      </c>
      <c r="V41">
        <v>4655.4893599999996</v>
      </c>
      <c r="W41">
        <v>4645.3932599999998</v>
      </c>
      <c r="X41">
        <v>4661.4185500000003</v>
      </c>
      <c r="Y41">
        <v>4655.5947200000001</v>
      </c>
      <c r="Z41">
        <f t="shared" si="4"/>
        <v>4671.6901724999998</v>
      </c>
      <c r="AA41">
        <f t="shared" si="5"/>
        <v>4667.3708200000001</v>
      </c>
      <c r="AB41">
        <f t="shared" si="6"/>
        <v>4629.8315274999995</v>
      </c>
      <c r="AC41">
        <f t="shared" si="7"/>
        <v>4650.7812700000004</v>
      </c>
      <c r="AF41">
        <f t="shared" si="8"/>
        <v>4661.4185500000003</v>
      </c>
      <c r="AG41">
        <f t="shared" si="9"/>
        <v>4671.6901724999998</v>
      </c>
      <c r="AH41">
        <f t="shared" si="10"/>
        <v>4629.8315274999995</v>
      </c>
    </row>
    <row r="42" spans="1:34" x14ac:dyDescent="0.55000000000000004">
      <c r="A42">
        <f>ALGLIB_SSA_XAUUSD!J42</f>
        <v>1775139600</v>
      </c>
      <c r="B42" t="str">
        <f>_xlfn.XLOOKUP($A42,ALGLIB_SSA_XAUUSD!$A$2:$A$1000,ALGLIB_SSA_XAUUSD!$B$2:$B$1000,"",0)</f>
        <v/>
      </c>
      <c r="C42" t="str">
        <f>_xlfn.XLOOKUP($A42,ALGLIB_SSA_XAUUSD!$A$2:$A$1000,ALGLIB_SSA_XAUUSD!$C$2:$C$1000,"",0)</f>
        <v/>
      </c>
      <c r="D42" s="1">
        <f>D38+(D50-D38)*4/12</f>
        <v>4674.5666666666666</v>
      </c>
      <c r="E42" s="1">
        <f>E38+(E50-E38)*4/12</f>
        <v>4656.1629499999999</v>
      </c>
      <c r="F42" s="1">
        <f>F38+(F50-F38)*4/12</f>
        <v>4646.1627066666661</v>
      </c>
      <c r="G42" s="1">
        <f>G38+(G50-G38)*4/12</f>
        <v>4672.2599066666662</v>
      </c>
      <c r="H42" s="1">
        <f>H38+(H50-H38)*4/12</f>
        <v>4630.6662200000001</v>
      </c>
      <c r="I42" t="str">
        <f>_xlfn.XLOOKUP($A42,ALGLIB_SSA_XAUUSD!$J$2:$J$1000,ALGLIB_SSA_XAUUSD!$K$2:$K$1000,"",0)</f>
        <v>XAUUSD</v>
      </c>
      <c r="J42" t="str">
        <f>_xlfn.XLOOKUP($A42,ALGLIB_SSA_XAUUSD!$J$2:$J$1000,ALGLIB_SSA_XAUUSD!$L$2:$L$1000,"",0)</f>
        <v>M5</v>
      </c>
      <c r="K42">
        <f>_xlfn.XLOOKUP($A42,ALGLIB_SSA_XAUUSD!$J$2:$J$1000,ALGLIB_SSA_XAUUSD!$M$2:$M$1000,"",0)</f>
        <v>4675.17</v>
      </c>
      <c r="L42">
        <f>_xlfn.XLOOKUP($A42,ALGLIB_SSA_XAUUSD!$J$2:$J$1000,ALGLIB_SSA_XAUUSD!$N$2:$N$1000,"",0)</f>
        <v>4666.97858</v>
      </c>
      <c r="M42">
        <f>_xlfn.XLOOKUP($A42,ALGLIB_SSA_XAUUSD!$J$2:$J$1000,ALGLIB_SSA_XAUUSD!$O$2:$O$1000,"",0)</f>
        <v>4661.28665</v>
      </c>
      <c r="N42">
        <f>_xlfn.XLOOKUP($A42,ALGLIB_SSA_XAUUSD!$J$2:$J$1000,ALGLIB_SSA_XAUUSD!$P$2:$P$1000,"",0)</f>
        <v>4672.7348599999996</v>
      </c>
      <c r="O42">
        <f>_xlfn.XLOOKUP($A42,ALGLIB_SSA_XAUUSD!$J$2:$J$1000,ALGLIB_SSA_XAUUSD!$Q$2:$Q$1000,"",0)</f>
        <v>4656.1407600000002</v>
      </c>
      <c r="R42">
        <f t="shared" si="0"/>
        <v>1775139600</v>
      </c>
      <c r="S42" t="str">
        <f t="shared" si="1"/>
        <v>XAUUSD</v>
      </c>
      <c r="T42" t="str">
        <f t="shared" si="2"/>
        <v>M5</v>
      </c>
      <c r="U42">
        <f t="shared" si="3"/>
        <v>4675.17</v>
      </c>
      <c r="V42">
        <v>4656.1629499999999</v>
      </c>
      <c r="W42">
        <v>4646.1627099999996</v>
      </c>
      <c r="X42">
        <v>4666.97858</v>
      </c>
      <c r="Y42">
        <v>4661.28665</v>
      </c>
      <c r="Z42">
        <f t="shared" si="4"/>
        <v>4672.2599066666662</v>
      </c>
      <c r="AA42">
        <f t="shared" si="5"/>
        <v>4672.7348599999996</v>
      </c>
      <c r="AB42">
        <f t="shared" si="6"/>
        <v>4630.6662200000001</v>
      </c>
      <c r="AC42">
        <f t="shared" si="7"/>
        <v>4656.1407600000002</v>
      </c>
      <c r="AF42">
        <f t="shared" si="8"/>
        <v>4666.97858</v>
      </c>
      <c r="AG42">
        <f t="shared" si="9"/>
        <v>4672.2599066666662</v>
      </c>
      <c r="AH42">
        <f t="shared" si="10"/>
        <v>4630.6662200000001</v>
      </c>
    </row>
    <row r="43" spans="1:34" x14ac:dyDescent="0.55000000000000004">
      <c r="A43">
        <f>ALGLIB_SSA_XAUUSD!J43</f>
        <v>1775139900</v>
      </c>
      <c r="B43" t="str">
        <f>_xlfn.XLOOKUP($A43,ALGLIB_SSA_XAUUSD!$A$2:$A$1000,ALGLIB_SSA_XAUUSD!$B$2:$B$1000,"",0)</f>
        <v/>
      </c>
      <c r="C43" t="str">
        <f>_xlfn.XLOOKUP($A43,ALGLIB_SSA_XAUUSD!$A$2:$A$1000,ALGLIB_SSA_XAUUSD!$C$2:$C$1000,"",0)</f>
        <v/>
      </c>
      <c r="D43" s="1">
        <f>D38+(D50-D38)*5/12</f>
        <v>4672.8783333333331</v>
      </c>
      <c r="E43" s="1">
        <f>E38+(E50-E38)*5/12</f>
        <v>4656.8365425000002</v>
      </c>
      <c r="F43" s="1">
        <f>F38+(F50-F38)*5/12</f>
        <v>4646.9321558333331</v>
      </c>
      <c r="G43" s="1">
        <f>G38+(G50-G38)*5/12</f>
        <v>4672.8296408333335</v>
      </c>
      <c r="H43" s="1">
        <f>H38+(H50-H38)*5/12</f>
        <v>4631.5009124999997</v>
      </c>
      <c r="I43" t="str">
        <f>_xlfn.XLOOKUP($A43,ALGLIB_SSA_XAUUSD!$J$2:$J$1000,ALGLIB_SSA_XAUUSD!$K$2:$K$1000,"",0)</f>
        <v>XAUUSD</v>
      </c>
      <c r="J43" t="str">
        <f>_xlfn.XLOOKUP($A43,ALGLIB_SSA_XAUUSD!$J$2:$J$1000,ALGLIB_SSA_XAUUSD!$L$2:$L$1000,"",0)</f>
        <v>M5</v>
      </c>
      <c r="K43">
        <f>_xlfn.XLOOKUP($A43,ALGLIB_SSA_XAUUSD!$J$2:$J$1000,ALGLIB_SSA_XAUUSD!$M$2:$M$1000,"",0)</f>
        <v>4665.41</v>
      </c>
      <c r="L43">
        <f>_xlfn.XLOOKUP($A43,ALGLIB_SSA_XAUUSD!$J$2:$J$1000,ALGLIB_SSA_XAUUSD!$N$2:$N$1000,"",0)</f>
        <v>4672.1593700000003</v>
      </c>
      <c r="M43">
        <f>_xlfn.XLOOKUP($A43,ALGLIB_SSA_XAUUSD!$J$2:$J$1000,ALGLIB_SSA_XAUUSD!$O$2:$O$1000,"",0)</f>
        <v>4666.7230099999997</v>
      </c>
      <c r="N43">
        <f>_xlfn.XLOOKUP($A43,ALGLIB_SSA_XAUUSD!$J$2:$J$1000,ALGLIB_SSA_XAUUSD!$P$2:$P$1000,"",0)</f>
        <v>4677.8486199999998</v>
      </c>
      <c r="O43">
        <f>_xlfn.XLOOKUP($A43,ALGLIB_SSA_XAUUSD!$J$2:$J$1000,ALGLIB_SSA_XAUUSD!$Q$2:$Q$1000,"",0)</f>
        <v>4661.1553999999996</v>
      </c>
      <c r="R43">
        <f t="shared" si="0"/>
        <v>1775139900</v>
      </c>
      <c r="S43" t="str">
        <f t="shared" si="1"/>
        <v>XAUUSD</v>
      </c>
      <c r="T43" t="str">
        <f t="shared" si="2"/>
        <v>M5</v>
      </c>
      <c r="U43">
        <f t="shared" si="3"/>
        <v>4665.41</v>
      </c>
      <c r="V43">
        <v>4656.8365400000002</v>
      </c>
      <c r="W43">
        <v>4646.9321600000003</v>
      </c>
      <c r="X43">
        <v>4672.1593700000003</v>
      </c>
      <c r="Y43">
        <v>4666.7230099999997</v>
      </c>
      <c r="Z43">
        <f t="shared" si="4"/>
        <v>4672.8296408333335</v>
      </c>
      <c r="AA43">
        <f t="shared" si="5"/>
        <v>4677.8486199999998</v>
      </c>
      <c r="AB43">
        <f t="shared" si="6"/>
        <v>4631.5009124999997</v>
      </c>
      <c r="AC43">
        <f t="shared" si="7"/>
        <v>4661.1553999999996</v>
      </c>
      <c r="AF43">
        <f t="shared" si="8"/>
        <v>4672.1593700000003</v>
      </c>
      <c r="AG43">
        <f t="shared" si="9"/>
        <v>4672.8296408333335</v>
      </c>
      <c r="AH43">
        <f t="shared" si="10"/>
        <v>4631.5009124999997</v>
      </c>
    </row>
    <row r="44" spans="1:34" x14ac:dyDescent="0.55000000000000004">
      <c r="A44">
        <f>ALGLIB_SSA_XAUUSD!J44</f>
        <v>1775140200</v>
      </c>
      <c r="B44" t="str">
        <f>_xlfn.XLOOKUP($A44,ALGLIB_SSA_XAUUSD!$A$2:$A$1000,ALGLIB_SSA_XAUUSD!$B$2:$B$1000,"",0)</f>
        <v/>
      </c>
      <c r="C44" t="str">
        <f>_xlfn.XLOOKUP($A44,ALGLIB_SSA_XAUUSD!$A$2:$A$1000,ALGLIB_SSA_XAUUSD!$C$2:$C$1000,"",0)</f>
        <v/>
      </c>
      <c r="D44" s="1">
        <f>D38+(D50-D38)*6/12</f>
        <v>4671.1900000000005</v>
      </c>
      <c r="E44" s="1">
        <f>E38+(E50-E38)*6/12</f>
        <v>4657.5101350000004</v>
      </c>
      <c r="F44" s="1">
        <f>F38+(F50-F38)*6/12</f>
        <v>4647.7016050000002</v>
      </c>
      <c r="G44" s="1">
        <f>G38+(G50-G38)*6/12</f>
        <v>4673.399375</v>
      </c>
      <c r="H44" s="1">
        <f>H38+(H50-H38)*6/12</f>
        <v>4632.3356050000002</v>
      </c>
      <c r="I44" t="str">
        <f>_xlfn.XLOOKUP($A44,ALGLIB_SSA_XAUUSD!$J$2:$J$1000,ALGLIB_SSA_XAUUSD!$K$2:$K$1000,"",0)</f>
        <v>XAUUSD</v>
      </c>
      <c r="J44" t="str">
        <f>_xlfn.XLOOKUP($A44,ALGLIB_SSA_XAUUSD!$J$2:$J$1000,ALGLIB_SSA_XAUUSD!$L$2:$L$1000,"",0)</f>
        <v>M5</v>
      </c>
      <c r="K44">
        <f>_xlfn.XLOOKUP($A44,ALGLIB_SSA_XAUUSD!$J$2:$J$1000,ALGLIB_SSA_XAUUSD!$M$2:$M$1000,"",0)</f>
        <v>4670.1099999999997</v>
      </c>
      <c r="L44">
        <f>_xlfn.XLOOKUP($A44,ALGLIB_SSA_XAUUSD!$J$2:$J$1000,ALGLIB_SSA_XAUUSD!$N$2:$N$1000,"",0)</f>
        <v>4677.0682500000003</v>
      </c>
      <c r="M44">
        <f>_xlfn.XLOOKUP($A44,ALGLIB_SSA_XAUUSD!$J$2:$J$1000,ALGLIB_SSA_XAUUSD!$O$2:$O$1000,"",0)</f>
        <v>4671.89563</v>
      </c>
      <c r="N44">
        <f>_xlfn.XLOOKUP($A44,ALGLIB_SSA_XAUUSD!$J$2:$J$1000,ALGLIB_SSA_XAUUSD!$P$2:$P$1000,"",0)</f>
        <v>4682.6741300000003</v>
      </c>
      <c r="O44">
        <f>_xlfn.XLOOKUP($A44,ALGLIB_SSA_XAUUSD!$J$2:$J$1000,ALGLIB_SSA_XAUUSD!$Q$2:$Q$1000,"",0)</f>
        <v>4665.8245699999998</v>
      </c>
      <c r="R44">
        <f t="shared" si="0"/>
        <v>1775140200</v>
      </c>
      <c r="S44" t="str">
        <f t="shared" si="1"/>
        <v>XAUUSD</v>
      </c>
      <c r="T44" t="str">
        <f t="shared" si="2"/>
        <v>M5</v>
      </c>
      <c r="U44">
        <f t="shared" si="3"/>
        <v>4670.1099999999997</v>
      </c>
      <c r="V44">
        <v>4657.5101400000003</v>
      </c>
      <c r="W44">
        <v>4647.7016100000001</v>
      </c>
      <c r="X44">
        <v>4677.0682500000003</v>
      </c>
      <c r="Y44">
        <v>4671.89563</v>
      </c>
      <c r="Z44">
        <f t="shared" si="4"/>
        <v>4673.399375</v>
      </c>
      <c r="AA44">
        <f t="shared" si="5"/>
        <v>4682.6741300000003</v>
      </c>
      <c r="AB44">
        <f t="shared" si="6"/>
        <v>4632.3356050000002</v>
      </c>
      <c r="AC44">
        <f t="shared" si="7"/>
        <v>4665.8245699999998</v>
      </c>
      <c r="AF44">
        <f t="shared" si="8"/>
        <v>4677.0682500000003</v>
      </c>
      <c r="AG44">
        <f t="shared" si="9"/>
        <v>4673.399375</v>
      </c>
      <c r="AH44">
        <f t="shared" si="10"/>
        <v>4632.3356050000002</v>
      </c>
    </row>
    <row r="45" spans="1:34" x14ac:dyDescent="0.55000000000000004">
      <c r="A45">
        <f>ALGLIB_SSA_XAUUSD!J45</f>
        <v>1775140500</v>
      </c>
      <c r="B45" t="str">
        <f>_xlfn.XLOOKUP($A45,ALGLIB_SSA_XAUUSD!$A$2:$A$1000,ALGLIB_SSA_XAUUSD!$B$2:$B$1000,"",0)</f>
        <v/>
      </c>
      <c r="C45" t="str">
        <f>_xlfn.XLOOKUP($A45,ALGLIB_SSA_XAUUSD!$A$2:$A$1000,ALGLIB_SSA_XAUUSD!$C$2:$C$1000,"",0)</f>
        <v/>
      </c>
      <c r="D45" s="1">
        <f>D38+(D50-D38)*7/12</f>
        <v>4669.501666666667</v>
      </c>
      <c r="E45" s="1">
        <f>E38+(E50-E38)*7/12</f>
        <v>4658.1837274999998</v>
      </c>
      <c r="F45" s="1">
        <f>F38+(F50-F38)*7/12</f>
        <v>4648.4710541666664</v>
      </c>
      <c r="G45" s="1">
        <f>G38+(G50-G38)*7/12</f>
        <v>4673.9691091666664</v>
      </c>
      <c r="H45" s="1">
        <f>H38+(H50-H38)*7/12</f>
        <v>4633.1702974999998</v>
      </c>
      <c r="I45" t="str">
        <f>_xlfn.XLOOKUP($A45,ALGLIB_SSA_XAUUSD!$J$2:$J$1000,ALGLIB_SSA_XAUUSD!$K$2:$K$1000,"",0)</f>
        <v>XAUUSD</v>
      </c>
      <c r="J45" t="str">
        <f>_xlfn.XLOOKUP($A45,ALGLIB_SSA_XAUUSD!$J$2:$J$1000,ALGLIB_SSA_XAUUSD!$L$2:$L$1000,"",0)</f>
        <v>M5</v>
      </c>
      <c r="K45">
        <f>_xlfn.XLOOKUP($A45,ALGLIB_SSA_XAUUSD!$J$2:$J$1000,ALGLIB_SSA_XAUUSD!$M$2:$M$1000,"",0)</f>
        <v>4687.83</v>
      </c>
      <c r="L45">
        <f>_xlfn.XLOOKUP($A45,ALGLIB_SSA_XAUUSD!$J$2:$J$1000,ALGLIB_SSA_XAUUSD!$N$2:$N$1000,"",0)</f>
        <v>4681.2691500000001</v>
      </c>
      <c r="M45">
        <f>_xlfn.XLOOKUP($A45,ALGLIB_SSA_XAUUSD!$J$2:$J$1000,ALGLIB_SSA_XAUUSD!$O$2:$O$1000,"",0)</f>
        <v>4676.5823899999996</v>
      </c>
      <c r="N45">
        <f>_xlfn.XLOOKUP($A45,ALGLIB_SSA_XAUUSD!$J$2:$J$1000,ALGLIB_SSA_XAUUSD!$P$2:$P$1000,"",0)</f>
        <v>4687.0213899999999</v>
      </c>
      <c r="O45">
        <f>_xlfn.XLOOKUP($A45,ALGLIB_SSA_XAUUSD!$J$2:$J$1000,ALGLIB_SSA_XAUUSD!$Q$2:$Q$1000,"",0)</f>
        <v>4670.0658800000001</v>
      </c>
      <c r="R45">
        <f t="shared" si="0"/>
        <v>1775140500</v>
      </c>
      <c r="S45" t="str">
        <f t="shared" si="1"/>
        <v>XAUUSD</v>
      </c>
      <c r="T45" t="str">
        <f t="shared" si="2"/>
        <v>M5</v>
      </c>
      <c r="U45">
        <f t="shared" si="3"/>
        <v>4687.83</v>
      </c>
      <c r="V45">
        <v>4658.1837299999997</v>
      </c>
      <c r="W45">
        <v>4648.4710500000001</v>
      </c>
      <c r="X45">
        <v>4681.2691500000001</v>
      </c>
      <c r="Y45">
        <v>4676.5823899999996</v>
      </c>
      <c r="Z45">
        <f t="shared" si="4"/>
        <v>4673.9691091666664</v>
      </c>
      <c r="AA45">
        <f t="shared" si="5"/>
        <v>4687.0213899999999</v>
      </c>
      <c r="AB45">
        <f t="shared" si="6"/>
        <v>4633.1702974999998</v>
      </c>
      <c r="AC45">
        <f t="shared" si="7"/>
        <v>4670.0658800000001</v>
      </c>
      <c r="AF45">
        <f t="shared" si="8"/>
        <v>4681.2691500000001</v>
      </c>
      <c r="AG45">
        <f t="shared" si="9"/>
        <v>4673.9691091666664</v>
      </c>
      <c r="AH45">
        <f t="shared" si="10"/>
        <v>4633.1702974999998</v>
      </c>
    </row>
    <row r="46" spans="1:34" x14ac:dyDescent="0.55000000000000004">
      <c r="A46">
        <f>ALGLIB_SSA_XAUUSD!J46</f>
        <v>1775140800</v>
      </c>
      <c r="B46" t="str">
        <f>_xlfn.XLOOKUP($A46,ALGLIB_SSA_XAUUSD!$A$2:$A$1000,ALGLIB_SSA_XAUUSD!$B$2:$B$1000,"",0)</f>
        <v/>
      </c>
      <c r="C46" t="str">
        <f>_xlfn.XLOOKUP($A46,ALGLIB_SSA_XAUUSD!$A$2:$A$1000,ALGLIB_SSA_XAUUSD!$C$2:$C$1000,"",0)</f>
        <v/>
      </c>
      <c r="D46" s="1">
        <f>D38+(D50-D38)*8/12</f>
        <v>4667.8133333333335</v>
      </c>
      <c r="E46" s="1">
        <f>E38+(E50-E38)*8/12</f>
        <v>4658.8573200000001</v>
      </c>
      <c r="F46" s="1">
        <f>F38+(F50-F38)*8/12</f>
        <v>4649.2405033333334</v>
      </c>
      <c r="G46" s="1">
        <f>G38+(G50-G38)*8/12</f>
        <v>4674.5388433333337</v>
      </c>
      <c r="H46" s="1">
        <f>H38+(H50-H38)*8/12</f>
        <v>4634.0049899999995</v>
      </c>
      <c r="I46" t="str">
        <f>_xlfn.XLOOKUP($A46,ALGLIB_SSA_XAUUSD!$J$2:$J$1000,ALGLIB_SSA_XAUUSD!$K$2:$K$1000,"",0)</f>
        <v>XAUUSD</v>
      </c>
      <c r="J46" t="str">
        <f>_xlfn.XLOOKUP($A46,ALGLIB_SSA_XAUUSD!$J$2:$J$1000,ALGLIB_SSA_XAUUSD!$L$2:$L$1000,"",0)</f>
        <v>M5</v>
      </c>
      <c r="K46">
        <f>_xlfn.XLOOKUP($A46,ALGLIB_SSA_XAUUSD!$J$2:$J$1000,ALGLIB_SSA_XAUUSD!$M$2:$M$1000,"",0)</f>
        <v>4693.91</v>
      </c>
      <c r="L46">
        <f>_xlfn.XLOOKUP($A46,ALGLIB_SSA_XAUUSD!$J$2:$J$1000,ALGLIB_SSA_XAUUSD!$N$2:$N$1000,"",0)</f>
        <v>4683.9654399999999</v>
      </c>
      <c r="M46">
        <f>_xlfn.XLOOKUP($A46,ALGLIB_SSA_XAUUSD!$J$2:$J$1000,ALGLIB_SSA_XAUUSD!$O$2:$O$1000,"",0)</f>
        <v>4680.2739199999996</v>
      </c>
      <c r="N46">
        <f>_xlfn.XLOOKUP($A46,ALGLIB_SSA_XAUUSD!$J$2:$J$1000,ALGLIB_SSA_XAUUSD!$P$2:$P$1000,"",0)</f>
        <v>4690.0123800000001</v>
      </c>
      <c r="O46">
        <f>_xlfn.XLOOKUP($A46,ALGLIB_SSA_XAUUSD!$J$2:$J$1000,ALGLIB_SSA_XAUUSD!$Q$2:$Q$1000,"",0)</f>
        <v>4673.4285</v>
      </c>
      <c r="R46">
        <f t="shared" si="0"/>
        <v>1775140800</v>
      </c>
      <c r="S46" t="str">
        <f t="shared" si="1"/>
        <v>XAUUSD</v>
      </c>
      <c r="T46" t="str">
        <f t="shared" si="2"/>
        <v>M5</v>
      </c>
      <c r="U46">
        <f t="shared" si="3"/>
        <v>4693.91</v>
      </c>
      <c r="V46">
        <v>4658.8573200000001</v>
      </c>
      <c r="W46">
        <v>4649.2404999999999</v>
      </c>
      <c r="X46">
        <v>4683.9654399999999</v>
      </c>
      <c r="Y46">
        <v>4680.2739199999996</v>
      </c>
      <c r="Z46">
        <f t="shared" si="4"/>
        <v>4674.5388433333337</v>
      </c>
      <c r="AA46">
        <f t="shared" si="5"/>
        <v>4690.0123800000001</v>
      </c>
      <c r="AB46">
        <f t="shared" si="6"/>
        <v>4634.0049899999995</v>
      </c>
      <c r="AC46">
        <f t="shared" si="7"/>
        <v>4673.4285</v>
      </c>
      <c r="AF46">
        <f t="shared" si="8"/>
        <v>4683.9654399999999</v>
      </c>
      <c r="AG46">
        <f t="shared" si="9"/>
        <v>4674.5388433333337</v>
      </c>
      <c r="AH46">
        <f t="shared" si="10"/>
        <v>4634.0049899999995</v>
      </c>
    </row>
    <row r="47" spans="1:34" x14ac:dyDescent="0.55000000000000004">
      <c r="A47">
        <f>ALGLIB_SSA_XAUUSD!J47</f>
        <v>1775141100</v>
      </c>
      <c r="B47" t="str">
        <f>_xlfn.XLOOKUP($A47,ALGLIB_SSA_XAUUSD!$A$2:$A$1000,ALGLIB_SSA_XAUUSD!$B$2:$B$1000,"",0)</f>
        <v/>
      </c>
      <c r="C47" t="str">
        <f>_xlfn.XLOOKUP($A47,ALGLIB_SSA_XAUUSD!$A$2:$A$1000,ALGLIB_SSA_XAUUSD!$C$2:$C$1000,"",0)</f>
        <v/>
      </c>
      <c r="D47" s="1">
        <f>D38+(D50-D38)*9/12</f>
        <v>4666.125</v>
      </c>
      <c r="E47" s="1">
        <f>E38+(E50-E38)*9/12</f>
        <v>4659.5309125000003</v>
      </c>
      <c r="F47" s="1">
        <f>F38+(F50-F38)*9/12</f>
        <v>4650.0099524999996</v>
      </c>
      <c r="G47" s="1">
        <f>G38+(G50-G38)*9/12</f>
        <v>4675.1085775000001</v>
      </c>
      <c r="H47" s="1">
        <f>H38+(H50-H38)*9/12</f>
        <v>4634.8396825</v>
      </c>
      <c r="I47" t="str">
        <f>_xlfn.XLOOKUP($A47,ALGLIB_SSA_XAUUSD!$J$2:$J$1000,ALGLIB_SSA_XAUUSD!$K$2:$K$1000,"",0)</f>
        <v>XAUUSD</v>
      </c>
      <c r="J47" t="str">
        <f>_xlfn.XLOOKUP($A47,ALGLIB_SSA_XAUUSD!$J$2:$J$1000,ALGLIB_SSA_XAUUSD!$L$2:$L$1000,"",0)</f>
        <v>M5</v>
      </c>
      <c r="K47">
        <f>_xlfn.XLOOKUP($A47,ALGLIB_SSA_XAUUSD!$J$2:$J$1000,ALGLIB_SSA_XAUUSD!$M$2:$M$1000,"",0)</f>
        <v>4681.08</v>
      </c>
      <c r="L47">
        <f>_xlfn.XLOOKUP($A47,ALGLIB_SSA_XAUUSD!$J$2:$J$1000,ALGLIB_SSA_XAUUSD!$N$2:$N$1000,"",0)</f>
        <v>4684.7864799999998</v>
      </c>
      <c r="M47">
        <f>_xlfn.XLOOKUP($A47,ALGLIB_SSA_XAUUSD!$J$2:$J$1000,ALGLIB_SSA_XAUUSD!$O$2:$O$1000,"",0)</f>
        <v>4682.5302000000001</v>
      </c>
      <c r="N47">
        <f>_xlfn.XLOOKUP($A47,ALGLIB_SSA_XAUUSD!$J$2:$J$1000,ALGLIB_SSA_XAUUSD!$P$2:$P$1000,"",0)</f>
        <v>4691.3216899999998</v>
      </c>
      <c r="O47">
        <f>_xlfn.XLOOKUP($A47,ALGLIB_SSA_XAUUSD!$J$2:$J$1000,ALGLIB_SSA_XAUUSD!$Q$2:$Q$1000,"",0)</f>
        <v>4675.4326700000001</v>
      </c>
      <c r="R47">
        <f t="shared" si="0"/>
        <v>1775141100</v>
      </c>
      <c r="S47" t="str">
        <f t="shared" si="1"/>
        <v>XAUUSD</v>
      </c>
      <c r="T47" t="str">
        <f t="shared" si="2"/>
        <v>M5</v>
      </c>
      <c r="U47">
        <f t="shared" si="3"/>
        <v>4681.08</v>
      </c>
      <c r="V47">
        <v>4659.5309100000004</v>
      </c>
      <c r="W47">
        <v>4650.0099499999997</v>
      </c>
      <c r="X47">
        <v>4684.7864799999998</v>
      </c>
      <c r="Y47">
        <v>4682.5302000000001</v>
      </c>
      <c r="Z47">
        <f t="shared" si="4"/>
        <v>4675.1085775000001</v>
      </c>
      <c r="AA47">
        <f t="shared" si="5"/>
        <v>4691.3216899999998</v>
      </c>
      <c r="AB47">
        <f t="shared" si="6"/>
        <v>4634.8396825</v>
      </c>
      <c r="AC47">
        <f t="shared" si="7"/>
        <v>4675.4326700000001</v>
      </c>
      <c r="AF47">
        <f t="shared" si="8"/>
        <v>4684.7864799999998</v>
      </c>
      <c r="AG47">
        <f t="shared" si="9"/>
        <v>4675.1085775000001</v>
      </c>
      <c r="AH47">
        <f t="shared" si="10"/>
        <v>4634.8396825</v>
      </c>
    </row>
    <row r="48" spans="1:34" x14ac:dyDescent="0.55000000000000004">
      <c r="A48">
        <f>ALGLIB_SSA_XAUUSD!J48</f>
        <v>1775141400</v>
      </c>
      <c r="B48" t="str">
        <f>_xlfn.XLOOKUP($A48,ALGLIB_SSA_XAUUSD!$A$2:$A$1000,ALGLIB_SSA_XAUUSD!$B$2:$B$1000,"",0)</f>
        <v/>
      </c>
      <c r="C48" t="str">
        <f>_xlfn.XLOOKUP($A48,ALGLIB_SSA_XAUUSD!$A$2:$A$1000,ALGLIB_SSA_XAUUSD!$C$2:$C$1000,"",0)</f>
        <v/>
      </c>
      <c r="D48" s="1">
        <f>D38+(D50-D38)*10/12</f>
        <v>4664.4366666666665</v>
      </c>
      <c r="E48" s="1">
        <f>E38+(E50-E38)*10/12</f>
        <v>4660.2045049999997</v>
      </c>
      <c r="F48" s="1">
        <f>F38+(F50-F38)*10/12</f>
        <v>4650.7794016666667</v>
      </c>
      <c r="G48" s="1">
        <f>G38+(G50-G38)*10/12</f>
        <v>4675.6783116666666</v>
      </c>
      <c r="H48" s="1">
        <f>H38+(H50-H38)*10/12</f>
        <v>4635.6743749999996</v>
      </c>
      <c r="I48" t="str">
        <f>_xlfn.XLOOKUP($A48,ALGLIB_SSA_XAUUSD!$J$2:$J$1000,ALGLIB_SSA_XAUUSD!$K$2:$K$1000,"",0)</f>
        <v>XAUUSD</v>
      </c>
      <c r="J48" t="str">
        <f>_xlfn.XLOOKUP($A48,ALGLIB_SSA_XAUUSD!$J$2:$J$1000,ALGLIB_SSA_XAUUSD!$L$2:$L$1000,"",0)</f>
        <v>M5</v>
      </c>
      <c r="K48">
        <f>_xlfn.XLOOKUP($A48,ALGLIB_SSA_XAUUSD!$J$2:$J$1000,ALGLIB_SSA_XAUUSD!$M$2:$M$1000,"",0)</f>
        <v>4683.95</v>
      </c>
      <c r="L48">
        <f>_xlfn.XLOOKUP($A48,ALGLIB_SSA_XAUUSD!$J$2:$J$1000,ALGLIB_SSA_XAUUSD!$N$2:$N$1000,"",0)</f>
        <v>4684.08518</v>
      </c>
      <c r="M48">
        <f>_xlfn.XLOOKUP($A48,ALGLIB_SSA_XAUUSD!$J$2:$J$1000,ALGLIB_SSA_XAUUSD!$O$2:$O$1000,"",0)</f>
        <v>4683.3076899999996</v>
      </c>
      <c r="N48">
        <f>_xlfn.XLOOKUP($A48,ALGLIB_SSA_XAUUSD!$J$2:$J$1000,ALGLIB_SSA_XAUUSD!$P$2:$P$1000,"",0)</f>
        <v>4691.0278500000004</v>
      </c>
      <c r="O48">
        <f>_xlfn.XLOOKUP($A48,ALGLIB_SSA_XAUUSD!$J$2:$J$1000,ALGLIB_SSA_XAUUSD!$Q$2:$Q$1000,"",0)</f>
        <v>4675.9755699999996</v>
      </c>
      <c r="R48">
        <f t="shared" si="0"/>
        <v>1775141400</v>
      </c>
      <c r="S48" t="str">
        <f t="shared" si="1"/>
        <v>XAUUSD</v>
      </c>
      <c r="T48" t="str">
        <f t="shared" si="2"/>
        <v>M5</v>
      </c>
      <c r="U48">
        <f t="shared" si="3"/>
        <v>4683.95</v>
      </c>
      <c r="V48">
        <v>4660.2044999999998</v>
      </c>
      <c r="W48">
        <v>4650.7794000000004</v>
      </c>
      <c r="X48">
        <v>4684.08518</v>
      </c>
      <c r="Y48">
        <v>4683.3076899999996</v>
      </c>
      <c r="Z48">
        <f t="shared" si="4"/>
        <v>4675.6783116666666</v>
      </c>
      <c r="AA48">
        <f t="shared" si="5"/>
        <v>4691.0278500000004</v>
      </c>
      <c r="AB48">
        <f t="shared" si="6"/>
        <v>4635.6743749999996</v>
      </c>
      <c r="AC48">
        <f t="shared" si="7"/>
        <v>4675.9755699999996</v>
      </c>
      <c r="AF48">
        <f t="shared" si="8"/>
        <v>4684.08518</v>
      </c>
      <c r="AG48">
        <f t="shared" si="9"/>
        <v>4675.6783116666666</v>
      </c>
      <c r="AH48">
        <f t="shared" si="10"/>
        <v>4635.6743749999996</v>
      </c>
    </row>
    <row r="49" spans="1:34" x14ac:dyDescent="0.55000000000000004">
      <c r="A49">
        <f>ALGLIB_SSA_XAUUSD!J49</f>
        <v>1775141700</v>
      </c>
      <c r="B49" t="str">
        <f>_xlfn.XLOOKUP($A49,ALGLIB_SSA_XAUUSD!$A$2:$A$1000,ALGLIB_SSA_XAUUSD!$B$2:$B$1000,"",0)</f>
        <v/>
      </c>
      <c r="C49" t="str">
        <f>_xlfn.XLOOKUP($A49,ALGLIB_SSA_XAUUSD!$A$2:$A$1000,ALGLIB_SSA_XAUUSD!$C$2:$C$1000,"",0)</f>
        <v/>
      </c>
      <c r="D49" s="1">
        <f>D38+(D50-D38)*11/12</f>
        <v>4662.7483333333339</v>
      </c>
      <c r="E49" s="1">
        <f>E38+(E50-E38)*11/12</f>
        <v>4660.8780975</v>
      </c>
      <c r="F49" s="1">
        <f>F38+(F50-F38)*11/12</f>
        <v>4651.5488508333328</v>
      </c>
      <c r="G49" s="1">
        <f>G38+(G50-G38)*11/12</f>
        <v>4676.2480458333339</v>
      </c>
      <c r="H49" s="1">
        <f>H38+(H50-H38)*11/12</f>
        <v>4636.5090675000001</v>
      </c>
      <c r="I49" t="str">
        <f>_xlfn.XLOOKUP($A49,ALGLIB_SSA_XAUUSD!$J$2:$J$1000,ALGLIB_SSA_XAUUSD!$K$2:$K$1000,"",0)</f>
        <v>XAUUSD</v>
      </c>
      <c r="J49" t="str">
        <f>_xlfn.XLOOKUP($A49,ALGLIB_SSA_XAUUSD!$J$2:$J$1000,ALGLIB_SSA_XAUUSD!$L$2:$L$1000,"",0)</f>
        <v>M5</v>
      </c>
      <c r="K49">
        <f>_xlfn.XLOOKUP($A49,ALGLIB_SSA_XAUUSD!$J$2:$J$1000,ALGLIB_SSA_XAUUSD!$M$2:$M$1000,"",0)</f>
        <v>4681.32</v>
      </c>
      <c r="L49">
        <f>_xlfn.XLOOKUP($A49,ALGLIB_SSA_XAUUSD!$J$2:$J$1000,ALGLIB_SSA_XAUUSD!$N$2:$N$1000,"",0)</f>
        <v>4682.0227100000002</v>
      </c>
      <c r="M49">
        <f>_xlfn.XLOOKUP($A49,ALGLIB_SSA_XAUUSD!$J$2:$J$1000,ALGLIB_SSA_XAUUSD!$O$2:$O$1000,"",0)</f>
        <v>4682.6652000000004</v>
      </c>
      <c r="N49">
        <f>_xlfn.XLOOKUP($A49,ALGLIB_SSA_XAUUSD!$J$2:$J$1000,ALGLIB_SSA_XAUUSD!$P$2:$P$1000,"",0)</f>
        <v>4689.4954399999997</v>
      </c>
      <c r="O49">
        <f>_xlfn.XLOOKUP($A49,ALGLIB_SSA_XAUUSD!$J$2:$J$1000,ALGLIB_SSA_XAUUSD!$Q$2:$Q$1000,"",0)</f>
        <v>4675.3213500000002</v>
      </c>
      <c r="R49">
        <f t="shared" si="0"/>
        <v>1775141700</v>
      </c>
      <c r="S49" t="str">
        <f t="shared" si="1"/>
        <v>XAUUSD</v>
      </c>
      <c r="T49" t="str">
        <f t="shared" si="2"/>
        <v>M5</v>
      </c>
      <c r="U49">
        <f t="shared" si="3"/>
        <v>4681.32</v>
      </c>
      <c r="V49">
        <v>4660.8780999999999</v>
      </c>
      <c r="W49">
        <v>4651.5488500000001</v>
      </c>
      <c r="X49">
        <v>4682.0227100000002</v>
      </c>
      <c r="Y49">
        <v>4682.6652000000004</v>
      </c>
      <c r="Z49">
        <f t="shared" si="4"/>
        <v>4676.2480458333339</v>
      </c>
      <c r="AA49">
        <f t="shared" si="5"/>
        <v>4689.4954399999997</v>
      </c>
      <c r="AB49">
        <f t="shared" si="6"/>
        <v>4636.5090675000001</v>
      </c>
      <c r="AC49">
        <f t="shared" si="7"/>
        <v>4675.3213500000002</v>
      </c>
      <c r="AF49">
        <f t="shared" si="8"/>
        <v>4682.0227100000002</v>
      </c>
      <c r="AG49">
        <f t="shared" si="9"/>
        <v>4676.2480458333339</v>
      </c>
      <c r="AH49">
        <f t="shared" si="10"/>
        <v>4636.5090675000001</v>
      </c>
    </row>
    <row r="50" spans="1:34" x14ac:dyDescent="0.55000000000000004">
      <c r="A50">
        <f>ALGLIB_SSA_XAUUSD!J50</f>
        <v>1775142000</v>
      </c>
      <c r="B50" t="str">
        <f>_xlfn.XLOOKUP($A50,ALGLIB_SSA_XAUUSD!$A$2:$A$1000,ALGLIB_SSA_XAUUSD!$B$2:$B$1000,"",0)</f>
        <v>XAUUSD</v>
      </c>
      <c r="C50" t="str">
        <f>_xlfn.XLOOKUP($A50,ALGLIB_SSA_XAUUSD!$A$2:$A$1000,ALGLIB_SSA_XAUUSD!$C$2:$C$1000,"",0)</f>
        <v>H1</v>
      </c>
      <c r="D50" s="2">
        <f>_xlfn.XLOOKUP($A50,ALGLIB_SSA_XAUUSD!$A$2:$A$1000,ALGLIB_SSA_XAUUSD!$D$2:$D$1000,"",0)</f>
        <v>4661.0600000000004</v>
      </c>
      <c r="E50" s="2">
        <f>_xlfn.XLOOKUP($A50,ALGLIB_SSA_XAUUSD!$A$2:$A$1000,ALGLIB_SSA_XAUUSD!$E$2:$E$1000,"",0)</f>
        <v>4661.5516900000002</v>
      </c>
      <c r="F50" s="2">
        <f>_xlfn.XLOOKUP($A50,ALGLIB_SSA_XAUUSD!$A$2:$A$1000,ALGLIB_SSA_XAUUSD!$F$2:$F$1000,"",0)</f>
        <v>4652.3182999999999</v>
      </c>
      <c r="G50" s="2">
        <f>_xlfn.XLOOKUP($A50,ALGLIB_SSA_XAUUSD!$A$2:$A$1000,ALGLIB_SSA_XAUUSD!$G$2:$G$1000,"",0)</f>
        <v>4676.8177800000003</v>
      </c>
      <c r="H50" s="2">
        <f>_xlfn.XLOOKUP($A50,ALGLIB_SSA_XAUUSD!$A$2:$A$1000,ALGLIB_SSA_XAUUSD!$H$2:$H$1000,"",0)</f>
        <v>4637.3437599999997</v>
      </c>
      <c r="I50" t="str">
        <f>_xlfn.XLOOKUP($A50,ALGLIB_SSA_XAUUSD!$J$2:$J$1000,ALGLIB_SSA_XAUUSD!$K$2:$K$1000,"",0)</f>
        <v>XAUUSD</v>
      </c>
      <c r="J50" t="str">
        <f>_xlfn.XLOOKUP($A50,ALGLIB_SSA_XAUUSD!$J$2:$J$1000,ALGLIB_SSA_XAUUSD!$L$2:$L$1000,"",0)</f>
        <v>M5</v>
      </c>
      <c r="K50">
        <f>_xlfn.XLOOKUP($A50,ALGLIB_SSA_XAUUSD!$J$2:$J$1000,ALGLIB_SSA_XAUUSD!$M$2:$M$1000,"",0)</f>
        <v>4681.1899999999996</v>
      </c>
      <c r="L50">
        <f>_xlfn.XLOOKUP($A50,ALGLIB_SSA_XAUUSD!$J$2:$J$1000,ALGLIB_SSA_XAUUSD!$N$2:$N$1000,"",0)</f>
        <v>4679.1108100000001</v>
      </c>
      <c r="M50">
        <f>_xlfn.XLOOKUP($A50,ALGLIB_SSA_XAUUSD!$J$2:$J$1000,ALGLIB_SSA_XAUUSD!$O$2:$O$1000,"",0)</f>
        <v>4680.8879999999999</v>
      </c>
      <c r="N50">
        <f>_xlfn.XLOOKUP($A50,ALGLIB_SSA_XAUUSD!$J$2:$J$1000,ALGLIB_SSA_XAUUSD!$P$2:$P$1000,"",0)</f>
        <v>4686.9387999999999</v>
      </c>
      <c r="O50">
        <f>_xlfn.XLOOKUP($A50,ALGLIB_SSA_XAUUSD!$J$2:$J$1000,ALGLIB_SSA_XAUUSD!$Q$2:$Q$1000,"",0)</f>
        <v>4673.5292200000004</v>
      </c>
      <c r="R50">
        <f t="shared" si="0"/>
        <v>1775142000</v>
      </c>
      <c r="S50" t="str">
        <f t="shared" si="1"/>
        <v>XAUUSD</v>
      </c>
      <c r="T50" t="str">
        <f t="shared" si="2"/>
        <v>M5</v>
      </c>
      <c r="U50">
        <f t="shared" si="3"/>
        <v>4681.1899999999996</v>
      </c>
      <c r="V50">
        <v>4661.5516900000002</v>
      </c>
      <c r="W50">
        <v>4652.3182999999999</v>
      </c>
      <c r="X50">
        <v>4679.1108100000001</v>
      </c>
      <c r="Y50">
        <v>4680.8879999999999</v>
      </c>
      <c r="Z50">
        <f t="shared" si="4"/>
        <v>4676.8177800000003</v>
      </c>
      <c r="AA50">
        <f t="shared" si="5"/>
        <v>4686.9387999999999</v>
      </c>
      <c r="AB50">
        <f t="shared" si="6"/>
        <v>4637.3437599999997</v>
      </c>
      <c r="AC50">
        <f t="shared" si="7"/>
        <v>4673.5292200000004</v>
      </c>
      <c r="AF50">
        <f t="shared" si="8"/>
        <v>4679.1108100000001</v>
      </c>
      <c r="AG50">
        <f t="shared" si="9"/>
        <v>4676.8177800000003</v>
      </c>
      <c r="AH50">
        <f t="shared" si="10"/>
        <v>4637.3437599999997</v>
      </c>
    </row>
    <row r="51" spans="1:34" x14ac:dyDescent="0.55000000000000004">
      <c r="A51">
        <f>ALGLIB_SSA_XAUUSD!J51</f>
        <v>1775142300</v>
      </c>
      <c r="B51" t="str">
        <f>_xlfn.XLOOKUP($A51,ALGLIB_SSA_XAUUSD!$A$2:$A$1000,ALGLIB_SSA_XAUUSD!$B$2:$B$1000,"",0)</f>
        <v/>
      </c>
      <c r="C51" t="str">
        <f>_xlfn.XLOOKUP($A51,ALGLIB_SSA_XAUUSD!$A$2:$A$1000,ALGLIB_SSA_XAUUSD!$C$2:$C$1000,"",0)</f>
        <v/>
      </c>
      <c r="D51" s="1">
        <f>D50+(D62-D50)*1/12</f>
        <v>4660.9141666666674</v>
      </c>
      <c r="E51" s="1">
        <f>E50+(E62-E50)*1/12</f>
        <v>4661.9456024999999</v>
      </c>
      <c r="F51" s="1">
        <f>F50+(F62-F50)*1/12</f>
        <v>4652.8999808333328</v>
      </c>
      <c r="G51" s="1">
        <f>G50+(G62-G50)*1/12</f>
        <v>4677.0994774999999</v>
      </c>
      <c r="H51" s="1">
        <f>H50+(H62-H50)*1/12</f>
        <v>4637.9488008333328</v>
      </c>
      <c r="I51" t="str">
        <f>_xlfn.XLOOKUP($A51,ALGLIB_SSA_XAUUSD!$J$2:$J$1000,ALGLIB_SSA_XAUUSD!$K$2:$K$1000,"",0)</f>
        <v>XAUUSD</v>
      </c>
      <c r="J51" t="str">
        <f>_xlfn.XLOOKUP($A51,ALGLIB_SSA_XAUUSD!$J$2:$J$1000,ALGLIB_SSA_XAUUSD!$L$2:$L$1000,"",0)</f>
        <v>M5</v>
      </c>
      <c r="K51">
        <f>_xlfn.XLOOKUP($A51,ALGLIB_SSA_XAUUSD!$J$2:$J$1000,ALGLIB_SSA_XAUUSD!$M$2:$M$1000,"",0)</f>
        <v>4670.99</v>
      </c>
      <c r="L51">
        <f>_xlfn.XLOOKUP($A51,ALGLIB_SSA_XAUUSD!$J$2:$J$1000,ALGLIB_SSA_XAUUSD!$N$2:$N$1000,"",0)</f>
        <v>4675.8693700000003</v>
      </c>
      <c r="M51">
        <f>_xlfn.XLOOKUP($A51,ALGLIB_SSA_XAUUSD!$J$2:$J$1000,ALGLIB_SSA_XAUUSD!$O$2:$O$1000,"",0)</f>
        <v>4678.3786899999996</v>
      </c>
      <c r="N51">
        <f>_xlfn.XLOOKUP($A51,ALGLIB_SSA_XAUUSD!$J$2:$J$1000,ALGLIB_SSA_XAUUSD!$P$2:$P$1000,"",0)</f>
        <v>4683.9488000000001</v>
      </c>
      <c r="O51">
        <f>_xlfn.XLOOKUP($A51,ALGLIB_SSA_XAUUSD!$J$2:$J$1000,ALGLIB_SSA_XAUUSD!$Q$2:$Q$1000,"",0)</f>
        <v>4671.24406</v>
      </c>
      <c r="R51">
        <f t="shared" si="0"/>
        <v>1775142300</v>
      </c>
      <c r="S51" t="str">
        <f t="shared" si="1"/>
        <v>XAUUSD</v>
      </c>
      <c r="T51" t="str">
        <f t="shared" si="2"/>
        <v>M5</v>
      </c>
      <c r="U51">
        <f t="shared" si="3"/>
        <v>4670.99</v>
      </c>
      <c r="V51">
        <v>4661.9456</v>
      </c>
      <c r="W51">
        <v>4652.8999800000001</v>
      </c>
      <c r="X51">
        <v>4675.8693700000003</v>
      </c>
      <c r="Y51">
        <v>4678.3786899999996</v>
      </c>
      <c r="Z51">
        <f t="shared" si="4"/>
        <v>4677.0994774999999</v>
      </c>
      <c r="AA51">
        <f t="shared" si="5"/>
        <v>4683.9488000000001</v>
      </c>
      <c r="AB51">
        <f t="shared" si="6"/>
        <v>4637.9488008333328</v>
      </c>
      <c r="AC51">
        <f t="shared" si="7"/>
        <v>4671.24406</v>
      </c>
      <c r="AF51">
        <f t="shared" si="8"/>
        <v>4675.8693700000003</v>
      </c>
      <c r="AG51">
        <f t="shared" si="9"/>
        <v>4677.0994774999999</v>
      </c>
      <c r="AH51">
        <f t="shared" si="10"/>
        <v>4637.9488008333328</v>
      </c>
    </row>
    <row r="52" spans="1:34" x14ac:dyDescent="0.55000000000000004">
      <c r="A52">
        <f>ALGLIB_SSA_XAUUSD!J52</f>
        <v>1775142600</v>
      </c>
      <c r="B52" t="str">
        <f>_xlfn.XLOOKUP($A52,ALGLIB_SSA_XAUUSD!$A$2:$A$1000,ALGLIB_SSA_XAUUSD!$B$2:$B$1000,"",0)</f>
        <v/>
      </c>
      <c r="C52" t="str">
        <f>_xlfn.XLOOKUP($A52,ALGLIB_SSA_XAUUSD!$A$2:$A$1000,ALGLIB_SSA_XAUUSD!$C$2:$C$1000,"",0)</f>
        <v/>
      </c>
      <c r="D52" s="1">
        <f>D50+(D62-D50)*2/12</f>
        <v>4660.7683333333334</v>
      </c>
      <c r="E52" s="1">
        <f>E50+(E62-E50)*2/12</f>
        <v>4662.3395150000006</v>
      </c>
      <c r="F52" s="1">
        <f>F50+(F62-F50)*2/12</f>
        <v>4653.4816616666667</v>
      </c>
      <c r="G52" s="1">
        <f>G50+(G62-G50)*2/12</f>
        <v>4677.3811750000004</v>
      </c>
      <c r="H52" s="1">
        <f>H50+(H62-H50)*2/12</f>
        <v>4638.5538416666668</v>
      </c>
      <c r="I52" t="str">
        <f>_xlfn.XLOOKUP($A52,ALGLIB_SSA_XAUUSD!$J$2:$J$1000,ALGLIB_SSA_XAUUSD!$K$2:$K$1000,"",0)</f>
        <v>XAUUSD</v>
      </c>
      <c r="J52" t="str">
        <f>_xlfn.XLOOKUP($A52,ALGLIB_SSA_XAUUSD!$J$2:$J$1000,ALGLIB_SSA_XAUUSD!$L$2:$L$1000,"",0)</f>
        <v>M5</v>
      </c>
      <c r="K52">
        <f>_xlfn.XLOOKUP($A52,ALGLIB_SSA_XAUUSD!$J$2:$J$1000,ALGLIB_SSA_XAUUSD!$M$2:$M$1000,"",0)</f>
        <v>4672.3599999999997</v>
      </c>
      <c r="L52">
        <f>_xlfn.XLOOKUP($A52,ALGLIB_SSA_XAUUSD!$J$2:$J$1000,ALGLIB_SSA_XAUUSD!$N$2:$N$1000,"",0)</f>
        <v>4673.0270499999997</v>
      </c>
      <c r="M52">
        <f>_xlfn.XLOOKUP($A52,ALGLIB_SSA_XAUUSD!$J$2:$J$1000,ALGLIB_SSA_XAUUSD!$O$2:$O$1000,"",0)</f>
        <v>4675.7028700000001</v>
      </c>
      <c r="N52">
        <f>_xlfn.XLOOKUP($A52,ALGLIB_SSA_XAUUSD!$J$2:$J$1000,ALGLIB_SSA_XAUUSD!$P$2:$P$1000,"",0)</f>
        <v>4680.9776700000002</v>
      </c>
      <c r="O52">
        <f>_xlfn.XLOOKUP($A52,ALGLIB_SSA_XAUUSD!$J$2:$J$1000,ALGLIB_SSA_XAUUSD!$Q$2:$Q$1000,"",0)</f>
        <v>4668.9176399999997</v>
      </c>
      <c r="R52">
        <f t="shared" si="0"/>
        <v>1775142600</v>
      </c>
      <c r="S52" t="str">
        <f t="shared" si="1"/>
        <v>XAUUSD</v>
      </c>
      <c r="T52" t="str">
        <f t="shared" si="2"/>
        <v>M5</v>
      </c>
      <c r="U52">
        <f t="shared" si="3"/>
        <v>4672.3599999999997</v>
      </c>
      <c r="V52">
        <v>4662.3395200000004</v>
      </c>
      <c r="W52">
        <v>4653.4816600000004</v>
      </c>
      <c r="X52">
        <v>4673.0270499999997</v>
      </c>
      <c r="Y52">
        <v>4675.7028700000001</v>
      </c>
      <c r="Z52">
        <f t="shared" si="4"/>
        <v>4677.3811750000004</v>
      </c>
      <c r="AA52">
        <f t="shared" si="5"/>
        <v>4680.9776700000002</v>
      </c>
      <c r="AB52">
        <f t="shared" si="6"/>
        <v>4638.5538416666668</v>
      </c>
      <c r="AC52">
        <f t="shared" si="7"/>
        <v>4668.9176399999997</v>
      </c>
      <c r="AF52">
        <f t="shared" si="8"/>
        <v>4673.0270499999997</v>
      </c>
      <c r="AG52">
        <f t="shared" si="9"/>
        <v>4677.3811750000004</v>
      </c>
      <c r="AH52">
        <f t="shared" si="10"/>
        <v>4638.5538416666668</v>
      </c>
    </row>
    <row r="53" spans="1:34" x14ac:dyDescent="0.55000000000000004">
      <c r="A53">
        <f>ALGLIB_SSA_XAUUSD!J53</f>
        <v>1775142900</v>
      </c>
      <c r="B53" t="str">
        <f>_xlfn.XLOOKUP($A53,ALGLIB_SSA_XAUUSD!$A$2:$A$1000,ALGLIB_SSA_XAUUSD!$B$2:$B$1000,"",0)</f>
        <v/>
      </c>
      <c r="C53" t="str">
        <f>_xlfn.XLOOKUP($A53,ALGLIB_SSA_XAUUSD!$A$2:$A$1000,ALGLIB_SSA_XAUUSD!$C$2:$C$1000,"",0)</f>
        <v/>
      </c>
      <c r="D53" s="1">
        <f>D50+(D62-D50)*3/12</f>
        <v>4660.6225000000004</v>
      </c>
      <c r="E53" s="1">
        <f>E50+(E62-E50)*3/12</f>
        <v>4662.7334275000003</v>
      </c>
      <c r="F53" s="1">
        <f>F50+(F62-F50)*3/12</f>
        <v>4654.0633424999996</v>
      </c>
      <c r="G53" s="1">
        <f>G50+(G62-G50)*3/12</f>
        <v>4677.6628725</v>
      </c>
      <c r="H53" s="1">
        <f>H50+(H62-H50)*3/12</f>
        <v>4639.1588824999999</v>
      </c>
      <c r="I53" t="str">
        <f>_xlfn.XLOOKUP($A53,ALGLIB_SSA_XAUUSD!$J$2:$J$1000,ALGLIB_SSA_XAUUSD!$K$2:$K$1000,"",0)</f>
        <v>XAUUSD</v>
      </c>
      <c r="J53" t="str">
        <f>_xlfn.XLOOKUP($A53,ALGLIB_SSA_XAUUSD!$J$2:$J$1000,ALGLIB_SSA_XAUUSD!$L$2:$L$1000,"",0)</f>
        <v>M5</v>
      </c>
      <c r="K53">
        <f>_xlfn.XLOOKUP($A53,ALGLIB_SSA_XAUUSD!$J$2:$J$1000,ALGLIB_SSA_XAUUSD!$M$2:$M$1000,"",0)</f>
        <v>4672.5600000000004</v>
      </c>
      <c r="L53">
        <f>_xlfn.XLOOKUP($A53,ALGLIB_SSA_XAUUSD!$J$2:$J$1000,ALGLIB_SSA_XAUUSD!$N$2:$N$1000,"",0)</f>
        <v>4670.8543600000003</v>
      </c>
      <c r="M53">
        <f>_xlfn.XLOOKUP($A53,ALGLIB_SSA_XAUUSD!$J$2:$J$1000,ALGLIB_SSA_XAUUSD!$O$2:$O$1000,"",0)</f>
        <v>4673.2786100000003</v>
      </c>
      <c r="N53">
        <f>_xlfn.XLOOKUP($A53,ALGLIB_SSA_XAUUSD!$J$2:$J$1000,ALGLIB_SSA_XAUUSD!$P$2:$P$1000,"",0)</f>
        <v>4678.3622599999999</v>
      </c>
      <c r="O53">
        <f>_xlfn.XLOOKUP($A53,ALGLIB_SSA_XAUUSD!$J$2:$J$1000,ALGLIB_SSA_XAUUSD!$Q$2:$Q$1000,"",0)</f>
        <v>4666.8237600000002</v>
      </c>
      <c r="R53">
        <f t="shared" si="0"/>
        <v>1775142900</v>
      </c>
      <c r="S53" t="str">
        <f t="shared" si="1"/>
        <v>XAUUSD</v>
      </c>
      <c r="T53" t="str">
        <f t="shared" si="2"/>
        <v>M5</v>
      </c>
      <c r="U53">
        <f t="shared" si="3"/>
        <v>4672.5600000000004</v>
      </c>
      <c r="V53">
        <v>4662.7334300000002</v>
      </c>
      <c r="W53">
        <v>4654.0633399999997</v>
      </c>
      <c r="X53">
        <v>4670.8543600000003</v>
      </c>
      <c r="Y53">
        <v>4673.2786100000003</v>
      </c>
      <c r="Z53">
        <f t="shared" si="4"/>
        <v>4677.6628725</v>
      </c>
      <c r="AA53">
        <f t="shared" si="5"/>
        <v>4678.3622599999999</v>
      </c>
      <c r="AB53">
        <f t="shared" si="6"/>
        <v>4639.1588824999999</v>
      </c>
      <c r="AC53">
        <f t="shared" si="7"/>
        <v>4666.8237600000002</v>
      </c>
      <c r="AF53">
        <f t="shared" si="8"/>
        <v>4670.8543600000003</v>
      </c>
      <c r="AG53">
        <f t="shared" si="9"/>
        <v>4677.6628725</v>
      </c>
      <c r="AH53">
        <f t="shared" si="10"/>
        <v>4639.1588824999999</v>
      </c>
    </row>
    <row r="54" spans="1:34" x14ac:dyDescent="0.55000000000000004">
      <c r="A54">
        <f>ALGLIB_SSA_XAUUSD!J54</f>
        <v>1775143200</v>
      </c>
      <c r="B54" t="str">
        <f>_xlfn.XLOOKUP($A54,ALGLIB_SSA_XAUUSD!$A$2:$A$1000,ALGLIB_SSA_XAUUSD!$B$2:$B$1000,"",0)</f>
        <v/>
      </c>
      <c r="C54" t="str">
        <f>_xlfn.XLOOKUP($A54,ALGLIB_SSA_XAUUSD!$A$2:$A$1000,ALGLIB_SSA_XAUUSD!$C$2:$C$1000,"",0)</f>
        <v/>
      </c>
      <c r="D54" s="1">
        <f>D50+(D62-D50)*4/12</f>
        <v>4660.4766666666674</v>
      </c>
      <c r="E54" s="1">
        <f>E50+(E62-E50)*4/12</f>
        <v>4663.12734</v>
      </c>
      <c r="F54" s="1">
        <f>F50+(F62-F50)*4/12</f>
        <v>4654.6450233333335</v>
      </c>
      <c r="G54" s="1">
        <f>G50+(G62-G50)*4/12</f>
        <v>4677.9445700000006</v>
      </c>
      <c r="H54" s="1">
        <f>H50+(H62-H50)*4/12</f>
        <v>4639.763923333333</v>
      </c>
      <c r="I54" t="str">
        <f>_xlfn.XLOOKUP($A54,ALGLIB_SSA_XAUUSD!$J$2:$J$1000,ALGLIB_SSA_XAUUSD!$K$2:$K$1000,"",0)</f>
        <v>XAUUSD</v>
      </c>
      <c r="J54" t="str">
        <f>_xlfn.XLOOKUP($A54,ALGLIB_SSA_XAUUSD!$J$2:$J$1000,ALGLIB_SSA_XAUUSD!$L$2:$L$1000,"",0)</f>
        <v>M5</v>
      </c>
      <c r="K54">
        <f>_xlfn.XLOOKUP($A54,ALGLIB_SSA_XAUUSD!$J$2:$J$1000,ALGLIB_SSA_XAUUSD!$M$2:$M$1000,"",0)</f>
        <v>4662.04</v>
      </c>
      <c r="L54">
        <f>_xlfn.XLOOKUP($A54,ALGLIB_SSA_XAUUSD!$J$2:$J$1000,ALGLIB_SSA_XAUUSD!$N$2:$N$1000,"",0)</f>
        <v>4669.4333800000004</v>
      </c>
      <c r="M54">
        <f>_xlfn.XLOOKUP($A54,ALGLIB_SSA_XAUUSD!$J$2:$J$1000,ALGLIB_SSA_XAUUSD!$O$2:$O$1000,"",0)</f>
        <v>4671.3559999999998</v>
      </c>
      <c r="N54">
        <f>_xlfn.XLOOKUP($A54,ALGLIB_SSA_XAUUSD!$J$2:$J$1000,ALGLIB_SSA_XAUUSD!$P$2:$P$1000,"",0)</f>
        <v>4676.1981299999998</v>
      </c>
      <c r="O54">
        <f>_xlfn.XLOOKUP($A54,ALGLIB_SSA_XAUUSD!$J$2:$J$1000,ALGLIB_SSA_XAUUSD!$Q$2:$Q$1000,"",0)</f>
        <v>4665.0741500000004</v>
      </c>
      <c r="R54">
        <f t="shared" si="0"/>
        <v>1775143200</v>
      </c>
      <c r="S54" t="str">
        <f t="shared" si="1"/>
        <v>XAUUSD</v>
      </c>
      <c r="T54" t="str">
        <f t="shared" si="2"/>
        <v>M5</v>
      </c>
      <c r="U54">
        <f t="shared" si="3"/>
        <v>4662.04</v>
      </c>
      <c r="V54">
        <v>4663.12734</v>
      </c>
      <c r="W54">
        <v>4654.6450199999999</v>
      </c>
      <c r="X54">
        <v>4669.4333800000004</v>
      </c>
      <c r="Y54">
        <v>4671.3559999999998</v>
      </c>
      <c r="Z54">
        <f t="shared" si="4"/>
        <v>4677.9445700000006</v>
      </c>
      <c r="AA54">
        <f t="shared" si="5"/>
        <v>4676.1981299999998</v>
      </c>
      <c r="AB54">
        <f t="shared" si="6"/>
        <v>4639.763923333333</v>
      </c>
      <c r="AC54">
        <f t="shared" si="7"/>
        <v>4665.0741500000004</v>
      </c>
      <c r="AF54">
        <f t="shared" si="8"/>
        <v>4669.4333800000004</v>
      </c>
      <c r="AG54">
        <f t="shared" si="9"/>
        <v>4677.9445700000006</v>
      </c>
      <c r="AH54">
        <f t="shared" si="10"/>
        <v>4639.763923333333</v>
      </c>
    </row>
    <row r="55" spans="1:34" x14ac:dyDescent="0.55000000000000004">
      <c r="A55">
        <f>ALGLIB_SSA_XAUUSD!J55</f>
        <v>1775143500</v>
      </c>
      <c r="B55" t="str">
        <f>_xlfn.XLOOKUP($A55,ALGLIB_SSA_XAUUSD!$A$2:$A$1000,ALGLIB_SSA_XAUUSD!$B$2:$B$1000,"",0)</f>
        <v/>
      </c>
      <c r="C55" t="str">
        <f>_xlfn.XLOOKUP($A55,ALGLIB_SSA_XAUUSD!$A$2:$A$1000,ALGLIB_SSA_XAUUSD!$C$2:$C$1000,"",0)</f>
        <v/>
      </c>
      <c r="D55" s="1">
        <f>D50+(D62-D50)*5/12</f>
        <v>4660.3308333333334</v>
      </c>
      <c r="E55" s="1">
        <f>E50+(E62-E50)*5/12</f>
        <v>4663.5212525000006</v>
      </c>
      <c r="F55" s="1">
        <f>F50+(F62-F50)*5/12</f>
        <v>4655.2267041666664</v>
      </c>
      <c r="G55" s="1">
        <f>G50+(G62-G50)*5/12</f>
        <v>4678.2262675000002</v>
      </c>
      <c r="H55" s="1">
        <f>H50+(H62-H50)*5/12</f>
        <v>4640.368964166667</v>
      </c>
      <c r="I55" t="str">
        <f>_xlfn.XLOOKUP($A55,ALGLIB_SSA_XAUUSD!$J$2:$J$1000,ALGLIB_SSA_XAUUSD!$K$2:$K$1000,"",0)</f>
        <v>XAUUSD</v>
      </c>
      <c r="J55" t="str">
        <f>_xlfn.XLOOKUP($A55,ALGLIB_SSA_XAUUSD!$J$2:$J$1000,ALGLIB_SSA_XAUUSD!$L$2:$L$1000,"",0)</f>
        <v>M5</v>
      </c>
      <c r="K55">
        <f>_xlfn.XLOOKUP($A55,ALGLIB_SSA_XAUUSD!$J$2:$J$1000,ALGLIB_SSA_XAUUSD!$M$2:$M$1000,"",0)</f>
        <v>4672.5</v>
      </c>
      <c r="L55">
        <f>_xlfn.XLOOKUP($A55,ALGLIB_SSA_XAUUSD!$J$2:$J$1000,ALGLIB_SSA_XAUUSD!$N$2:$N$1000,"",0)</f>
        <v>4668.8660399999999</v>
      </c>
      <c r="M55">
        <f>_xlfn.XLOOKUP($A55,ALGLIB_SSA_XAUUSD!$J$2:$J$1000,ALGLIB_SSA_XAUUSD!$O$2:$O$1000,"",0)</f>
        <v>4670.1110200000003</v>
      </c>
      <c r="N55">
        <f>_xlfn.XLOOKUP($A55,ALGLIB_SSA_XAUUSD!$J$2:$J$1000,ALGLIB_SSA_XAUUSD!$P$2:$P$1000,"",0)</f>
        <v>4674.6620599999997</v>
      </c>
      <c r="O55">
        <f>_xlfn.XLOOKUP($A55,ALGLIB_SSA_XAUUSD!$J$2:$J$1000,ALGLIB_SSA_XAUUSD!$Q$2:$Q$1000,"",0)</f>
        <v>4663.9517900000001</v>
      </c>
      <c r="R55">
        <f t="shared" si="0"/>
        <v>1775143500</v>
      </c>
      <c r="S55" t="str">
        <f t="shared" si="1"/>
        <v>XAUUSD</v>
      </c>
      <c r="T55" t="str">
        <f t="shared" si="2"/>
        <v>M5</v>
      </c>
      <c r="U55">
        <f t="shared" si="3"/>
        <v>4672.5</v>
      </c>
      <c r="V55">
        <v>4663.5212499999998</v>
      </c>
      <c r="W55">
        <v>4655.2267000000002</v>
      </c>
      <c r="X55">
        <v>4668.8660399999999</v>
      </c>
      <c r="Y55">
        <v>4670.1110200000003</v>
      </c>
      <c r="Z55">
        <f t="shared" si="4"/>
        <v>4678.2262675000002</v>
      </c>
      <c r="AA55">
        <f t="shared" si="5"/>
        <v>4674.6620599999997</v>
      </c>
      <c r="AB55">
        <f t="shared" si="6"/>
        <v>4640.368964166667</v>
      </c>
      <c r="AC55">
        <f t="shared" si="7"/>
        <v>4663.9517900000001</v>
      </c>
      <c r="AF55">
        <f t="shared" si="8"/>
        <v>4668.8660399999999</v>
      </c>
      <c r="AG55">
        <f t="shared" si="9"/>
        <v>4678.2262675000002</v>
      </c>
      <c r="AH55">
        <f t="shared" si="10"/>
        <v>4640.368964166667</v>
      </c>
    </row>
    <row r="56" spans="1:34" x14ac:dyDescent="0.55000000000000004">
      <c r="A56">
        <f>ALGLIB_SSA_XAUUSD!J56</f>
        <v>1775143800</v>
      </c>
      <c r="B56" t="str">
        <f>_xlfn.XLOOKUP($A56,ALGLIB_SSA_XAUUSD!$A$2:$A$1000,ALGLIB_SSA_XAUUSD!$B$2:$B$1000,"",0)</f>
        <v/>
      </c>
      <c r="C56" t="str">
        <f>_xlfn.XLOOKUP($A56,ALGLIB_SSA_XAUUSD!$A$2:$A$1000,ALGLIB_SSA_XAUUSD!$C$2:$C$1000,"",0)</f>
        <v/>
      </c>
      <c r="D56" s="1">
        <f>D50+(D62-D50)*6/12</f>
        <v>4660.1850000000004</v>
      </c>
      <c r="E56" s="1">
        <f>E50+(E62-E50)*6/12</f>
        <v>4663.9151650000003</v>
      </c>
      <c r="F56" s="1">
        <f>F50+(F62-F50)*6/12</f>
        <v>4655.8083850000003</v>
      </c>
      <c r="G56" s="1">
        <f>G50+(G62-G50)*6/12</f>
        <v>4678.5079650000007</v>
      </c>
      <c r="H56" s="1">
        <f>H50+(H62-H50)*6/12</f>
        <v>4640.974005</v>
      </c>
      <c r="I56" t="str">
        <f>_xlfn.XLOOKUP($A56,ALGLIB_SSA_XAUUSD!$J$2:$J$1000,ALGLIB_SSA_XAUUSD!$K$2:$K$1000,"",0)</f>
        <v>XAUUSD</v>
      </c>
      <c r="J56" t="str">
        <f>_xlfn.XLOOKUP($A56,ALGLIB_SSA_XAUUSD!$J$2:$J$1000,ALGLIB_SSA_XAUUSD!$L$2:$L$1000,"",0)</f>
        <v>M5</v>
      </c>
      <c r="K56">
        <f>_xlfn.XLOOKUP($A56,ALGLIB_SSA_XAUUSD!$J$2:$J$1000,ALGLIB_SSA_XAUUSD!$M$2:$M$1000,"",0)</f>
        <v>4675.2</v>
      </c>
      <c r="L56">
        <f>_xlfn.XLOOKUP($A56,ALGLIB_SSA_XAUUSD!$J$2:$J$1000,ALGLIB_SSA_XAUUSD!$N$2:$N$1000,"",0)</f>
        <v>4668.5552200000002</v>
      </c>
      <c r="M56">
        <f>_xlfn.XLOOKUP($A56,ALGLIB_SSA_XAUUSD!$J$2:$J$1000,ALGLIB_SSA_XAUUSD!$O$2:$O$1000,"",0)</f>
        <v>4669.3331200000002</v>
      </c>
      <c r="N56">
        <f>_xlfn.XLOOKUP($A56,ALGLIB_SSA_XAUUSD!$J$2:$J$1000,ALGLIB_SSA_XAUUSD!$P$2:$P$1000,"",0)</f>
        <v>4673.4511499999999</v>
      </c>
      <c r="O56">
        <f>_xlfn.XLOOKUP($A56,ALGLIB_SSA_XAUUSD!$J$2:$J$1000,ALGLIB_SSA_XAUUSD!$Q$2:$Q$1000,"",0)</f>
        <v>4663.2979299999997</v>
      </c>
      <c r="R56">
        <f t="shared" si="0"/>
        <v>1775143800</v>
      </c>
      <c r="S56" t="str">
        <f t="shared" si="1"/>
        <v>XAUUSD</v>
      </c>
      <c r="T56" t="str">
        <f t="shared" si="2"/>
        <v>M5</v>
      </c>
      <c r="U56">
        <f t="shared" si="3"/>
        <v>4675.2</v>
      </c>
      <c r="V56">
        <v>4663.9151700000002</v>
      </c>
      <c r="W56">
        <v>4655.8083900000001</v>
      </c>
      <c r="X56">
        <v>4668.5552200000002</v>
      </c>
      <c r="Y56">
        <v>4669.3331200000002</v>
      </c>
      <c r="Z56">
        <f t="shared" si="4"/>
        <v>4678.5079650000007</v>
      </c>
      <c r="AA56">
        <f t="shared" si="5"/>
        <v>4673.4511499999999</v>
      </c>
      <c r="AB56">
        <f t="shared" si="6"/>
        <v>4640.974005</v>
      </c>
      <c r="AC56">
        <f t="shared" si="7"/>
        <v>4663.2979299999997</v>
      </c>
      <c r="AF56">
        <f t="shared" si="8"/>
        <v>4668.5552200000002</v>
      </c>
      <c r="AG56">
        <f t="shared" si="9"/>
        <v>4678.5079650000007</v>
      </c>
      <c r="AH56">
        <f t="shared" si="10"/>
        <v>4640.974005</v>
      </c>
    </row>
    <row r="57" spans="1:34" x14ac:dyDescent="0.55000000000000004">
      <c r="A57">
        <f>ALGLIB_SSA_XAUUSD!J57</f>
        <v>1775144100</v>
      </c>
      <c r="B57" t="str">
        <f>_xlfn.XLOOKUP($A57,ALGLIB_SSA_XAUUSD!$A$2:$A$1000,ALGLIB_SSA_XAUUSD!$B$2:$B$1000,"",0)</f>
        <v/>
      </c>
      <c r="C57" t="str">
        <f>_xlfn.XLOOKUP($A57,ALGLIB_SSA_XAUUSD!$A$2:$A$1000,ALGLIB_SSA_XAUUSD!$C$2:$C$1000,"",0)</f>
        <v/>
      </c>
      <c r="D57" s="1">
        <f>D50+(D62-D50)*7/12</f>
        <v>4660.0391666666674</v>
      </c>
      <c r="E57" s="1">
        <f>E50+(E62-E50)*7/12</f>
        <v>4664.3090775000001</v>
      </c>
      <c r="F57" s="1">
        <f>F50+(F62-F50)*7/12</f>
        <v>4656.3900658333332</v>
      </c>
      <c r="G57" s="1">
        <f>G50+(G62-G50)*7/12</f>
        <v>4678.7896625000003</v>
      </c>
      <c r="H57" s="1">
        <f>H50+(H62-H50)*7/12</f>
        <v>4641.5790458333331</v>
      </c>
      <c r="I57" t="str">
        <f>_xlfn.XLOOKUP($A57,ALGLIB_SSA_XAUUSD!$J$2:$J$1000,ALGLIB_SSA_XAUUSD!$K$2:$K$1000,"",0)</f>
        <v>XAUUSD</v>
      </c>
      <c r="J57" t="str">
        <f>_xlfn.XLOOKUP($A57,ALGLIB_SSA_XAUUSD!$J$2:$J$1000,ALGLIB_SSA_XAUUSD!$L$2:$L$1000,"",0)</f>
        <v>M5</v>
      </c>
      <c r="K57">
        <f>_xlfn.XLOOKUP($A57,ALGLIB_SSA_XAUUSD!$J$2:$J$1000,ALGLIB_SSA_XAUUSD!$M$2:$M$1000,"",0)</f>
        <v>4670.34</v>
      </c>
      <c r="L57">
        <f>_xlfn.XLOOKUP($A57,ALGLIB_SSA_XAUUSD!$J$2:$J$1000,ALGLIB_SSA_XAUUSD!$N$2:$N$1000,"",0)</f>
        <v>4668.0051899999999</v>
      </c>
      <c r="M57">
        <f>_xlfn.XLOOKUP($A57,ALGLIB_SSA_XAUUSD!$J$2:$J$1000,ALGLIB_SSA_XAUUSD!$O$2:$O$1000,"",0)</f>
        <v>4668.6691499999997</v>
      </c>
      <c r="N57">
        <f>_xlfn.XLOOKUP($A57,ALGLIB_SSA_XAUUSD!$J$2:$J$1000,ALGLIB_SSA_XAUUSD!$P$2:$P$1000,"",0)</f>
        <v>4672.3166300000003</v>
      </c>
      <c r="O57">
        <f>_xlfn.XLOOKUP($A57,ALGLIB_SSA_XAUUSD!$J$2:$J$1000,ALGLIB_SSA_XAUUSD!$Q$2:$Q$1000,"",0)</f>
        <v>4662.55969</v>
      </c>
      <c r="R57">
        <f t="shared" si="0"/>
        <v>1775144100</v>
      </c>
      <c r="S57" t="str">
        <f t="shared" si="1"/>
        <v>XAUUSD</v>
      </c>
      <c r="T57" t="str">
        <f t="shared" si="2"/>
        <v>M5</v>
      </c>
      <c r="U57">
        <f t="shared" si="3"/>
        <v>4670.34</v>
      </c>
      <c r="V57">
        <v>4664.30908</v>
      </c>
      <c r="W57">
        <v>4656.3900700000004</v>
      </c>
      <c r="X57">
        <v>4668.0051899999999</v>
      </c>
      <c r="Y57">
        <v>4668.6691499999997</v>
      </c>
      <c r="Z57">
        <f t="shared" si="4"/>
        <v>4678.7896625000003</v>
      </c>
      <c r="AA57">
        <f t="shared" si="5"/>
        <v>4672.3166300000003</v>
      </c>
      <c r="AB57">
        <f t="shared" si="6"/>
        <v>4641.5790458333331</v>
      </c>
      <c r="AC57">
        <f t="shared" si="7"/>
        <v>4662.55969</v>
      </c>
      <c r="AF57">
        <f t="shared" si="8"/>
        <v>4668.0051899999999</v>
      </c>
      <c r="AG57">
        <f t="shared" si="9"/>
        <v>4678.7896625000003</v>
      </c>
      <c r="AH57">
        <f t="shared" si="10"/>
        <v>4641.5790458333331</v>
      </c>
    </row>
    <row r="58" spans="1:34" x14ac:dyDescent="0.55000000000000004">
      <c r="A58">
        <f>ALGLIB_SSA_XAUUSD!J58</f>
        <v>1775144400</v>
      </c>
      <c r="B58" t="str">
        <f>_xlfn.XLOOKUP($A58,ALGLIB_SSA_XAUUSD!$A$2:$A$1000,ALGLIB_SSA_XAUUSD!$B$2:$B$1000,"",0)</f>
        <v/>
      </c>
      <c r="C58" t="str">
        <f>_xlfn.XLOOKUP($A58,ALGLIB_SSA_XAUUSD!$A$2:$A$1000,ALGLIB_SSA_XAUUSD!$C$2:$C$1000,"",0)</f>
        <v/>
      </c>
      <c r="D58" s="1">
        <f>D50+(D62-D50)*8/12</f>
        <v>4659.8933333333334</v>
      </c>
      <c r="E58" s="1">
        <f>E50+(E62-E50)*8/12</f>
        <v>4664.7029900000007</v>
      </c>
      <c r="F58" s="1">
        <f>F50+(F62-F50)*8/12</f>
        <v>4656.9717466666661</v>
      </c>
      <c r="G58" s="1">
        <f>G50+(G62-G50)*8/12</f>
        <v>4679.0713599999999</v>
      </c>
      <c r="H58" s="1">
        <f>H50+(H62-H50)*8/12</f>
        <v>4642.1840866666671</v>
      </c>
      <c r="I58" t="str">
        <f>_xlfn.XLOOKUP($A58,ALGLIB_SSA_XAUUSD!$J$2:$J$1000,ALGLIB_SSA_XAUUSD!$K$2:$K$1000,"",0)</f>
        <v>XAUUSD</v>
      </c>
      <c r="J58" t="str">
        <f>_xlfn.XLOOKUP($A58,ALGLIB_SSA_XAUUSD!$J$2:$J$1000,ALGLIB_SSA_XAUUSD!$L$2:$L$1000,"",0)</f>
        <v>M5</v>
      </c>
      <c r="K58">
        <f>_xlfn.XLOOKUP($A58,ALGLIB_SSA_XAUUSD!$J$2:$J$1000,ALGLIB_SSA_XAUUSD!$M$2:$M$1000,"",0)</f>
        <v>4666</v>
      </c>
      <c r="L58">
        <f>_xlfn.XLOOKUP($A58,ALGLIB_SSA_XAUUSD!$J$2:$J$1000,ALGLIB_SSA_XAUUSD!$N$2:$N$1000,"",0)</f>
        <v>4666.9658200000003</v>
      </c>
      <c r="M58">
        <f>_xlfn.XLOOKUP($A58,ALGLIB_SSA_XAUUSD!$J$2:$J$1000,ALGLIB_SSA_XAUUSD!$O$2:$O$1000,"",0)</f>
        <v>4667.8174900000004</v>
      </c>
      <c r="N58">
        <f>_xlfn.XLOOKUP($A58,ALGLIB_SSA_XAUUSD!$J$2:$J$1000,ALGLIB_SSA_XAUUSD!$P$2:$P$1000,"",0)</f>
        <v>4670.9167900000002</v>
      </c>
      <c r="O58">
        <f>_xlfn.XLOOKUP($A58,ALGLIB_SSA_XAUUSD!$J$2:$J$1000,ALGLIB_SSA_XAUUSD!$Q$2:$Q$1000,"",0)</f>
        <v>4661.4008299999996</v>
      </c>
      <c r="R58">
        <f t="shared" si="0"/>
        <v>1775144400</v>
      </c>
      <c r="S58" t="str">
        <f t="shared" si="1"/>
        <v>XAUUSD</v>
      </c>
      <c r="T58" t="str">
        <f t="shared" si="2"/>
        <v>M5</v>
      </c>
      <c r="U58">
        <f t="shared" si="3"/>
        <v>4666</v>
      </c>
      <c r="V58">
        <v>4664.7029899999998</v>
      </c>
      <c r="W58">
        <v>4656.9717499999997</v>
      </c>
      <c r="X58">
        <v>4666.9658200000003</v>
      </c>
      <c r="Y58">
        <v>4667.8174900000004</v>
      </c>
      <c r="Z58">
        <f t="shared" si="4"/>
        <v>4679.0713599999999</v>
      </c>
      <c r="AA58">
        <f t="shared" si="5"/>
        <v>4670.9167900000002</v>
      </c>
      <c r="AB58">
        <f t="shared" si="6"/>
        <v>4642.1840866666671</v>
      </c>
      <c r="AC58">
        <f t="shared" si="7"/>
        <v>4661.4008299999996</v>
      </c>
      <c r="AF58">
        <f t="shared" si="8"/>
        <v>4666.9658200000003</v>
      </c>
      <c r="AG58">
        <f t="shared" si="9"/>
        <v>4679.0713599999999</v>
      </c>
      <c r="AH58">
        <f t="shared" si="10"/>
        <v>4642.1840866666671</v>
      </c>
    </row>
    <row r="59" spans="1:34" x14ac:dyDescent="0.55000000000000004">
      <c r="A59">
        <f>ALGLIB_SSA_XAUUSD!J59</f>
        <v>1775144700</v>
      </c>
      <c r="B59" t="str">
        <f>_xlfn.XLOOKUP($A59,ALGLIB_SSA_XAUUSD!$A$2:$A$1000,ALGLIB_SSA_XAUUSD!$B$2:$B$1000,"",0)</f>
        <v/>
      </c>
      <c r="C59" t="str">
        <f>_xlfn.XLOOKUP($A59,ALGLIB_SSA_XAUUSD!$A$2:$A$1000,ALGLIB_SSA_XAUUSD!$C$2:$C$1000,"",0)</f>
        <v/>
      </c>
      <c r="D59" s="1">
        <f>D50+(D62-D50)*9/12</f>
        <v>4659.7475000000004</v>
      </c>
      <c r="E59" s="1">
        <f>E50+(E62-E50)*9/12</f>
        <v>4665.0969025000004</v>
      </c>
      <c r="F59" s="1">
        <f>F50+(F62-F50)*9/12</f>
        <v>4657.5534275</v>
      </c>
      <c r="G59" s="1">
        <f>G50+(G62-G50)*9/12</f>
        <v>4679.3530575000004</v>
      </c>
      <c r="H59" s="1">
        <f>H50+(H62-H50)*9/12</f>
        <v>4642.7891275000002</v>
      </c>
      <c r="I59" t="str">
        <f>_xlfn.XLOOKUP($A59,ALGLIB_SSA_XAUUSD!$J$2:$J$1000,ALGLIB_SSA_XAUUSD!$K$2:$K$1000,"",0)</f>
        <v>XAUUSD</v>
      </c>
      <c r="J59" t="str">
        <f>_xlfn.XLOOKUP($A59,ALGLIB_SSA_XAUUSD!$J$2:$J$1000,ALGLIB_SSA_XAUUSD!$L$2:$L$1000,"",0)</f>
        <v>M5</v>
      </c>
      <c r="K59">
        <f>_xlfn.XLOOKUP($A59,ALGLIB_SSA_XAUUSD!$J$2:$J$1000,ALGLIB_SSA_XAUUSD!$M$2:$M$1000,"",0)</f>
        <v>4659.1499999999996</v>
      </c>
      <c r="L59">
        <f>_xlfn.XLOOKUP($A59,ALGLIB_SSA_XAUUSD!$J$2:$J$1000,ALGLIB_SSA_XAUUSD!$N$2:$N$1000,"",0)</f>
        <v>4665.3455999999996</v>
      </c>
      <c r="M59">
        <f>_xlfn.XLOOKUP($A59,ALGLIB_SSA_XAUUSD!$J$2:$J$1000,ALGLIB_SSA_XAUUSD!$O$2:$O$1000,"",0)</f>
        <v>4666.5815499999999</v>
      </c>
      <c r="N59">
        <f>_xlfn.XLOOKUP($A59,ALGLIB_SSA_XAUUSD!$J$2:$J$1000,ALGLIB_SSA_XAUUSD!$P$2:$P$1000,"",0)</f>
        <v>4669.2165699999996</v>
      </c>
      <c r="O59">
        <f>_xlfn.XLOOKUP($A59,ALGLIB_SSA_XAUUSD!$J$2:$J$1000,ALGLIB_SSA_XAUUSD!$Q$2:$Q$1000,"",0)</f>
        <v>4659.7411499999998</v>
      </c>
      <c r="R59">
        <f t="shared" si="0"/>
        <v>1775144700</v>
      </c>
      <c r="S59" t="str">
        <f t="shared" si="1"/>
        <v>XAUUSD</v>
      </c>
      <c r="T59" t="str">
        <f t="shared" si="2"/>
        <v>M5</v>
      </c>
      <c r="U59">
        <f t="shared" si="3"/>
        <v>4659.1499999999996</v>
      </c>
      <c r="V59">
        <v>4665.0968999999996</v>
      </c>
      <c r="W59">
        <v>4657.5534299999999</v>
      </c>
      <c r="X59">
        <v>4665.3455999999996</v>
      </c>
      <c r="Y59">
        <v>4666.5815499999999</v>
      </c>
      <c r="Z59">
        <f t="shared" si="4"/>
        <v>4679.3530575000004</v>
      </c>
      <c r="AA59">
        <f t="shared" si="5"/>
        <v>4669.2165699999996</v>
      </c>
      <c r="AB59">
        <f t="shared" si="6"/>
        <v>4642.7891275000002</v>
      </c>
      <c r="AC59">
        <f t="shared" si="7"/>
        <v>4659.7411499999998</v>
      </c>
      <c r="AF59">
        <f t="shared" si="8"/>
        <v>4665.3455999999996</v>
      </c>
      <c r="AG59">
        <f t="shared" si="9"/>
        <v>4679.3530575000004</v>
      </c>
      <c r="AH59">
        <f t="shared" si="10"/>
        <v>4642.7891275000002</v>
      </c>
    </row>
    <row r="60" spans="1:34" x14ac:dyDescent="0.55000000000000004">
      <c r="A60">
        <f>ALGLIB_SSA_XAUUSD!J60</f>
        <v>1775145000</v>
      </c>
      <c r="B60" t="str">
        <f>_xlfn.XLOOKUP($A60,ALGLIB_SSA_XAUUSD!$A$2:$A$1000,ALGLIB_SSA_XAUUSD!$B$2:$B$1000,"",0)</f>
        <v/>
      </c>
      <c r="C60" t="str">
        <f>_xlfn.XLOOKUP($A60,ALGLIB_SSA_XAUUSD!$A$2:$A$1000,ALGLIB_SSA_XAUUSD!$C$2:$C$1000,"",0)</f>
        <v/>
      </c>
      <c r="D60" s="1">
        <f>D50+(D62-D50)*10/12</f>
        <v>4659.6016666666674</v>
      </c>
      <c r="E60" s="1">
        <f>E50+(E62-E50)*10/12</f>
        <v>4665.4908150000001</v>
      </c>
      <c r="F60" s="1">
        <f>F50+(F62-F50)*10/12</f>
        <v>4658.1351083333329</v>
      </c>
      <c r="G60" s="1">
        <f>G50+(G62-G50)*10/12</f>
        <v>4679.634755</v>
      </c>
      <c r="H60" s="1">
        <f>H50+(H62-H50)*10/12</f>
        <v>4643.3941683333333</v>
      </c>
      <c r="I60" t="str">
        <f>_xlfn.XLOOKUP($A60,ALGLIB_SSA_XAUUSD!$J$2:$J$1000,ALGLIB_SSA_XAUUSD!$K$2:$K$1000,"",0)</f>
        <v>XAUUSD</v>
      </c>
      <c r="J60" t="str">
        <f>_xlfn.XLOOKUP($A60,ALGLIB_SSA_XAUUSD!$J$2:$J$1000,ALGLIB_SSA_XAUUSD!$L$2:$L$1000,"",0)</f>
        <v>M5</v>
      </c>
      <c r="K60">
        <f>_xlfn.XLOOKUP($A60,ALGLIB_SSA_XAUUSD!$J$2:$J$1000,ALGLIB_SSA_XAUUSD!$M$2:$M$1000,"",0)</f>
        <v>4662.16</v>
      </c>
      <c r="L60">
        <f>_xlfn.XLOOKUP($A60,ALGLIB_SSA_XAUUSD!$J$2:$J$1000,ALGLIB_SSA_XAUUSD!$N$2:$N$1000,"",0)</f>
        <v>4663.26865</v>
      </c>
      <c r="M60">
        <f>_xlfn.XLOOKUP($A60,ALGLIB_SSA_XAUUSD!$J$2:$J$1000,ALGLIB_SSA_XAUUSD!$O$2:$O$1000,"",0)</f>
        <v>4664.9251000000004</v>
      </c>
      <c r="N60">
        <f>_xlfn.XLOOKUP($A60,ALGLIB_SSA_XAUUSD!$J$2:$J$1000,ALGLIB_SSA_XAUUSD!$P$2:$P$1000,"",0)</f>
        <v>4667.2694099999999</v>
      </c>
      <c r="O60">
        <f>_xlfn.XLOOKUP($A60,ALGLIB_SSA_XAUUSD!$J$2:$J$1000,ALGLIB_SSA_XAUUSD!$Q$2:$Q$1000,"",0)</f>
        <v>4657.5996800000003</v>
      </c>
      <c r="R60">
        <f t="shared" si="0"/>
        <v>1775145000</v>
      </c>
      <c r="S60" t="str">
        <f t="shared" si="1"/>
        <v>XAUUSD</v>
      </c>
      <c r="T60" t="str">
        <f t="shared" si="2"/>
        <v>M5</v>
      </c>
      <c r="U60">
        <f t="shared" si="3"/>
        <v>4662.16</v>
      </c>
      <c r="V60">
        <v>4665.49082</v>
      </c>
      <c r="W60">
        <v>4658.1351100000002</v>
      </c>
      <c r="X60">
        <v>4663.26865</v>
      </c>
      <c r="Y60">
        <v>4664.9251000000004</v>
      </c>
      <c r="Z60">
        <f t="shared" si="4"/>
        <v>4679.634755</v>
      </c>
      <c r="AA60">
        <f t="shared" si="5"/>
        <v>4667.2694099999999</v>
      </c>
      <c r="AB60">
        <f t="shared" si="6"/>
        <v>4643.3941683333333</v>
      </c>
      <c r="AC60">
        <f t="shared" si="7"/>
        <v>4657.5996800000003</v>
      </c>
      <c r="AF60">
        <f t="shared" si="8"/>
        <v>4663.26865</v>
      </c>
      <c r="AG60">
        <f t="shared" si="9"/>
        <v>4679.634755</v>
      </c>
      <c r="AH60">
        <f t="shared" si="10"/>
        <v>4643.3941683333333</v>
      </c>
    </row>
    <row r="61" spans="1:34" x14ac:dyDescent="0.55000000000000004">
      <c r="A61">
        <f>ALGLIB_SSA_XAUUSD!J61</f>
        <v>1775145300</v>
      </c>
      <c r="B61" t="str">
        <f>_xlfn.XLOOKUP($A61,ALGLIB_SSA_XAUUSD!$A$2:$A$1000,ALGLIB_SSA_XAUUSD!$B$2:$B$1000,"",0)</f>
        <v/>
      </c>
      <c r="C61" t="str">
        <f>_xlfn.XLOOKUP($A61,ALGLIB_SSA_XAUUSD!$A$2:$A$1000,ALGLIB_SSA_XAUUSD!$C$2:$C$1000,"",0)</f>
        <v/>
      </c>
      <c r="D61" s="1">
        <f>D50+(D62-D50)*11/12</f>
        <v>4659.4558333333334</v>
      </c>
      <c r="E61" s="1">
        <f>E50+(E62-E50)*11/12</f>
        <v>4665.8847275000007</v>
      </c>
      <c r="F61" s="1">
        <f>F50+(F62-F50)*11/12</f>
        <v>4658.7167891666668</v>
      </c>
      <c r="G61" s="1">
        <f>G50+(G62-G50)*11/12</f>
        <v>4679.9164525000006</v>
      </c>
      <c r="H61" s="1">
        <f>H50+(H62-H50)*11/12</f>
        <v>4643.9992091666672</v>
      </c>
      <c r="I61" t="str">
        <f>_xlfn.XLOOKUP($A61,ALGLIB_SSA_XAUUSD!$J$2:$J$1000,ALGLIB_SSA_XAUUSD!$K$2:$K$1000,"",0)</f>
        <v>XAUUSD</v>
      </c>
      <c r="J61" t="str">
        <f>_xlfn.XLOOKUP($A61,ALGLIB_SSA_XAUUSD!$J$2:$J$1000,ALGLIB_SSA_XAUUSD!$L$2:$L$1000,"",0)</f>
        <v>M5</v>
      </c>
      <c r="K61">
        <f>_xlfn.XLOOKUP($A61,ALGLIB_SSA_XAUUSD!$J$2:$J$1000,ALGLIB_SSA_XAUUSD!$M$2:$M$1000,"",0)</f>
        <v>4661.0600000000004</v>
      </c>
      <c r="L61">
        <f>_xlfn.XLOOKUP($A61,ALGLIB_SSA_XAUUSD!$J$2:$J$1000,ALGLIB_SSA_XAUUSD!$N$2:$N$1000,"",0)</f>
        <v>4660.7842199999996</v>
      </c>
      <c r="M61">
        <f>_xlfn.XLOOKUP($A61,ALGLIB_SSA_XAUUSD!$J$2:$J$1000,ALGLIB_SSA_XAUUSD!$O$2:$O$1000,"",0)</f>
        <v>4662.85466</v>
      </c>
      <c r="N61">
        <f>_xlfn.XLOOKUP($A61,ALGLIB_SSA_XAUUSD!$J$2:$J$1000,ALGLIB_SSA_XAUUSD!$P$2:$P$1000,"",0)</f>
        <v>4665.2316899999996</v>
      </c>
      <c r="O61">
        <f>_xlfn.XLOOKUP($A61,ALGLIB_SSA_XAUUSD!$J$2:$J$1000,ALGLIB_SSA_XAUUSD!$Q$2:$Q$1000,"",0)</f>
        <v>4655.2180600000002</v>
      </c>
      <c r="R61">
        <f t="shared" si="0"/>
        <v>1775145300</v>
      </c>
      <c r="S61" t="str">
        <f t="shared" si="1"/>
        <v>XAUUSD</v>
      </c>
      <c r="T61" t="str">
        <f t="shared" si="2"/>
        <v>M5</v>
      </c>
      <c r="U61">
        <f t="shared" si="3"/>
        <v>4661.0600000000004</v>
      </c>
      <c r="V61">
        <v>4665.8847299999998</v>
      </c>
      <c r="W61">
        <v>4658.7167900000004</v>
      </c>
      <c r="X61">
        <v>4660.7842199999996</v>
      </c>
      <c r="Y61">
        <v>4662.85466</v>
      </c>
      <c r="Z61">
        <f t="shared" si="4"/>
        <v>4679.9164525000006</v>
      </c>
      <c r="AA61">
        <f t="shared" si="5"/>
        <v>4665.2316899999996</v>
      </c>
      <c r="AB61">
        <f t="shared" si="6"/>
        <v>4643.9992091666672</v>
      </c>
      <c r="AC61">
        <f t="shared" si="7"/>
        <v>4655.2180600000002</v>
      </c>
      <c r="AF61">
        <f t="shared" si="8"/>
        <v>4660.7842199999996</v>
      </c>
      <c r="AG61">
        <f t="shared" si="9"/>
        <v>4679.9164525000006</v>
      </c>
      <c r="AH61">
        <f t="shared" si="10"/>
        <v>4643.9992091666672</v>
      </c>
    </row>
    <row r="62" spans="1:34" x14ac:dyDescent="0.55000000000000004">
      <c r="A62">
        <f>ALGLIB_SSA_XAUUSD!J62</f>
        <v>1775145600</v>
      </c>
      <c r="B62" t="str">
        <f>_xlfn.XLOOKUP($A62,ALGLIB_SSA_XAUUSD!$A$2:$A$1000,ALGLIB_SSA_XAUUSD!$B$2:$B$1000,"",0)</f>
        <v>XAUUSD</v>
      </c>
      <c r="C62" t="str">
        <f>_xlfn.XLOOKUP($A62,ALGLIB_SSA_XAUUSD!$A$2:$A$1000,ALGLIB_SSA_XAUUSD!$C$2:$C$1000,"",0)</f>
        <v>H1</v>
      </c>
      <c r="D62" s="2">
        <f>_xlfn.XLOOKUP($A62,ALGLIB_SSA_XAUUSD!$A$2:$A$1000,ALGLIB_SSA_XAUUSD!$D$2:$D$1000,"",0)</f>
        <v>4659.3100000000004</v>
      </c>
      <c r="E62" s="2">
        <f>_xlfn.XLOOKUP($A62,ALGLIB_SSA_XAUUSD!$A$2:$A$1000,ALGLIB_SSA_XAUUSD!$E$2:$E$1000,"",0)</f>
        <v>4666.2786400000005</v>
      </c>
      <c r="F62" s="2">
        <f>_xlfn.XLOOKUP($A62,ALGLIB_SSA_XAUUSD!$A$2:$A$1000,ALGLIB_SSA_XAUUSD!$F$2:$F$1000,"",0)</f>
        <v>4659.2984699999997</v>
      </c>
      <c r="G62" s="2">
        <f>_xlfn.XLOOKUP($A62,ALGLIB_SSA_XAUUSD!$A$2:$A$1000,ALGLIB_SSA_XAUUSD!$G$2:$G$1000,"",0)</f>
        <v>4680.1981500000002</v>
      </c>
      <c r="H62" s="2">
        <f>_xlfn.XLOOKUP($A62,ALGLIB_SSA_XAUUSD!$A$2:$A$1000,ALGLIB_SSA_XAUUSD!$H$2:$H$1000,"",0)</f>
        <v>4644.6042500000003</v>
      </c>
      <c r="I62" t="str">
        <f>_xlfn.XLOOKUP($A62,ALGLIB_SSA_XAUUSD!$J$2:$J$1000,ALGLIB_SSA_XAUUSD!$K$2:$K$1000,"",0)</f>
        <v>XAUUSD</v>
      </c>
      <c r="J62" t="str">
        <f>_xlfn.XLOOKUP($A62,ALGLIB_SSA_XAUUSD!$J$2:$J$1000,ALGLIB_SSA_XAUUSD!$L$2:$L$1000,"",0)</f>
        <v>M5</v>
      </c>
      <c r="K62">
        <f>_xlfn.XLOOKUP($A62,ALGLIB_SSA_XAUUSD!$J$2:$J$1000,ALGLIB_SSA_XAUUSD!$M$2:$M$1000,"",0)</f>
        <v>4661.82</v>
      </c>
      <c r="L62">
        <f>_xlfn.XLOOKUP($A62,ALGLIB_SSA_XAUUSD!$J$2:$J$1000,ALGLIB_SSA_XAUUSD!$N$2:$N$1000,"",0)</f>
        <v>4658.1377499999999</v>
      </c>
      <c r="M62">
        <f>_xlfn.XLOOKUP($A62,ALGLIB_SSA_XAUUSD!$J$2:$J$1000,ALGLIB_SSA_XAUUSD!$O$2:$O$1000,"",0)</f>
        <v>4660.4962100000002</v>
      </c>
      <c r="N62">
        <f>_xlfn.XLOOKUP($A62,ALGLIB_SSA_XAUUSD!$J$2:$J$1000,ALGLIB_SSA_XAUUSD!$P$2:$P$1000,"",0)</f>
        <v>4663.2183999999997</v>
      </c>
      <c r="O62">
        <f>_xlfn.XLOOKUP($A62,ALGLIB_SSA_XAUUSD!$J$2:$J$1000,ALGLIB_SSA_XAUUSD!$Q$2:$Q$1000,"",0)</f>
        <v>4652.7929899999999</v>
      </c>
      <c r="R62">
        <f t="shared" si="0"/>
        <v>1775145600</v>
      </c>
      <c r="S62" t="str">
        <f t="shared" si="1"/>
        <v>XAUUSD</v>
      </c>
      <c r="T62" t="str">
        <f t="shared" si="2"/>
        <v>M5</v>
      </c>
      <c r="U62">
        <f t="shared" si="3"/>
        <v>4661.82</v>
      </c>
      <c r="V62">
        <v>4666.2786400000005</v>
      </c>
      <c r="W62">
        <v>4659.2984699999997</v>
      </c>
      <c r="X62">
        <v>4658.1377499999999</v>
      </c>
      <c r="Y62">
        <v>4660.4962100000002</v>
      </c>
      <c r="Z62">
        <f t="shared" si="4"/>
        <v>4680.1981500000002</v>
      </c>
      <c r="AA62">
        <f t="shared" si="5"/>
        <v>4663.2183999999997</v>
      </c>
      <c r="AB62">
        <f t="shared" si="6"/>
        <v>4644.6042500000003</v>
      </c>
      <c r="AC62">
        <f t="shared" si="7"/>
        <v>4652.7929899999999</v>
      </c>
      <c r="AF62">
        <f t="shared" si="8"/>
        <v>4658.1377499999999</v>
      </c>
      <c r="AG62">
        <f t="shared" si="9"/>
        <v>4680.1981500000002</v>
      </c>
      <c r="AH62">
        <f t="shared" si="10"/>
        <v>4644.6042500000003</v>
      </c>
    </row>
    <row r="63" spans="1:34" x14ac:dyDescent="0.55000000000000004">
      <c r="A63">
        <f>ALGLIB_SSA_XAUUSD!J63</f>
        <v>1775145900</v>
      </c>
      <c r="B63" t="str">
        <f>_xlfn.XLOOKUP($A63,ALGLIB_SSA_XAUUSD!$A$2:$A$1000,ALGLIB_SSA_XAUUSD!$B$2:$B$1000,"",0)</f>
        <v/>
      </c>
      <c r="C63" t="str">
        <f>_xlfn.XLOOKUP($A63,ALGLIB_SSA_XAUUSD!$A$2:$A$1000,ALGLIB_SSA_XAUUSD!$C$2:$C$1000,"",0)</f>
        <v/>
      </c>
      <c r="D63" s="1">
        <f>D62+(D74-D62)*1/12</f>
        <v>4658.4350000000004</v>
      </c>
      <c r="E63" s="1">
        <f>E62+(E74-E62)*1/12</f>
        <v>4666.372968333334</v>
      </c>
      <c r="F63" s="1">
        <f>F62+(F74-F62)*1/12</f>
        <v>4659.6364741666666</v>
      </c>
      <c r="G63" s="1">
        <f>G62+(G74-G62)*1/12</f>
        <v>4680.2177033333337</v>
      </c>
      <c r="H63" s="1">
        <f>H62+(H74-H62)*1/12</f>
        <v>4644.9321600000003</v>
      </c>
      <c r="I63" t="str">
        <f>_xlfn.XLOOKUP($A63,ALGLIB_SSA_XAUUSD!$J$2:$J$1000,ALGLIB_SSA_XAUUSD!$K$2:$K$1000,"",0)</f>
        <v>XAUUSD</v>
      </c>
      <c r="J63" t="str">
        <f>_xlfn.XLOOKUP($A63,ALGLIB_SSA_XAUUSD!$J$2:$J$1000,ALGLIB_SSA_XAUUSD!$L$2:$L$1000,"",0)</f>
        <v>M5</v>
      </c>
      <c r="K63">
        <f>_xlfn.XLOOKUP($A63,ALGLIB_SSA_XAUUSD!$J$2:$J$1000,ALGLIB_SSA_XAUUSD!$M$2:$M$1000,"",0)</f>
        <v>4658.07</v>
      </c>
      <c r="L63">
        <f>_xlfn.XLOOKUP($A63,ALGLIB_SSA_XAUUSD!$J$2:$J$1000,ALGLIB_SSA_XAUUSD!$N$2:$N$1000,"",0)</f>
        <v>4655.6156799999999</v>
      </c>
      <c r="M63">
        <f>_xlfn.XLOOKUP($A63,ALGLIB_SSA_XAUUSD!$J$2:$J$1000,ALGLIB_SSA_XAUUSD!$O$2:$O$1000,"",0)</f>
        <v>4658.0559400000002</v>
      </c>
      <c r="N63">
        <f>_xlfn.XLOOKUP($A63,ALGLIB_SSA_XAUUSD!$J$2:$J$1000,ALGLIB_SSA_XAUUSD!$P$2:$P$1000,"",0)</f>
        <v>4661.3148600000004</v>
      </c>
      <c r="O63">
        <f>_xlfn.XLOOKUP($A63,ALGLIB_SSA_XAUUSD!$J$2:$J$1000,ALGLIB_SSA_XAUUSD!$Q$2:$Q$1000,"",0)</f>
        <v>4650.4533099999999</v>
      </c>
      <c r="R63">
        <f t="shared" si="0"/>
        <v>1775145900</v>
      </c>
      <c r="S63" t="str">
        <f t="shared" si="1"/>
        <v>XAUUSD</v>
      </c>
      <c r="T63" t="str">
        <f t="shared" si="2"/>
        <v>M5</v>
      </c>
      <c r="U63">
        <f t="shared" si="3"/>
        <v>4658.07</v>
      </c>
      <c r="V63">
        <v>4666.3729700000004</v>
      </c>
      <c r="W63">
        <v>4659.6364700000004</v>
      </c>
      <c r="X63">
        <v>4655.6156799999999</v>
      </c>
      <c r="Y63">
        <v>4658.0559400000002</v>
      </c>
      <c r="Z63">
        <f t="shared" si="4"/>
        <v>4680.2177033333337</v>
      </c>
      <c r="AA63">
        <f t="shared" si="5"/>
        <v>4661.3148600000004</v>
      </c>
      <c r="AB63">
        <f t="shared" si="6"/>
        <v>4644.9321600000003</v>
      </c>
      <c r="AC63">
        <f t="shared" si="7"/>
        <v>4650.4533099999999</v>
      </c>
      <c r="AF63">
        <f t="shared" si="8"/>
        <v>4655.6156799999999</v>
      </c>
      <c r="AG63">
        <f t="shared" si="9"/>
        <v>4680.2177033333337</v>
      </c>
      <c r="AH63">
        <f t="shared" si="10"/>
        <v>4644.9321600000003</v>
      </c>
    </row>
    <row r="64" spans="1:34" x14ac:dyDescent="0.55000000000000004">
      <c r="A64">
        <f>ALGLIB_SSA_XAUUSD!J64</f>
        <v>1775146200</v>
      </c>
      <c r="B64" t="str">
        <f>_xlfn.XLOOKUP($A64,ALGLIB_SSA_XAUUSD!$A$2:$A$1000,ALGLIB_SSA_XAUUSD!$B$2:$B$1000,"",0)</f>
        <v/>
      </c>
      <c r="C64" t="str">
        <f>_xlfn.XLOOKUP($A64,ALGLIB_SSA_XAUUSD!$A$2:$A$1000,ALGLIB_SSA_XAUUSD!$C$2:$C$1000,"",0)</f>
        <v/>
      </c>
      <c r="D64" s="1">
        <f>D62+(D74-D62)*2/12</f>
        <v>4657.5600000000004</v>
      </c>
      <c r="E64" s="1">
        <f>E62+(E74-E62)*2/12</f>
        <v>4666.4672966666667</v>
      </c>
      <c r="F64" s="1">
        <f>F62+(F74-F62)*2/12</f>
        <v>4659.9744783333335</v>
      </c>
      <c r="G64" s="1">
        <f>G62+(G74-G62)*2/12</f>
        <v>4680.2372566666672</v>
      </c>
      <c r="H64" s="1">
        <f>H62+(H74-H62)*2/12</f>
        <v>4645.2600700000003</v>
      </c>
      <c r="I64" t="str">
        <f>_xlfn.XLOOKUP($A64,ALGLIB_SSA_XAUUSD!$J$2:$J$1000,ALGLIB_SSA_XAUUSD!$K$2:$K$1000,"",0)</f>
        <v>XAUUSD</v>
      </c>
      <c r="J64" t="str">
        <f>_xlfn.XLOOKUP($A64,ALGLIB_SSA_XAUUSD!$J$2:$J$1000,ALGLIB_SSA_XAUUSD!$L$2:$L$1000,"",0)</f>
        <v>M5</v>
      </c>
      <c r="K64">
        <f>_xlfn.XLOOKUP($A64,ALGLIB_SSA_XAUUSD!$J$2:$J$1000,ALGLIB_SSA_XAUUSD!$M$2:$M$1000,"",0)</f>
        <v>4654.93</v>
      </c>
      <c r="L64">
        <f>_xlfn.XLOOKUP($A64,ALGLIB_SSA_XAUUSD!$J$2:$J$1000,ALGLIB_SSA_XAUUSD!$N$2:$N$1000,"",0)</f>
        <v>4653.6525600000004</v>
      </c>
      <c r="M64">
        <f>_xlfn.XLOOKUP($A64,ALGLIB_SSA_XAUUSD!$J$2:$J$1000,ALGLIB_SSA_XAUUSD!$O$2:$O$1000,"",0)</f>
        <v>4655.8542500000003</v>
      </c>
      <c r="N64">
        <f>_xlfn.XLOOKUP($A64,ALGLIB_SSA_XAUUSD!$J$2:$J$1000,ALGLIB_SSA_XAUUSD!$P$2:$P$1000,"",0)</f>
        <v>4659.8492999999999</v>
      </c>
      <c r="O64">
        <f>_xlfn.XLOOKUP($A64,ALGLIB_SSA_XAUUSD!$J$2:$J$1000,ALGLIB_SSA_XAUUSD!$Q$2:$Q$1000,"",0)</f>
        <v>4648.7909200000004</v>
      </c>
      <c r="R64">
        <f t="shared" si="0"/>
        <v>1775146200</v>
      </c>
      <c r="S64" t="str">
        <f t="shared" si="1"/>
        <v>XAUUSD</v>
      </c>
      <c r="T64" t="str">
        <f t="shared" si="2"/>
        <v>M5</v>
      </c>
      <c r="U64">
        <f t="shared" si="3"/>
        <v>4654.93</v>
      </c>
      <c r="V64">
        <v>4666.4673000000003</v>
      </c>
      <c r="W64">
        <v>4659.9744799999999</v>
      </c>
      <c r="X64">
        <v>4653.6525600000004</v>
      </c>
      <c r="Y64">
        <v>4655.8542500000003</v>
      </c>
      <c r="Z64">
        <f t="shared" si="4"/>
        <v>4680.2372566666672</v>
      </c>
      <c r="AA64">
        <f t="shared" si="5"/>
        <v>4659.8492999999999</v>
      </c>
      <c r="AB64">
        <f t="shared" si="6"/>
        <v>4645.2600700000003</v>
      </c>
      <c r="AC64">
        <f t="shared" si="7"/>
        <v>4648.7909200000004</v>
      </c>
      <c r="AF64">
        <f t="shared" si="8"/>
        <v>4653.6525600000004</v>
      </c>
      <c r="AG64">
        <f t="shared" si="9"/>
        <v>4680.2372566666672</v>
      </c>
      <c r="AH64">
        <f t="shared" si="10"/>
        <v>4645.2600700000003</v>
      </c>
    </row>
    <row r="65" spans="1:34" x14ac:dyDescent="0.55000000000000004">
      <c r="A65">
        <f>ALGLIB_SSA_XAUUSD!J65</f>
        <v>1775146500</v>
      </c>
      <c r="B65" t="str">
        <f>_xlfn.XLOOKUP($A65,ALGLIB_SSA_XAUUSD!$A$2:$A$1000,ALGLIB_SSA_XAUUSD!$B$2:$B$1000,"",0)</f>
        <v/>
      </c>
      <c r="C65" t="str">
        <f>_xlfn.XLOOKUP($A65,ALGLIB_SSA_XAUUSD!$A$2:$A$1000,ALGLIB_SSA_XAUUSD!$C$2:$C$1000,"",0)</f>
        <v/>
      </c>
      <c r="D65" s="1">
        <f>D62+(D74-D62)*3/12</f>
        <v>4656.6850000000004</v>
      </c>
      <c r="E65" s="1">
        <f>E62+(E74-E62)*3/12</f>
        <v>4666.5616250000003</v>
      </c>
      <c r="F65" s="1">
        <f>F62+(F74-F62)*3/12</f>
        <v>4660.3124824999995</v>
      </c>
      <c r="G65" s="1">
        <f>G62+(G74-G62)*3/12</f>
        <v>4680.2568099999999</v>
      </c>
      <c r="H65" s="1">
        <f>H62+(H74-H62)*3/12</f>
        <v>4645.5879800000002</v>
      </c>
      <c r="I65" t="str">
        <f>_xlfn.XLOOKUP($A65,ALGLIB_SSA_XAUUSD!$J$2:$J$1000,ALGLIB_SSA_XAUUSD!$K$2:$K$1000,"",0)</f>
        <v>XAUUSD</v>
      </c>
      <c r="J65" t="str">
        <f>_xlfn.XLOOKUP($A65,ALGLIB_SSA_XAUUSD!$J$2:$J$1000,ALGLIB_SSA_XAUUSD!$L$2:$L$1000,"",0)</f>
        <v>M5</v>
      </c>
      <c r="K65">
        <f>_xlfn.XLOOKUP($A65,ALGLIB_SSA_XAUUSD!$J$2:$J$1000,ALGLIB_SSA_XAUUSD!$M$2:$M$1000,"",0)</f>
        <v>4646.49</v>
      </c>
      <c r="L65">
        <f>_xlfn.XLOOKUP($A65,ALGLIB_SSA_XAUUSD!$J$2:$J$1000,ALGLIB_SSA_XAUUSD!$N$2:$N$1000,"",0)</f>
        <v>4652.5617700000003</v>
      </c>
      <c r="M65">
        <f>_xlfn.XLOOKUP($A65,ALGLIB_SSA_XAUUSD!$J$2:$J$1000,ALGLIB_SSA_XAUUSD!$O$2:$O$1000,"",0)</f>
        <v>4654.2080100000003</v>
      </c>
      <c r="N65">
        <f>_xlfn.XLOOKUP($A65,ALGLIB_SSA_XAUUSD!$J$2:$J$1000,ALGLIB_SSA_XAUUSD!$P$2:$P$1000,"",0)</f>
        <v>4659.1783599999999</v>
      </c>
      <c r="O65">
        <f>_xlfn.XLOOKUP($A65,ALGLIB_SSA_XAUUSD!$J$2:$J$1000,ALGLIB_SSA_XAUUSD!$Q$2:$Q$1000,"",0)</f>
        <v>4647.9756600000001</v>
      </c>
      <c r="R65">
        <f t="shared" si="0"/>
        <v>1775146500</v>
      </c>
      <c r="S65" t="str">
        <f t="shared" si="1"/>
        <v>XAUUSD</v>
      </c>
      <c r="T65" t="str">
        <f t="shared" si="2"/>
        <v>M5</v>
      </c>
      <c r="U65">
        <f t="shared" si="3"/>
        <v>4646.49</v>
      </c>
      <c r="V65">
        <v>4666.5616300000002</v>
      </c>
      <c r="W65">
        <v>4660.3124799999996</v>
      </c>
      <c r="X65">
        <v>4652.5617700000003</v>
      </c>
      <c r="Y65">
        <v>4654.2080100000003</v>
      </c>
      <c r="Z65">
        <f t="shared" si="4"/>
        <v>4680.2568099999999</v>
      </c>
      <c r="AA65">
        <f t="shared" si="5"/>
        <v>4659.1783599999999</v>
      </c>
      <c r="AB65">
        <f t="shared" si="6"/>
        <v>4645.5879800000002</v>
      </c>
      <c r="AC65">
        <f t="shared" si="7"/>
        <v>4647.9756600000001</v>
      </c>
      <c r="AF65">
        <f t="shared" si="8"/>
        <v>4652.5617700000003</v>
      </c>
      <c r="AG65">
        <f t="shared" si="9"/>
        <v>4680.2568099999999</v>
      </c>
      <c r="AH65">
        <f t="shared" si="10"/>
        <v>4645.5879800000002</v>
      </c>
    </row>
    <row r="66" spans="1:34" x14ac:dyDescent="0.55000000000000004">
      <c r="A66">
        <f>ALGLIB_SSA_XAUUSD!J66</f>
        <v>1775146800</v>
      </c>
      <c r="B66" t="str">
        <f>_xlfn.XLOOKUP($A66,ALGLIB_SSA_XAUUSD!$A$2:$A$1000,ALGLIB_SSA_XAUUSD!$B$2:$B$1000,"",0)</f>
        <v/>
      </c>
      <c r="C66" t="str">
        <f>_xlfn.XLOOKUP($A66,ALGLIB_SSA_XAUUSD!$A$2:$A$1000,ALGLIB_SSA_XAUUSD!$C$2:$C$1000,"",0)</f>
        <v/>
      </c>
      <c r="D66" s="1">
        <f>D62+(D74-D62)*4/12</f>
        <v>4655.8100000000004</v>
      </c>
      <c r="E66" s="1">
        <f>E62+(E74-E62)*4/12</f>
        <v>4666.6559533333339</v>
      </c>
      <c r="F66" s="1">
        <f>F62+(F74-F62)*4/12</f>
        <v>4660.6504866666664</v>
      </c>
      <c r="G66" s="1">
        <f>G62+(G74-G62)*4/12</f>
        <v>4680.2763633333334</v>
      </c>
      <c r="H66" s="1">
        <f>H62+(H74-H62)*4/12</f>
        <v>4645.9158900000002</v>
      </c>
      <c r="I66" t="str">
        <f>_xlfn.XLOOKUP($A66,ALGLIB_SSA_XAUUSD!$J$2:$J$1000,ALGLIB_SSA_XAUUSD!$K$2:$K$1000,"",0)</f>
        <v>XAUUSD</v>
      </c>
      <c r="J66" t="str">
        <f>_xlfn.XLOOKUP($A66,ALGLIB_SSA_XAUUSD!$J$2:$J$1000,ALGLIB_SSA_XAUUSD!$L$2:$L$1000,"",0)</f>
        <v>M5</v>
      </c>
      <c r="K66">
        <f>_xlfn.XLOOKUP($A66,ALGLIB_SSA_XAUUSD!$J$2:$J$1000,ALGLIB_SSA_XAUUSD!$M$2:$M$1000,"",0)</f>
        <v>4651.4799999999996</v>
      </c>
      <c r="L66">
        <f>_xlfn.XLOOKUP($A66,ALGLIB_SSA_XAUUSD!$J$2:$J$1000,ALGLIB_SSA_XAUUSD!$N$2:$N$1000,"",0)</f>
        <v>4652.6239599999999</v>
      </c>
      <c r="M66">
        <f>_xlfn.XLOOKUP($A66,ALGLIB_SSA_XAUUSD!$J$2:$J$1000,ALGLIB_SSA_XAUUSD!$O$2:$O$1000,"",0)</f>
        <v>4653.4159900000004</v>
      </c>
      <c r="N66">
        <f>_xlfn.XLOOKUP($A66,ALGLIB_SSA_XAUUSD!$J$2:$J$1000,ALGLIB_SSA_XAUUSD!$P$2:$P$1000,"",0)</f>
        <v>4659.3595400000004</v>
      </c>
      <c r="O66">
        <f>_xlfn.XLOOKUP($A66,ALGLIB_SSA_XAUUSD!$J$2:$J$1000,ALGLIB_SSA_XAUUSD!$Q$2:$Q$1000,"",0)</f>
        <v>4648.2082099999998</v>
      </c>
      <c r="R66">
        <f t="shared" si="0"/>
        <v>1775146800</v>
      </c>
      <c r="S66" t="str">
        <f t="shared" si="1"/>
        <v>XAUUSD</v>
      </c>
      <c r="T66" t="str">
        <f t="shared" si="2"/>
        <v>M5</v>
      </c>
      <c r="U66">
        <f t="shared" si="3"/>
        <v>4651.4799999999996</v>
      </c>
      <c r="V66">
        <v>4666.6559500000003</v>
      </c>
      <c r="W66">
        <v>4660.65049</v>
      </c>
      <c r="X66">
        <v>4652.6239599999999</v>
      </c>
      <c r="Y66">
        <v>4653.4159900000004</v>
      </c>
      <c r="Z66">
        <f t="shared" si="4"/>
        <v>4680.2763633333334</v>
      </c>
      <c r="AA66">
        <f t="shared" si="5"/>
        <v>4659.3595400000004</v>
      </c>
      <c r="AB66">
        <f t="shared" si="6"/>
        <v>4645.9158900000002</v>
      </c>
      <c r="AC66">
        <f t="shared" si="7"/>
        <v>4648.2082099999998</v>
      </c>
      <c r="AF66">
        <f t="shared" si="8"/>
        <v>4652.6239599999999</v>
      </c>
      <c r="AG66">
        <f t="shared" si="9"/>
        <v>4680.2763633333334</v>
      </c>
      <c r="AH66">
        <f t="shared" si="10"/>
        <v>4645.9158900000002</v>
      </c>
    </row>
    <row r="67" spans="1:34" x14ac:dyDescent="0.55000000000000004">
      <c r="A67">
        <f>ALGLIB_SSA_XAUUSD!J67</f>
        <v>1775147100</v>
      </c>
      <c r="B67" t="str">
        <f>_xlfn.XLOOKUP($A67,ALGLIB_SSA_XAUUSD!$A$2:$A$1000,ALGLIB_SSA_XAUUSD!$B$2:$B$1000,"",0)</f>
        <v/>
      </c>
      <c r="C67" t="str">
        <f>_xlfn.XLOOKUP($A67,ALGLIB_SSA_XAUUSD!$A$2:$A$1000,ALGLIB_SSA_XAUUSD!$C$2:$C$1000,"",0)</f>
        <v/>
      </c>
      <c r="D67" s="1">
        <f>D62+(D74-D62)*5/12</f>
        <v>4654.9350000000004</v>
      </c>
      <c r="E67" s="1">
        <f>E62+(E74-E62)*5/12</f>
        <v>4666.7502816666665</v>
      </c>
      <c r="F67" s="1">
        <f>F62+(F74-F62)*5/12</f>
        <v>4660.9884908333333</v>
      </c>
      <c r="G67" s="1">
        <f>G62+(G74-G62)*5/12</f>
        <v>4680.2959166666669</v>
      </c>
      <c r="H67" s="1">
        <f>H62+(H74-H62)*5/12</f>
        <v>4646.2438000000002</v>
      </c>
      <c r="I67" t="str">
        <f>_xlfn.XLOOKUP($A67,ALGLIB_SSA_XAUUSD!$J$2:$J$1000,ALGLIB_SSA_XAUUSD!$K$2:$K$1000,"",0)</f>
        <v>XAUUSD</v>
      </c>
      <c r="J67" t="str">
        <f>_xlfn.XLOOKUP($A67,ALGLIB_SSA_XAUUSD!$J$2:$J$1000,ALGLIB_SSA_XAUUSD!$L$2:$L$1000,"",0)</f>
        <v>M5</v>
      </c>
      <c r="K67">
        <f>_xlfn.XLOOKUP($A67,ALGLIB_SSA_XAUUSD!$J$2:$J$1000,ALGLIB_SSA_XAUUSD!$M$2:$M$1000,"",0)</f>
        <v>4650.75</v>
      </c>
      <c r="L67">
        <f>_xlfn.XLOOKUP($A67,ALGLIB_SSA_XAUUSD!$J$2:$J$1000,ALGLIB_SSA_XAUUSD!$N$2:$N$1000,"",0)</f>
        <v>4653.6658200000002</v>
      </c>
      <c r="M67">
        <f>_xlfn.XLOOKUP($A67,ALGLIB_SSA_XAUUSD!$J$2:$J$1000,ALGLIB_SSA_XAUUSD!$O$2:$O$1000,"",0)</f>
        <v>4653.5409</v>
      </c>
      <c r="N67">
        <f>_xlfn.XLOOKUP($A67,ALGLIB_SSA_XAUUSD!$J$2:$J$1000,ALGLIB_SSA_XAUUSD!$P$2:$P$1000,"",0)</f>
        <v>4660.3495300000004</v>
      </c>
      <c r="O67">
        <f>_xlfn.XLOOKUP($A67,ALGLIB_SSA_XAUUSD!$J$2:$J$1000,ALGLIB_SSA_XAUUSD!$Q$2:$Q$1000,"",0)</f>
        <v>4649.49269</v>
      </c>
      <c r="R67">
        <f t="shared" ref="R67:R130" si="11">A67</f>
        <v>1775147100</v>
      </c>
      <c r="S67" t="str">
        <f t="shared" ref="S67:S130" si="12">I67</f>
        <v>XAUUSD</v>
      </c>
      <c r="T67" t="str">
        <f t="shared" ref="T67:T130" si="13">J67</f>
        <v>M5</v>
      </c>
      <c r="U67">
        <f t="shared" ref="U67:U130" si="14">K67</f>
        <v>4650.75</v>
      </c>
      <c r="V67">
        <v>4666.7502800000002</v>
      </c>
      <c r="W67">
        <v>4660.9884899999997</v>
      </c>
      <c r="X67">
        <v>4653.6658200000002</v>
      </c>
      <c r="Y67">
        <v>4653.5409</v>
      </c>
      <c r="Z67">
        <f t="shared" ref="Z67:Z130" si="15">G67</f>
        <v>4680.2959166666669</v>
      </c>
      <c r="AA67">
        <f t="shared" ref="AA67:AA130" si="16">N67</f>
        <v>4660.3495300000004</v>
      </c>
      <c r="AB67">
        <f t="shared" ref="AB67:AB130" si="17">H67</f>
        <v>4646.2438000000002</v>
      </c>
      <c r="AC67">
        <f t="shared" ref="AC67:AC130" si="18">O67</f>
        <v>4649.49269</v>
      </c>
      <c r="AF67">
        <f t="shared" ref="AF67:AF130" si="19">X67</f>
        <v>4653.6658200000002</v>
      </c>
      <c r="AG67">
        <f t="shared" ref="AG67:AG130" si="20">Z67</f>
        <v>4680.2959166666669</v>
      </c>
      <c r="AH67">
        <f t="shared" ref="AH67:AH130" si="21">AB67</f>
        <v>4646.2438000000002</v>
      </c>
    </row>
    <row r="68" spans="1:34" x14ac:dyDescent="0.55000000000000004">
      <c r="A68">
        <f>ALGLIB_SSA_XAUUSD!J68</f>
        <v>1775147400</v>
      </c>
      <c r="B68" t="str">
        <f>_xlfn.XLOOKUP($A68,ALGLIB_SSA_XAUUSD!$A$2:$A$1000,ALGLIB_SSA_XAUUSD!$B$2:$B$1000,"",0)</f>
        <v/>
      </c>
      <c r="C68" t="str">
        <f>_xlfn.XLOOKUP($A68,ALGLIB_SSA_XAUUSD!$A$2:$A$1000,ALGLIB_SSA_XAUUSD!$C$2:$C$1000,"",0)</f>
        <v/>
      </c>
      <c r="D68" s="1">
        <f>D62+(D74-D62)*6/12</f>
        <v>4654.0600000000004</v>
      </c>
      <c r="E68" s="1">
        <f>E62+(E74-E62)*6/12</f>
        <v>4666.8446100000001</v>
      </c>
      <c r="F68" s="1">
        <f>F62+(F74-F62)*6/12</f>
        <v>4661.3264949999993</v>
      </c>
      <c r="G68" s="1">
        <f>G62+(G74-G62)*6/12</f>
        <v>4680.3154699999996</v>
      </c>
      <c r="H68" s="1">
        <f>H62+(H74-H62)*6/12</f>
        <v>4646.5717100000002</v>
      </c>
      <c r="I68" t="str">
        <f>_xlfn.XLOOKUP($A68,ALGLIB_SSA_XAUUSD!$J$2:$J$1000,ALGLIB_SSA_XAUUSD!$K$2:$K$1000,"",0)</f>
        <v>XAUUSD</v>
      </c>
      <c r="J68" t="str">
        <f>_xlfn.XLOOKUP($A68,ALGLIB_SSA_XAUUSD!$J$2:$J$1000,ALGLIB_SSA_XAUUSD!$L$2:$L$1000,"",0)</f>
        <v>M5</v>
      </c>
      <c r="K68">
        <f>_xlfn.XLOOKUP($A68,ALGLIB_SSA_XAUUSD!$J$2:$J$1000,ALGLIB_SSA_XAUUSD!$M$2:$M$1000,"",0)</f>
        <v>4658.29</v>
      </c>
      <c r="L68">
        <f>_xlfn.XLOOKUP($A68,ALGLIB_SSA_XAUUSD!$J$2:$J$1000,ALGLIB_SSA_XAUUSD!$N$2:$N$1000,"",0)</f>
        <v>4655.5101000000004</v>
      </c>
      <c r="M68">
        <f>_xlfn.XLOOKUP($A68,ALGLIB_SSA_XAUUSD!$J$2:$J$1000,ALGLIB_SSA_XAUUSD!$O$2:$O$1000,"",0)</f>
        <v>4654.5254999999997</v>
      </c>
      <c r="N68">
        <f>_xlfn.XLOOKUP($A68,ALGLIB_SSA_XAUUSD!$J$2:$J$1000,ALGLIB_SSA_XAUUSD!$P$2:$P$1000,"",0)</f>
        <v>4661.9625999999998</v>
      </c>
      <c r="O68">
        <f>_xlfn.XLOOKUP($A68,ALGLIB_SSA_XAUUSD!$J$2:$J$1000,ALGLIB_SSA_XAUUSD!$Q$2:$Q$1000,"",0)</f>
        <v>4651.4599500000004</v>
      </c>
      <c r="R68">
        <f t="shared" si="11"/>
        <v>1775147400</v>
      </c>
      <c r="S68" t="str">
        <f t="shared" si="12"/>
        <v>XAUUSD</v>
      </c>
      <c r="T68" t="str">
        <f t="shared" si="13"/>
        <v>M5</v>
      </c>
      <c r="U68">
        <f t="shared" si="14"/>
        <v>4658.29</v>
      </c>
      <c r="V68">
        <v>4666.8446100000001</v>
      </c>
      <c r="W68">
        <v>4661.3264900000004</v>
      </c>
      <c r="X68">
        <v>4655.5101000000004</v>
      </c>
      <c r="Y68">
        <v>4654.5254999999997</v>
      </c>
      <c r="Z68">
        <f t="shared" si="15"/>
        <v>4680.3154699999996</v>
      </c>
      <c r="AA68">
        <f t="shared" si="16"/>
        <v>4661.9625999999998</v>
      </c>
      <c r="AB68">
        <f t="shared" si="17"/>
        <v>4646.5717100000002</v>
      </c>
      <c r="AC68">
        <f t="shared" si="18"/>
        <v>4651.4599500000004</v>
      </c>
      <c r="AF68">
        <f t="shared" si="19"/>
        <v>4655.5101000000004</v>
      </c>
      <c r="AG68">
        <f t="shared" si="20"/>
        <v>4680.3154699999996</v>
      </c>
      <c r="AH68">
        <f t="shared" si="21"/>
        <v>4646.5717100000002</v>
      </c>
    </row>
    <row r="69" spans="1:34" x14ac:dyDescent="0.55000000000000004">
      <c r="A69">
        <f>ALGLIB_SSA_XAUUSD!J69</f>
        <v>1775147700</v>
      </c>
      <c r="B69" t="str">
        <f>_xlfn.XLOOKUP($A69,ALGLIB_SSA_XAUUSD!$A$2:$A$1000,ALGLIB_SSA_XAUUSD!$B$2:$B$1000,"",0)</f>
        <v/>
      </c>
      <c r="C69" t="str">
        <f>_xlfn.XLOOKUP($A69,ALGLIB_SSA_XAUUSD!$A$2:$A$1000,ALGLIB_SSA_XAUUSD!$C$2:$C$1000,"",0)</f>
        <v/>
      </c>
      <c r="D69" s="1">
        <f>D62+(D74-D62)*7/12</f>
        <v>4653.1850000000004</v>
      </c>
      <c r="E69" s="1">
        <f>E62+(E74-E62)*7/12</f>
        <v>4666.9389383333337</v>
      </c>
      <c r="F69" s="1">
        <f>F62+(F74-F62)*7/12</f>
        <v>4661.6644991666662</v>
      </c>
      <c r="G69" s="1">
        <f>G62+(G74-G62)*7/12</f>
        <v>4680.3350233333331</v>
      </c>
      <c r="H69" s="1">
        <f>H62+(H74-H62)*7/12</f>
        <v>4646.8996200000001</v>
      </c>
      <c r="I69" t="str">
        <f>_xlfn.XLOOKUP($A69,ALGLIB_SSA_XAUUSD!$J$2:$J$1000,ALGLIB_SSA_XAUUSD!$K$2:$K$1000,"",0)</f>
        <v>XAUUSD</v>
      </c>
      <c r="J69" t="str">
        <f>_xlfn.XLOOKUP($A69,ALGLIB_SSA_XAUUSD!$J$2:$J$1000,ALGLIB_SSA_XAUUSD!$L$2:$L$1000,"",0)</f>
        <v>M5</v>
      </c>
      <c r="K69">
        <f>_xlfn.XLOOKUP($A69,ALGLIB_SSA_XAUUSD!$J$2:$J$1000,ALGLIB_SSA_XAUUSD!$M$2:$M$1000,"",0)</f>
        <v>4663.9799999999996</v>
      </c>
      <c r="L69">
        <f>_xlfn.XLOOKUP($A69,ALGLIB_SSA_XAUUSD!$J$2:$J$1000,ALGLIB_SSA_XAUUSD!$N$2:$N$1000,"",0)</f>
        <v>4657.6951799999997</v>
      </c>
      <c r="M69">
        <f>_xlfn.XLOOKUP($A69,ALGLIB_SSA_XAUUSD!$J$2:$J$1000,ALGLIB_SSA_XAUUSD!$O$2:$O$1000,"",0)</f>
        <v>4656.1103400000002</v>
      </c>
      <c r="N69">
        <f>_xlfn.XLOOKUP($A69,ALGLIB_SSA_XAUUSD!$J$2:$J$1000,ALGLIB_SSA_XAUUSD!$P$2:$P$1000,"",0)</f>
        <v>4663.7835999999998</v>
      </c>
      <c r="O69">
        <f>_xlfn.XLOOKUP($A69,ALGLIB_SSA_XAUUSD!$J$2:$J$1000,ALGLIB_SSA_XAUUSD!$Q$2:$Q$1000,"",0)</f>
        <v>4653.8362699999998</v>
      </c>
      <c r="R69">
        <f t="shared" si="11"/>
        <v>1775147700</v>
      </c>
      <c r="S69" t="str">
        <f t="shared" si="12"/>
        <v>XAUUSD</v>
      </c>
      <c r="T69" t="str">
        <f t="shared" si="13"/>
        <v>M5</v>
      </c>
      <c r="U69">
        <f t="shared" si="14"/>
        <v>4663.9799999999996</v>
      </c>
      <c r="V69">
        <v>4666.93894</v>
      </c>
      <c r="W69">
        <v>4661.6644999999999</v>
      </c>
      <c r="X69">
        <v>4657.6951799999997</v>
      </c>
      <c r="Y69">
        <v>4656.1103400000002</v>
      </c>
      <c r="Z69">
        <f t="shared" si="15"/>
        <v>4680.3350233333331</v>
      </c>
      <c r="AA69">
        <f t="shared" si="16"/>
        <v>4663.7835999999998</v>
      </c>
      <c r="AB69">
        <f t="shared" si="17"/>
        <v>4646.8996200000001</v>
      </c>
      <c r="AC69">
        <f t="shared" si="18"/>
        <v>4653.8362699999998</v>
      </c>
      <c r="AF69">
        <f t="shared" si="19"/>
        <v>4657.6951799999997</v>
      </c>
      <c r="AG69">
        <f t="shared" si="20"/>
        <v>4680.3350233333331</v>
      </c>
      <c r="AH69">
        <f t="shared" si="21"/>
        <v>4646.8996200000001</v>
      </c>
    </row>
    <row r="70" spans="1:34" x14ac:dyDescent="0.55000000000000004">
      <c r="A70">
        <f>ALGLIB_SSA_XAUUSD!J70</f>
        <v>1775148000</v>
      </c>
      <c r="B70" t="str">
        <f>_xlfn.XLOOKUP($A70,ALGLIB_SSA_XAUUSD!$A$2:$A$1000,ALGLIB_SSA_XAUUSD!$B$2:$B$1000,"",0)</f>
        <v/>
      </c>
      <c r="C70" t="str">
        <f>_xlfn.XLOOKUP($A70,ALGLIB_SSA_XAUUSD!$A$2:$A$1000,ALGLIB_SSA_XAUUSD!$C$2:$C$1000,"",0)</f>
        <v/>
      </c>
      <c r="D70" s="1">
        <f>D62+(D74-D62)*8/12</f>
        <v>4652.3100000000004</v>
      </c>
      <c r="E70" s="1">
        <f>E62+(E74-E62)*8/12</f>
        <v>4667.0332666666663</v>
      </c>
      <c r="F70" s="1">
        <f>F62+(F74-F62)*8/12</f>
        <v>4662.0025033333332</v>
      </c>
      <c r="G70" s="1">
        <f>G62+(G74-G62)*8/12</f>
        <v>4680.3545766666666</v>
      </c>
      <c r="H70" s="1">
        <f>H62+(H74-H62)*8/12</f>
        <v>4647.2275300000001</v>
      </c>
      <c r="I70" t="str">
        <f>_xlfn.XLOOKUP($A70,ALGLIB_SSA_XAUUSD!$J$2:$J$1000,ALGLIB_SSA_XAUUSD!$K$2:$K$1000,"",0)</f>
        <v>XAUUSD</v>
      </c>
      <c r="J70" t="str">
        <f>_xlfn.XLOOKUP($A70,ALGLIB_SSA_XAUUSD!$J$2:$J$1000,ALGLIB_SSA_XAUUSD!$L$2:$L$1000,"",0)</f>
        <v>M5</v>
      </c>
      <c r="K70">
        <f>_xlfn.XLOOKUP($A70,ALGLIB_SSA_XAUUSD!$J$2:$J$1000,ALGLIB_SSA_XAUUSD!$M$2:$M$1000,"",0)</f>
        <v>4658.8999999999996</v>
      </c>
      <c r="L70">
        <f>_xlfn.XLOOKUP($A70,ALGLIB_SSA_XAUUSD!$J$2:$J$1000,ALGLIB_SSA_XAUUSD!$N$2:$N$1000,"",0)</f>
        <v>4659.7843700000003</v>
      </c>
      <c r="M70">
        <f>_xlfn.XLOOKUP($A70,ALGLIB_SSA_XAUUSD!$J$2:$J$1000,ALGLIB_SSA_XAUUSD!$O$2:$O$1000,"",0)</f>
        <v>4657.9473600000001</v>
      </c>
      <c r="N70">
        <f>_xlfn.XLOOKUP($A70,ALGLIB_SSA_XAUUSD!$J$2:$J$1000,ALGLIB_SSA_XAUUSD!$P$2:$P$1000,"",0)</f>
        <v>4665.4598999999998</v>
      </c>
      <c r="O70">
        <f>_xlfn.XLOOKUP($A70,ALGLIB_SSA_XAUUSD!$J$2:$J$1000,ALGLIB_SSA_XAUUSD!$Q$2:$Q$1000,"",0)</f>
        <v>4656.1348900000003</v>
      </c>
      <c r="R70">
        <f t="shared" si="11"/>
        <v>1775148000</v>
      </c>
      <c r="S70" t="str">
        <f t="shared" si="12"/>
        <v>XAUUSD</v>
      </c>
      <c r="T70" t="str">
        <f t="shared" si="13"/>
        <v>M5</v>
      </c>
      <c r="U70">
        <f t="shared" si="14"/>
        <v>4658.8999999999996</v>
      </c>
      <c r="V70">
        <v>4667.0332699999999</v>
      </c>
      <c r="W70">
        <v>4662.0024999999996</v>
      </c>
      <c r="X70">
        <v>4659.7843700000003</v>
      </c>
      <c r="Y70">
        <v>4657.9473600000001</v>
      </c>
      <c r="Z70">
        <f t="shared" si="15"/>
        <v>4680.3545766666666</v>
      </c>
      <c r="AA70">
        <f t="shared" si="16"/>
        <v>4665.4598999999998</v>
      </c>
      <c r="AB70">
        <f t="shared" si="17"/>
        <v>4647.2275300000001</v>
      </c>
      <c r="AC70">
        <f t="shared" si="18"/>
        <v>4656.1348900000003</v>
      </c>
      <c r="AF70">
        <f t="shared" si="19"/>
        <v>4659.7843700000003</v>
      </c>
      <c r="AG70">
        <f t="shared" si="20"/>
        <v>4680.3545766666666</v>
      </c>
      <c r="AH70">
        <f t="shared" si="21"/>
        <v>4647.2275300000001</v>
      </c>
    </row>
    <row r="71" spans="1:34" x14ac:dyDescent="0.55000000000000004">
      <c r="A71">
        <f>ALGLIB_SSA_XAUUSD!J71</f>
        <v>1775148300</v>
      </c>
      <c r="B71" t="str">
        <f>_xlfn.XLOOKUP($A71,ALGLIB_SSA_XAUUSD!$A$2:$A$1000,ALGLIB_SSA_XAUUSD!$B$2:$B$1000,"",0)</f>
        <v/>
      </c>
      <c r="C71" t="str">
        <f>_xlfn.XLOOKUP($A71,ALGLIB_SSA_XAUUSD!$A$2:$A$1000,ALGLIB_SSA_XAUUSD!$C$2:$C$1000,"",0)</f>
        <v/>
      </c>
      <c r="D71" s="1">
        <f>D62+(D74-D62)*9/12</f>
        <v>4651.4350000000004</v>
      </c>
      <c r="E71" s="1">
        <f>E62+(E74-E62)*9/12</f>
        <v>4667.1275949999999</v>
      </c>
      <c r="F71" s="1">
        <f>F62+(F74-F62)*9/12</f>
        <v>4662.3405075000001</v>
      </c>
      <c r="G71" s="1">
        <f>G62+(G74-G62)*9/12</f>
        <v>4680.3741300000002</v>
      </c>
      <c r="H71" s="1">
        <f>H62+(H74-H62)*9/12</f>
        <v>4647.5554400000001</v>
      </c>
      <c r="I71" t="str">
        <f>_xlfn.XLOOKUP($A71,ALGLIB_SSA_XAUUSD!$J$2:$J$1000,ALGLIB_SSA_XAUUSD!$K$2:$K$1000,"",0)</f>
        <v>XAUUSD</v>
      </c>
      <c r="J71" t="str">
        <f>_xlfn.XLOOKUP($A71,ALGLIB_SSA_XAUUSD!$J$2:$J$1000,ALGLIB_SSA_XAUUSD!$L$2:$L$1000,"",0)</f>
        <v>M5</v>
      </c>
      <c r="K71">
        <f>_xlfn.XLOOKUP($A71,ALGLIB_SSA_XAUUSD!$J$2:$J$1000,ALGLIB_SSA_XAUUSD!$M$2:$M$1000,"",0)</f>
        <v>4660.3500000000004</v>
      </c>
      <c r="L71">
        <f>_xlfn.XLOOKUP($A71,ALGLIB_SSA_XAUUSD!$J$2:$J$1000,ALGLIB_SSA_XAUUSD!$N$2:$N$1000,"",0)</f>
        <v>4661.6768700000002</v>
      </c>
      <c r="M71">
        <f>_xlfn.XLOOKUP($A71,ALGLIB_SSA_XAUUSD!$J$2:$J$1000,ALGLIB_SSA_XAUUSD!$O$2:$O$1000,"",0)</f>
        <v>4659.8121099999998</v>
      </c>
      <c r="N71">
        <f>_xlfn.XLOOKUP($A71,ALGLIB_SSA_XAUUSD!$J$2:$J$1000,ALGLIB_SSA_XAUUSD!$P$2:$P$1000,"",0)</f>
        <v>4666.7413100000003</v>
      </c>
      <c r="O71">
        <f>_xlfn.XLOOKUP($A71,ALGLIB_SSA_XAUUSD!$J$2:$J$1000,ALGLIB_SSA_XAUUSD!$Q$2:$Q$1000,"",0)</f>
        <v>4658.0846000000001</v>
      </c>
      <c r="R71">
        <f t="shared" si="11"/>
        <v>1775148300</v>
      </c>
      <c r="S71" t="str">
        <f t="shared" si="12"/>
        <v>XAUUSD</v>
      </c>
      <c r="T71" t="str">
        <f t="shared" si="13"/>
        <v>M5</v>
      </c>
      <c r="U71">
        <f t="shared" si="14"/>
        <v>4660.3500000000004</v>
      </c>
      <c r="V71">
        <v>4667.1275999999998</v>
      </c>
      <c r="W71">
        <v>4662.34051</v>
      </c>
      <c r="X71">
        <v>4661.6768700000002</v>
      </c>
      <c r="Y71">
        <v>4659.8121099999998</v>
      </c>
      <c r="Z71">
        <f t="shared" si="15"/>
        <v>4680.3741300000002</v>
      </c>
      <c r="AA71">
        <f t="shared" si="16"/>
        <v>4666.7413100000003</v>
      </c>
      <c r="AB71">
        <f t="shared" si="17"/>
        <v>4647.5554400000001</v>
      </c>
      <c r="AC71">
        <f t="shared" si="18"/>
        <v>4658.0846000000001</v>
      </c>
      <c r="AF71">
        <f t="shared" si="19"/>
        <v>4661.6768700000002</v>
      </c>
      <c r="AG71">
        <f t="shared" si="20"/>
        <v>4680.3741300000002</v>
      </c>
      <c r="AH71">
        <f t="shared" si="21"/>
        <v>4647.5554400000001</v>
      </c>
    </row>
    <row r="72" spans="1:34" x14ac:dyDescent="0.55000000000000004">
      <c r="A72">
        <f>ALGLIB_SSA_XAUUSD!J72</f>
        <v>1775148600</v>
      </c>
      <c r="B72" t="str">
        <f>_xlfn.XLOOKUP($A72,ALGLIB_SSA_XAUUSD!$A$2:$A$1000,ALGLIB_SSA_XAUUSD!$B$2:$B$1000,"",0)</f>
        <v/>
      </c>
      <c r="C72" t="str">
        <f>_xlfn.XLOOKUP($A72,ALGLIB_SSA_XAUUSD!$A$2:$A$1000,ALGLIB_SSA_XAUUSD!$C$2:$C$1000,"",0)</f>
        <v/>
      </c>
      <c r="D72" s="1">
        <f>D62+(D74-D62)*10/12</f>
        <v>4650.5600000000004</v>
      </c>
      <c r="E72" s="1">
        <f>E62+(E74-E62)*10/12</f>
        <v>4667.2219233333335</v>
      </c>
      <c r="F72" s="1">
        <f>F62+(F74-F62)*10/12</f>
        <v>4662.678511666667</v>
      </c>
      <c r="G72" s="1">
        <f>G62+(G74-G62)*10/12</f>
        <v>4680.3936833333337</v>
      </c>
      <c r="H72" s="1">
        <f>H62+(H74-H62)*10/12</f>
        <v>4647.8833500000001</v>
      </c>
      <c r="I72" t="str">
        <f>_xlfn.XLOOKUP($A72,ALGLIB_SSA_XAUUSD!$J$2:$J$1000,ALGLIB_SSA_XAUUSD!$K$2:$K$1000,"",0)</f>
        <v>XAUUSD</v>
      </c>
      <c r="J72" t="str">
        <f>_xlfn.XLOOKUP($A72,ALGLIB_SSA_XAUUSD!$J$2:$J$1000,ALGLIB_SSA_XAUUSD!$L$2:$L$1000,"",0)</f>
        <v>M5</v>
      </c>
      <c r="K72">
        <f>_xlfn.XLOOKUP($A72,ALGLIB_SSA_XAUUSD!$J$2:$J$1000,ALGLIB_SSA_XAUUSD!$M$2:$M$1000,"",0)</f>
        <v>4664.3</v>
      </c>
      <c r="L72">
        <f>_xlfn.XLOOKUP($A72,ALGLIB_SSA_XAUUSD!$J$2:$J$1000,ALGLIB_SSA_XAUUSD!$N$2:$N$1000,"",0)</f>
        <v>4663.1294099999996</v>
      </c>
      <c r="M72">
        <f>_xlfn.XLOOKUP($A72,ALGLIB_SSA_XAUUSD!$J$2:$J$1000,ALGLIB_SSA_XAUUSD!$O$2:$O$1000,"",0)</f>
        <v>4661.4707600000002</v>
      </c>
      <c r="N72">
        <f>_xlfn.XLOOKUP($A72,ALGLIB_SSA_XAUUSD!$J$2:$J$1000,ALGLIB_SSA_XAUUSD!$P$2:$P$1000,"",0)</f>
        <v>4667.6842900000001</v>
      </c>
      <c r="O72">
        <f>_xlfn.XLOOKUP($A72,ALGLIB_SSA_XAUUSD!$J$2:$J$1000,ALGLIB_SSA_XAUUSD!$Q$2:$Q$1000,"",0)</f>
        <v>4659.5505000000003</v>
      </c>
      <c r="R72">
        <f t="shared" si="11"/>
        <v>1775148600</v>
      </c>
      <c r="S72" t="str">
        <f t="shared" si="12"/>
        <v>XAUUSD</v>
      </c>
      <c r="T72" t="str">
        <f t="shared" si="13"/>
        <v>M5</v>
      </c>
      <c r="U72">
        <f t="shared" si="14"/>
        <v>4664.3</v>
      </c>
      <c r="V72">
        <v>4667.22192</v>
      </c>
      <c r="W72">
        <v>4662.6785099999997</v>
      </c>
      <c r="X72">
        <v>4663.1294099999996</v>
      </c>
      <c r="Y72">
        <v>4661.4707600000002</v>
      </c>
      <c r="Z72">
        <f t="shared" si="15"/>
        <v>4680.3936833333337</v>
      </c>
      <c r="AA72">
        <f t="shared" si="16"/>
        <v>4667.6842900000001</v>
      </c>
      <c r="AB72">
        <f t="shared" si="17"/>
        <v>4647.8833500000001</v>
      </c>
      <c r="AC72">
        <f t="shared" si="18"/>
        <v>4659.5505000000003</v>
      </c>
      <c r="AF72">
        <f t="shared" si="19"/>
        <v>4663.1294099999996</v>
      </c>
      <c r="AG72">
        <f t="shared" si="20"/>
        <v>4680.3936833333337</v>
      </c>
      <c r="AH72">
        <f t="shared" si="21"/>
        <v>4647.8833500000001</v>
      </c>
    </row>
    <row r="73" spans="1:34" x14ac:dyDescent="0.55000000000000004">
      <c r="A73">
        <f>ALGLIB_SSA_XAUUSD!J73</f>
        <v>1775148900</v>
      </c>
      <c r="B73" t="str">
        <f>_xlfn.XLOOKUP($A73,ALGLIB_SSA_XAUUSD!$A$2:$A$1000,ALGLIB_SSA_XAUUSD!$B$2:$B$1000,"",0)</f>
        <v/>
      </c>
      <c r="C73" t="str">
        <f>_xlfn.XLOOKUP($A73,ALGLIB_SSA_XAUUSD!$A$2:$A$1000,ALGLIB_SSA_XAUUSD!$C$2:$C$1000,"",0)</f>
        <v/>
      </c>
      <c r="D73" s="1">
        <f>D62+(D74-D62)*11/12</f>
        <v>4649.6850000000004</v>
      </c>
      <c r="E73" s="1">
        <f>E62+(E74-E62)*11/12</f>
        <v>4667.3162516666662</v>
      </c>
      <c r="F73" s="1">
        <f>F62+(F74-F62)*11/12</f>
        <v>4663.016515833333</v>
      </c>
      <c r="G73" s="1">
        <f>G62+(G74-G62)*11/12</f>
        <v>4680.4132366666663</v>
      </c>
      <c r="H73" s="1">
        <f>H62+(H74-H62)*11/12</f>
        <v>4648.21126</v>
      </c>
      <c r="I73" t="str">
        <f>_xlfn.XLOOKUP($A73,ALGLIB_SSA_XAUUSD!$J$2:$J$1000,ALGLIB_SSA_XAUUSD!$K$2:$K$1000,"",0)</f>
        <v>XAUUSD</v>
      </c>
      <c r="J73" t="str">
        <f>_xlfn.XLOOKUP($A73,ALGLIB_SSA_XAUUSD!$J$2:$J$1000,ALGLIB_SSA_XAUUSD!$L$2:$L$1000,"",0)</f>
        <v>M5</v>
      </c>
      <c r="K73">
        <f>_xlfn.XLOOKUP($A73,ALGLIB_SSA_XAUUSD!$J$2:$J$1000,ALGLIB_SSA_XAUUSD!$M$2:$M$1000,"",0)</f>
        <v>4659.3100000000004</v>
      </c>
      <c r="L73">
        <f>_xlfn.XLOOKUP($A73,ALGLIB_SSA_XAUUSD!$J$2:$J$1000,ALGLIB_SSA_XAUUSD!$N$2:$N$1000,"",0)</f>
        <v>4663.89066</v>
      </c>
      <c r="M73">
        <f>_xlfn.XLOOKUP($A73,ALGLIB_SSA_XAUUSD!$J$2:$J$1000,ALGLIB_SSA_XAUUSD!$O$2:$O$1000,"",0)</f>
        <v>4662.6807099999996</v>
      </c>
      <c r="N73">
        <f>_xlfn.XLOOKUP($A73,ALGLIB_SSA_XAUUSD!$J$2:$J$1000,ALGLIB_SSA_XAUUSD!$P$2:$P$1000,"",0)</f>
        <v>4667.9943999999996</v>
      </c>
      <c r="O73">
        <f>_xlfn.XLOOKUP($A73,ALGLIB_SSA_XAUUSD!$J$2:$J$1000,ALGLIB_SSA_XAUUSD!$Q$2:$Q$1000,"",0)</f>
        <v>4660.3499899999997</v>
      </c>
      <c r="R73">
        <f t="shared" si="11"/>
        <v>1775148900</v>
      </c>
      <c r="S73" t="str">
        <f t="shared" si="12"/>
        <v>XAUUSD</v>
      </c>
      <c r="T73" t="str">
        <f t="shared" si="13"/>
        <v>M5</v>
      </c>
      <c r="U73">
        <f t="shared" si="14"/>
        <v>4659.3100000000004</v>
      </c>
      <c r="V73">
        <v>4667.3162499999999</v>
      </c>
      <c r="W73">
        <v>4663.0165200000001</v>
      </c>
      <c r="X73">
        <v>4663.89066</v>
      </c>
      <c r="Y73">
        <v>4662.6807099999996</v>
      </c>
      <c r="Z73">
        <f t="shared" si="15"/>
        <v>4680.4132366666663</v>
      </c>
      <c r="AA73">
        <f t="shared" si="16"/>
        <v>4667.9943999999996</v>
      </c>
      <c r="AB73">
        <f t="shared" si="17"/>
        <v>4648.21126</v>
      </c>
      <c r="AC73">
        <f t="shared" si="18"/>
        <v>4660.3499899999997</v>
      </c>
      <c r="AF73">
        <f t="shared" si="19"/>
        <v>4663.89066</v>
      </c>
      <c r="AG73">
        <f t="shared" si="20"/>
        <v>4680.4132366666663</v>
      </c>
      <c r="AH73">
        <f t="shared" si="21"/>
        <v>4648.21126</v>
      </c>
    </row>
    <row r="74" spans="1:34" x14ac:dyDescent="0.55000000000000004">
      <c r="A74">
        <f>ALGLIB_SSA_XAUUSD!J74</f>
        <v>1775149200</v>
      </c>
      <c r="B74" t="str">
        <f>_xlfn.XLOOKUP($A74,ALGLIB_SSA_XAUUSD!$A$2:$A$1000,ALGLIB_SSA_XAUUSD!$B$2:$B$1000,"",0)</f>
        <v>XAUUSD</v>
      </c>
      <c r="C74" t="str">
        <f>_xlfn.XLOOKUP($A74,ALGLIB_SSA_XAUUSD!$A$2:$A$1000,ALGLIB_SSA_XAUUSD!$C$2:$C$1000,"",0)</f>
        <v>H1</v>
      </c>
      <c r="D74" s="2">
        <f>_xlfn.XLOOKUP($A74,ALGLIB_SSA_XAUUSD!$A$2:$A$1000,ALGLIB_SSA_XAUUSD!$D$2:$D$1000,"",0)</f>
        <v>4648.8100000000004</v>
      </c>
      <c r="E74" s="2">
        <f>_xlfn.XLOOKUP($A74,ALGLIB_SSA_XAUUSD!$A$2:$A$1000,ALGLIB_SSA_XAUUSD!$E$2:$E$1000,"",0)</f>
        <v>4667.4105799999998</v>
      </c>
      <c r="F74" s="2">
        <f>_xlfn.XLOOKUP($A74,ALGLIB_SSA_XAUUSD!$A$2:$A$1000,ALGLIB_SSA_XAUUSD!$F$2:$F$1000,"",0)</f>
        <v>4663.3545199999999</v>
      </c>
      <c r="G74" s="2">
        <f>_xlfn.XLOOKUP($A74,ALGLIB_SSA_XAUUSD!$A$2:$A$1000,ALGLIB_SSA_XAUUSD!$G$2:$G$1000,"",0)</f>
        <v>4680.4327899999998</v>
      </c>
      <c r="H74" s="2">
        <f>_xlfn.XLOOKUP($A74,ALGLIB_SSA_XAUUSD!$A$2:$A$1000,ALGLIB_SSA_XAUUSD!$H$2:$H$1000,"",0)</f>
        <v>4648.53917</v>
      </c>
      <c r="I74" t="str">
        <f>_xlfn.XLOOKUP($A74,ALGLIB_SSA_XAUUSD!$J$2:$J$1000,ALGLIB_SSA_XAUUSD!$K$2:$K$1000,"",0)</f>
        <v>XAUUSD</v>
      </c>
      <c r="J74" t="str">
        <f>_xlfn.XLOOKUP($A74,ALGLIB_SSA_XAUUSD!$J$2:$J$1000,ALGLIB_SSA_XAUUSD!$L$2:$L$1000,"",0)</f>
        <v>M5</v>
      </c>
      <c r="K74">
        <f>_xlfn.XLOOKUP($A74,ALGLIB_SSA_XAUUSD!$J$2:$J$1000,ALGLIB_SSA_XAUUSD!$M$2:$M$1000,"",0)</f>
        <v>4663.75</v>
      </c>
      <c r="L74">
        <f>_xlfn.XLOOKUP($A74,ALGLIB_SSA_XAUUSD!$J$2:$J$1000,ALGLIB_SSA_XAUUSD!$N$2:$N$1000,"",0)</f>
        <v>4664.0563400000001</v>
      </c>
      <c r="M74">
        <f>_xlfn.XLOOKUP($A74,ALGLIB_SSA_XAUUSD!$J$2:$J$1000,ALGLIB_SSA_XAUUSD!$O$2:$O$1000,"",0)</f>
        <v>4663.3685299999997</v>
      </c>
      <c r="N74">
        <f>_xlfn.XLOOKUP($A74,ALGLIB_SSA_XAUUSD!$J$2:$J$1000,ALGLIB_SSA_XAUUSD!$P$2:$P$1000,"",0)</f>
        <v>4667.8017399999999</v>
      </c>
      <c r="O74">
        <f>_xlfn.XLOOKUP($A74,ALGLIB_SSA_XAUUSD!$J$2:$J$1000,ALGLIB_SSA_XAUUSD!$Q$2:$Q$1000,"",0)</f>
        <v>4660.4375700000001</v>
      </c>
      <c r="R74">
        <f t="shared" si="11"/>
        <v>1775149200</v>
      </c>
      <c r="S74" t="str">
        <f t="shared" si="12"/>
        <v>XAUUSD</v>
      </c>
      <c r="T74" t="str">
        <f t="shared" si="13"/>
        <v>M5</v>
      </c>
      <c r="U74">
        <f t="shared" si="14"/>
        <v>4663.75</v>
      </c>
      <c r="V74">
        <v>4667.4105799999998</v>
      </c>
      <c r="W74">
        <v>4663.3545199999999</v>
      </c>
      <c r="X74">
        <v>4664.0563400000001</v>
      </c>
      <c r="Y74">
        <v>4663.3685299999997</v>
      </c>
      <c r="Z74">
        <f t="shared" si="15"/>
        <v>4680.4327899999998</v>
      </c>
      <c r="AA74">
        <f t="shared" si="16"/>
        <v>4667.8017399999999</v>
      </c>
      <c r="AB74">
        <f t="shared" si="17"/>
        <v>4648.53917</v>
      </c>
      <c r="AC74">
        <f t="shared" si="18"/>
        <v>4660.4375700000001</v>
      </c>
      <c r="AF74">
        <f t="shared" si="19"/>
        <v>4664.0563400000001</v>
      </c>
      <c r="AG74">
        <f t="shared" si="20"/>
        <v>4680.4327899999998</v>
      </c>
      <c r="AH74">
        <f t="shared" si="21"/>
        <v>4648.53917</v>
      </c>
    </row>
    <row r="75" spans="1:34" x14ac:dyDescent="0.55000000000000004">
      <c r="A75">
        <f>ALGLIB_SSA_XAUUSD!J75</f>
        <v>1775149500</v>
      </c>
      <c r="B75" t="str">
        <f>_xlfn.XLOOKUP($A75,ALGLIB_SSA_XAUUSD!$A$2:$A$1000,ALGLIB_SSA_XAUUSD!$B$2:$B$1000,"",0)</f>
        <v/>
      </c>
      <c r="C75" t="str">
        <f>_xlfn.XLOOKUP($A75,ALGLIB_SSA_XAUUSD!$A$2:$A$1000,ALGLIB_SSA_XAUUSD!$C$2:$C$1000,"",0)</f>
        <v/>
      </c>
      <c r="D75" s="1">
        <f>D74+(D86-D74)*1/12</f>
        <v>4650.4541666666673</v>
      </c>
      <c r="E75" s="1">
        <f>E74+(E86-E74)*1/12</f>
        <v>4667.2428174999995</v>
      </c>
      <c r="F75" s="1">
        <f>F74+(F86-F74)*1/12</f>
        <v>4663.4396416666668</v>
      </c>
      <c r="G75" s="1">
        <f>G74+(G86-G74)*1/12</f>
        <v>4680.2212675000001</v>
      </c>
      <c r="H75" s="1">
        <f>H74+(H86-H74)*1/12</f>
        <v>4648.5535541666668</v>
      </c>
      <c r="I75" t="str">
        <f>_xlfn.XLOOKUP($A75,ALGLIB_SSA_XAUUSD!$J$2:$J$1000,ALGLIB_SSA_XAUUSD!$K$2:$K$1000,"",0)</f>
        <v>XAUUSD</v>
      </c>
      <c r="J75" t="str">
        <f>_xlfn.XLOOKUP($A75,ALGLIB_SSA_XAUUSD!$J$2:$J$1000,ALGLIB_SSA_XAUUSD!$L$2:$L$1000,"",0)</f>
        <v>M5</v>
      </c>
      <c r="K75">
        <f>_xlfn.XLOOKUP($A75,ALGLIB_SSA_XAUUSD!$J$2:$J$1000,ALGLIB_SSA_XAUUSD!$M$2:$M$1000,"",0)</f>
        <v>4662.91</v>
      </c>
      <c r="L75">
        <f>_xlfn.XLOOKUP($A75,ALGLIB_SSA_XAUUSD!$J$2:$J$1000,ALGLIB_SSA_XAUUSD!$N$2:$N$1000,"",0)</f>
        <v>4663.5222599999997</v>
      </c>
      <c r="M75">
        <f>_xlfn.XLOOKUP($A75,ALGLIB_SSA_XAUUSD!$J$2:$J$1000,ALGLIB_SSA_XAUUSD!$O$2:$O$1000,"",0)</f>
        <v>4663.4453899999999</v>
      </c>
      <c r="N75">
        <f>_xlfn.XLOOKUP($A75,ALGLIB_SSA_XAUUSD!$J$2:$J$1000,ALGLIB_SSA_XAUUSD!$P$2:$P$1000,"",0)</f>
        <v>4667.13825</v>
      </c>
      <c r="O75">
        <f>_xlfn.XLOOKUP($A75,ALGLIB_SSA_XAUUSD!$J$2:$J$1000,ALGLIB_SSA_XAUUSD!$Q$2:$Q$1000,"",0)</f>
        <v>4659.8991100000003</v>
      </c>
      <c r="R75">
        <f t="shared" si="11"/>
        <v>1775149500</v>
      </c>
      <c r="S75" t="str">
        <f t="shared" si="12"/>
        <v>XAUUSD</v>
      </c>
      <c r="T75" t="str">
        <f t="shared" si="13"/>
        <v>M5</v>
      </c>
      <c r="U75">
        <f t="shared" si="14"/>
        <v>4662.91</v>
      </c>
      <c r="V75">
        <v>4667.2428200000004</v>
      </c>
      <c r="W75">
        <v>4663.4396399999996</v>
      </c>
      <c r="X75">
        <v>4663.5222599999997</v>
      </c>
      <c r="Y75">
        <v>4663.4453899999999</v>
      </c>
      <c r="Z75">
        <f t="shared" si="15"/>
        <v>4680.2212675000001</v>
      </c>
      <c r="AA75">
        <f t="shared" si="16"/>
        <v>4667.13825</v>
      </c>
      <c r="AB75">
        <f t="shared" si="17"/>
        <v>4648.5535541666668</v>
      </c>
      <c r="AC75">
        <f t="shared" si="18"/>
        <v>4659.8991100000003</v>
      </c>
      <c r="AF75">
        <f t="shared" si="19"/>
        <v>4663.5222599999997</v>
      </c>
      <c r="AG75">
        <f t="shared" si="20"/>
        <v>4680.2212675000001</v>
      </c>
      <c r="AH75">
        <f t="shared" si="21"/>
        <v>4648.5535541666668</v>
      </c>
    </row>
    <row r="76" spans="1:34" x14ac:dyDescent="0.55000000000000004">
      <c r="A76">
        <f>ALGLIB_SSA_XAUUSD!J76</f>
        <v>1775149800</v>
      </c>
      <c r="B76" t="str">
        <f>_xlfn.XLOOKUP($A76,ALGLIB_SSA_XAUUSD!$A$2:$A$1000,ALGLIB_SSA_XAUUSD!$B$2:$B$1000,"",0)</f>
        <v/>
      </c>
      <c r="C76" t="str">
        <f>_xlfn.XLOOKUP($A76,ALGLIB_SSA_XAUUSD!$A$2:$A$1000,ALGLIB_SSA_XAUUSD!$C$2:$C$1000,"",0)</f>
        <v/>
      </c>
      <c r="D76" s="1">
        <f>D74+(D86-D74)*2/12</f>
        <v>4652.0983333333334</v>
      </c>
      <c r="E76" s="1">
        <f>E74+(E86-E74)*2/12</f>
        <v>4667.0750549999993</v>
      </c>
      <c r="F76" s="1">
        <f>F74+(F86-F74)*2/12</f>
        <v>4663.5247633333329</v>
      </c>
      <c r="G76" s="1">
        <f>G74+(G86-G74)*2/12</f>
        <v>4680.0097449999994</v>
      </c>
      <c r="H76" s="1">
        <f>H74+(H86-H74)*2/12</f>
        <v>4648.5679383333336</v>
      </c>
      <c r="I76" t="str">
        <f>_xlfn.XLOOKUP($A76,ALGLIB_SSA_XAUUSD!$J$2:$J$1000,ALGLIB_SSA_XAUUSD!$K$2:$K$1000,"",0)</f>
        <v>XAUUSD</v>
      </c>
      <c r="J76" t="str">
        <f>_xlfn.XLOOKUP($A76,ALGLIB_SSA_XAUUSD!$J$2:$J$1000,ALGLIB_SSA_XAUUSD!$L$2:$L$1000,"",0)</f>
        <v>M5</v>
      </c>
      <c r="K76">
        <f>_xlfn.XLOOKUP($A76,ALGLIB_SSA_XAUUSD!$J$2:$J$1000,ALGLIB_SSA_XAUUSD!$M$2:$M$1000,"",0)</f>
        <v>4663.9799999999996</v>
      </c>
      <c r="L76">
        <f>_xlfn.XLOOKUP($A76,ALGLIB_SSA_XAUUSD!$J$2:$J$1000,ALGLIB_SSA_XAUUSD!$N$2:$N$1000,"",0)</f>
        <v>4662.3518000000004</v>
      </c>
      <c r="M76">
        <f>_xlfn.XLOOKUP($A76,ALGLIB_SSA_XAUUSD!$J$2:$J$1000,ALGLIB_SSA_XAUUSD!$O$2:$O$1000,"",0)</f>
        <v>4662.8986000000004</v>
      </c>
      <c r="N76">
        <f>_xlfn.XLOOKUP($A76,ALGLIB_SSA_XAUUSD!$J$2:$J$1000,ALGLIB_SSA_XAUUSD!$P$2:$P$1000,"",0)</f>
        <v>4665.92155</v>
      </c>
      <c r="O76">
        <f>_xlfn.XLOOKUP($A76,ALGLIB_SSA_XAUUSD!$J$2:$J$1000,ALGLIB_SSA_XAUUSD!$Q$2:$Q$1000,"",0)</f>
        <v>4658.6838699999998</v>
      </c>
      <c r="R76">
        <f t="shared" si="11"/>
        <v>1775149800</v>
      </c>
      <c r="S76" t="str">
        <f t="shared" si="12"/>
        <v>XAUUSD</v>
      </c>
      <c r="T76" t="str">
        <f t="shared" si="13"/>
        <v>M5</v>
      </c>
      <c r="U76">
        <f t="shared" si="14"/>
        <v>4663.9799999999996</v>
      </c>
      <c r="V76">
        <v>4667.0750500000004</v>
      </c>
      <c r="W76">
        <v>4663.5247600000002</v>
      </c>
      <c r="X76">
        <v>4662.3518000000004</v>
      </c>
      <c r="Y76">
        <v>4662.8986000000004</v>
      </c>
      <c r="Z76">
        <f t="shared" si="15"/>
        <v>4680.0097449999994</v>
      </c>
      <c r="AA76">
        <f t="shared" si="16"/>
        <v>4665.92155</v>
      </c>
      <c r="AB76">
        <f t="shared" si="17"/>
        <v>4648.5679383333336</v>
      </c>
      <c r="AC76">
        <f t="shared" si="18"/>
        <v>4658.6838699999998</v>
      </c>
      <c r="AF76">
        <f t="shared" si="19"/>
        <v>4662.3518000000004</v>
      </c>
      <c r="AG76">
        <f t="shared" si="20"/>
        <v>4680.0097449999994</v>
      </c>
      <c r="AH76">
        <f t="shared" si="21"/>
        <v>4648.5679383333336</v>
      </c>
    </row>
    <row r="77" spans="1:34" x14ac:dyDescent="0.55000000000000004">
      <c r="A77">
        <f>ALGLIB_SSA_XAUUSD!J77</f>
        <v>1775150100</v>
      </c>
      <c r="B77" t="str">
        <f>_xlfn.XLOOKUP($A77,ALGLIB_SSA_XAUUSD!$A$2:$A$1000,ALGLIB_SSA_XAUUSD!$B$2:$B$1000,"",0)</f>
        <v/>
      </c>
      <c r="C77" t="str">
        <f>_xlfn.XLOOKUP($A77,ALGLIB_SSA_XAUUSD!$A$2:$A$1000,ALGLIB_SSA_XAUUSD!$C$2:$C$1000,"",0)</f>
        <v/>
      </c>
      <c r="D77" s="1">
        <f>D74+(D86-D74)*3/12</f>
        <v>4653.7425000000003</v>
      </c>
      <c r="E77" s="1">
        <f>E74+(E86-E74)*3/12</f>
        <v>4666.9072925</v>
      </c>
      <c r="F77" s="1">
        <f>F74+(F86-F74)*3/12</f>
        <v>4663.6098849999998</v>
      </c>
      <c r="G77" s="1">
        <f>G74+(G86-G74)*3/12</f>
        <v>4679.7982224999996</v>
      </c>
      <c r="H77" s="1">
        <f>H74+(H86-H74)*3/12</f>
        <v>4648.5823225000004</v>
      </c>
      <c r="I77" t="str">
        <f>_xlfn.XLOOKUP($A77,ALGLIB_SSA_XAUUSD!$J$2:$J$1000,ALGLIB_SSA_XAUUSD!$K$2:$K$1000,"",0)</f>
        <v>XAUUSD</v>
      </c>
      <c r="J77" t="str">
        <f>_xlfn.XLOOKUP($A77,ALGLIB_SSA_XAUUSD!$J$2:$J$1000,ALGLIB_SSA_XAUUSD!$L$2:$L$1000,"",0)</f>
        <v>M5</v>
      </c>
      <c r="K77">
        <f>_xlfn.XLOOKUP($A77,ALGLIB_SSA_XAUUSD!$J$2:$J$1000,ALGLIB_SSA_XAUUSD!$M$2:$M$1000,"",0)</f>
        <v>4662.1499999999996</v>
      </c>
      <c r="L77">
        <f>_xlfn.XLOOKUP($A77,ALGLIB_SSA_XAUUSD!$J$2:$J$1000,ALGLIB_SSA_XAUUSD!$N$2:$N$1000,"",0)</f>
        <v>4660.6304799999998</v>
      </c>
      <c r="M77">
        <f>_xlfn.XLOOKUP($A77,ALGLIB_SSA_XAUUSD!$J$2:$J$1000,ALGLIB_SSA_XAUUSD!$O$2:$O$1000,"",0)</f>
        <v>4661.7645400000001</v>
      </c>
      <c r="N77">
        <f>_xlfn.XLOOKUP($A77,ALGLIB_SSA_XAUUSD!$J$2:$J$1000,ALGLIB_SSA_XAUUSD!$P$2:$P$1000,"",0)</f>
        <v>4664.3222800000003</v>
      </c>
      <c r="O77">
        <f>_xlfn.XLOOKUP($A77,ALGLIB_SSA_XAUUSD!$J$2:$J$1000,ALGLIB_SSA_XAUUSD!$Q$2:$Q$1000,"",0)</f>
        <v>4656.9564499999997</v>
      </c>
      <c r="R77">
        <f t="shared" si="11"/>
        <v>1775150100</v>
      </c>
      <c r="S77" t="str">
        <f t="shared" si="12"/>
        <v>XAUUSD</v>
      </c>
      <c r="T77" t="str">
        <f t="shared" si="13"/>
        <v>M5</v>
      </c>
      <c r="U77">
        <f t="shared" si="14"/>
        <v>4662.1499999999996</v>
      </c>
      <c r="V77">
        <v>4666.9072900000001</v>
      </c>
      <c r="W77">
        <v>4663.6098899999997</v>
      </c>
      <c r="X77">
        <v>4660.6304799999998</v>
      </c>
      <c r="Y77">
        <v>4661.7645400000001</v>
      </c>
      <c r="Z77">
        <f t="shared" si="15"/>
        <v>4679.7982224999996</v>
      </c>
      <c r="AA77">
        <f t="shared" si="16"/>
        <v>4664.3222800000003</v>
      </c>
      <c r="AB77">
        <f t="shared" si="17"/>
        <v>4648.5823225000004</v>
      </c>
      <c r="AC77">
        <f t="shared" si="18"/>
        <v>4656.9564499999997</v>
      </c>
      <c r="AF77">
        <f t="shared" si="19"/>
        <v>4660.6304799999998</v>
      </c>
      <c r="AG77">
        <f t="shared" si="20"/>
        <v>4679.7982224999996</v>
      </c>
      <c r="AH77">
        <f t="shared" si="21"/>
        <v>4648.5823225000004</v>
      </c>
    </row>
    <row r="78" spans="1:34" x14ac:dyDescent="0.55000000000000004">
      <c r="A78">
        <f>ALGLIB_SSA_XAUUSD!J78</f>
        <v>1775150400</v>
      </c>
      <c r="B78" t="str">
        <f>_xlfn.XLOOKUP($A78,ALGLIB_SSA_XAUUSD!$A$2:$A$1000,ALGLIB_SSA_XAUUSD!$B$2:$B$1000,"",0)</f>
        <v/>
      </c>
      <c r="C78" t="str">
        <f>_xlfn.XLOOKUP($A78,ALGLIB_SSA_XAUUSD!$A$2:$A$1000,ALGLIB_SSA_XAUUSD!$C$2:$C$1000,"",0)</f>
        <v/>
      </c>
      <c r="D78" s="1">
        <f>D74+(D86-D74)*4/12</f>
        <v>4655.3866666666672</v>
      </c>
      <c r="E78" s="1">
        <f>E74+(E86-E74)*4/12</f>
        <v>4666.7395299999998</v>
      </c>
      <c r="F78" s="1">
        <f>F74+(F86-F74)*4/12</f>
        <v>4663.6950066666668</v>
      </c>
      <c r="G78" s="1">
        <f>G74+(G86-G74)*4/12</f>
        <v>4679.5866999999998</v>
      </c>
      <c r="H78" s="1">
        <f>H74+(H86-H74)*4/12</f>
        <v>4648.5967066666663</v>
      </c>
      <c r="I78" t="str">
        <f>_xlfn.XLOOKUP($A78,ALGLIB_SSA_XAUUSD!$J$2:$J$1000,ALGLIB_SSA_XAUUSD!$K$2:$K$1000,"",0)</f>
        <v>XAUUSD</v>
      </c>
      <c r="J78" t="str">
        <f>_xlfn.XLOOKUP($A78,ALGLIB_SSA_XAUUSD!$J$2:$J$1000,ALGLIB_SSA_XAUUSD!$L$2:$L$1000,"",0)</f>
        <v>M5</v>
      </c>
      <c r="K78">
        <f>_xlfn.XLOOKUP($A78,ALGLIB_SSA_XAUUSD!$J$2:$J$1000,ALGLIB_SSA_XAUUSD!$M$2:$M$1000,"",0)</f>
        <v>4663.71</v>
      </c>
      <c r="L78">
        <f>_xlfn.XLOOKUP($A78,ALGLIB_SSA_XAUUSD!$J$2:$J$1000,ALGLIB_SSA_XAUUSD!$N$2:$N$1000,"",0)</f>
        <v>4658.5893999999998</v>
      </c>
      <c r="M78">
        <f>_xlfn.XLOOKUP($A78,ALGLIB_SSA_XAUUSD!$J$2:$J$1000,ALGLIB_SSA_XAUUSD!$O$2:$O$1000,"",0)</f>
        <v>4660.1769700000004</v>
      </c>
      <c r="N78">
        <f>_xlfn.XLOOKUP($A78,ALGLIB_SSA_XAUUSD!$J$2:$J$1000,ALGLIB_SSA_XAUUSD!$P$2:$P$1000,"",0)</f>
        <v>4662.42616</v>
      </c>
      <c r="O78">
        <f>_xlfn.XLOOKUP($A78,ALGLIB_SSA_XAUUSD!$J$2:$J$1000,ALGLIB_SSA_XAUUSD!$Q$2:$Q$1000,"",0)</f>
        <v>4654.8345799999997</v>
      </c>
      <c r="R78">
        <f t="shared" si="11"/>
        <v>1775150400</v>
      </c>
      <c r="S78" t="str">
        <f t="shared" si="12"/>
        <v>XAUUSD</v>
      </c>
      <c r="T78" t="str">
        <f t="shared" si="13"/>
        <v>M5</v>
      </c>
      <c r="U78">
        <f t="shared" si="14"/>
        <v>4663.71</v>
      </c>
      <c r="V78">
        <v>4666.7395299999998</v>
      </c>
      <c r="W78">
        <v>4663.6950100000004</v>
      </c>
      <c r="X78">
        <v>4658.5893999999998</v>
      </c>
      <c r="Y78">
        <v>4660.1769700000004</v>
      </c>
      <c r="Z78">
        <f t="shared" si="15"/>
        <v>4679.5866999999998</v>
      </c>
      <c r="AA78">
        <f t="shared" si="16"/>
        <v>4662.42616</v>
      </c>
      <c r="AB78">
        <f t="shared" si="17"/>
        <v>4648.5967066666663</v>
      </c>
      <c r="AC78">
        <f t="shared" si="18"/>
        <v>4654.8345799999997</v>
      </c>
      <c r="AF78">
        <f t="shared" si="19"/>
        <v>4658.5893999999998</v>
      </c>
      <c r="AG78">
        <f t="shared" si="20"/>
        <v>4679.5866999999998</v>
      </c>
      <c r="AH78">
        <f t="shared" si="21"/>
        <v>4648.5967066666663</v>
      </c>
    </row>
    <row r="79" spans="1:34" x14ac:dyDescent="0.55000000000000004">
      <c r="A79">
        <f>ALGLIB_SSA_XAUUSD!J79</f>
        <v>1775150700</v>
      </c>
      <c r="B79" t="str">
        <f>_xlfn.XLOOKUP($A79,ALGLIB_SSA_XAUUSD!$A$2:$A$1000,ALGLIB_SSA_XAUUSD!$B$2:$B$1000,"",0)</f>
        <v/>
      </c>
      <c r="C79" t="str">
        <f>_xlfn.XLOOKUP($A79,ALGLIB_SSA_XAUUSD!$A$2:$A$1000,ALGLIB_SSA_XAUUSD!$C$2:$C$1000,"",0)</f>
        <v/>
      </c>
      <c r="D79" s="1">
        <f>D74+(D86-D74)*5/12</f>
        <v>4657.0308333333332</v>
      </c>
      <c r="E79" s="1">
        <f>E74+(E86-E74)*5/12</f>
        <v>4666.5717674999996</v>
      </c>
      <c r="F79" s="1">
        <f>F74+(F86-F74)*5/12</f>
        <v>4663.7801283333329</v>
      </c>
      <c r="G79" s="1">
        <f>G74+(G86-G74)*5/12</f>
        <v>4679.3751775000001</v>
      </c>
      <c r="H79" s="1">
        <f>H74+(H86-H74)*5/12</f>
        <v>4648.611090833333</v>
      </c>
      <c r="I79" t="str">
        <f>_xlfn.XLOOKUP($A79,ALGLIB_SSA_XAUUSD!$J$2:$J$1000,ALGLIB_SSA_XAUUSD!$K$2:$K$1000,"",0)</f>
        <v>XAUUSD</v>
      </c>
      <c r="J79" t="str">
        <f>_xlfn.XLOOKUP($A79,ALGLIB_SSA_XAUUSD!$J$2:$J$1000,ALGLIB_SSA_XAUUSD!$L$2:$L$1000,"",0)</f>
        <v>M5</v>
      </c>
      <c r="K79">
        <f>_xlfn.XLOOKUP($A79,ALGLIB_SSA_XAUUSD!$J$2:$J$1000,ALGLIB_SSA_XAUUSD!$M$2:$M$1000,"",0)</f>
        <v>4651.84</v>
      </c>
      <c r="L79">
        <f>_xlfn.XLOOKUP($A79,ALGLIB_SSA_XAUUSD!$J$2:$J$1000,ALGLIB_SSA_XAUUSD!$N$2:$N$1000,"",0)</f>
        <v>4656.3872799999999</v>
      </c>
      <c r="M79">
        <f>_xlfn.XLOOKUP($A79,ALGLIB_SSA_XAUUSD!$J$2:$J$1000,ALGLIB_SSA_XAUUSD!$O$2:$O$1000,"",0)</f>
        <v>4658.2821199999998</v>
      </c>
      <c r="N79">
        <f>_xlfn.XLOOKUP($A79,ALGLIB_SSA_XAUUSD!$J$2:$J$1000,ALGLIB_SSA_XAUUSD!$P$2:$P$1000,"",0)</f>
        <v>4660.3934099999997</v>
      </c>
      <c r="O79">
        <f>_xlfn.XLOOKUP($A79,ALGLIB_SSA_XAUUSD!$J$2:$J$1000,ALGLIB_SSA_XAUUSD!$Q$2:$Q$1000,"",0)</f>
        <v>4652.5450199999996</v>
      </c>
      <c r="R79">
        <f t="shared" si="11"/>
        <v>1775150700</v>
      </c>
      <c r="S79" t="str">
        <f t="shared" si="12"/>
        <v>XAUUSD</v>
      </c>
      <c r="T79" t="str">
        <f t="shared" si="13"/>
        <v>M5</v>
      </c>
      <c r="U79">
        <f t="shared" si="14"/>
        <v>4651.84</v>
      </c>
      <c r="V79">
        <v>4666.5717699999996</v>
      </c>
      <c r="W79">
        <v>4663.7801300000001</v>
      </c>
      <c r="X79">
        <v>4656.3872799999999</v>
      </c>
      <c r="Y79">
        <v>4658.2821199999998</v>
      </c>
      <c r="Z79">
        <f t="shared" si="15"/>
        <v>4679.3751775000001</v>
      </c>
      <c r="AA79">
        <f t="shared" si="16"/>
        <v>4660.3934099999997</v>
      </c>
      <c r="AB79">
        <f t="shared" si="17"/>
        <v>4648.611090833333</v>
      </c>
      <c r="AC79">
        <f t="shared" si="18"/>
        <v>4652.5450199999996</v>
      </c>
      <c r="AF79">
        <f t="shared" si="19"/>
        <v>4656.3872799999999</v>
      </c>
      <c r="AG79">
        <f t="shared" si="20"/>
        <v>4679.3751775000001</v>
      </c>
      <c r="AH79">
        <f t="shared" si="21"/>
        <v>4648.611090833333</v>
      </c>
    </row>
    <row r="80" spans="1:34" x14ac:dyDescent="0.55000000000000004">
      <c r="A80">
        <f>ALGLIB_SSA_XAUUSD!J80</f>
        <v>1775151000</v>
      </c>
      <c r="B80" t="str">
        <f>_xlfn.XLOOKUP($A80,ALGLIB_SSA_XAUUSD!$A$2:$A$1000,ALGLIB_SSA_XAUUSD!$B$2:$B$1000,"",0)</f>
        <v/>
      </c>
      <c r="C80" t="str">
        <f>_xlfn.XLOOKUP($A80,ALGLIB_SSA_XAUUSD!$A$2:$A$1000,ALGLIB_SSA_XAUUSD!$C$2:$C$1000,"",0)</f>
        <v/>
      </c>
      <c r="D80" s="1">
        <f>D74+(D86-D74)*6/12</f>
        <v>4658.6750000000002</v>
      </c>
      <c r="E80" s="1">
        <f>E74+(E86-E74)*6/12</f>
        <v>4666.4040050000003</v>
      </c>
      <c r="F80" s="1">
        <f>F74+(F86-F74)*6/12</f>
        <v>4663.8652499999998</v>
      </c>
      <c r="G80" s="1">
        <f>G74+(G86-G74)*6/12</f>
        <v>4679.1636550000003</v>
      </c>
      <c r="H80" s="1">
        <f>H74+(H86-H74)*6/12</f>
        <v>4648.6254749999998</v>
      </c>
      <c r="I80" t="str">
        <f>_xlfn.XLOOKUP($A80,ALGLIB_SSA_XAUUSD!$J$2:$J$1000,ALGLIB_SSA_XAUUSD!$K$2:$K$1000,"",0)</f>
        <v>XAUUSD</v>
      </c>
      <c r="J80" t="str">
        <f>_xlfn.XLOOKUP($A80,ALGLIB_SSA_XAUUSD!$J$2:$J$1000,ALGLIB_SSA_XAUUSD!$L$2:$L$1000,"",0)</f>
        <v>M5</v>
      </c>
      <c r="K80">
        <f>_xlfn.XLOOKUP($A80,ALGLIB_SSA_XAUUSD!$J$2:$J$1000,ALGLIB_SSA_XAUUSD!$M$2:$M$1000,"",0)</f>
        <v>4651.88</v>
      </c>
      <c r="L80">
        <f>_xlfn.XLOOKUP($A80,ALGLIB_SSA_XAUUSD!$J$2:$J$1000,ALGLIB_SSA_XAUUSD!$N$2:$N$1000,"",0)</f>
        <v>4654.5321800000002</v>
      </c>
      <c r="M80">
        <f>_xlfn.XLOOKUP($A80,ALGLIB_SSA_XAUUSD!$J$2:$J$1000,ALGLIB_SSA_XAUUSD!$O$2:$O$1000,"",0)</f>
        <v>4656.40715</v>
      </c>
      <c r="N80">
        <f>_xlfn.XLOOKUP($A80,ALGLIB_SSA_XAUUSD!$J$2:$J$1000,ALGLIB_SSA_XAUUSD!$P$2:$P$1000,"",0)</f>
        <v>4658.4268400000001</v>
      </c>
      <c r="O80">
        <f>_xlfn.XLOOKUP($A80,ALGLIB_SSA_XAUUSD!$J$2:$J$1000,ALGLIB_SSA_XAUUSD!$Q$2:$Q$1000,"",0)</f>
        <v>4650.5092699999996</v>
      </c>
      <c r="R80">
        <f t="shared" si="11"/>
        <v>1775151000</v>
      </c>
      <c r="S80" t="str">
        <f t="shared" si="12"/>
        <v>XAUUSD</v>
      </c>
      <c r="T80" t="str">
        <f t="shared" si="13"/>
        <v>M5</v>
      </c>
      <c r="U80">
        <f t="shared" si="14"/>
        <v>4651.88</v>
      </c>
      <c r="V80">
        <v>4666.4040100000002</v>
      </c>
      <c r="W80">
        <v>4663.8652499999998</v>
      </c>
      <c r="X80">
        <v>4654.5321800000002</v>
      </c>
      <c r="Y80">
        <v>4656.40715</v>
      </c>
      <c r="Z80">
        <f t="shared" si="15"/>
        <v>4679.1636550000003</v>
      </c>
      <c r="AA80">
        <f t="shared" si="16"/>
        <v>4658.4268400000001</v>
      </c>
      <c r="AB80">
        <f t="shared" si="17"/>
        <v>4648.6254749999998</v>
      </c>
      <c r="AC80">
        <f t="shared" si="18"/>
        <v>4650.5092699999996</v>
      </c>
      <c r="AF80">
        <f t="shared" si="19"/>
        <v>4654.5321800000002</v>
      </c>
      <c r="AG80">
        <f t="shared" si="20"/>
        <v>4679.1636550000003</v>
      </c>
      <c r="AH80">
        <f t="shared" si="21"/>
        <v>4648.6254749999998</v>
      </c>
    </row>
    <row r="81" spans="1:34" x14ac:dyDescent="0.55000000000000004">
      <c r="A81">
        <f>ALGLIB_SSA_XAUUSD!J81</f>
        <v>1775151300</v>
      </c>
      <c r="B81" t="str">
        <f>_xlfn.XLOOKUP($A81,ALGLIB_SSA_XAUUSD!$A$2:$A$1000,ALGLIB_SSA_XAUUSD!$B$2:$B$1000,"",0)</f>
        <v/>
      </c>
      <c r="C81" t="str">
        <f>_xlfn.XLOOKUP($A81,ALGLIB_SSA_XAUUSD!$A$2:$A$1000,ALGLIB_SSA_XAUUSD!$C$2:$C$1000,"",0)</f>
        <v/>
      </c>
      <c r="D81" s="1">
        <f>D74+(D86-D74)*7/12</f>
        <v>4660.3191666666671</v>
      </c>
      <c r="E81" s="1">
        <f>E74+(E86-E74)*7/12</f>
        <v>4666.2362425000001</v>
      </c>
      <c r="F81" s="1">
        <f>F74+(F86-F74)*7/12</f>
        <v>4663.9503716666668</v>
      </c>
      <c r="G81" s="1">
        <f>G74+(G86-G74)*7/12</f>
        <v>4678.9521324999996</v>
      </c>
      <c r="H81" s="1">
        <f>H74+(H86-H74)*7/12</f>
        <v>4648.6398591666666</v>
      </c>
      <c r="I81" t="str">
        <f>_xlfn.XLOOKUP($A81,ALGLIB_SSA_XAUUSD!$J$2:$J$1000,ALGLIB_SSA_XAUUSD!$K$2:$K$1000,"",0)</f>
        <v>XAUUSD</v>
      </c>
      <c r="J81" t="str">
        <f>_xlfn.XLOOKUP($A81,ALGLIB_SSA_XAUUSD!$J$2:$J$1000,ALGLIB_SSA_XAUUSD!$L$2:$L$1000,"",0)</f>
        <v>M5</v>
      </c>
      <c r="K81">
        <f>_xlfn.XLOOKUP($A81,ALGLIB_SSA_XAUUSD!$J$2:$J$1000,ALGLIB_SSA_XAUUSD!$M$2:$M$1000,"",0)</f>
        <v>4653.6099999999997</v>
      </c>
      <c r="L81">
        <f>_xlfn.XLOOKUP($A81,ALGLIB_SSA_XAUUSD!$J$2:$J$1000,ALGLIB_SSA_XAUUSD!$N$2:$N$1000,"",0)</f>
        <v>4653.1576500000001</v>
      </c>
      <c r="M81">
        <f>_xlfn.XLOOKUP($A81,ALGLIB_SSA_XAUUSD!$J$2:$J$1000,ALGLIB_SSA_XAUUSD!$O$2:$O$1000,"",0)</f>
        <v>4654.7824000000001</v>
      </c>
      <c r="N81">
        <f>_xlfn.XLOOKUP($A81,ALGLIB_SSA_XAUUSD!$J$2:$J$1000,ALGLIB_SSA_XAUUSD!$P$2:$P$1000,"",0)</f>
        <v>4656.9286300000003</v>
      </c>
      <c r="O81">
        <f>_xlfn.XLOOKUP($A81,ALGLIB_SSA_XAUUSD!$J$2:$J$1000,ALGLIB_SSA_XAUUSD!$Q$2:$Q$1000,"",0)</f>
        <v>4649.0515699999996</v>
      </c>
      <c r="R81">
        <f t="shared" si="11"/>
        <v>1775151300</v>
      </c>
      <c r="S81" t="str">
        <f t="shared" si="12"/>
        <v>XAUUSD</v>
      </c>
      <c r="T81" t="str">
        <f t="shared" si="13"/>
        <v>M5</v>
      </c>
      <c r="U81">
        <f t="shared" si="14"/>
        <v>4653.6099999999997</v>
      </c>
      <c r="V81">
        <v>4666.2362400000002</v>
      </c>
      <c r="W81">
        <v>4663.9503699999996</v>
      </c>
      <c r="X81">
        <v>4653.1576500000001</v>
      </c>
      <c r="Y81">
        <v>4654.7824000000001</v>
      </c>
      <c r="Z81">
        <f t="shared" si="15"/>
        <v>4678.9521324999996</v>
      </c>
      <c r="AA81">
        <f t="shared" si="16"/>
        <v>4656.9286300000003</v>
      </c>
      <c r="AB81">
        <f t="shared" si="17"/>
        <v>4648.6398591666666</v>
      </c>
      <c r="AC81">
        <f t="shared" si="18"/>
        <v>4649.0515699999996</v>
      </c>
      <c r="AF81">
        <f t="shared" si="19"/>
        <v>4653.1576500000001</v>
      </c>
      <c r="AG81">
        <f t="shared" si="20"/>
        <v>4678.9521324999996</v>
      </c>
      <c r="AH81">
        <f t="shared" si="21"/>
        <v>4648.6398591666666</v>
      </c>
    </row>
    <row r="82" spans="1:34" x14ac:dyDescent="0.55000000000000004">
      <c r="A82">
        <f>ALGLIB_SSA_XAUUSD!J82</f>
        <v>1775151600</v>
      </c>
      <c r="B82" t="str">
        <f>_xlfn.XLOOKUP($A82,ALGLIB_SSA_XAUUSD!$A$2:$A$1000,ALGLIB_SSA_XAUUSD!$B$2:$B$1000,"",0)</f>
        <v/>
      </c>
      <c r="C82" t="str">
        <f>_xlfn.XLOOKUP($A82,ALGLIB_SSA_XAUUSD!$A$2:$A$1000,ALGLIB_SSA_XAUUSD!$C$2:$C$1000,"",0)</f>
        <v/>
      </c>
      <c r="D82" s="1">
        <f>D74+(D86-D74)*8/12</f>
        <v>4661.9633333333331</v>
      </c>
      <c r="E82" s="1">
        <f>E74+(E86-E74)*8/12</f>
        <v>4666.0684799999999</v>
      </c>
      <c r="F82" s="1">
        <f>F74+(F86-F74)*8/12</f>
        <v>4664.0354933333329</v>
      </c>
      <c r="G82" s="1">
        <f>G74+(G86-G74)*8/12</f>
        <v>4678.7406099999998</v>
      </c>
      <c r="H82" s="1">
        <f>H74+(H86-H74)*8/12</f>
        <v>4648.6542433333334</v>
      </c>
      <c r="I82" t="str">
        <f>_xlfn.XLOOKUP($A82,ALGLIB_SSA_XAUUSD!$J$2:$J$1000,ALGLIB_SSA_XAUUSD!$K$2:$K$1000,"",0)</f>
        <v>XAUUSD</v>
      </c>
      <c r="J82" t="str">
        <f>_xlfn.XLOOKUP($A82,ALGLIB_SSA_XAUUSD!$J$2:$J$1000,ALGLIB_SSA_XAUUSD!$L$2:$L$1000,"",0)</f>
        <v>M5</v>
      </c>
      <c r="K82">
        <f>_xlfn.XLOOKUP($A82,ALGLIB_SSA_XAUUSD!$J$2:$J$1000,ALGLIB_SSA_XAUUSD!$M$2:$M$1000,"",0)</f>
        <v>4658.13</v>
      </c>
      <c r="L82">
        <f>_xlfn.XLOOKUP($A82,ALGLIB_SSA_XAUUSD!$J$2:$J$1000,ALGLIB_SSA_XAUUSD!$N$2:$N$1000,"",0)</f>
        <v>4652.2639600000002</v>
      </c>
      <c r="M82">
        <f>_xlfn.XLOOKUP($A82,ALGLIB_SSA_XAUUSD!$J$2:$J$1000,ALGLIB_SSA_XAUUSD!$O$2:$O$1000,"",0)</f>
        <v>4653.5231800000001</v>
      </c>
      <c r="N82">
        <f>_xlfn.XLOOKUP($A82,ALGLIB_SSA_XAUUSD!$J$2:$J$1000,ALGLIB_SSA_XAUUSD!$P$2:$P$1000,"",0)</f>
        <v>4655.97865</v>
      </c>
      <c r="O82">
        <f>_xlfn.XLOOKUP($A82,ALGLIB_SSA_XAUUSD!$J$2:$J$1000,ALGLIB_SSA_XAUUSD!$Q$2:$Q$1000,"",0)</f>
        <v>4648.2206800000004</v>
      </c>
      <c r="R82">
        <f t="shared" si="11"/>
        <v>1775151600</v>
      </c>
      <c r="S82" t="str">
        <f t="shared" si="12"/>
        <v>XAUUSD</v>
      </c>
      <c r="T82" t="str">
        <f t="shared" si="13"/>
        <v>M5</v>
      </c>
      <c r="U82">
        <f t="shared" si="14"/>
        <v>4658.13</v>
      </c>
      <c r="V82">
        <v>4666.0684799999999</v>
      </c>
      <c r="W82">
        <v>4664.0354900000002</v>
      </c>
      <c r="X82">
        <v>4652.2639600000002</v>
      </c>
      <c r="Y82">
        <v>4653.5231800000001</v>
      </c>
      <c r="Z82">
        <f t="shared" si="15"/>
        <v>4678.7406099999998</v>
      </c>
      <c r="AA82">
        <f t="shared" si="16"/>
        <v>4655.97865</v>
      </c>
      <c r="AB82">
        <f t="shared" si="17"/>
        <v>4648.6542433333334</v>
      </c>
      <c r="AC82">
        <f t="shared" si="18"/>
        <v>4648.2206800000004</v>
      </c>
      <c r="AF82">
        <f t="shared" si="19"/>
        <v>4652.2639600000002</v>
      </c>
      <c r="AG82">
        <f t="shared" si="20"/>
        <v>4678.7406099999998</v>
      </c>
      <c r="AH82">
        <f t="shared" si="21"/>
        <v>4648.6542433333334</v>
      </c>
    </row>
    <row r="83" spans="1:34" x14ac:dyDescent="0.55000000000000004">
      <c r="A83">
        <f>ALGLIB_SSA_XAUUSD!J83</f>
        <v>1775151900</v>
      </c>
      <c r="B83" t="str">
        <f>_xlfn.XLOOKUP($A83,ALGLIB_SSA_XAUUSD!$A$2:$A$1000,ALGLIB_SSA_XAUUSD!$B$2:$B$1000,"",0)</f>
        <v/>
      </c>
      <c r="C83" t="str">
        <f>_xlfn.XLOOKUP($A83,ALGLIB_SSA_XAUUSD!$A$2:$A$1000,ALGLIB_SSA_XAUUSD!$C$2:$C$1000,"",0)</f>
        <v/>
      </c>
      <c r="D83" s="1">
        <f>D74+(D86-D74)*9/12</f>
        <v>4663.6075000000001</v>
      </c>
      <c r="E83" s="1">
        <f>E74+(E86-E74)*9/12</f>
        <v>4665.9007174999997</v>
      </c>
      <c r="F83" s="1">
        <f>F74+(F86-F74)*9/12</f>
        <v>4664.1206149999998</v>
      </c>
      <c r="G83" s="1">
        <f>G74+(G86-G74)*9/12</f>
        <v>4678.5290875000001</v>
      </c>
      <c r="H83" s="1">
        <f>H74+(H86-H74)*9/12</f>
        <v>4648.6686274999993</v>
      </c>
      <c r="I83" t="str">
        <f>_xlfn.XLOOKUP($A83,ALGLIB_SSA_XAUUSD!$J$2:$J$1000,ALGLIB_SSA_XAUUSD!$K$2:$K$1000,"",0)</f>
        <v>XAUUSD</v>
      </c>
      <c r="J83" t="str">
        <f>_xlfn.XLOOKUP($A83,ALGLIB_SSA_XAUUSD!$J$2:$J$1000,ALGLIB_SSA_XAUUSD!$L$2:$L$1000,"",0)</f>
        <v>M5</v>
      </c>
      <c r="K83">
        <f>_xlfn.XLOOKUP($A83,ALGLIB_SSA_XAUUSD!$J$2:$J$1000,ALGLIB_SSA_XAUUSD!$M$2:$M$1000,"",0)</f>
        <v>4647.29</v>
      </c>
      <c r="L83">
        <f>_xlfn.XLOOKUP($A83,ALGLIB_SSA_XAUUSD!$J$2:$J$1000,ALGLIB_SSA_XAUUSD!$N$2:$N$1000,"",0)</f>
        <v>4651.6855699999996</v>
      </c>
      <c r="M83">
        <f>_xlfn.XLOOKUP($A83,ALGLIB_SSA_XAUUSD!$J$2:$J$1000,ALGLIB_SSA_XAUUSD!$O$2:$O$1000,"",0)</f>
        <v>4652.60437</v>
      </c>
      <c r="N83">
        <f>_xlfn.XLOOKUP($A83,ALGLIB_SSA_XAUUSD!$J$2:$J$1000,ALGLIB_SSA_XAUUSD!$P$2:$P$1000,"",0)</f>
        <v>4655.4298900000003</v>
      </c>
      <c r="O83">
        <f>_xlfn.XLOOKUP($A83,ALGLIB_SSA_XAUUSD!$J$2:$J$1000,ALGLIB_SSA_XAUUSD!$Q$2:$Q$1000,"",0)</f>
        <v>4647.9004199999999</v>
      </c>
      <c r="R83">
        <f t="shared" si="11"/>
        <v>1775151900</v>
      </c>
      <c r="S83" t="str">
        <f t="shared" si="12"/>
        <v>XAUUSD</v>
      </c>
      <c r="T83" t="str">
        <f t="shared" si="13"/>
        <v>M5</v>
      </c>
      <c r="U83">
        <f t="shared" si="14"/>
        <v>4647.29</v>
      </c>
      <c r="V83">
        <v>4665.9007199999996</v>
      </c>
      <c r="W83">
        <v>4664.1206199999997</v>
      </c>
      <c r="X83">
        <v>4651.6855699999996</v>
      </c>
      <c r="Y83">
        <v>4652.60437</v>
      </c>
      <c r="Z83">
        <f t="shared" si="15"/>
        <v>4678.5290875000001</v>
      </c>
      <c r="AA83">
        <f t="shared" si="16"/>
        <v>4655.4298900000003</v>
      </c>
      <c r="AB83">
        <f t="shared" si="17"/>
        <v>4648.6686274999993</v>
      </c>
      <c r="AC83">
        <f t="shared" si="18"/>
        <v>4647.9004199999999</v>
      </c>
      <c r="AF83">
        <f t="shared" si="19"/>
        <v>4651.6855699999996</v>
      </c>
      <c r="AG83">
        <f t="shared" si="20"/>
        <v>4678.5290875000001</v>
      </c>
      <c r="AH83">
        <f t="shared" si="21"/>
        <v>4648.6686274999993</v>
      </c>
    </row>
    <row r="84" spans="1:34" x14ac:dyDescent="0.55000000000000004">
      <c r="A84">
        <f>ALGLIB_SSA_XAUUSD!J84</f>
        <v>1775152200</v>
      </c>
      <c r="B84" t="str">
        <f>_xlfn.XLOOKUP($A84,ALGLIB_SSA_XAUUSD!$A$2:$A$1000,ALGLIB_SSA_XAUUSD!$B$2:$B$1000,"",0)</f>
        <v/>
      </c>
      <c r="C84" t="str">
        <f>_xlfn.XLOOKUP($A84,ALGLIB_SSA_XAUUSD!$A$2:$A$1000,ALGLIB_SSA_XAUUSD!$C$2:$C$1000,"",0)</f>
        <v/>
      </c>
      <c r="D84" s="1">
        <f>D74+(D86-D74)*10/12</f>
        <v>4665.251666666667</v>
      </c>
      <c r="E84" s="1">
        <f>E74+(E86-E74)*10/12</f>
        <v>4665.7329549999995</v>
      </c>
      <c r="F84" s="1">
        <f>F74+(F86-F74)*10/12</f>
        <v>4664.2057366666668</v>
      </c>
      <c r="G84" s="1">
        <f>G74+(G86-G74)*10/12</f>
        <v>4678.3175649999994</v>
      </c>
      <c r="H84" s="1">
        <f>H74+(H86-H74)*10/12</f>
        <v>4648.6830116666661</v>
      </c>
      <c r="I84" t="str">
        <f>_xlfn.XLOOKUP($A84,ALGLIB_SSA_XAUUSD!$J$2:$J$1000,ALGLIB_SSA_XAUUSD!$K$2:$K$1000,"",0)</f>
        <v>XAUUSD</v>
      </c>
      <c r="J84" t="str">
        <f>_xlfn.XLOOKUP($A84,ALGLIB_SSA_XAUUSD!$J$2:$J$1000,ALGLIB_SSA_XAUUSD!$L$2:$L$1000,"",0)</f>
        <v>M5</v>
      </c>
      <c r="K84">
        <f>_xlfn.XLOOKUP($A84,ALGLIB_SSA_XAUUSD!$J$2:$J$1000,ALGLIB_SSA_XAUUSD!$M$2:$M$1000,"",0)</f>
        <v>4650.38</v>
      </c>
      <c r="L84">
        <f>_xlfn.XLOOKUP($A84,ALGLIB_SSA_XAUUSD!$J$2:$J$1000,ALGLIB_SSA_XAUUSD!$N$2:$N$1000,"",0)</f>
        <v>4651.5974399999996</v>
      </c>
      <c r="M84">
        <f>_xlfn.XLOOKUP($A84,ALGLIB_SSA_XAUUSD!$J$2:$J$1000,ALGLIB_SSA_XAUUSD!$O$2:$O$1000,"",0)</f>
        <v>4652.1009100000001</v>
      </c>
      <c r="N84">
        <f>_xlfn.XLOOKUP($A84,ALGLIB_SSA_XAUUSD!$J$2:$J$1000,ALGLIB_SSA_XAUUSD!$P$2:$P$1000,"",0)</f>
        <v>4655.1611599999997</v>
      </c>
      <c r="O84">
        <f>_xlfn.XLOOKUP($A84,ALGLIB_SSA_XAUUSD!$J$2:$J$1000,ALGLIB_SSA_XAUUSD!$Q$2:$Q$1000,"",0)</f>
        <v>4648.1356800000003</v>
      </c>
      <c r="R84">
        <f t="shared" si="11"/>
        <v>1775152200</v>
      </c>
      <c r="S84" t="str">
        <f t="shared" si="12"/>
        <v>XAUUSD</v>
      </c>
      <c r="T84" t="str">
        <f t="shared" si="13"/>
        <v>M5</v>
      </c>
      <c r="U84">
        <f t="shared" si="14"/>
        <v>4650.38</v>
      </c>
      <c r="V84">
        <v>4665.7329499999996</v>
      </c>
      <c r="W84">
        <v>4664.2057400000003</v>
      </c>
      <c r="X84">
        <v>4651.5974399999996</v>
      </c>
      <c r="Y84">
        <v>4652.1009100000001</v>
      </c>
      <c r="Z84">
        <f t="shared" si="15"/>
        <v>4678.3175649999994</v>
      </c>
      <c r="AA84">
        <f t="shared" si="16"/>
        <v>4655.1611599999997</v>
      </c>
      <c r="AB84">
        <f t="shared" si="17"/>
        <v>4648.6830116666661</v>
      </c>
      <c r="AC84">
        <f t="shared" si="18"/>
        <v>4648.1356800000003</v>
      </c>
      <c r="AF84">
        <f t="shared" si="19"/>
        <v>4651.5974399999996</v>
      </c>
      <c r="AG84">
        <f t="shared" si="20"/>
        <v>4678.3175649999994</v>
      </c>
      <c r="AH84">
        <f t="shared" si="21"/>
        <v>4648.6830116666661</v>
      </c>
    </row>
    <row r="85" spans="1:34" x14ac:dyDescent="0.55000000000000004">
      <c r="A85">
        <f>ALGLIB_SSA_XAUUSD!J85</f>
        <v>1775152500</v>
      </c>
      <c r="B85" t="str">
        <f>_xlfn.XLOOKUP($A85,ALGLIB_SSA_XAUUSD!$A$2:$A$1000,ALGLIB_SSA_XAUUSD!$B$2:$B$1000,"",0)</f>
        <v/>
      </c>
      <c r="C85" t="str">
        <f>_xlfn.XLOOKUP($A85,ALGLIB_SSA_XAUUSD!$A$2:$A$1000,ALGLIB_SSA_XAUUSD!$C$2:$C$1000,"",0)</f>
        <v/>
      </c>
      <c r="D85" s="1">
        <f>D74+(D86-D74)*11/12</f>
        <v>4666.895833333333</v>
      </c>
      <c r="E85" s="1">
        <f>E74+(E86-E74)*11/12</f>
        <v>4665.5651925000002</v>
      </c>
      <c r="F85" s="1">
        <f>F74+(F86-F74)*11/12</f>
        <v>4664.2908583333328</v>
      </c>
      <c r="G85" s="1">
        <f>G74+(G86-G74)*11/12</f>
        <v>4678.1060424999996</v>
      </c>
      <c r="H85" s="1">
        <f>H74+(H86-H74)*11/12</f>
        <v>4648.6973958333328</v>
      </c>
      <c r="I85" t="str">
        <f>_xlfn.XLOOKUP($A85,ALGLIB_SSA_XAUUSD!$J$2:$J$1000,ALGLIB_SSA_XAUUSD!$K$2:$K$1000,"",0)</f>
        <v>XAUUSD</v>
      </c>
      <c r="J85" t="str">
        <f>_xlfn.XLOOKUP($A85,ALGLIB_SSA_XAUUSD!$J$2:$J$1000,ALGLIB_SSA_XAUUSD!$L$2:$L$1000,"",0)</f>
        <v>M5</v>
      </c>
      <c r="K85">
        <f>_xlfn.XLOOKUP($A85,ALGLIB_SSA_XAUUSD!$J$2:$J$1000,ALGLIB_SSA_XAUUSD!$M$2:$M$1000,"",0)</f>
        <v>4648.8100000000004</v>
      </c>
      <c r="L85">
        <f>_xlfn.XLOOKUP($A85,ALGLIB_SSA_XAUUSD!$J$2:$J$1000,ALGLIB_SSA_XAUUSD!$N$2:$N$1000,"",0)</f>
        <v>4651.78503</v>
      </c>
      <c r="M85">
        <f>_xlfn.XLOOKUP($A85,ALGLIB_SSA_XAUUSD!$J$2:$J$1000,ALGLIB_SSA_XAUUSD!$O$2:$O$1000,"",0)</f>
        <v>4651.9429700000001</v>
      </c>
      <c r="N85">
        <f>_xlfn.XLOOKUP($A85,ALGLIB_SSA_XAUUSD!$J$2:$J$1000,ALGLIB_SSA_XAUUSD!$P$2:$P$1000,"",0)</f>
        <v>4655.2239099999997</v>
      </c>
      <c r="O85">
        <f>_xlfn.XLOOKUP($A85,ALGLIB_SSA_XAUUSD!$J$2:$J$1000,ALGLIB_SSA_XAUUSD!$Q$2:$Q$1000,"",0)</f>
        <v>4648.7755800000004</v>
      </c>
      <c r="R85">
        <f t="shared" si="11"/>
        <v>1775152500</v>
      </c>
      <c r="S85" t="str">
        <f t="shared" si="12"/>
        <v>XAUUSD</v>
      </c>
      <c r="T85" t="str">
        <f t="shared" si="13"/>
        <v>M5</v>
      </c>
      <c r="U85">
        <f t="shared" si="14"/>
        <v>4648.8100000000004</v>
      </c>
      <c r="V85">
        <v>4665.5651900000003</v>
      </c>
      <c r="W85">
        <v>4664.2908600000001</v>
      </c>
      <c r="X85">
        <v>4651.78503</v>
      </c>
      <c r="Y85">
        <v>4651.9429700000001</v>
      </c>
      <c r="Z85">
        <f t="shared" si="15"/>
        <v>4678.1060424999996</v>
      </c>
      <c r="AA85">
        <f t="shared" si="16"/>
        <v>4655.2239099999997</v>
      </c>
      <c r="AB85">
        <f t="shared" si="17"/>
        <v>4648.6973958333328</v>
      </c>
      <c r="AC85">
        <f t="shared" si="18"/>
        <v>4648.7755800000004</v>
      </c>
      <c r="AF85">
        <f t="shared" si="19"/>
        <v>4651.78503</v>
      </c>
      <c r="AG85">
        <f t="shared" si="20"/>
        <v>4678.1060424999996</v>
      </c>
      <c r="AH85">
        <f t="shared" si="21"/>
        <v>4648.6973958333328</v>
      </c>
    </row>
    <row r="86" spans="1:34" x14ac:dyDescent="0.55000000000000004">
      <c r="A86">
        <f>ALGLIB_SSA_XAUUSD!J86</f>
        <v>1775152800</v>
      </c>
      <c r="B86" t="str">
        <f>_xlfn.XLOOKUP($A86,ALGLIB_SSA_XAUUSD!$A$2:$A$1000,ALGLIB_SSA_XAUUSD!$B$2:$B$1000,"",0)</f>
        <v>XAUUSD</v>
      </c>
      <c r="C86" t="str">
        <f>_xlfn.XLOOKUP($A86,ALGLIB_SSA_XAUUSD!$A$2:$A$1000,ALGLIB_SSA_XAUUSD!$C$2:$C$1000,"",0)</f>
        <v>H1</v>
      </c>
      <c r="D86" s="2">
        <f>_xlfn.XLOOKUP($A86,ALGLIB_SSA_XAUUSD!$A$2:$A$1000,ALGLIB_SSA_XAUUSD!$D$2:$D$1000,"",0)</f>
        <v>4668.54</v>
      </c>
      <c r="E86" s="2">
        <f>_xlfn.XLOOKUP($A86,ALGLIB_SSA_XAUUSD!$A$2:$A$1000,ALGLIB_SSA_XAUUSD!$E$2:$E$1000,"",0)</f>
        <v>4665.39743</v>
      </c>
      <c r="F86" s="2">
        <f>_xlfn.XLOOKUP($A86,ALGLIB_SSA_XAUUSD!$A$2:$A$1000,ALGLIB_SSA_XAUUSD!$F$2:$F$1000,"",0)</f>
        <v>4664.3759799999998</v>
      </c>
      <c r="G86" s="2">
        <f>_xlfn.XLOOKUP($A86,ALGLIB_SSA_XAUUSD!$A$2:$A$1000,ALGLIB_SSA_XAUUSD!$G$2:$G$1000,"",0)</f>
        <v>4677.8945199999998</v>
      </c>
      <c r="H86" s="2">
        <f>_xlfn.XLOOKUP($A86,ALGLIB_SSA_XAUUSD!$A$2:$A$1000,ALGLIB_SSA_XAUUSD!$H$2:$H$1000,"",0)</f>
        <v>4648.7117799999996</v>
      </c>
      <c r="I86" t="str">
        <f>_xlfn.XLOOKUP($A86,ALGLIB_SSA_XAUUSD!$J$2:$J$1000,ALGLIB_SSA_XAUUSD!$K$2:$K$1000,"",0)</f>
        <v>XAUUSD</v>
      </c>
      <c r="J86" t="str">
        <f>_xlfn.XLOOKUP($A86,ALGLIB_SSA_XAUUSD!$J$2:$J$1000,ALGLIB_SSA_XAUUSD!$L$2:$L$1000,"",0)</f>
        <v>M5</v>
      </c>
      <c r="K86">
        <f>_xlfn.XLOOKUP($A86,ALGLIB_SSA_XAUUSD!$J$2:$J$1000,ALGLIB_SSA_XAUUSD!$M$2:$M$1000,"",0)</f>
        <v>4653.29</v>
      </c>
      <c r="L86">
        <f>_xlfn.XLOOKUP($A86,ALGLIB_SSA_XAUUSD!$J$2:$J$1000,ALGLIB_SSA_XAUUSD!$N$2:$N$1000,"",0)</f>
        <v>4652.1148599999997</v>
      </c>
      <c r="M86">
        <f>_xlfn.XLOOKUP($A86,ALGLIB_SSA_XAUUSD!$J$2:$J$1000,ALGLIB_SSA_XAUUSD!$O$2:$O$1000,"",0)</f>
        <v>4652.0289199999997</v>
      </c>
      <c r="N86">
        <f>_xlfn.XLOOKUP($A86,ALGLIB_SSA_XAUUSD!$J$2:$J$1000,ALGLIB_SSA_XAUUSD!$P$2:$P$1000,"",0)</f>
        <v>4655.4402399999999</v>
      </c>
      <c r="O86">
        <f>_xlfn.XLOOKUP($A86,ALGLIB_SSA_XAUUSD!$J$2:$J$1000,ALGLIB_SSA_XAUUSD!$Q$2:$Q$1000,"",0)</f>
        <v>4649.5669500000004</v>
      </c>
      <c r="R86">
        <f t="shared" si="11"/>
        <v>1775152800</v>
      </c>
      <c r="S86" t="str">
        <f t="shared" si="12"/>
        <v>XAUUSD</v>
      </c>
      <c r="T86" t="str">
        <f t="shared" si="13"/>
        <v>M5</v>
      </c>
      <c r="U86">
        <f t="shared" si="14"/>
        <v>4653.29</v>
      </c>
      <c r="V86">
        <v>4665.39743</v>
      </c>
      <c r="W86">
        <v>4664.3759799999998</v>
      </c>
      <c r="X86">
        <v>4652.1148599999997</v>
      </c>
      <c r="Y86">
        <v>4652.0289199999997</v>
      </c>
      <c r="Z86">
        <f t="shared" si="15"/>
        <v>4677.8945199999998</v>
      </c>
      <c r="AA86">
        <f t="shared" si="16"/>
        <v>4655.4402399999999</v>
      </c>
      <c r="AB86">
        <f t="shared" si="17"/>
        <v>4648.7117799999996</v>
      </c>
      <c r="AC86">
        <f t="shared" si="18"/>
        <v>4649.5669500000004</v>
      </c>
      <c r="AF86">
        <f t="shared" si="19"/>
        <v>4652.1148599999997</v>
      </c>
      <c r="AG86">
        <f t="shared" si="20"/>
        <v>4677.8945199999998</v>
      </c>
      <c r="AH86">
        <f t="shared" si="21"/>
        <v>4648.7117799999996</v>
      </c>
    </row>
    <row r="87" spans="1:34" x14ac:dyDescent="0.55000000000000004">
      <c r="A87">
        <f>ALGLIB_SSA_XAUUSD!J87</f>
        <v>1775153100</v>
      </c>
      <c r="B87" t="str">
        <f>_xlfn.XLOOKUP($A87,ALGLIB_SSA_XAUUSD!$A$2:$A$1000,ALGLIB_SSA_XAUUSD!$B$2:$B$1000,"",0)</f>
        <v/>
      </c>
      <c r="C87" t="str">
        <f>_xlfn.XLOOKUP($A87,ALGLIB_SSA_XAUUSD!$A$2:$A$1000,ALGLIB_SSA_XAUUSD!$C$2:$C$1000,"",0)</f>
        <v/>
      </c>
      <c r="D87" s="1">
        <f>D86+(D98-D86)*1/12</f>
        <v>4668.8275000000003</v>
      </c>
      <c r="E87" s="1">
        <f>E86+(E98-E86)*1/12</f>
        <v>4664.9595291666665</v>
      </c>
      <c r="F87" s="1">
        <f>F86+(F98-F86)*1/12</f>
        <v>4664.1995900000002</v>
      </c>
      <c r="G87" s="1">
        <f>G86+(G98-G86)*1/12</f>
        <v>4677.4944483333329</v>
      </c>
      <c r="H87" s="1">
        <f>H86+(H98-H86)*1/12</f>
        <v>4648.4152708333331</v>
      </c>
      <c r="I87" t="str">
        <f>_xlfn.XLOOKUP($A87,ALGLIB_SSA_XAUUSD!$J$2:$J$1000,ALGLIB_SSA_XAUUSD!$K$2:$K$1000,"",0)</f>
        <v>XAUUSD</v>
      </c>
      <c r="J87" t="str">
        <f>_xlfn.XLOOKUP($A87,ALGLIB_SSA_XAUUSD!$J$2:$J$1000,ALGLIB_SSA_XAUUSD!$L$2:$L$1000,"",0)</f>
        <v>M5</v>
      </c>
      <c r="K87">
        <f>_xlfn.XLOOKUP($A87,ALGLIB_SSA_XAUUSD!$J$2:$J$1000,ALGLIB_SSA_XAUUSD!$M$2:$M$1000,"",0)</f>
        <v>4656.04</v>
      </c>
      <c r="L87">
        <f>_xlfn.XLOOKUP($A87,ALGLIB_SSA_XAUUSD!$J$2:$J$1000,ALGLIB_SSA_XAUUSD!$N$2:$N$1000,"",0)</f>
        <v>4652.3671299999996</v>
      </c>
      <c r="M87">
        <f>_xlfn.XLOOKUP($A87,ALGLIB_SSA_XAUUSD!$J$2:$J$1000,ALGLIB_SSA_XAUUSD!$O$2:$O$1000,"",0)</f>
        <v>4652.1980199999998</v>
      </c>
      <c r="N87">
        <f>_xlfn.XLOOKUP($A87,ALGLIB_SSA_XAUUSD!$J$2:$J$1000,ALGLIB_SSA_XAUUSD!$P$2:$P$1000,"",0)</f>
        <v>4655.6647499999999</v>
      </c>
      <c r="O87">
        <f>_xlfn.XLOOKUP($A87,ALGLIB_SSA_XAUUSD!$J$2:$J$1000,ALGLIB_SSA_XAUUSD!$Q$2:$Q$1000,"",0)</f>
        <v>4650.2981</v>
      </c>
      <c r="R87">
        <f t="shared" si="11"/>
        <v>1775153100</v>
      </c>
      <c r="S87" t="str">
        <f t="shared" si="12"/>
        <v>XAUUSD</v>
      </c>
      <c r="T87" t="str">
        <f t="shared" si="13"/>
        <v>M5</v>
      </c>
      <c r="U87">
        <f t="shared" si="14"/>
        <v>4656.04</v>
      </c>
      <c r="V87">
        <v>4664.9595300000001</v>
      </c>
      <c r="W87">
        <v>4664.1995900000002</v>
      </c>
      <c r="X87">
        <v>4652.3671299999996</v>
      </c>
      <c r="Y87">
        <v>4652.1980199999998</v>
      </c>
      <c r="Z87">
        <f t="shared" si="15"/>
        <v>4677.4944483333329</v>
      </c>
      <c r="AA87">
        <f t="shared" si="16"/>
        <v>4655.6647499999999</v>
      </c>
      <c r="AB87">
        <f t="shared" si="17"/>
        <v>4648.4152708333331</v>
      </c>
      <c r="AC87">
        <f t="shared" si="18"/>
        <v>4650.2981</v>
      </c>
      <c r="AF87">
        <f t="shared" si="19"/>
        <v>4652.3671299999996</v>
      </c>
      <c r="AG87">
        <f t="shared" si="20"/>
        <v>4677.4944483333329</v>
      </c>
      <c r="AH87">
        <f t="shared" si="21"/>
        <v>4648.4152708333331</v>
      </c>
    </row>
    <row r="88" spans="1:34" x14ac:dyDescent="0.55000000000000004">
      <c r="A88">
        <f>ALGLIB_SSA_XAUUSD!J88</f>
        <v>1775153400</v>
      </c>
      <c r="B88" t="str">
        <f>_xlfn.XLOOKUP($A88,ALGLIB_SSA_XAUUSD!$A$2:$A$1000,ALGLIB_SSA_XAUUSD!$B$2:$B$1000,"",0)</f>
        <v/>
      </c>
      <c r="C88" t="str">
        <f>_xlfn.XLOOKUP($A88,ALGLIB_SSA_XAUUSD!$A$2:$A$1000,ALGLIB_SSA_XAUUSD!$C$2:$C$1000,"",0)</f>
        <v/>
      </c>
      <c r="D88" s="1">
        <f>D86+(D98-D86)*2/12</f>
        <v>4669.1149999999998</v>
      </c>
      <c r="E88" s="1">
        <f>E86+(E98-E86)*2/12</f>
        <v>4664.521628333333</v>
      </c>
      <c r="F88" s="1">
        <f>F86+(F98-F86)*2/12</f>
        <v>4664.0231999999996</v>
      </c>
      <c r="G88" s="1">
        <f>G86+(G98-G86)*2/12</f>
        <v>4677.0943766666669</v>
      </c>
      <c r="H88" s="1">
        <f>H86+(H98-H86)*2/12</f>
        <v>4648.1187616666666</v>
      </c>
      <c r="I88" t="str">
        <f>_xlfn.XLOOKUP($A88,ALGLIB_SSA_XAUUSD!$J$2:$J$1000,ALGLIB_SSA_XAUUSD!$K$2:$K$1000,"",0)</f>
        <v>XAUUSD</v>
      </c>
      <c r="J88" t="str">
        <f>_xlfn.XLOOKUP($A88,ALGLIB_SSA_XAUUSD!$J$2:$J$1000,ALGLIB_SSA_XAUUSD!$L$2:$L$1000,"",0)</f>
        <v>M5</v>
      </c>
      <c r="K88">
        <f>_xlfn.XLOOKUP($A88,ALGLIB_SSA_XAUUSD!$J$2:$J$1000,ALGLIB_SSA_XAUUSD!$M$2:$M$1000,"",0)</f>
        <v>4653.49</v>
      </c>
      <c r="L88">
        <f>_xlfn.XLOOKUP($A88,ALGLIB_SSA_XAUUSD!$J$2:$J$1000,ALGLIB_SSA_XAUUSD!$N$2:$N$1000,"",0)</f>
        <v>4652.4976800000004</v>
      </c>
      <c r="M88">
        <f>_xlfn.XLOOKUP($A88,ALGLIB_SSA_XAUUSD!$J$2:$J$1000,ALGLIB_SSA_XAUUSD!$O$2:$O$1000,"",0)</f>
        <v>4652.3478500000001</v>
      </c>
      <c r="N88">
        <f>_xlfn.XLOOKUP($A88,ALGLIB_SSA_XAUUSD!$J$2:$J$1000,ALGLIB_SSA_XAUUSD!$P$2:$P$1000,"",0)</f>
        <v>4655.73092</v>
      </c>
      <c r="O88">
        <f>_xlfn.XLOOKUP($A88,ALGLIB_SSA_XAUUSD!$J$2:$J$1000,ALGLIB_SSA_XAUUSD!$Q$2:$Q$1000,"",0)</f>
        <v>4650.7403199999999</v>
      </c>
      <c r="R88">
        <f t="shared" si="11"/>
        <v>1775153400</v>
      </c>
      <c r="S88" t="str">
        <f t="shared" si="12"/>
        <v>XAUUSD</v>
      </c>
      <c r="T88" t="str">
        <f t="shared" si="13"/>
        <v>M5</v>
      </c>
      <c r="U88">
        <f t="shared" si="14"/>
        <v>4653.49</v>
      </c>
      <c r="V88">
        <v>4664.5216300000002</v>
      </c>
      <c r="W88">
        <v>4664.0231999999996</v>
      </c>
      <c r="X88">
        <v>4652.4976800000004</v>
      </c>
      <c r="Y88">
        <v>4652.3478500000001</v>
      </c>
      <c r="Z88">
        <f t="shared" si="15"/>
        <v>4677.0943766666669</v>
      </c>
      <c r="AA88">
        <f t="shared" si="16"/>
        <v>4655.73092</v>
      </c>
      <c r="AB88">
        <f t="shared" si="17"/>
        <v>4648.1187616666666</v>
      </c>
      <c r="AC88">
        <f t="shared" si="18"/>
        <v>4650.7403199999999</v>
      </c>
      <c r="AF88">
        <f t="shared" si="19"/>
        <v>4652.4976800000004</v>
      </c>
      <c r="AG88">
        <f t="shared" si="20"/>
        <v>4677.0943766666669</v>
      </c>
      <c r="AH88">
        <f t="shared" si="21"/>
        <v>4648.1187616666666</v>
      </c>
    </row>
    <row r="89" spans="1:34" x14ac:dyDescent="0.55000000000000004">
      <c r="A89">
        <f>ALGLIB_SSA_XAUUSD!J89</f>
        <v>1775153700</v>
      </c>
      <c r="B89" t="str">
        <f>_xlfn.XLOOKUP($A89,ALGLIB_SSA_XAUUSD!$A$2:$A$1000,ALGLIB_SSA_XAUUSD!$B$2:$B$1000,"",0)</f>
        <v/>
      </c>
      <c r="C89" t="str">
        <f>_xlfn.XLOOKUP($A89,ALGLIB_SSA_XAUUSD!$A$2:$A$1000,ALGLIB_SSA_XAUUSD!$C$2:$C$1000,"",0)</f>
        <v/>
      </c>
      <c r="D89" s="1">
        <f>D86+(D98-D86)*3/12</f>
        <v>4669.4025000000001</v>
      </c>
      <c r="E89" s="1">
        <f>E86+(E98-E86)*3/12</f>
        <v>4664.0837274999994</v>
      </c>
      <c r="F89" s="1">
        <f>F86+(F98-F86)*3/12</f>
        <v>4663.84681</v>
      </c>
      <c r="G89" s="1">
        <f>G86+(G98-G86)*3/12</f>
        <v>4676.694305</v>
      </c>
      <c r="H89" s="1">
        <f>H86+(H98-H86)*3/12</f>
        <v>4647.8222525000001</v>
      </c>
      <c r="I89" t="str">
        <f>_xlfn.XLOOKUP($A89,ALGLIB_SSA_XAUUSD!$J$2:$J$1000,ALGLIB_SSA_XAUUSD!$K$2:$K$1000,"",0)</f>
        <v>XAUUSD</v>
      </c>
      <c r="J89" t="str">
        <f>_xlfn.XLOOKUP($A89,ALGLIB_SSA_XAUUSD!$J$2:$J$1000,ALGLIB_SSA_XAUUSD!$L$2:$L$1000,"",0)</f>
        <v>M5</v>
      </c>
      <c r="K89">
        <f>_xlfn.XLOOKUP($A89,ALGLIB_SSA_XAUUSD!$J$2:$J$1000,ALGLIB_SSA_XAUUSD!$M$2:$M$1000,"",0)</f>
        <v>4653.8999999999996</v>
      </c>
      <c r="L89">
        <f>_xlfn.XLOOKUP($A89,ALGLIB_SSA_XAUUSD!$J$2:$J$1000,ALGLIB_SSA_XAUUSD!$N$2:$N$1000,"",0)</f>
        <v>4652.7302499999996</v>
      </c>
      <c r="M89">
        <f>_xlfn.XLOOKUP($A89,ALGLIB_SSA_XAUUSD!$J$2:$J$1000,ALGLIB_SSA_XAUUSD!$O$2:$O$1000,"",0)</f>
        <v>4652.5390500000003</v>
      </c>
      <c r="N89">
        <f>_xlfn.XLOOKUP($A89,ALGLIB_SSA_XAUUSD!$J$2:$J$1000,ALGLIB_SSA_XAUUSD!$P$2:$P$1000,"",0)</f>
        <v>4655.75</v>
      </c>
      <c r="O89">
        <f>_xlfn.XLOOKUP($A89,ALGLIB_SSA_XAUUSD!$J$2:$J$1000,ALGLIB_SSA_XAUUSD!$Q$2:$Q$1000,"",0)</f>
        <v>4650.9544299999998</v>
      </c>
      <c r="R89">
        <f t="shared" si="11"/>
        <v>1775153700</v>
      </c>
      <c r="S89" t="str">
        <f t="shared" si="12"/>
        <v>XAUUSD</v>
      </c>
      <c r="T89" t="str">
        <f t="shared" si="13"/>
        <v>M5</v>
      </c>
      <c r="U89">
        <f t="shared" si="14"/>
        <v>4653.8999999999996</v>
      </c>
      <c r="V89">
        <v>4664.0837300000003</v>
      </c>
      <c r="W89">
        <v>4663.84681</v>
      </c>
      <c r="X89">
        <v>4652.7302499999996</v>
      </c>
      <c r="Y89">
        <v>4652.5390500000003</v>
      </c>
      <c r="Z89">
        <f t="shared" si="15"/>
        <v>4676.694305</v>
      </c>
      <c r="AA89">
        <f t="shared" si="16"/>
        <v>4655.75</v>
      </c>
      <c r="AB89">
        <f t="shared" si="17"/>
        <v>4647.8222525000001</v>
      </c>
      <c r="AC89">
        <f t="shared" si="18"/>
        <v>4650.9544299999998</v>
      </c>
      <c r="AF89">
        <f t="shared" si="19"/>
        <v>4652.7302499999996</v>
      </c>
      <c r="AG89">
        <f t="shared" si="20"/>
        <v>4676.694305</v>
      </c>
      <c r="AH89">
        <f t="shared" si="21"/>
        <v>4647.8222525000001</v>
      </c>
    </row>
    <row r="90" spans="1:34" x14ac:dyDescent="0.55000000000000004">
      <c r="A90">
        <f>ALGLIB_SSA_XAUUSD!J90</f>
        <v>1775154000</v>
      </c>
      <c r="B90" t="str">
        <f>_xlfn.XLOOKUP($A90,ALGLIB_SSA_XAUUSD!$A$2:$A$1000,ALGLIB_SSA_XAUUSD!$B$2:$B$1000,"",0)</f>
        <v/>
      </c>
      <c r="C90" t="str">
        <f>_xlfn.XLOOKUP($A90,ALGLIB_SSA_XAUUSD!$A$2:$A$1000,ALGLIB_SSA_XAUUSD!$C$2:$C$1000,"",0)</f>
        <v/>
      </c>
      <c r="D90" s="1">
        <f>D86+(D98-D86)*4/12</f>
        <v>4669.6899999999996</v>
      </c>
      <c r="E90" s="1">
        <f>E86+(E98-E86)*4/12</f>
        <v>4663.6458266666668</v>
      </c>
      <c r="F90" s="1">
        <f>F86+(F98-F86)*4/12</f>
        <v>4663.6704199999995</v>
      </c>
      <c r="G90" s="1">
        <f>G86+(G98-G86)*4/12</f>
        <v>4676.2942333333331</v>
      </c>
      <c r="H90" s="1">
        <f>H86+(H98-H86)*4/12</f>
        <v>4647.5257433333327</v>
      </c>
      <c r="I90" t="str">
        <f>_xlfn.XLOOKUP($A90,ALGLIB_SSA_XAUUSD!$J$2:$J$1000,ALGLIB_SSA_XAUUSD!$K$2:$K$1000,"",0)</f>
        <v>XAUUSD</v>
      </c>
      <c r="J90" t="str">
        <f>_xlfn.XLOOKUP($A90,ALGLIB_SSA_XAUUSD!$J$2:$J$1000,ALGLIB_SSA_XAUUSD!$L$2:$L$1000,"",0)</f>
        <v>M5</v>
      </c>
      <c r="K90">
        <f>_xlfn.XLOOKUP($A90,ALGLIB_SSA_XAUUSD!$J$2:$J$1000,ALGLIB_SSA_XAUUSD!$M$2:$M$1000,"",0)</f>
        <v>4651.99</v>
      </c>
      <c r="L90">
        <f>_xlfn.XLOOKUP($A90,ALGLIB_SSA_XAUUSD!$J$2:$J$1000,ALGLIB_SSA_XAUUSD!$N$2:$N$1000,"",0)</f>
        <v>4653.2952100000002</v>
      </c>
      <c r="M90">
        <f>_xlfn.XLOOKUP($A90,ALGLIB_SSA_XAUUSD!$J$2:$J$1000,ALGLIB_SSA_XAUUSD!$O$2:$O$1000,"",0)</f>
        <v>4652.9171299999998</v>
      </c>
      <c r="N90">
        <f>_xlfn.XLOOKUP($A90,ALGLIB_SSA_XAUUSD!$J$2:$J$1000,ALGLIB_SSA_XAUUSD!$P$2:$P$1000,"",0)</f>
        <v>4656.0099399999999</v>
      </c>
      <c r="O90">
        <f>_xlfn.XLOOKUP($A90,ALGLIB_SSA_XAUUSD!$J$2:$J$1000,ALGLIB_SSA_XAUUSD!$Q$2:$Q$1000,"",0)</f>
        <v>4651.1726099999996</v>
      </c>
      <c r="R90">
        <f t="shared" si="11"/>
        <v>1775154000</v>
      </c>
      <c r="S90" t="str">
        <f t="shared" si="12"/>
        <v>XAUUSD</v>
      </c>
      <c r="T90" t="str">
        <f t="shared" si="13"/>
        <v>M5</v>
      </c>
      <c r="U90">
        <f t="shared" si="14"/>
        <v>4651.99</v>
      </c>
      <c r="V90">
        <v>4663.6458300000004</v>
      </c>
      <c r="W90">
        <v>4663.6704200000004</v>
      </c>
      <c r="X90">
        <v>4653.2952100000002</v>
      </c>
      <c r="Y90">
        <v>4652.9171299999998</v>
      </c>
      <c r="Z90">
        <f t="shared" si="15"/>
        <v>4676.2942333333331</v>
      </c>
      <c r="AA90">
        <f t="shared" si="16"/>
        <v>4656.0099399999999</v>
      </c>
      <c r="AB90">
        <f t="shared" si="17"/>
        <v>4647.5257433333327</v>
      </c>
      <c r="AC90">
        <f t="shared" si="18"/>
        <v>4651.1726099999996</v>
      </c>
      <c r="AF90">
        <f t="shared" si="19"/>
        <v>4653.2952100000002</v>
      </c>
      <c r="AG90">
        <f t="shared" si="20"/>
        <v>4676.2942333333331</v>
      </c>
      <c r="AH90">
        <f t="shared" si="21"/>
        <v>4647.5257433333327</v>
      </c>
    </row>
    <row r="91" spans="1:34" x14ac:dyDescent="0.55000000000000004">
      <c r="A91">
        <f>ALGLIB_SSA_XAUUSD!J91</f>
        <v>1775154300</v>
      </c>
      <c r="B91" t="str">
        <f>_xlfn.XLOOKUP($A91,ALGLIB_SSA_XAUUSD!$A$2:$A$1000,ALGLIB_SSA_XAUUSD!$B$2:$B$1000,"",0)</f>
        <v/>
      </c>
      <c r="C91" t="str">
        <f>_xlfn.XLOOKUP($A91,ALGLIB_SSA_XAUUSD!$A$2:$A$1000,ALGLIB_SSA_XAUUSD!$C$2:$C$1000,"",0)</f>
        <v/>
      </c>
      <c r="D91" s="1">
        <f>D86+(D98-D86)*5/12</f>
        <v>4669.9775</v>
      </c>
      <c r="E91" s="1">
        <f>E86+(E98-E86)*5/12</f>
        <v>4663.2079258333333</v>
      </c>
      <c r="F91" s="1">
        <f>F86+(F98-F86)*5/12</f>
        <v>4663.4940299999998</v>
      </c>
      <c r="G91" s="1">
        <f>G86+(G98-G86)*5/12</f>
        <v>4675.8941616666671</v>
      </c>
      <c r="H91" s="1">
        <f>H86+(H98-H86)*5/12</f>
        <v>4647.2292341666662</v>
      </c>
      <c r="I91" t="str">
        <f>_xlfn.XLOOKUP($A91,ALGLIB_SSA_XAUUSD!$J$2:$J$1000,ALGLIB_SSA_XAUUSD!$K$2:$K$1000,"",0)</f>
        <v>XAUUSD</v>
      </c>
      <c r="J91" t="str">
        <f>_xlfn.XLOOKUP($A91,ALGLIB_SSA_XAUUSD!$J$2:$J$1000,ALGLIB_SSA_XAUUSD!$L$2:$L$1000,"",0)</f>
        <v>M5</v>
      </c>
      <c r="K91">
        <f>_xlfn.XLOOKUP($A91,ALGLIB_SSA_XAUUSD!$J$2:$J$1000,ALGLIB_SSA_XAUUSD!$M$2:$M$1000,"",0)</f>
        <v>4651.4399999999996</v>
      </c>
      <c r="L91">
        <f>_xlfn.XLOOKUP($A91,ALGLIB_SSA_XAUUSD!$J$2:$J$1000,ALGLIB_SSA_XAUUSD!$N$2:$N$1000,"",0)</f>
        <v>4654.4870199999996</v>
      </c>
      <c r="M91">
        <f>_xlfn.XLOOKUP($A91,ALGLIB_SSA_XAUUSD!$J$2:$J$1000,ALGLIB_SSA_XAUUSD!$O$2:$O$1000,"",0)</f>
        <v>4653.70208</v>
      </c>
      <c r="N91">
        <f>_xlfn.XLOOKUP($A91,ALGLIB_SSA_XAUUSD!$J$2:$J$1000,ALGLIB_SSA_XAUUSD!$P$2:$P$1000,"",0)</f>
        <v>4656.7803400000003</v>
      </c>
      <c r="O91">
        <f>_xlfn.XLOOKUP($A91,ALGLIB_SSA_XAUUSD!$J$2:$J$1000,ALGLIB_SSA_XAUUSD!$Q$2:$Q$1000,"",0)</f>
        <v>4651.7001700000001</v>
      </c>
      <c r="R91">
        <f t="shared" si="11"/>
        <v>1775154300</v>
      </c>
      <c r="S91" t="str">
        <f t="shared" si="12"/>
        <v>XAUUSD</v>
      </c>
      <c r="T91" t="str">
        <f t="shared" si="13"/>
        <v>M5</v>
      </c>
      <c r="U91">
        <f t="shared" si="14"/>
        <v>4651.4399999999996</v>
      </c>
      <c r="V91">
        <v>4663.2079299999996</v>
      </c>
      <c r="W91">
        <v>4663.4940299999998</v>
      </c>
      <c r="X91">
        <v>4654.4870199999996</v>
      </c>
      <c r="Y91">
        <v>4653.70208</v>
      </c>
      <c r="Z91">
        <f t="shared" si="15"/>
        <v>4675.8941616666671</v>
      </c>
      <c r="AA91">
        <f t="shared" si="16"/>
        <v>4656.7803400000003</v>
      </c>
      <c r="AB91">
        <f t="shared" si="17"/>
        <v>4647.2292341666662</v>
      </c>
      <c r="AC91">
        <f t="shared" si="18"/>
        <v>4651.7001700000001</v>
      </c>
      <c r="AF91">
        <f t="shared" si="19"/>
        <v>4654.4870199999996</v>
      </c>
      <c r="AG91">
        <f t="shared" si="20"/>
        <v>4675.8941616666671</v>
      </c>
      <c r="AH91">
        <f t="shared" si="21"/>
        <v>4647.2292341666662</v>
      </c>
    </row>
    <row r="92" spans="1:34" x14ac:dyDescent="0.55000000000000004">
      <c r="A92">
        <f>ALGLIB_SSA_XAUUSD!J92</f>
        <v>1775154600</v>
      </c>
      <c r="B92" t="str">
        <f>_xlfn.XLOOKUP($A92,ALGLIB_SSA_XAUUSD!$A$2:$A$1000,ALGLIB_SSA_XAUUSD!$B$2:$B$1000,"",0)</f>
        <v/>
      </c>
      <c r="C92" t="str">
        <f>_xlfn.XLOOKUP($A92,ALGLIB_SSA_XAUUSD!$A$2:$A$1000,ALGLIB_SSA_XAUUSD!$C$2:$C$1000,"",0)</f>
        <v/>
      </c>
      <c r="D92" s="1">
        <f>D86+(D98-D86)*6/12</f>
        <v>4670.2649999999994</v>
      </c>
      <c r="E92" s="1">
        <f>E86+(E98-E86)*6/12</f>
        <v>4662.7700249999998</v>
      </c>
      <c r="F92" s="1">
        <f>F86+(F98-F86)*6/12</f>
        <v>4663.3176399999993</v>
      </c>
      <c r="G92" s="1">
        <f>G86+(G98-G86)*6/12</f>
        <v>4675.4940900000001</v>
      </c>
      <c r="H92" s="1">
        <f>H86+(H98-H86)*6/12</f>
        <v>4646.9327249999997</v>
      </c>
      <c r="I92" t="str">
        <f>_xlfn.XLOOKUP($A92,ALGLIB_SSA_XAUUSD!$J$2:$J$1000,ALGLIB_SSA_XAUUSD!$K$2:$K$1000,"",0)</f>
        <v>XAUUSD</v>
      </c>
      <c r="J92" t="str">
        <f>_xlfn.XLOOKUP($A92,ALGLIB_SSA_XAUUSD!$J$2:$J$1000,ALGLIB_SSA_XAUUSD!$L$2:$L$1000,"",0)</f>
        <v>M5</v>
      </c>
      <c r="K92">
        <f>_xlfn.XLOOKUP($A92,ALGLIB_SSA_XAUUSD!$J$2:$J$1000,ALGLIB_SSA_XAUUSD!$M$2:$M$1000,"",0)</f>
        <v>4658.95</v>
      </c>
      <c r="L92">
        <f>_xlfn.XLOOKUP($A92,ALGLIB_SSA_XAUUSD!$J$2:$J$1000,ALGLIB_SSA_XAUUSD!$N$2:$N$1000,"",0)</f>
        <v>4656.4993599999998</v>
      </c>
      <c r="M92">
        <f>_xlfn.XLOOKUP($A92,ALGLIB_SSA_XAUUSD!$J$2:$J$1000,ALGLIB_SSA_XAUUSD!$O$2:$O$1000,"",0)</f>
        <v>4655.1007200000004</v>
      </c>
      <c r="N92">
        <f>_xlfn.XLOOKUP($A92,ALGLIB_SSA_XAUUSD!$J$2:$J$1000,ALGLIB_SSA_XAUUSD!$P$2:$P$1000,"",0)</f>
        <v>4658.3717999999999</v>
      </c>
      <c r="O92">
        <f>_xlfn.XLOOKUP($A92,ALGLIB_SSA_XAUUSD!$J$2:$J$1000,ALGLIB_SSA_XAUUSD!$Q$2:$Q$1000,"",0)</f>
        <v>4652.8678399999999</v>
      </c>
      <c r="R92">
        <f t="shared" si="11"/>
        <v>1775154600</v>
      </c>
      <c r="S92" t="str">
        <f t="shared" si="12"/>
        <v>XAUUSD</v>
      </c>
      <c r="T92" t="str">
        <f t="shared" si="13"/>
        <v>M5</v>
      </c>
      <c r="U92">
        <f t="shared" si="14"/>
        <v>4658.95</v>
      </c>
      <c r="V92">
        <v>4662.7700299999997</v>
      </c>
      <c r="W92">
        <v>4663.3176400000002</v>
      </c>
      <c r="X92">
        <v>4656.4993599999998</v>
      </c>
      <c r="Y92">
        <v>4655.1007200000004</v>
      </c>
      <c r="Z92">
        <f t="shared" si="15"/>
        <v>4675.4940900000001</v>
      </c>
      <c r="AA92">
        <f t="shared" si="16"/>
        <v>4658.3717999999999</v>
      </c>
      <c r="AB92">
        <f t="shared" si="17"/>
        <v>4646.9327249999997</v>
      </c>
      <c r="AC92">
        <f t="shared" si="18"/>
        <v>4652.8678399999999</v>
      </c>
      <c r="AF92">
        <f t="shared" si="19"/>
        <v>4656.4993599999998</v>
      </c>
      <c r="AG92">
        <f t="shared" si="20"/>
        <v>4675.4940900000001</v>
      </c>
      <c r="AH92">
        <f t="shared" si="21"/>
        <v>4646.9327249999997</v>
      </c>
    </row>
    <row r="93" spans="1:34" x14ac:dyDescent="0.55000000000000004">
      <c r="A93">
        <f>ALGLIB_SSA_XAUUSD!J93</f>
        <v>1775154900</v>
      </c>
      <c r="B93" t="str">
        <f>_xlfn.XLOOKUP($A93,ALGLIB_SSA_XAUUSD!$A$2:$A$1000,ALGLIB_SSA_XAUUSD!$B$2:$B$1000,"",0)</f>
        <v/>
      </c>
      <c r="C93" t="str">
        <f>_xlfn.XLOOKUP($A93,ALGLIB_SSA_XAUUSD!$A$2:$A$1000,ALGLIB_SSA_XAUUSD!$C$2:$C$1000,"",0)</f>
        <v/>
      </c>
      <c r="D93" s="1">
        <f>D86+(D98-D86)*7/12</f>
        <v>4670.5524999999998</v>
      </c>
      <c r="E93" s="1">
        <f>E86+(E98-E86)*7/12</f>
        <v>4662.3321241666663</v>
      </c>
      <c r="F93" s="1">
        <f>F86+(F98-F86)*7/12</f>
        <v>4663.1412499999997</v>
      </c>
      <c r="G93" s="1">
        <f>G86+(G98-G86)*7/12</f>
        <v>4675.0940183333332</v>
      </c>
      <c r="H93" s="1">
        <f>H86+(H98-H86)*7/12</f>
        <v>4646.6362158333332</v>
      </c>
      <c r="I93" t="str">
        <f>_xlfn.XLOOKUP($A93,ALGLIB_SSA_XAUUSD!$J$2:$J$1000,ALGLIB_SSA_XAUUSD!$K$2:$K$1000,"",0)</f>
        <v>XAUUSD</v>
      </c>
      <c r="J93" t="str">
        <f>_xlfn.XLOOKUP($A93,ALGLIB_SSA_XAUUSD!$J$2:$J$1000,ALGLIB_SSA_XAUUSD!$L$2:$L$1000,"",0)</f>
        <v>M5</v>
      </c>
      <c r="K93">
        <f>_xlfn.XLOOKUP($A93,ALGLIB_SSA_XAUUSD!$J$2:$J$1000,ALGLIB_SSA_XAUUSD!$M$2:$M$1000,"",0)</f>
        <v>4656.1400000000003</v>
      </c>
      <c r="L93">
        <f>_xlfn.XLOOKUP($A93,ALGLIB_SSA_XAUUSD!$J$2:$J$1000,ALGLIB_SSA_XAUUSD!$N$2:$N$1000,"",0)</f>
        <v>4659.2308300000004</v>
      </c>
      <c r="M93">
        <f>_xlfn.XLOOKUP($A93,ALGLIB_SSA_XAUUSD!$J$2:$J$1000,ALGLIB_SSA_XAUUSD!$O$2:$O$1000,"",0)</f>
        <v>4657.1657699999996</v>
      </c>
      <c r="N93">
        <f>_xlfn.XLOOKUP($A93,ALGLIB_SSA_XAUUSD!$J$2:$J$1000,ALGLIB_SSA_XAUUSD!$P$2:$P$1000,"",0)</f>
        <v>4660.7737800000004</v>
      </c>
      <c r="O93">
        <f>_xlfn.XLOOKUP($A93,ALGLIB_SSA_XAUUSD!$J$2:$J$1000,ALGLIB_SSA_XAUUSD!$Q$2:$Q$1000,"",0)</f>
        <v>4654.8505500000001</v>
      </c>
      <c r="R93">
        <f t="shared" si="11"/>
        <v>1775154900</v>
      </c>
      <c r="S93" t="str">
        <f t="shared" si="12"/>
        <v>XAUUSD</v>
      </c>
      <c r="T93" t="str">
        <f t="shared" si="13"/>
        <v>M5</v>
      </c>
      <c r="U93">
        <f t="shared" si="14"/>
        <v>4656.1400000000003</v>
      </c>
      <c r="V93">
        <v>4662.33212</v>
      </c>
      <c r="W93">
        <v>4663.1412499999997</v>
      </c>
      <c r="X93">
        <v>4659.2308300000004</v>
      </c>
      <c r="Y93">
        <v>4657.1657699999996</v>
      </c>
      <c r="Z93">
        <f t="shared" si="15"/>
        <v>4675.0940183333332</v>
      </c>
      <c r="AA93">
        <f t="shared" si="16"/>
        <v>4660.7737800000004</v>
      </c>
      <c r="AB93">
        <f t="shared" si="17"/>
        <v>4646.6362158333332</v>
      </c>
      <c r="AC93">
        <f t="shared" si="18"/>
        <v>4654.8505500000001</v>
      </c>
      <c r="AF93">
        <f t="shared" si="19"/>
        <v>4659.2308300000004</v>
      </c>
      <c r="AG93">
        <f t="shared" si="20"/>
        <v>4675.0940183333332</v>
      </c>
      <c r="AH93">
        <f t="shared" si="21"/>
        <v>4646.6362158333332</v>
      </c>
    </row>
    <row r="94" spans="1:34" x14ac:dyDescent="0.55000000000000004">
      <c r="A94">
        <f>ALGLIB_SSA_XAUUSD!J94</f>
        <v>1775155200</v>
      </c>
      <c r="B94" t="str">
        <f>_xlfn.XLOOKUP($A94,ALGLIB_SSA_XAUUSD!$A$2:$A$1000,ALGLIB_SSA_XAUUSD!$B$2:$B$1000,"",0)</f>
        <v/>
      </c>
      <c r="C94" t="str">
        <f>_xlfn.XLOOKUP($A94,ALGLIB_SSA_XAUUSD!$A$2:$A$1000,ALGLIB_SSA_XAUUSD!$C$2:$C$1000,"",0)</f>
        <v/>
      </c>
      <c r="D94" s="1">
        <f>D86+(D98-D86)*8/12</f>
        <v>4670.84</v>
      </c>
      <c r="E94" s="1">
        <f>E86+(E98-E86)*8/12</f>
        <v>4661.8942233333328</v>
      </c>
      <c r="F94" s="1">
        <f>F86+(F98-F86)*8/12</f>
        <v>4662.96486</v>
      </c>
      <c r="G94" s="1">
        <f>G86+(G98-G86)*8/12</f>
        <v>4674.6939466666672</v>
      </c>
      <c r="H94" s="1">
        <f>H86+(H98-H86)*8/12</f>
        <v>4646.3397066666666</v>
      </c>
      <c r="I94" t="str">
        <f>_xlfn.XLOOKUP($A94,ALGLIB_SSA_XAUUSD!$J$2:$J$1000,ALGLIB_SSA_XAUUSD!$K$2:$K$1000,"",0)</f>
        <v>XAUUSD</v>
      </c>
      <c r="J94" t="str">
        <f>_xlfn.XLOOKUP($A94,ALGLIB_SSA_XAUUSD!$J$2:$J$1000,ALGLIB_SSA_XAUUSD!$L$2:$L$1000,"",0)</f>
        <v>M5</v>
      </c>
      <c r="K94">
        <f>_xlfn.XLOOKUP($A94,ALGLIB_SSA_XAUUSD!$J$2:$J$1000,ALGLIB_SSA_XAUUSD!$M$2:$M$1000,"",0)</f>
        <v>4662.7299999999996</v>
      </c>
      <c r="L94">
        <f>_xlfn.XLOOKUP($A94,ALGLIB_SSA_XAUUSD!$J$2:$J$1000,ALGLIB_SSA_XAUUSD!$N$2:$N$1000,"",0)</f>
        <v>4662.6220999999996</v>
      </c>
      <c r="M94">
        <f>_xlfn.XLOOKUP($A94,ALGLIB_SSA_XAUUSD!$J$2:$J$1000,ALGLIB_SSA_XAUUSD!$O$2:$O$1000,"",0)</f>
        <v>4659.8939399999999</v>
      </c>
      <c r="N94">
        <f>_xlfn.XLOOKUP($A94,ALGLIB_SSA_XAUUSD!$J$2:$J$1000,ALGLIB_SSA_XAUUSD!$P$2:$P$1000,"",0)</f>
        <v>4663.9699099999998</v>
      </c>
      <c r="O94">
        <f>_xlfn.XLOOKUP($A94,ALGLIB_SSA_XAUUSD!$J$2:$J$1000,ALGLIB_SSA_XAUUSD!$Q$2:$Q$1000,"",0)</f>
        <v>4657.5982999999997</v>
      </c>
      <c r="R94">
        <f t="shared" si="11"/>
        <v>1775155200</v>
      </c>
      <c r="S94" t="str">
        <f t="shared" si="12"/>
        <v>XAUUSD</v>
      </c>
      <c r="T94" t="str">
        <f t="shared" si="13"/>
        <v>M5</v>
      </c>
      <c r="U94">
        <f t="shared" si="14"/>
        <v>4662.7299999999996</v>
      </c>
      <c r="V94">
        <v>4661.8942200000001</v>
      </c>
      <c r="W94">
        <v>4662.96486</v>
      </c>
      <c r="X94">
        <v>4662.6220999999996</v>
      </c>
      <c r="Y94">
        <v>4659.8939399999999</v>
      </c>
      <c r="Z94">
        <f t="shared" si="15"/>
        <v>4674.6939466666672</v>
      </c>
      <c r="AA94">
        <f t="shared" si="16"/>
        <v>4663.9699099999998</v>
      </c>
      <c r="AB94">
        <f t="shared" si="17"/>
        <v>4646.3397066666666</v>
      </c>
      <c r="AC94">
        <f t="shared" si="18"/>
        <v>4657.5982999999997</v>
      </c>
      <c r="AF94">
        <f t="shared" si="19"/>
        <v>4662.6220999999996</v>
      </c>
      <c r="AG94">
        <f t="shared" si="20"/>
        <v>4674.6939466666672</v>
      </c>
      <c r="AH94">
        <f t="shared" si="21"/>
        <v>4646.3397066666666</v>
      </c>
    </row>
    <row r="95" spans="1:34" x14ac:dyDescent="0.55000000000000004">
      <c r="A95">
        <f>ALGLIB_SSA_XAUUSD!J95</f>
        <v>1775155500</v>
      </c>
      <c r="B95" t="str">
        <f>_xlfn.XLOOKUP($A95,ALGLIB_SSA_XAUUSD!$A$2:$A$1000,ALGLIB_SSA_XAUUSD!$B$2:$B$1000,"",0)</f>
        <v/>
      </c>
      <c r="C95" t="str">
        <f>_xlfn.XLOOKUP($A95,ALGLIB_SSA_XAUUSD!$A$2:$A$1000,ALGLIB_SSA_XAUUSD!$C$2:$C$1000,"",0)</f>
        <v/>
      </c>
      <c r="D95" s="1">
        <f>D86+(D98-D86)*9/12</f>
        <v>4671.1274999999996</v>
      </c>
      <c r="E95" s="1">
        <f>E86+(E98-E86)*9/12</f>
        <v>4661.4563225000002</v>
      </c>
      <c r="F95" s="1">
        <f>F86+(F98-F86)*9/12</f>
        <v>4662.7884699999995</v>
      </c>
      <c r="G95" s="1">
        <f>G86+(G98-G86)*9/12</f>
        <v>4674.2938750000003</v>
      </c>
      <c r="H95" s="1">
        <f>H86+(H98-H86)*9/12</f>
        <v>4646.0431974999992</v>
      </c>
      <c r="I95" t="str">
        <f>_xlfn.XLOOKUP($A95,ALGLIB_SSA_XAUUSD!$J$2:$J$1000,ALGLIB_SSA_XAUUSD!$K$2:$K$1000,"",0)</f>
        <v>XAUUSD</v>
      </c>
      <c r="J95" t="str">
        <f>_xlfn.XLOOKUP($A95,ALGLIB_SSA_XAUUSD!$J$2:$J$1000,ALGLIB_SSA_XAUUSD!$L$2:$L$1000,"",0)</f>
        <v>M5</v>
      </c>
      <c r="K95">
        <f>_xlfn.XLOOKUP($A95,ALGLIB_SSA_XAUUSD!$J$2:$J$1000,ALGLIB_SSA_XAUUSD!$M$2:$M$1000,"",0)</f>
        <v>4669.2</v>
      </c>
      <c r="L95">
        <f>_xlfn.XLOOKUP($A95,ALGLIB_SSA_XAUUSD!$J$2:$J$1000,ALGLIB_SSA_XAUUSD!$N$2:$N$1000,"",0)</f>
        <v>4666.2030999999997</v>
      </c>
      <c r="M95">
        <f>_xlfn.XLOOKUP($A95,ALGLIB_SSA_XAUUSD!$J$2:$J$1000,ALGLIB_SSA_XAUUSD!$O$2:$O$1000,"",0)</f>
        <v>4663.0485200000003</v>
      </c>
      <c r="N95">
        <f>_xlfn.XLOOKUP($A95,ALGLIB_SSA_XAUUSD!$J$2:$J$1000,ALGLIB_SSA_XAUUSD!$P$2:$P$1000,"",0)</f>
        <v>4667.6584499999999</v>
      </c>
      <c r="O95">
        <f>_xlfn.XLOOKUP($A95,ALGLIB_SSA_XAUUSD!$J$2:$J$1000,ALGLIB_SSA_XAUUSD!$Q$2:$Q$1000,"",0)</f>
        <v>4660.90985</v>
      </c>
      <c r="R95">
        <f t="shared" si="11"/>
        <v>1775155500</v>
      </c>
      <c r="S95" t="str">
        <f t="shared" si="12"/>
        <v>XAUUSD</v>
      </c>
      <c r="T95" t="str">
        <f t="shared" si="13"/>
        <v>M5</v>
      </c>
      <c r="U95">
        <f t="shared" si="14"/>
        <v>4669.2</v>
      </c>
      <c r="V95">
        <v>4661.4563200000002</v>
      </c>
      <c r="W95">
        <v>4662.7884700000004</v>
      </c>
      <c r="X95">
        <v>4666.2030999999997</v>
      </c>
      <c r="Y95">
        <v>4663.0485200000003</v>
      </c>
      <c r="Z95">
        <f t="shared" si="15"/>
        <v>4674.2938750000003</v>
      </c>
      <c r="AA95">
        <f t="shared" si="16"/>
        <v>4667.6584499999999</v>
      </c>
      <c r="AB95">
        <f t="shared" si="17"/>
        <v>4646.0431974999992</v>
      </c>
      <c r="AC95">
        <f t="shared" si="18"/>
        <v>4660.90985</v>
      </c>
      <c r="AF95">
        <f t="shared" si="19"/>
        <v>4666.2030999999997</v>
      </c>
      <c r="AG95">
        <f t="shared" si="20"/>
        <v>4674.2938750000003</v>
      </c>
      <c r="AH95">
        <f t="shared" si="21"/>
        <v>4646.0431974999992</v>
      </c>
    </row>
    <row r="96" spans="1:34" x14ac:dyDescent="0.55000000000000004">
      <c r="A96">
        <f>ALGLIB_SSA_XAUUSD!J96</f>
        <v>1775155800</v>
      </c>
      <c r="B96" t="str">
        <f>_xlfn.XLOOKUP($A96,ALGLIB_SSA_XAUUSD!$A$2:$A$1000,ALGLIB_SSA_XAUUSD!$B$2:$B$1000,"",0)</f>
        <v/>
      </c>
      <c r="C96" t="str">
        <f>_xlfn.XLOOKUP($A96,ALGLIB_SSA_XAUUSD!$A$2:$A$1000,ALGLIB_SSA_XAUUSD!$C$2:$C$1000,"",0)</f>
        <v/>
      </c>
      <c r="D96" s="1">
        <f>D86+(D98-D86)*10/12</f>
        <v>4671.415</v>
      </c>
      <c r="E96" s="1">
        <f>E86+(E98-E86)*10/12</f>
        <v>4661.0184216666667</v>
      </c>
      <c r="F96" s="1">
        <f>F86+(F98-F86)*10/12</f>
        <v>4662.6120799999999</v>
      </c>
      <c r="G96" s="1">
        <f>G86+(G98-G86)*10/12</f>
        <v>4673.8938033333334</v>
      </c>
      <c r="H96" s="1">
        <f>H86+(H98-H86)*10/12</f>
        <v>4645.7466883333327</v>
      </c>
      <c r="I96" t="str">
        <f>_xlfn.XLOOKUP($A96,ALGLIB_SSA_XAUUSD!$J$2:$J$1000,ALGLIB_SSA_XAUUSD!$K$2:$K$1000,"",0)</f>
        <v>XAUUSD</v>
      </c>
      <c r="J96" t="str">
        <f>_xlfn.XLOOKUP($A96,ALGLIB_SSA_XAUUSD!$J$2:$J$1000,ALGLIB_SSA_XAUUSD!$L$2:$L$1000,"",0)</f>
        <v>M5</v>
      </c>
      <c r="K96">
        <f>_xlfn.XLOOKUP($A96,ALGLIB_SSA_XAUUSD!$J$2:$J$1000,ALGLIB_SSA_XAUUSD!$M$2:$M$1000,"",0)</f>
        <v>4668.3</v>
      </c>
      <c r="L96">
        <f>_xlfn.XLOOKUP($A96,ALGLIB_SSA_XAUUSD!$J$2:$J$1000,ALGLIB_SSA_XAUUSD!$N$2:$N$1000,"",0)</f>
        <v>4669.4146300000002</v>
      </c>
      <c r="M96">
        <f>_xlfn.XLOOKUP($A96,ALGLIB_SSA_XAUUSD!$J$2:$J$1000,ALGLIB_SSA_XAUUSD!$O$2:$O$1000,"",0)</f>
        <v>4666.2315699999999</v>
      </c>
      <c r="N96">
        <f>_xlfn.XLOOKUP($A96,ALGLIB_SSA_XAUUSD!$J$2:$J$1000,ALGLIB_SSA_XAUUSD!$P$2:$P$1000,"",0)</f>
        <v>4671.3117599999996</v>
      </c>
      <c r="O96">
        <f>_xlfn.XLOOKUP($A96,ALGLIB_SSA_XAUUSD!$J$2:$J$1000,ALGLIB_SSA_XAUUSD!$Q$2:$Q$1000,"",0)</f>
        <v>4664.2521100000004</v>
      </c>
      <c r="R96">
        <f t="shared" si="11"/>
        <v>1775155800</v>
      </c>
      <c r="S96" t="str">
        <f t="shared" si="12"/>
        <v>XAUUSD</v>
      </c>
      <c r="T96" t="str">
        <f t="shared" si="13"/>
        <v>M5</v>
      </c>
      <c r="U96">
        <f t="shared" si="14"/>
        <v>4668.3</v>
      </c>
      <c r="V96">
        <v>4661.0184200000003</v>
      </c>
      <c r="W96">
        <v>4662.6120799999999</v>
      </c>
      <c r="X96">
        <v>4669.4146300000002</v>
      </c>
      <c r="Y96">
        <v>4666.2315699999999</v>
      </c>
      <c r="Z96">
        <f t="shared" si="15"/>
        <v>4673.8938033333334</v>
      </c>
      <c r="AA96">
        <f t="shared" si="16"/>
        <v>4671.3117599999996</v>
      </c>
      <c r="AB96">
        <f t="shared" si="17"/>
        <v>4645.7466883333327</v>
      </c>
      <c r="AC96">
        <f t="shared" si="18"/>
        <v>4664.2521100000004</v>
      </c>
      <c r="AF96">
        <f t="shared" si="19"/>
        <v>4669.4146300000002</v>
      </c>
      <c r="AG96">
        <f t="shared" si="20"/>
        <v>4673.8938033333334</v>
      </c>
      <c r="AH96">
        <f t="shared" si="21"/>
        <v>4645.7466883333327</v>
      </c>
    </row>
    <row r="97" spans="1:34" x14ac:dyDescent="0.55000000000000004">
      <c r="A97">
        <f>ALGLIB_SSA_XAUUSD!J97</f>
        <v>1775156100</v>
      </c>
      <c r="B97" t="str">
        <f>_xlfn.XLOOKUP($A97,ALGLIB_SSA_XAUUSD!$A$2:$A$1000,ALGLIB_SSA_XAUUSD!$B$2:$B$1000,"",0)</f>
        <v/>
      </c>
      <c r="C97" t="str">
        <f>_xlfn.XLOOKUP($A97,ALGLIB_SSA_XAUUSD!$A$2:$A$1000,ALGLIB_SSA_XAUUSD!$C$2:$C$1000,"",0)</f>
        <v/>
      </c>
      <c r="D97" s="1">
        <f>D86+(D98-D86)*11/12</f>
        <v>4671.7024999999994</v>
      </c>
      <c r="E97" s="1">
        <f>E86+(E98-E86)*11/12</f>
        <v>4660.5805208333331</v>
      </c>
      <c r="F97" s="1">
        <f>F86+(F98-F86)*11/12</f>
        <v>4662.4356899999993</v>
      </c>
      <c r="G97" s="1">
        <f>G86+(G98-G86)*11/12</f>
        <v>4673.4937316666674</v>
      </c>
      <c r="H97" s="1">
        <f>H86+(H98-H86)*11/12</f>
        <v>4645.4501791666662</v>
      </c>
      <c r="I97" t="str">
        <f>_xlfn.XLOOKUP($A97,ALGLIB_SSA_XAUUSD!$J$2:$J$1000,ALGLIB_SSA_XAUUSD!$K$2:$K$1000,"",0)</f>
        <v>XAUUSD</v>
      </c>
      <c r="J97" t="str">
        <f>_xlfn.XLOOKUP($A97,ALGLIB_SSA_XAUUSD!$J$2:$J$1000,ALGLIB_SSA_XAUUSD!$L$2:$L$1000,"",0)</f>
        <v>M5</v>
      </c>
      <c r="K97">
        <f>_xlfn.XLOOKUP($A97,ALGLIB_SSA_XAUUSD!$J$2:$J$1000,ALGLIB_SSA_XAUUSD!$M$2:$M$1000,"",0)</f>
        <v>4668.54</v>
      </c>
      <c r="L97">
        <f>_xlfn.XLOOKUP($A97,ALGLIB_SSA_XAUUSD!$J$2:$J$1000,ALGLIB_SSA_XAUUSD!$N$2:$N$1000,"",0)</f>
        <v>4671.8973100000003</v>
      </c>
      <c r="M97">
        <f>_xlfn.XLOOKUP($A97,ALGLIB_SSA_XAUUSD!$J$2:$J$1000,ALGLIB_SSA_XAUUSD!$O$2:$O$1000,"",0)</f>
        <v>4669.0644400000001</v>
      </c>
      <c r="N97">
        <f>_xlfn.XLOOKUP($A97,ALGLIB_SSA_XAUUSD!$J$2:$J$1000,ALGLIB_SSA_XAUUSD!$P$2:$P$1000,"",0)</f>
        <v>4674.4765699999998</v>
      </c>
      <c r="O97">
        <f>_xlfn.XLOOKUP($A97,ALGLIB_SSA_XAUUSD!$J$2:$J$1000,ALGLIB_SSA_XAUUSD!$Q$2:$Q$1000,"",0)</f>
        <v>4667.1619799999999</v>
      </c>
      <c r="R97">
        <f t="shared" si="11"/>
        <v>1775156100</v>
      </c>
      <c r="S97" t="str">
        <f t="shared" si="12"/>
        <v>XAUUSD</v>
      </c>
      <c r="T97" t="str">
        <f t="shared" si="13"/>
        <v>M5</v>
      </c>
      <c r="U97">
        <f t="shared" si="14"/>
        <v>4668.54</v>
      </c>
      <c r="V97">
        <v>4660.5805200000004</v>
      </c>
      <c r="W97">
        <v>4662.4356900000002</v>
      </c>
      <c r="X97">
        <v>4671.8973100000003</v>
      </c>
      <c r="Y97">
        <v>4669.0644400000001</v>
      </c>
      <c r="Z97">
        <f t="shared" si="15"/>
        <v>4673.4937316666674</v>
      </c>
      <c r="AA97">
        <f t="shared" si="16"/>
        <v>4674.4765699999998</v>
      </c>
      <c r="AB97">
        <f t="shared" si="17"/>
        <v>4645.4501791666662</v>
      </c>
      <c r="AC97">
        <f t="shared" si="18"/>
        <v>4667.1619799999999</v>
      </c>
      <c r="AF97">
        <f t="shared" si="19"/>
        <v>4671.8973100000003</v>
      </c>
      <c r="AG97">
        <f t="shared" si="20"/>
        <v>4673.4937316666674</v>
      </c>
      <c r="AH97">
        <f t="shared" si="21"/>
        <v>4645.4501791666662</v>
      </c>
    </row>
    <row r="98" spans="1:34" x14ac:dyDescent="0.55000000000000004">
      <c r="A98">
        <f>ALGLIB_SSA_XAUUSD!J98</f>
        <v>1775156400</v>
      </c>
      <c r="B98" t="str">
        <f>_xlfn.XLOOKUP($A98,ALGLIB_SSA_XAUUSD!$A$2:$A$1000,ALGLIB_SSA_XAUUSD!$B$2:$B$1000,"",0)</f>
        <v>XAUUSD</v>
      </c>
      <c r="C98" t="str">
        <f>_xlfn.XLOOKUP($A98,ALGLIB_SSA_XAUUSD!$A$2:$A$1000,ALGLIB_SSA_XAUUSD!$C$2:$C$1000,"",0)</f>
        <v>H1</v>
      </c>
      <c r="D98" s="2">
        <f>_xlfn.XLOOKUP($A98,ALGLIB_SSA_XAUUSD!$A$2:$A$1000,ALGLIB_SSA_XAUUSD!$D$2:$D$1000,"",0)</f>
        <v>4671.99</v>
      </c>
      <c r="E98" s="2">
        <f>_xlfn.XLOOKUP($A98,ALGLIB_SSA_XAUUSD!$A$2:$A$1000,ALGLIB_SSA_XAUUSD!$E$2:$E$1000,"",0)</f>
        <v>4660.1426199999996</v>
      </c>
      <c r="F98" s="2">
        <f>_xlfn.XLOOKUP($A98,ALGLIB_SSA_XAUUSD!$A$2:$A$1000,ALGLIB_SSA_XAUUSD!$F$2:$F$1000,"",0)</f>
        <v>4662.2592999999997</v>
      </c>
      <c r="G98" s="2">
        <f>_xlfn.XLOOKUP($A98,ALGLIB_SSA_XAUUSD!$A$2:$A$1000,ALGLIB_SSA_XAUUSD!$G$2:$G$1000,"",0)</f>
        <v>4673.0936600000005</v>
      </c>
      <c r="H98" s="2">
        <f>_xlfn.XLOOKUP($A98,ALGLIB_SSA_XAUUSD!$A$2:$A$1000,ALGLIB_SSA_XAUUSD!$H$2:$H$1000,"",0)</f>
        <v>4645.1536699999997</v>
      </c>
      <c r="I98" t="str">
        <f>_xlfn.XLOOKUP($A98,ALGLIB_SSA_XAUUSD!$J$2:$J$1000,ALGLIB_SSA_XAUUSD!$K$2:$K$1000,"",0)</f>
        <v>XAUUSD</v>
      </c>
      <c r="J98" t="str">
        <f>_xlfn.XLOOKUP($A98,ALGLIB_SSA_XAUUSD!$J$2:$J$1000,ALGLIB_SSA_XAUUSD!$L$2:$L$1000,"",0)</f>
        <v>M5</v>
      </c>
      <c r="K98">
        <f>_xlfn.XLOOKUP($A98,ALGLIB_SSA_XAUUSD!$J$2:$J$1000,ALGLIB_SSA_XAUUSD!$M$2:$M$1000,"",0)</f>
        <v>4672.38</v>
      </c>
      <c r="L98">
        <f>_xlfn.XLOOKUP($A98,ALGLIB_SSA_XAUUSD!$J$2:$J$1000,ALGLIB_SSA_XAUUSD!$N$2:$N$1000,"",0)</f>
        <v>4673.3915900000002</v>
      </c>
      <c r="M98">
        <f>_xlfn.XLOOKUP($A98,ALGLIB_SSA_XAUUSD!$J$2:$J$1000,ALGLIB_SSA_XAUUSD!$O$2:$O$1000,"",0)</f>
        <v>4671.2280199999996</v>
      </c>
      <c r="N98">
        <f>_xlfn.XLOOKUP($A98,ALGLIB_SSA_XAUUSD!$J$2:$J$1000,ALGLIB_SSA_XAUUSD!$P$2:$P$1000,"",0)</f>
        <v>4676.7465000000002</v>
      </c>
      <c r="O98">
        <f>_xlfn.XLOOKUP($A98,ALGLIB_SSA_XAUUSD!$J$2:$J$1000,ALGLIB_SSA_XAUUSD!$Q$2:$Q$1000,"",0)</f>
        <v>4669.1888099999996</v>
      </c>
      <c r="R98">
        <f t="shared" si="11"/>
        <v>1775156400</v>
      </c>
      <c r="S98" t="str">
        <f t="shared" si="12"/>
        <v>XAUUSD</v>
      </c>
      <c r="T98" t="str">
        <f t="shared" si="13"/>
        <v>M5</v>
      </c>
      <c r="U98">
        <f t="shared" si="14"/>
        <v>4672.38</v>
      </c>
      <c r="V98">
        <v>4660.1426199999996</v>
      </c>
      <c r="W98">
        <v>4662.2592999999997</v>
      </c>
      <c r="X98">
        <v>4673.3915900000002</v>
      </c>
      <c r="Y98">
        <v>4671.2280199999996</v>
      </c>
      <c r="Z98">
        <f t="shared" si="15"/>
        <v>4673.0936600000005</v>
      </c>
      <c r="AA98">
        <f t="shared" si="16"/>
        <v>4676.7465000000002</v>
      </c>
      <c r="AB98">
        <f t="shared" si="17"/>
        <v>4645.1536699999997</v>
      </c>
      <c r="AC98">
        <f t="shared" si="18"/>
        <v>4669.1888099999996</v>
      </c>
      <c r="AF98">
        <f t="shared" si="19"/>
        <v>4673.3915900000002</v>
      </c>
      <c r="AG98">
        <f t="shared" si="20"/>
        <v>4673.0936600000005</v>
      </c>
      <c r="AH98">
        <f t="shared" si="21"/>
        <v>4645.1536699999997</v>
      </c>
    </row>
    <row r="99" spans="1:34" x14ac:dyDescent="0.55000000000000004">
      <c r="A99">
        <f>ALGLIB_SSA_XAUUSD!J99</f>
        <v>1775156700</v>
      </c>
      <c r="B99" t="str">
        <f>_xlfn.XLOOKUP($A99,ALGLIB_SSA_XAUUSD!$A$2:$A$1000,ALGLIB_SSA_XAUUSD!$B$2:$B$1000,"",0)</f>
        <v/>
      </c>
      <c r="C99" t="str">
        <f>_xlfn.XLOOKUP($A99,ALGLIB_SSA_XAUUSD!$A$2:$A$1000,ALGLIB_SSA_XAUUSD!$C$2:$C$1000,"",0)</f>
        <v/>
      </c>
      <c r="D99" s="1">
        <f>D98+(D110-D98)*1/12</f>
        <v>4672.3316666666669</v>
      </c>
      <c r="E99" s="1">
        <f>E98+(E110-E98)*1/12</f>
        <v>4659.5071166666667</v>
      </c>
      <c r="F99" s="1">
        <f>F98+(F110-F98)*1/12</f>
        <v>4661.853353333333</v>
      </c>
      <c r="G99" s="1">
        <f>G98+(G110-G98)*1/12</f>
        <v>4672.5560350000005</v>
      </c>
      <c r="H99" s="1">
        <f>H98+(H110-H98)*1/12</f>
        <v>4644.5708458333329</v>
      </c>
      <c r="I99" t="str">
        <f>_xlfn.XLOOKUP($A99,ALGLIB_SSA_XAUUSD!$J$2:$J$1000,ALGLIB_SSA_XAUUSD!$K$2:$K$1000,"",0)</f>
        <v>XAUUSD</v>
      </c>
      <c r="J99" t="str">
        <f>_xlfn.XLOOKUP($A99,ALGLIB_SSA_XAUUSD!$J$2:$J$1000,ALGLIB_SSA_XAUUSD!$L$2:$L$1000,"",0)</f>
        <v>M5</v>
      </c>
      <c r="K99">
        <f>_xlfn.XLOOKUP($A99,ALGLIB_SSA_XAUUSD!$J$2:$J$1000,ALGLIB_SSA_XAUUSD!$M$2:$M$1000,"",0)</f>
        <v>4679.6499999999996</v>
      </c>
      <c r="L99">
        <f>_xlfn.XLOOKUP($A99,ALGLIB_SSA_XAUUSD!$J$2:$J$1000,ALGLIB_SSA_XAUUSD!$N$2:$N$1000,"",0)</f>
        <v>4673.7091399999999</v>
      </c>
      <c r="M99">
        <f>_xlfn.XLOOKUP($A99,ALGLIB_SSA_XAUUSD!$J$2:$J$1000,ALGLIB_SSA_XAUUSD!$O$2:$O$1000,"",0)</f>
        <v>4672.4685799999997</v>
      </c>
      <c r="N99">
        <f>_xlfn.XLOOKUP($A99,ALGLIB_SSA_XAUUSD!$J$2:$J$1000,ALGLIB_SSA_XAUUSD!$P$2:$P$1000,"",0)</f>
        <v>4677.8068599999997</v>
      </c>
      <c r="O99">
        <f>_xlfn.XLOOKUP($A99,ALGLIB_SSA_XAUUSD!$J$2:$J$1000,ALGLIB_SSA_XAUUSD!$Q$2:$Q$1000,"",0)</f>
        <v>4670.0970600000001</v>
      </c>
      <c r="R99">
        <f t="shared" si="11"/>
        <v>1775156700</v>
      </c>
      <c r="S99" t="str">
        <f t="shared" si="12"/>
        <v>XAUUSD</v>
      </c>
      <c r="T99" t="str">
        <f t="shared" si="13"/>
        <v>M5</v>
      </c>
      <c r="U99">
        <f t="shared" si="14"/>
        <v>4679.6499999999996</v>
      </c>
      <c r="V99">
        <v>4659.5071200000002</v>
      </c>
      <c r="W99">
        <v>4661.8533500000003</v>
      </c>
      <c r="X99">
        <v>4673.7091399999999</v>
      </c>
      <c r="Y99">
        <v>4672.4685799999997</v>
      </c>
      <c r="Z99">
        <f t="shared" si="15"/>
        <v>4672.5560350000005</v>
      </c>
      <c r="AA99">
        <f t="shared" si="16"/>
        <v>4677.8068599999997</v>
      </c>
      <c r="AB99">
        <f t="shared" si="17"/>
        <v>4644.5708458333329</v>
      </c>
      <c r="AC99">
        <f t="shared" si="18"/>
        <v>4670.0970600000001</v>
      </c>
      <c r="AF99">
        <f t="shared" si="19"/>
        <v>4673.7091399999999</v>
      </c>
      <c r="AG99">
        <f t="shared" si="20"/>
        <v>4672.5560350000005</v>
      </c>
      <c r="AH99">
        <f t="shared" si="21"/>
        <v>4644.5708458333329</v>
      </c>
    </row>
    <row r="100" spans="1:34" x14ac:dyDescent="0.55000000000000004">
      <c r="A100">
        <f>ALGLIB_SSA_XAUUSD!J100</f>
        <v>1775157000</v>
      </c>
      <c r="B100" t="str">
        <f>_xlfn.XLOOKUP($A100,ALGLIB_SSA_XAUUSD!$A$2:$A$1000,ALGLIB_SSA_XAUUSD!$B$2:$B$1000,"",0)</f>
        <v/>
      </c>
      <c r="C100" t="str">
        <f>_xlfn.XLOOKUP($A100,ALGLIB_SSA_XAUUSD!$A$2:$A$1000,ALGLIB_SSA_XAUUSD!$C$2:$C$1000,"",0)</f>
        <v/>
      </c>
      <c r="D100" s="1">
        <f>D98+(D110-D98)*2/12</f>
        <v>4672.6733333333332</v>
      </c>
      <c r="E100" s="1">
        <f>E98+(E110-E98)*2/12</f>
        <v>4658.8716133333328</v>
      </c>
      <c r="F100" s="1">
        <f>F98+(F110-F98)*2/12</f>
        <v>4661.4474066666662</v>
      </c>
      <c r="G100" s="1">
        <f>G98+(G110-G98)*2/12</f>
        <v>4672.0184100000006</v>
      </c>
      <c r="H100" s="1">
        <f>H98+(H110-H98)*2/12</f>
        <v>4643.9880216666661</v>
      </c>
      <c r="I100" t="str">
        <f>_xlfn.XLOOKUP($A100,ALGLIB_SSA_XAUUSD!$J$2:$J$1000,ALGLIB_SSA_XAUUSD!$K$2:$K$1000,"",0)</f>
        <v>XAUUSD</v>
      </c>
      <c r="J100" t="str">
        <f>_xlfn.XLOOKUP($A100,ALGLIB_SSA_XAUUSD!$J$2:$J$1000,ALGLIB_SSA_XAUUSD!$L$2:$L$1000,"",0)</f>
        <v>M5</v>
      </c>
      <c r="K100">
        <f>_xlfn.XLOOKUP($A100,ALGLIB_SSA_XAUUSD!$J$2:$J$1000,ALGLIB_SSA_XAUUSD!$M$2:$M$1000,"",0)</f>
        <v>4674.5</v>
      </c>
      <c r="L100">
        <f>_xlfn.XLOOKUP($A100,ALGLIB_SSA_XAUUSD!$J$2:$J$1000,ALGLIB_SSA_XAUUSD!$N$2:$N$1000,"",0)</f>
        <v>4672.7949099999996</v>
      </c>
      <c r="M100">
        <f>_xlfn.XLOOKUP($A100,ALGLIB_SSA_XAUUSD!$J$2:$J$1000,ALGLIB_SSA_XAUUSD!$O$2:$O$1000,"",0)</f>
        <v>4672.6317399999998</v>
      </c>
      <c r="N100">
        <f>_xlfn.XLOOKUP($A100,ALGLIB_SSA_XAUUSD!$J$2:$J$1000,ALGLIB_SSA_XAUUSD!$P$2:$P$1000,"",0)</f>
        <v>4677.5678500000004</v>
      </c>
      <c r="O100">
        <f>_xlfn.XLOOKUP($A100,ALGLIB_SSA_XAUUSD!$J$2:$J$1000,ALGLIB_SSA_XAUUSD!$Q$2:$Q$1000,"",0)</f>
        <v>4669.8264099999997</v>
      </c>
      <c r="R100">
        <f t="shared" si="11"/>
        <v>1775157000</v>
      </c>
      <c r="S100" t="str">
        <f t="shared" si="12"/>
        <v>XAUUSD</v>
      </c>
      <c r="T100" t="str">
        <f t="shared" si="13"/>
        <v>M5</v>
      </c>
      <c r="U100">
        <f t="shared" si="14"/>
        <v>4674.5</v>
      </c>
      <c r="V100">
        <v>4658.8716100000001</v>
      </c>
      <c r="W100">
        <v>4661.4474099999998</v>
      </c>
      <c r="X100">
        <v>4672.7949099999996</v>
      </c>
      <c r="Y100">
        <v>4672.6317399999998</v>
      </c>
      <c r="Z100">
        <f t="shared" si="15"/>
        <v>4672.0184100000006</v>
      </c>
      <c r="AA100">
        <f t="shared" si="16"/>
        <v>4677.5678500000004</v>
      </c>
      <c r="AB100">
        <f t="shared" si="17"/>
        <v>4643.9880216666661</v>
      </c>
      <c r="AC100">
        <f t="shared" si="18"/>
        <v>4669.8264099999997</v>
      </c>
      <c r="AF100">
        <f t="shared" si="19"/>
        <v>4672.7949099999996</v>
      </c>
      <c r="AG100">
        <f t="shared" si="20"/>
        <v>4672.0184100000006</v>
      </c>
      <c r="AH100">
        <f t="shared" si="21"/>
        <v>4643.9880216666661</v>
      </c>
    </row>
    <row r="101" spans="1:34" x14ac:dyDescent="0.55000000000000004">
      <c r="A101">
        <f>ALGLIB_SSA_XAUUSD!J101</f>
        <v>1775157300</v>
      </c>
      <c r="B101" t="str">
        <f>_xlfn.XLOOKUP($A101,ALGLIB_SSA_XAUUSD!$A$2:$A$1000,ALGLIB_SSA_XAUUSD!$B$2:$B$1000,"",0)</f>
        <v/>
      </c>
      <c r="C101" t="str">
        <f>_xlfn.XLOOKUP($A101,ALGLIB_SSA_XAUUSD!$A$2:$A$1000,ALGLIB_SSA_XAUUSD!$C$2:$C$1000,"",0)</f>
        <v/>
      </c>
      <c r="D101" s="1">
        <f>D98+(D110-D98)*3/12</f>
        <v>4673.0149999999994</v>
      </c>
      <c r="E101" s="1">
        <f>E98+(E110-E98)*3/12</f>
        <v>4658.2361099999998</v>
      </c>
      <c r="F101" s="1">
        <f>F98+(F110-F98)*3/12</f>
        <v>4661.0414599999995</v>
      </c>
      <c r="G101" s="1">
        <f>G98+(G110-G98)*3/12</f>
        <v>4671.4807850000007</v>
      </c>
      <c r="H101" s="1">
        <f>H98+(H110-H98)*3/12</f>
        <v>4643.4051975000002</v>
      </c>
      <c r="I101" t="str">
        <f>_xlfn.XLOOKUP($A101,ALGLIB_SSA_XAUUSD!$J$2:$J$1000,ALGLIB_SSA_XAUUSD!$K$2:$K$1000,"",0)</f>
        <v>XAUUSD</v>
      </c>
      <c r="J101" t="str">
        <f>_xlfn.XLOOKUP($A101,ALGLIB_SSA_XAUUSD!$J$2:$J$1000,ALGLIB_SSA_XAUUSD!$L$2:$L$1000,"",0)</f>
        <v>M5</v>
      </c>
      <c r="K101">
        <f>_xlfn.XLOOKUP($A101,ALGLIB_SSA_XAUUSD!$J$2:$J$1000,ALGLIB_SSA_XAUUSD!$M$2:$M$1000,"",0)</f>
        <v>4670.04</v>
      </c>
      <c r="L101">
        <f>_xlfn.XLOOKUP($A101,ALGLIB_SSA_XAUUSD!$J$2:$J$1000,ALGLIB_SSA_XAUUSD!$N$2:$N$1000,"",0)</f>
        <v>4671.1528900000003</v>
      </c>
      <c r="M101">
        <f>_xlfn.XLOOKUP($A101,ALGLIB_SSA_XAUUSD!$J$2:$J$1000,ALGLIB_SSA_XAUUSD!$O$2:$O$1000,"",0)</f>
        <v>4671.8923100000002</v>
      </c>
      <c r="N101">
        <f>_xlfn.XLOOKUP($A101,ALGLIB_SSA_XAUUSD!$J$2:$J$1000,ALGLIB_SSA_XAUUSD!$P$2:$P$1000,"",0)</f>
        <v>4676.2256699999998</v>
      </c>
      <c r="O101">
        <f>_xlfn.XLOOKUP($A101,ALGLIB_SSA_XAUUSD!$J$2:$J$1000,ALGLIB_SSA_XAUUSD!$Q$2:$Q$1000,"",0)</f>
        <v>4668.6132699999998</v>
      </c>
      <c r="R101">
        <f t="shared" si="11"/>
        <v>1775157300</v>
      </c>
      <c r="S101" t="str">
        <f t="shared" si="12"/>
        <v>XAUUSD</v>
      </c>
      <c r="T101" t="str">
        <f t="shared" si="13"/>
        <v>M5</v>
      </c>
      <c r="U101">
        <f t="shared" si="14"/>
        <v>4670.04</v>
      </c>
      <c r="V101">
        <v>4658.2361099999998</v>
      </c>
      <c r="W101">
        <v>4661.0414600000004</v>
      </c>
      <c r="X101">
        <v>4671.1528900000003</v>
      </c>
      <c r="Y101">
        <v>4671.8923100000002</v>
      </c>
      <c r="Z101">
        <f t="shared" si="15"/>
        <v>4671.4807850000007</v>
      </c>
      <c r="AA101">
        <f t="shared" si="16"/>
        <v>4676.2256699999998</v>
      </c>
      <c r="AB101">
        <f t="shared" si="17"/>
        <v>4643.4051975000002</v>
      </c>
      <c r="AC101">
        <f t="shared" si="18"/>
        <v>4668.6132699999998</v>
      </c>
      <c r="AF101">
        <f t="shared" si="19"/>
        <v>4671.1528900000003</v>
      </c>
      <c r="AG101">
        <f t="shared" si="20"/>
        <v>4671.4807850000007</v>
      </c>
      <c r="AH101">
        <f t="shared" si="21"/>
        <v>4643.4051975000002</v>
      </c>
    </row>
    <row r="102" spans="1:34" x14ac:dyDescent="0.55000000000000004">
      <c r="A102">
        <f>ALGLIB_SSA_XAUUSD!J102</f>
        <v>1775157600</v>
      </c>
      <c r="B102" t="str">
        <f>_xlfn.XLOOKUP($A102,ALGLIB_SSA_XAUUSD!$A$2:$A$1000,ALGLIB_SSA_XAUUSD!$B$2:$B$1000,"",0)</f>
        <v/>
      </c>
      <c r="C102" t="str">
        <f>_xlfn.XLOOKUP($A102,ALGLIB_SSA_XAUUSD!$A$2:$A$1000,ALGLIB_SSA_XAUUSD!$C$2:$C$1000,"",0)</f>
        <v/>
      </c>
      <c r="D102" s="1">
        <f>D98+(D110-D98)*4/12</f>
        <v>4673.3566666666666</v>
      </c>
      <c r="E102" s="1">
        <f>E98+(E110-E98)*4/12</f>
        <v>4657.6006066666669</v>
      </c>
      <c r="F102" s="1">
        <f>F98+(F110-F98)*4/12</f>
        <v>4660.6355133333327</v>
      </c>
      <c r="G102" s="1">
        <f>G98+(G110-G98)*4/12</f>
        <v>4670.9431600000007</v>
      </c>
      <c r="H102" s="1">
        <f>H98+(H110-H98)*4/12</f>
        <v>4642.8223733333334</v>
      </c>
      <c r="I102" t="str">
        <f>_xlfn.XLOOKUP($A102,ALGLIB_SSA_XAUUSD!$J$2:$J$1000,ALGLIB_SSA_XAUUSD!$K$2:$K$1000,"",0)</f>
        <v>XAUUSD</v>
      </c>
      <c r="J102" t="str">
        <f>_xlfn.XLOOKUP($A102,ALGLIB_SSA_XAUUSD!$J$2:$J$1000,ALGLIB_SSA_XAUUSD!$L$2:$L$1000,"",0)</f>
        <v>M5</v>
      </c>
      <c r="K102">
        <f>_xlfn.XLOOKUP($A102,ALGLIB_SSA_XAUUSD!$J$2:$J$1000,ALGLIB_SSA_XAUUSD!$M$2:$M$1000,"",0)</f>
        <v>4673.01</v>
      </c>
      <c r="L102">
        <f>_xlfn.XLOOKUP($A102,ALGLIB_SSA_XAUUSD!$J$2:$J$1000,ALGLIB_SSA_XAUUSD!$N$2:$N$1000,"",0)</f>
        <v>4669.3785699999999</v>
      </c>
      <c r="M102">
        <f>_xlfn.XLOOKUP($A102,ALGLIB_SSA_XAUUSD!$J$2:$J$1000,ALGLIB_SSA_XAUUSD!$O$2:$O$1000,"",0)</f>
        <v>4670.63544</v>
      </c>
      <c r="N102">
        <f>_xlfn.XLOOKUP($A102,ALGLIB_SSA_XAUUSD!$J$2:$J$1000,ALGLIB_SSA_XAUUSD!$P$2:$P$1000,"",0)</f>
        <v>4674.3962000000001</v>
      </c>
      <c r="O102">
        <f>_xlfn.XLOOKUP($A102,ALGLIB_SSA_XAUUSD!$J$2:$J$1000,ALGLIB_SSA_XAUUSD!$Q$2:$Q$1000,"",0)</f>
        <v>4667.0328099999997</v>
      </c>
      <c r="R102">
        <f t="shared" si="11"/>
        <v>1775157600</v>
      </c>
      <c r="S102" t="str">
        <f t="shared" si="12"/>
        <v>XAUUSD</v>
      </c>
      <c r="T102" t="str">
        <f t="shared" si="13"/>
        <v>M5</v>
      </c>
      <c r="U102">
        <f t="shared" si="14"/>
        <v>4673.01</v>
      </c>
      <c r="V102">
        <v>4657.6006100000004</v>
      </c>
      <c r="W102">
        <v>4660.6355100000001</v>
      </c>
      <c r="X102">
        <v>4669.3785699999999</v>
      </c>
      <c r="Y102">
        <v>4670.63544</v>
      </c>
      <c r="Z102">
        <f t="shared" si="15"/>
        <v>4670.9431600000007</v>
      </c>
      <c r="AA102">
        <f t="shared" si="16"/>
        <v>4674.3962000000001</v>
      </c>
      <c r="AB102">
        <f t="shared" si="17"/>
        <v>4642.8223733333334</v>
      </c>
      <c r="AC102">
        <f t="shared" si="18"/>
        <v>4667.0328099999997</v>
      </c>
      <c r="AF102">
        <f t="shared" si="19"/>
        <v>4669.3785699999999</v>
      </c>
      <c r="AG102">
        <f t="shared" si="20"/>
        <v>4670.9431600000007</v>
      </c>
      <c r="AH102">
        <f t="shared" si="21"/>
        <v>4642.8223733333334</v>
      </c>
    </row>
    <row r="103" spans="1:34" x14ac:dyDescent="0.55000000000000004">
      <c r="A103">
        <f>ALGLIB_SSA_XAUUSD!J103</f>
        <v>1775157900</v>
      </c>
      <c r="B103" t="str">
        <f>_xlfn.XLOOKUP($A103,ALGLIB_SSA_XAUUSD!$A$2:$A$1000,ALGLIB_SSA_XAUUSD!$B$2:$B$1000,"",0)</f>
        <v/>
      </c>
      <c r="C103" t="str">
        <f>_xlfn.XLOOKUP($A103,ALGLIB_SSA_XAUUSD!$A$2:$A$1000,ALGLIB_SSA_XAUUSD!$C$2:$C$1000,"",0)</f>
        <v/>
      </c>
      <c r="D103" s="1">
        <f>D98+(D110-D98)*5/12</f>
        <v>4673.6983333333337</v>
      </c>
      <c r="E103" s="1">
        <f>E98+(E110-E98)*5/12</f>
        <v>4656.965103333333</v>
      </c>
      <c r="F103" s="1">
        <f>F98+(F110-F98)*5/12</f>
        <v>4660.229566666666</v>
      </c>
      <c r="G103" s="1">
        <f>G98+(G110-G98)*5/12</f>
        <v>4670.4055350000008</v>
      </c>
      <c r="H103" s="1">
        <f>H98+(H110-H98)*5/12</f>
        <v>4642.2395491666666</v>
      </c>
      <c r="I103" t="str">
        <f>_xlfn.XLOOKUP($A103,ALGLIB_SSA_XAUUSD!$J$2:$J$1000,ALGLIB_SSA_XAUUSD!$K$2:$K$1000,"",0)</f>
        <v>XAUUSD</v>
      </c>
      <c r="J103" t="str">
        <f>_xlfn.XLOOKUP($A103,ALGLIB_SSA_XAUUSD!$J$2:$J$1000,ALGLIB_SSA_XAUUSD!$L$2:$L$1000,"",0)</f>
        <v>M5</v>
      </c>
      <c r="K103">
        <f>_xlfn.XLOOKUP($A103,ALGLIB_SSA_XAUUSD!$J$2:$J$1000,ALGLIB_SSA_XAUUSD!$M$2:$M$1000,"",0)</f>
        <v>4665.04</v>
      </c>
      <c r="L103">
        <f>_xlfn.XLOOKUP($A103,ALGLIB_SSA_XAUUSD!$J$2:$J$1000,ALGLIB_SSA_XAUUSD!$N$2:$N$1000,"",0)</f>
        <v>4667.8582800000004</v>
      </c>
      <c r="M103">
        <f>_xlfn.XLOOKUP($A103,ALGLIB_SSA_XAUUSD!$J$2:$J$1000,ALGLIB_SSA_XAUUSD!$O$2:$O$1000,"",0)</f>
        <v>4669.2468600000002</v>
      </c>
      <c r="N103">
        <f>_xlfn.XLOOKUP($A103,ALGLIB_SSA_XAUUSD!$J$2:$J$1000,ALGLIB_SSA_XAUUSD!$P$2:$P$1000,"",0)</f>
        <v>4672.4984599999998</v>
      </c>
      <c r="O103">
        <f>_xlfn.XLOOKUP($A103,ALGLIB_SSA_XAUUSD!$J$2:$J$1000,ALGLIB_SSA_XAUUSD!$Q$2:$Q$1000,"",0)</f>
        <v>4665.6002699999999</v>
      </c>
      <c r="R103">
        <f t="shared" si="11"/>
        <v>1775157900</v>
      </c>
      <c r="S103" t="str">
        <f t="shared" si="12"/>
        <v>XAUUSD</v>
      </c>
      <c r="T103" t="str">
        <f t="shared" si="13"/>
        <v>M5</v>
      </c>
      <c r="U103">
        <f t="shared" si="14"/>
        <v>4665.04</v>
      </c>
      <c r="V103">
        <v>4656.9651000000003</v>
      </c>
      <c r="W103">
        <v>4660.2295700000004</v>
      </c>
      <c r="X103">
        <v>4667.8582800000004</v>
      </c>
      <c r="Y103">
        <v>4669.2468600000002</v>
      </c>
      <c r="Z103">
        <f t="shared" si="15"/>
        <v>4670.4055350000008</v>
      </c>
      <c r="AA103">
        <f t="shared" si="16"/>
        <v>4672.4984599999998</v>
      </c>
      <c r="AB103">
        <f t="shared" si="17"/>
        <v>4642.2395491666666</v>
      </c>
      <c r="AC103">
        <f t="shared" si="18"/>
        <v>4665.6002699999999</v>
      </c>
      <c r="AF103">
        <f t="shared" si="19"/>
        <v>4667.8582800000004</v>
      </c>
      <c r="AG103">
        <f t="shared" si="20"/>
        <v>4670.4055350000008</v>
      </c>
      <c r="AH103">
        <f t="shared" si="21"/>
        <v>4642.2395491666666</v>
      </c>
    </row>
    <row r="104" spans="1:34" x14ac:dyDescent="0.55000000000000004">
      <c r="A104">
        <f>ALGLIB_SSA_XAUUSD!J104</f>
        <v>1775158200</v>
      </c>
      <c r="B104" t="str">
        <f>_xlfn.XLOOKUP($A104,ALGLIB_SSA_XAUUSD!$A$2:$A$1000,ALGLIB_SSA_XAUUSD!$B$2:$B$1000,"",0)</f>
        <v/>
      </c>
      <c r="C104" t="str">
        <f>_xlfn.XLOOKUP($A104,ALGLIB_SSA_XAUUSD!$A$2:$A$1000,ALGLIB_SSA_XAUUSD!$C$2:$C$1000,"",0)</f>
        <v/>
      </c>
      <c r="D104" s="1">
        <f>D98+(D110-D98)*6/12</f>
        <v>4674.04</v>
      </c>
      <c r="E104" s="1">
        <f>E98+(E110-E98)*6/12</f>
        <v>4656.3296</v>
      </c>
      <c r="F104" s="1">
        <f>F98+(F110-F98)*6/12</f>
        <v>4659.8236199999992</v>
      </c>
      <c r="G104" s="1">
        <f>G98+(G110-G98)*6/12</f>
        <v>4669.8679100000008</v>
      </c>
      <c r="H104" s="1">
        <f>H98+(H110-H98)*6/12</f>
        <v>4641.6567249999998</v>
      </c>
      <c r="I104" t="str">
        <f>_xlfn.XLOOKUP($A104,ALGLIB_SSA_XAUUSD!$J$2:$J$1000,ALGLIB_SSA_XAUUSD!$K$2:$K$1000,"",0)</f>
        <v>XAUUSD</v>
      </c>
      <c r="J104" t="str">
        <f>_xlfn.XLOOKUP($A104,ALGLIB_SSA_XAUUSD!$J$2:$J$1000,ALGLIB_SSA_XAUUSD!$L$2:$L$1000,"",0)</f>
        <v>M5</v>
      </c>
      <c r="K104">
        <f>_xlfn.XLOOKUP($A104,ALGLIB_SSA_XAUUSD!$J$2:$J$1000,ALGLIB_SSA_XAUUSD!$M$2:$M$1000,"",0)</f>
        <v>4663.78</v>
      </c>
      <c r="L104">
        <f>_xlfn.XLOOKUP($A104,ALGLIB_SSA_XAUUSD!$J$2:$J$1000,ALGLIB_SSA_XAUUSD!$N$2:$N$1000,"",0)</f>
        <v>4667.0895899999996</v>
      </c>
      <c r="M104">
        <f>_xlfn.XLOOKUP($A104,ALGLIB_SSA_XAUUSD!$J$2:$J$1000,ALGLIB_SSA_XAUUSD!$O$2:$O$1000,"",0)</f>
        <v>4668.1682199999996</v>
      </c>
      <c r="N104">
        <f>_xlfn.XLOOKUP($A104,ALGLIB_SSA_XAUUSD!$J$2:$J$1000,ALGLIB_SSA_XAUUSD!$P$2:$P$1000,"",0)</f>
        <v>4671.0569100000002</v>
      </c>
      <c r="O104">
        <f>_xlfn.XLOOKUP($A104,ALGLIB_SSA_XAUUSD!$J$2:$J$1000,ALGLIB_SSA_XAUUSD!$Q$2:$Q$1000,"",0)</f>
        <v>4664.7290700000003</v>
      </c>
      <c r="R104">
        <f t="shared" si="11"/>
        <v>1775158200</v>
      </c>
      <c r="S104" t="str">
        <f t="shared" si="12"/>
        <v>XAUUSD</v>
      </c>
      <c r="T104" t="str">
        <f t="shared" si="13"/>
        <v>M5</v>
      </c>
      <c r="U104">
        <f t="shared" si="14"/>
        <v>4663.78</v>
      </c>
      <c r="V104">
        <v>4656.3296</v>
      </c>
      <c r="W104">
        <v>4659.8236200000001</v>
      </c>
      <c r="X104">
        <v>4667.0895899999996</v>
      </c>
      <c r="Y104">
        <v>4668.1682199999996</v>
      </c>
      <c r="Z104">
        <f t="shared" si="15"/>
        <v>4669.8679100000008</v>
      </c>
      <c r="AA104">
        <f t="shared" si="16"/>
        <v>4671.0569100000002</v>
      </c>
      <c r="AB104">
        <f t="shared" si="17"/>
        <v>4641.6567249999998</v>
      </c>
      <c r="AC104">
        <f t="shared" si="18"/>
        <v>4664.7290700000003</v>
      </c>
      <c r="AF104">
        <f t="shared" si="19"/>
        <v>4667.0895899999996</v>
      </c>
      <c r="AG104">
        <f t="shared" si="20"/>
        <v>4669.8679100000008</v>
      </c>
      <c r="AH104">
        <f t="shared" si="21"/>
        <v>4641.6567249999998</v>
      </c>
    </row>
    <row r="105" spans="1:34" x14ac:dyDescent="0.55000000000000004">
      <c r="A105">
        <f>ALGLIB_SSA_XAUUSD!J105</f>
        <v>1775158500</v>
      </c>
      <c r="B105" t="str">
        <f>_xlfn.XLOOKUP($A105,ALGLIB_SSA_XAUUSD!$A$2:$A$1000,ALGLIB_SSA_XAUUSD!$B$2:$B$1000,"",0)</f>
        <v/>
      </c>
      <c r="C105" t="str">
        <f>_xlfn.XLOOKUP($A105,ALGLIB_SSA_XAUUSD!$A$2:$A$1000,ALGLIB_SSA_XAUUSD!$C$2:$C$1000,"",0)</f>
        <v/>
      </c>
      <c r="D105" s="1">
        <f>D98+(D110-D98)*7/12</f>
        <v>4674.3816666666662</v>
      </c>
      <c r="E105" s="1">
        <f>E98+(E110-E98)*7/12</f>
        <v>4655.6940966666671</v>
      </c>
      <c r="F105" s="1">
        <f>F98+(F110-F98)*7/12</f>
        <v>4659.4176733333334</v>
      </c>
      <c r="G105" s="1">
        <f>G98+(G110-G98)*7/12</f>
        <v>4669.330285</v>
      </c>
      <c r="H105" s="1">
        <f>H98+(H110-H98)*7/12</f>
        <v>4641.073900833333</v>
      </c>
      <c r="I105" t="str">
        <f>_xlfn.XLOOKUP($A105,ALGLIB_SSA_XAUUSD!$J$2:$J$1000,ALGLIB_SSA_XAUUSD!$K$2:$K$1000,"",0)</f>
        <v>XAUUSD</v>
      </c>
      <c r="J105" t="str">
        <f>_xlfn.XLOOKUP($A105,ALGLIB_SSA_XAUUSD!$J$2:$J$1000,ALGLIB_SSA_XAUUSD!$L$2:$L$1000,"",0)</f>
        <v>M5</v>
      </c>
      <c r="K105">
        <f>_xlfn.XLOOKUP($A105,ALGLIB_SSA_XAUUSD!$J$2:$J$1000,ALGLIB_SSA_XAUUSD!$M$2:$M$1000,"",0)</f>
        <v>4664.3100000000004</v>
      </c>
      <c r="L105">
        <f>_xlfn.XLOOKUP($A105,ALGLIB_SSA_XAUUSD!$J$2:$J$1000,ALGLIB_SSA_XAUUSD!$N$2:$N$1000,"",0)</f>
        <v>4667.2079199999998</v>
      </c>
      <c r="M105">
        <f>_xlfn.XLOOKUP($A105,ALGLIB_SSA_XAUUSD!$J$2:$J$1000,ALGLIB_SSA_XAUUSD!$O$2:$O$1000,"",0)</f>
        <v>4667.6880700000002</v>
      </c>
      <c r="N105">
        <f>_xlfn.XLOOKUP($A105,ALGLIB_SSA_XAUUSD!$J$2:$J$1000,ALGLIB_SSA_XAUUSD!$P$2:$P$1000,"",0)</f>
        <v>4670.48783</v>
      </c>
      <c r="O105">
        <f>_xlfn.XLOOKUP($A105,ALGLIB_SSA_XAUUSD!$J$2:$J$1000,ALGLIB_SSA_XAUUSD!$Q$2:$Q$1000,"",0)</f>
        <v>4664.6398300000001</v>
      </c>
      <c r="R105">
        <f t="shared" si="11"/>
        <v>1775158500</v>
      </c>
      <c r="S105" t="str">
        <f t="shared" si="12"/>
        <v>XAUUSD</v>
      </c>
      <c r="T105" t="str">
        <f t="shared" si="13"/>
        <v>M5</v>
      </c>
      <c r="U105">
        <f t="shared" si="14"/>
        <v>4664.3100000000004</v>
      </c>
      <c r="V105">
        <v>4655.6940999999997</v>
      </c>
      <c r="W105">
        <v>4659.4176699999998</v>
      </c>
      <c r="X105">
        <v>4667.2079199999998</v>
      </c>
      <c r="Y105">
        <v>4667.6880700000002</v>
      </c>
      <c r="Z105">
        <f t="shared" si="15"/>
        <v>4669.330285</v>
      </c>
      <c r="AA105">
        <f t="shared" si="16"/>
        <v>4670.48783</v>
      </c>
      <c r="AB105">
        <f t="shared" si="17"/>
        <v>4641.073900833333</v>
      </c>
      <c r="AC105">
        <f t="shared" si="18"/>
        <v>4664.6398300000001</v>
      </c>
      <c r="AF105">
        <f t="shared" si="19"/>
        <v>4667.2079199999998</v>
      </c>
      <c r="AG105">
        <f t="shared" si="20"/>
        <v>4669.330285</v>
      </c>
      <c r="AH105">
        <f t="shared" si="21"/>
        <v>4641.073900833333</v>
      </c>
    </row>
    <row r="106" spans="1:34" x14ac:dyDescent="0.55000000000000004">
      <c r="A106">
        <f>ALGLIB_SSA_XAUUSD!J106</f>
        <v>1775158800</v>
      </c>
      <c r="B106" t="str">
        <f>_xlfn.XLOOKUP($A106,ALGLIB_SSA_XAUUSD!$A$2:$A$1000,ALGLIB_SSA_XAUUSD!$B$2:$B$1000,"",0)</f>
        <v/>
      </c>
      <c r="C106" t="str">
        <f>_xlfn.XLOOKUP($A106,ALGLIB_SSA_XAUUSD!$A$2:$A$1000,ALGLIB_SSA_XAUUSD!$C$2:$C$1000,"",0)</f>
        <v/>
      </c>
      <c r="D106" s="1">
        <f>D98+(D110-D98)*8/12</f>
        <v>4674.7233333333334</v>
      </c>
      <c r="E106" s="1">
        <f>E98+(E110-E98)*8/12</f>
        <v>4655.0585933333332</v>
      </c>
      <c r="F106" s="1">
        <f>F98+(F110-F98)*8/12</f>
        <v>4659.0117266666666</v>
      </c>
      <c r="G106" s="1">
        <f>G98+(G110-G98)*8/12</f>
        <v>4668.7926600000001</v>
      </c>
      <c r="H106" s="1">
        <f>H98+(H110-H98)*8/12</f>
        <v>4640.4910766666662</v>
      </c>
      <c r="I106" t="str">
        <f>_xlfn.XLOOKUP($A106,ALGLIB_SSA_XAUUSD!$J$2:$J$1000,ALGLIB_SSA_XAUUSD!$K$2:$K$1000,"",0)</f>
        <v>XAUUSD</v>
      </c>
      <c r="J106" t="str">
        <f>_xlfn.XLOOKUP($A106,ALGLIB_SSA_XAUUSD!$J$2:$J$1000,ALGLIB_SSA_XAUUSD!$L$2:$L$1000,"",0)</f>
        <v>M5</v>
      </c>
      <c r="K106">
        <f>_xlfn.XLOOKUP($A106,ALGLIB_SSA_XAUUSD!$J$2:$J$1000,ALGLIB_SSA_XAUUSD!$M$2:$M$1000,"",0)</f>
        <v>4665.91</v>
      </c>
      <c r="L106">
        <f>_xlfn.XLOOKUP($A106,ALGLIB_SSA_XAUUSD!$J$2:$J$1000,ALGLIB_SSA_XAUUSD!$N$2:$N$1000,"",0)</f>
        <v>4668.07942</v>
      </c>
      <c r="M106">
        <f>_xlfn.XLOOKUP($A106,ALGLIB_SSA_XAUUSD!$J$2:$J$1000,ALGLIB_SSA_XAUUSD!$O$2:$O$1000,"",0)</f>
        <v>4667.88375</v>
      </c>
      <c r="N106">
        <f>_xlfn.XLOOKUP($A106,ALGLIB_SSA_XAUUSD!$J$2:$J$1000,ALGLIB_SSA_XAUUSD!$P$2:$P$1000,"",0)</f>
        <v>4670.8289500000001</v>
      </c>
      <c r="O106">
        <f>_xlfn.XLOOKUP($A106,ALGLIB_SSA_XAUUSD!$J$2:$J$1000,ALGLIB_SSA_XAUUSD!$Q$2:$Q$1000,"",0)</f>
        <v>4665.2993800000004</v>
      </c>
      <c r="R106">
        <f t="shared" si="11"/>
        <v>1775158800</v>
      </c>
      <c r="S106" t="str">
        <f t="shared" si="12"/>
        <v>XAUUSD</v>
      </c>
      <c r="T106" t="str">
        <f t="shared" si="13"/>
        <v>M5</v>
      </c>
      <c r="U106">
        <f t="shared" si="14"/>
        <v>4665.91</v>
      </c>
      <c r="V106">
        <v>4655.0585899999996</v>
      </c>
      <c r="W106">
        <v>4659.0117300000002</v>
      </c>
      <c r="X106">
        <v>4668.07942</v>
      </c>
      <c r="Y106">
        <v>4667.88375</v>
      </c>
      <c r="Z106">
        <f t="shared" si="15"/>
        <v>4668.7926600000001</v>
      </c>
      <c r="AA106">
        <f t="shared" si="16"/>
        <v>4670.8289500000001</v>
      </c>
      <c r="AB106">
        <f t="shared" si="17"/>
        <v>4640.4910766666662</v>
      </c>
      <c r="AC106">
        <f t="shared" si="18"/>
        <v>4665.2993800000004</v>
      </c>
      <c r="AF106">
        <f t="shared" si="19"/>
        <v>4668.07942</v>
      </c>
      <c r="AG106">
        <f t="shared" si="20"/>
        <v>4668.7926600000001</v>
      </c>
      <c r="AH106">
        <f t="shared" si="21"/>
        <v>4640.4910766666662</v>
      </c>
    </row>
    <row r="107" spans="1:34" x14ac:dyDescent="0.55000000000000004">
      <c r="A107">
        <f>ALGLIB_SSA_XAUUSD!J107</f>
        <v>1775159100</v>
      </c>
      <c r="B107" t="str">
        <f>_xlfn.XLOOKUP($A107,ALGLIB_SSA_XAUUSD!$A$2:$A$1000,ALGLIB_SSA_XAUUSD!$B$2:$B$1000,"",0)</f>
        <v/>
      </c>
      <c r="C107" t="str">
        <f>_xlfn.XLOOKUP($A107,ALGLIB_SSA_XAUUSD!$A$2:$A$1000,ALGLIB_SSA_XAUUSD!$C$2:$C$1000,"",0)</f>
        <v/>
      </c>
      <c r="D107" s="1">
        <f>D98+(D110-D98)*9/12</f>
        <v>4675.0650000000005</v>
      </c>
      <c r="E107" s="1">
        <f>E98+(E110-E98)*9/12</f>
        <v>4654.4230900000002</v>
      </c>
      <c r="F107" s="1">
        <f>F98+(F110-F98)*9/12</f>
        <v>4658.6057799999999</v>
      </c>
      <c r="G107" s="1">
        <f>G98+(G110-G98)*9/12</f>
        <v>4668.2550350000001</v>
      </c>
      <c r="H107" s="1">
        <f>H98+(H110-H98)*9/12</f>
        <v>4639.9082524999994</v>
      </c>
      <c r="I107" t="str">
        <f>_xlfn.XLOOKUP($A107,ALGLIB_SSA_XAUUSD!$J$2:$J$1000,ALGLIB_SSA_XAUUSD!$K$2:$K$1000,"",0)</f>
        <v>XAUUSD</v>
      </c>
      <c r="J107" t="str">
        <f>_xlfn.XLOOKUP($A107,ALGLIB_SSA_XAUUSD!$J$2:$J$1000,ALGLIB_SSA_XAUUSD!$L$2:$L$1000,"",0)</f>
        <v>M5</v>
      </c>
      <c r="K107">
        <f>_xlfn.XLOOKUP($A107,ALGLIB_SSA_XAUUSD!$J$2:$J$1000,ALGLIB_SSA_XAUUSD!$M$2:$M$1000,"",0)</f>
        <v>4668.83</v>
      </c>
      <c r="L107">
        <f>_xlfn.XLOOKUP($A107,ALGLIB_SSA_XAUUSD!$J$2:$J$1000,ALGLIB_SSA_XAUUSD!$N$2:$N$1000,"",0)</f>
        <v>4669.36355</v>
      </c>
      <c r="M107">
        <f>_xlfn.XLOOKUP($A107,ALGLIB_SSA_XAUUSD!$J$2:$J$1000,ALGLIB_SSA_XAUUSD!$O$2:$O$1000,"",0)</f>
        <v>4668.6236500000005</v>
      </c>
      <c r="N107">
        <f>_xlfn.XLOOKUP($A107,ALGLIB_SSA_XAUUSD!$J$2:$J$1000,ALGLIB_SSA_XAUUSD!$P$2:$P$1000,"",0)</f>
        <v>4671.8223600000001</v>
      </c>
      <c r="O107">
        <f>_xlfn.XLOOKUP($A107,ALGLIB_SSA_XAUUSD!$J$2:$J$1000,ALGLIB_SSA_XAUUSD!$Q$2:$Q$1000,"",0)</f>
        <v>4666.4366900000005</v>
      </c>
      <c r="R107">
        <f t="shared" si="11"/>
        <v>1775159100</v>
      </c>
      <c r="S107" t="str">
        <f t="shared" si="12"/>
        <v>XAUUSD</v>
      </c>
      <c r="T107" t="str">
        <f t="shared" si="13"/>
        <v>M5</v>
      </c>
      <c r="U107">
        <f t="shared" si="14"/>
        <v>4668.83</v>
      </c>
      <c r="V107">
        <v>4654.4230900000002</v>
      </c>
      <c r="W107">
        <v>4658.6057799999999</v>
      </c>
      <c r="X107">
        <v>4669.36355</v>
      </c>
      <c r="Y107">
        <v>4668.6236500000005</v>
      </c>
      <c r="Z107">
        <f t="shared" si="15"/>
        <v>4668.2550350000001</v>
      </c>
      <c r="AA107">
        <f t="shared" si="16"/>
        <v>4671.8223600000001</v>
      </c>
      <c r="AB107">
        <f t="shared" si="17"/>
        <v>4639.9082524999994</v>
      </c>
      <c r="AC107">
        <f t="shared" si="18"/>
        <v>4666.4366900000005</v>
      </c>
      <c r="AF107">
        <f t="shared" si="19"/>
        <v>4669.36355</v>
      </c>
      <c r="AG107">
        <f t="shared" si="20"/>
        <v>4668.2550350000001</v>
      </c>
      <c r="AH107">
        <f t="shared" si="21"/>
        <v>4639.9082524999994</v>
      </c>
    </row>
    <row r="108" spans="1:34" x14ac:dyDescent="0.55000000000000004">
      <c r="A108">
        <f>ALGLIB_SSA_XAUUSD!J108</f>
        <v>1775159400</v>
      </c>
      <c r="B108" t="str">
        <f>_xlfn.XLOOKUP($A108,ALGLIB_SSA_XAUUSD!$A$2:$A$1000,ALGLIB_SSA_XAUUSD!$B$2:$B$1000,"",0)</f>
        <v/>
      </c>
      <c r="C108" t="str">
        <f>_xlfn.XLOOKUP($A108,ALGLIB_SSA_XAUUSD!$A$2:$A$1000,ALGLIB_SSA_XAUUSD!$C$2:$C$1000,"",0)</f>
        <v/>
      </c>
      <c r="D108" s="1">
        <f>D98+(D110-D98)*10/12</f>
        <v>4675.4066666666668</v>
      </c>
      <c r="E108" s="1">
        <f>E98+(E110-E98)*10/12</f>
        <v>4653.7875866666673</v>
      </c>
      <c r="F108" s="1">
        <f>F98+(F110-F98)*10/12</f>
        <v>4658.1998333333331</v>
      </c>
      <c r="G108" s="1">
        <f>G98+(G110-G98)*10/12</f>
        <v>4667.7174100000002</v>
      </c>
      <c r="H108" s="1">
        <f>H98+(H110-H98)*10/12</f>
        <v>4639.3254283333335</v>
      </c>
      <c r="I108" t="str">
        <f>_xlfn.XLOOKUP($A108,ALGLIB_SSA_XAUUSD!$J$2:$J$1000,ALGLIB_SSA_XAUUSD!$K$2:$K$1000,"",0)</f>
        <v>XAUUSD</v>
      </c>
      <c r="J108" t="str">
        <f>_xlfn.XLOOKUP($A108,ALGLIB_SSA_XAUUSD!$J$2:$J$1000,ALGLIB_SSA_XAUUSD!$L$2:$L$1000,"",0)</f>
        <v>M5</v>
      </c>
      <c r="K108">
        <f>_xlfn.XLOOKUP($A108,ALGLIB_SSA_XAUUSD!$J$2:$J$1000,ALGLIB_SSA_XAUUSD!$M$2:$M$1000,"",0)</f>
        <v>4675.3599999999997</v>
      </c>
      <c r="L108">
        <f>_xlfn.XLOOKUP($A108,ALGLIB_SSA_XAUUSD!$J$2:$J$1000,ALGLIB_SSA_XAUUSD!$N$2:$N$1000,"",0)</f>
        <v>4670.64185</v>
      </c>
      <c r="M108">
        <f>_xlfn.XLOOKUP($A108,ALGLIB_SSA_XAUUSD!$J$2:$J$1000,ALGLIB_SSA_XAUUSD!$O$2:$O$1000,"",0)</f>
        <v>4669.6327499999998</v>
      </c>
      <c r="N108">
        <f>_xlfn.XLOOKUP($A108,ALGLIB_SSA_XAUUSD!$J$2:$J$1000,ALGLIB_SSA_XAUUSD!$P$2:$P$1000,"",0)</f>
        <v>4673.0529100000003</v>
      </c>
      <c r="O108">
        <f>_xlfn.XLOOKUP($A108,ALGLIB_SSA_XAUUSD!$J$2:$J$1000,ALGLIB_SSA_XAUUSD!$Q$2:$Q$1000,"",0)</f>
        <v>4667.7114700000002</v>
      </c>
      <c r="R108">
        <f t="shared" si="11"/>
        <v>1775159400</v>
      </c>
      <c r="S108" t="str">
        <f t="shared" si="12"/>
        <v>XAUUSD</v>
      </c>
      <c r="T108" t="str">
        <f t="shared" si="13"/>
        <v>M5</v>
      </c>
      <c r="U108">
        <f t="shared" si="14"/>
        <v>4675.3599999999997</v>
      </c>
      <c r="V108">
        <v>4653.7875899999999</v>
      </c>
      <c r="W108">
        <v>4658.1998299999996</v>
      </c>
      <c r="X108">
        <v>4670.64185</v>
      </c>
      <c r="Y108">
        <v>4669.6327499999998</v>
      </c>
      <c r="Z108">
        <f t="shared" si="15"/>
        <v>4667.7174100000002</v>
      </c>
      <c r="AA108">
        <f t="shared" si="16"/>
        <v>4673.0529100000003</v>
      </c>
      <c r="AB108">
        <f t="shared" si="17"/>
        <v>4639.3254283333335</v>
      </c>
      <c r="AC108">
        <f t="shared" si="18"/>
        <v>4667.7114700000002</v>
      </c>
      <c r="AF108">
        <f t="shared" si="19"/>
        <v>4670.64185</v>
      </c>
      <c r="AG108">
        <f t="shared" si="20"/>
        <v>4667.7174100000002</v>
      </c>
      <c r="AH108">
        <f t="shared" si="21"/>
        <v>4639.3254283333335</v>
      </c>
    </row>
    <row r="109" spans="1:34" x14ac:dyDescent="0.55000000000000004">
      <c r="A109">
        <f>ALGLIB_SSA_XAUUSD!J109</f>
        <v>1775159700</v>
      </c>
      <c r="B109" t="str">
        <f>_xlfn.XLOOKUP($A109,ALGLIB_SSA_XAUUSD!$A$2:$A$1000,ALGLIB_SSA_XAUUSD!$B$2:$B$1000,"",0)</f>
        <v/>
      </c>
      <c r="C109" t="str">
        <f>_xlfn.XLOOKUP($A109,ALGLIB_SSA_XAUUSD!$A$2:$A$1000,ALGLIB_SSA_XAUUSD!$C$2:$C$1000,"",0)</f>
        <v/>
      </c>
      <c r="D109" s="1">
        <f>D98+(D110-D98)*11/12</f>
        <v>4675.748333333333</v>
      </c>
      <c r="E109" s="1">
        <f>E98+(E110-E98)*11/12</f>
        <v>4653.1520833333334</v>
      </c>
      <c r="F109" s="1">
        <f>F98+(F110-F98)*11/12</f>
        <v>4657.7938866666664</v>
      </c>
      <c r="G109" s="1">
        <f>G98+(G110-G98)*11/12</f>
        <v>4667.1797850000003</v>
      </c>
      <c r="H109" s="1">
        <f>H98+(H110-H98)*11/12</f>
        <v>4638.7426041666668</v>
      </c>
      <c r="I109" t="str">
        <f>_xlfn.XLOOKUP($A109,ALGLIB_SSA_XAUUSD!$J$2:$J$1000,ALGLIB_SSA_XAUUSD!$K$2:$K$1000,"",0)</f>
        <v>XAUUSD</v>
      </c>
      <c r="J109" t="str">
        <f>_xlfn.XLOOKUP($A109,ALGLIB_SSA_XAUUSD!$J$2:$J$1000,ALGLIB_SSA_XAUUSD!$L$2:$L$1000,"",0)</f>
        <v>M5</v>
      </c>
      <c r="K109">
        <f>_xlfn.XLOOKUP($A109,ALGLIB_SSA_XAUUSD!$J$2:$J$1000,ALGLIB_SSA_XAUUSD!$M$2:$M$1000,"",0)</f>
        <v>4671.99</v>
      </c>
      <c r="L109">
        <f>_xlfn.XLOOKUP($A109,ALGLIB_SSA_XAUUSD!$J$2:$J$1000,ALGLIB_SSA_XAUUSD!$N$2:$N$1000,"",0)</f>
        <v>4671.4776499999998</v>
      </c>
      <c r="M109">
        <f>_xlfn.XLOOKUP($A109,ALGLIB_SSA_XAUUSD!$J$2:$J$1000,ALGLIB_SSA_XAUUSD!$O$2:$O$1000,"",0)</f>
        <v>4670.5551999999998</v>
      </c>
      <c r="N109">
        <f>_xlfn.XLOOKUP($A109,ALGLIB_SSA_XAUUSD!$J$2:$J$1000,ALGLIB_SSA_XAUUSD!$P$2:$P$1000,"",0)</f>
        <v>4674.0277100000003</v>
      </c>
      <c r="O109">
        <f>_xlfn.XLOOKUP($A109,ALGLIB_SSA_XAUUSD!$J$2:$J$1000,ALGLIB_SSA_XAUUSD!$Q$2:$Q$1000,"",0)</f>
        <v>4668.80008</v>
      </c>
      <c r="R109">
        <f t="shared" si="11"/>
        <v>1775159700</v>
      </c>
      <c r="S109" t="str">
        <f t="shared" si="12"/>
        <v>XAUUSD</v>
      </c>
      <c r="T109" t="str">
        <f t="shared" si="13"/>
        <v>M5</v>
      </c>
      <c r="U109">
        <f t="shared" si="14"/>
        <v>4671.99</v>
      </c>
      <c r="V109">
        <v>4653.1520799999998</v>
      </c>
      <c r="W109">
        <v>4657.7938899999999</v>
      </c>
      <c r="X109">
        <v>4671.4776499999998</v>
      </c>
      <c r="Y109">
        <v>4670.5551999999998</v>
      </c>
      <c r="Z109">
        <f t="shared" si="15"/>
        <v>4667.1797850000003</v>
      </c>
      <c r="AA109">
        <f t="shared" si="16"/>
        <v>4674.0277100000003</v>
      </c>
      <c r="AB109">
        <f t="shared" si="17"/>
        <v>4638.7426041666668</v>
      </c>
      <c r="AC109">
        <f t="shared" si="18"/>
        <v>4668.80008</v>
      </c>
      <c r="AF109">
        <f t="shared" si="19"/>
        <v>4671.4776499999998</v>
      </c>
      <c r="AG109">
        <f t="shared" si="20"/>
        <v>4667.1797850000003</v>
      </c>
      <c r="AH109">
        <f t="shared" si="21"/>
        <v>4638.7426041666668</v>
      </c>
    </row>
    <row r="110" spans="1:34" x14ac:dyDescent="0.55000000000000004">
      <c r="A110">
        <f>ALGLIB_SSA_XAUUSD!J110</f>
        <v>1775160000</v>
      </c>
      <c r="B110" t="str">
        <f>_xlfn.XLOOKUP($A110,ALGLIB_SSA_XAUUSD!$A$2:$A$1000,ALGLIB_SSA_XAUUSD!$B$2:$B$1000,"",0)</f>
        <v>XAUUSD</v>
      </c>
      <c r="C110" t="str">
        <f>_xlfn.XLOOKUP($A110,ALGLIB_SSA_XAUUSD!$A$2:$A$1000,ALGLIB_SSA_XAUUSD!$C$2:$C$1000,"",0)</f>
        <v>H1</v>
      </c>
      <c r="D110" s="2">
        <f>_xlfn.XLOOKUP($A110,ALGLIB_SSA_XAUUSD!$A$2:$A$1000,ALGLIB_SSA_XAUUSD!$D$2:$D$1000,"",0)</f>
        <v>4676.09</v>
      </c>
      <c r="E110" s="2">
        <f>_xlfn.XLOOKUP($A110,ALGLIB_SSA_XAUUSD!$A$2:$A$1000,ALGLIB_SSA_XAUUSD!$E$2:$E$1000,"",0)</f>
        <v>4652.5165800000004</v>
      </c>
      <c r="F110" s="2">
        <f>_xlfn.XLOOKUP($A110,ALGLIB_SSA_XAUUSD!$A$2:$A$1000,ALGLIB_SSA_XAUUSD!$F$2:$F$1000,"",0)</f>
        <v>4657.3879399999996</v>
      </c>
      <c r="G110" s="2">
        <f>_xlfn.XLOOKUP($A110,ALGLIB_SSA_XAUUSD!$A$2:$A$1000,ALGLIB_SSA_XAUUSD!$G$2:$G$1000,"",0)</f>
        <v>4666.6421600000003</v>
      </c>
      <c r="H110" s="2">
        <f>_xlfn.XLOOKUP($A110,ALGLIB_SSA_XAUUSD!$A$2:$A$1000,ALGLIB_SSA_XAUUSD!$H$2:$H$1000,"",0)</f>
        <v>4638.15978</v>
      </c>
      <c r="I110" t="str">
        <f>_xlfn.XLOOKUP($A110,ALGLIB_SSA_XAUUSD!$J$2:$J$1000,ALGLIB_SSA_XAUUSD!$K$2:$K$1000,"",0)</f>
        <v>XAUUSD</v>
      </c>
      <c r="J110" t="str">
        <f>_xlfn.XLOOKUP($A110,ALGLIB_SSA_XAUUSD!$J$2:$J$1000,ALGLIB_SSA_XAUUSD!$L$2:$L$1000,"",0)</f>
        <v>M5</v>
      </c>
      <c r="K110">
        <f>_xlfn.XLOOKUP($A110,ALGLIB_SSA_XAUUSD!$J$2:$J$1000,ALGLIB_SSA_XAUUSD!$M$2:$M$1000,"",0)</f>
        <v>4675.1499999999996</v>
      </c>
      <c r="L110">
        <f>_xlfn.XLOOKUP($A110,ALGLIB_SSA_XAUUSD!$J$2:$J$1000,ALGLIB_SSA_XAUUSD!$N$2:$N$1000,"",0)</f>
        <v>4671.8812099999996</v>
      </c>
      <c r="M110">
        <f>_xlfn.XLOOKUP($A110,ALGLIB_SSA_XAUUSD!$J$2:$J$1000,ALGLIB_SSA_XAUUSD!$O$2:$O$1000,"",0)</f>
        <v>4671.2182000000003</v>
      </c>
      <c r="N110">
        <f>_xlfn.XLOOKUP($A110,ALGLIB_SSA_XAUUSD!$J$2:$J$1000,ALGLIB_SSA_XAUUSD!$P$2:$P$1000,"",0)</f>
        <v>4674.4926599999999</v>
      </c>
      <c r="O110">
        <f>_xlfn.XLOOKUP($A110,ALGLIB_SSA_XAUUSD!$J$2:$J$1000,ALGLIB_SSA_XAUUSD!$Q$2:$Q$1000,"",0)</f>
        <v>4669.5256499999996</v>
      </c>
      <c r="R110">
        <f t="shared" si="11"/>
        <v>1775160000</v>
      </c>
      <c r="S110" t="str">
        <f t="shared" si="12"/>
        <v>XAUUSD</v>
      </c>
      <c r="T110" t="str">
        <f t="shared" si="13"/>
        <v>M5</v>
      </c>
      <c r="U110">
        <f t="shared" si="14"/>
        <v>4675.1499999999996</v>
      </c>
      <c r="V110">
        <v>4652.5165800000004</v>
      </c>
      <c r="W110">
        <v>4657.3879399999996</v>
      </c>
      <c r="X110">
        <v>4671.8812099999996</v>
      </c>
      <c r="Y110">
        <v>4671.2182000000003</v>
      </c>
      <c r="Z110">
        <f t="shared" si="15"/>
        <v>4666.6421600000003</v>
      </c>
      <c r="AA110">
        <f t="shared" si="16"/>
        <v>4674.4926599999999</v>
      </c>
      <c r="AB110">
        <f t="shared" si="17"/>
        <v>4638.15978</v>
      </c>
      <c r="AC110">
        <f t="shared" si="18"/>
        <v>4669.5256499999996</v>
      </c>
      <c r="AF110">
        <f t="shared" si="19"/>
        <v>4671.8812099999996</v>
      </c>
      <c r="AG110">
        <f t="shared" si="20"/>
        <v>4666.6421600000003</v>
      </c>
      <c r="AH110">
        <f t="shared" si="21"/>
        <v>4638.15978</v>
      </c>
    </row>
    <row r="111" spans="1:34" x14ac:dyDescent="0.55000000000000004">
      <c r="A111">
        <f>ALGLIB_SSA_XAUUSD!J111</f>
        <v>1775160300</v>
      </c>
      <c r="B111" t="str">
        <f>_xlfn.XLOOKUP($A111,ALGLIB_SSA_XAUUSD!$A$2:$A$1000,ALGLIB_SSA_XAUUSD!$B$2:$B$1000,"",0)</f>
        <v/>
      </c>
      <c r="C111" t="str">
        <f>_xlfn.XLOOKUP($A111,ALGLIB_SSA_XAUUSD!$A$2:$A$1000,ALGLIB_SSA_XAUUSD!$C$2:$C$1000,"",0)</f>
        <v/>
      </c>
      <c r="D111" s="1">
        <f>D110+(D122-D110)*1/12</f>
        <v>4673.5666666666666</v>
      </c>
      <c r="E111" s="1">
        <f>E110+(E122-E110)*1/12</f>
        <v>4651.7768425000004</v>
      </c>
      <c r="F111" s="1">
        <f>F110+(F122-F110)*1/12</f>
        <v>4656.8150983333326</v>
      </c>
      <c r="G111" s="1">
        <f>G110+(G122-G110)*1/12</f>
        <v>4666.0568533333335</v>
      </c>
      <c r="H111" s="1">
        <f>H110+(H122-H110)*1/12</f>
        <v>4637.3956491666668</v>
      </c>
      <c r="I111" t="str">
        <f>_xlfn.XLOOKUP($A111,ALGLIB_SSA_XAUUSD!$J$2:$J$1000,ALGLIB_SSA_XAUUSD!$K$2:$K$1000,"",0)</f>
        <v>XAUUSD</v>
      </c>
      <c r="J111" t="str">
        <f>_xlfn.XLOOKUP($A111,ALGLIB_SSA_XAUUSD!$J$2:$J$1000,ALGLIB_SSA_XAUUSD!$L$2:$L$1000,"",0)</f>
        <v>M5</v>
      </c>
      <c r="K111">
        <f>_xlfn.XLOOKUP($A111,ALGLIB_SSA_XAUUSD!$J$2:$J$1000,ALGLIB_SSA_XAUUSD!$M$2:$M$1000,"",0)</f>
        <v>4674.2</v>
      </c>
      <c r="L111">
        <f>_xlfn.XLOOKUP($A111,ALGLIB_SSA_XAUUSD!$J$2:$J$1000,ALGLIB_SSA_XAUUSD!$N$2:$N$1000,"",0)</f>
        <v>4671.8416699999998</v>
      </c>
      <c r="M111">
        <f>_xlfn.XLOOKUP($A111,ALGLIB_SSA_XAUUSD!$J$2:$J$1000,ALGLIB_SSA_XAUUSD!$O$2:$O$1000,"",0)</f>
        <v>4671.5299400000004</v>
      </c>
      <c r="N111">
        <f>_xlfn.XLOOKUP($A111,ALGLIB_SSA_XAUUSD!$J$2:$J$1000,ALGLIB_SSA_XAUUSD!$P$2:$P$1000,"",0)</f>
        <v>4674.4267799999998</v>
      </c>
      <c r="O111">
        <f>_xlfn.XLOOKUP($A111,ALGLIB_SSA_XAUUSD!$J$2:$J$1000,ALGLIB_SSA_XAUUSD!$Q$2:$Q$1000,"",0)</f>
        <v>4669.91914</v>
      </c>
      <c r="R111">
        <f t="shared" si="11"/>
        <v>1775160300</v>
      </c>
      <c r="S111" t="str">
        <f t="shared" si="12"/>
        <v>XAUUSD</v>
      </c>
      <c r="T111" t="str">
        <f t="shared" si="13"/>
        <v>M5</v>
      </c>
      <c r="U111">
        <f t="shared" si="14"/>
        <v>4674.2</v>
      </c>
      <c r="V111">
        <v>4651.7768400000004</v>
      </c>
      <c r="W111">
        <v>4656.8150999999998</v>
      </c>
      <c r="X111">
        <v>4671.8416699999998</v>
      </c>
      <c r="Y111">
        <v>4671.5299400000004</v>
      </c>
      <c r="Z111">
        <f t="shared" si="15"/>
        <v>4666.0568533333335</v>
      </c>
      <c r="AA111">
        <f t="shared" si="16"/>
        <v>4674.4267799999998</v>
      </c>
      <c r="AB111">
        <f t="shared" si="17"/>
        <v>4637.3956491666668</v>
      </c>
      <c r="AC111">
        <f t="shared" si="18"/>
        <v>4669.91914</v>
      </c>
      <c r="AF111">
        <f t="shared" si="19"/>
        <v>4671.8416699999998</v>
      </c>
      <c r="AG111">
        <f t="shared" si="20"/>
        <v>4666.0568533333335</v>
      </c>
      <c r="AH111">
        <f t="shared" si="21"/>
        <v>4637.3956491666668</v>
      </c>
    </row>
    <row r="112" spans="1:34" x14ac:dyDescent="0.55000000000000004">
      <c r="A112">
        <f>ALGLIB_SSA_XAUUSD!J112</f>
        <v>1775160600</v>
      </c>
      <c r="B112" t="str">
        <f>_xlfn.XLOOKUP($A112,ALGLIB_SSA_XAUUSD!$A$2:$A$1000,ALGLIB_SSA_XAUUSD!$B$2:$B$1000,"",0)</f>
        <v/>
      </c>
      <c r="C112" t="str">
        <f>_xlfn.XLOOKUP($A112,ALGLIB_SSA_XAUUSD!$A$2:$A$1000,ALGLIB_SSA_XAUUSD!$C$2:$C$1000,"",0)</f>
        <v/>
      </c>
      <c r="D112" s="1">
        <f>D110+(D122-D110)*2/12</f>
        <v>4671.0433333333331</v>
      </c>
      <c r="E112" s="1">
        <f>E110+(E122-E110)*2/12</f>
        <v>4651.0371050000003</v>
      </c>
      <c r="F112" s="1">
        <f>F110+(F122-F110)*2/12</f>
        <v>4656.2422566666664</v>
      </c>
      <c r="G112" s="1">
        <f>G110+(G122-G110)*2/12</f>
        <v>4665.4715466666667</v>
      </c>
      <c r="H112" s="1">
        <f>H110+(H122-H110)*2/12</f>
        <v>4636.6315183333336</v>
      </c>
      <c r="I112" t="str">
        <f>_xlfn.XLOOKUP($A112,ALGLIB_SSA_XAUUSD!$J$2:$J$1000,ALGLIB_SSA_XAUUSD!$K$2:$K$1000,"",0)</f>
        <v>XAUUSD</v>
      </c>
      <c r="J112" t="str">
        <f>_xlfn.XLOOKUP($A112,ALGLIB_SSA_XAUUSD!$J$2:$J$1000,ALGLIB_SSA_XAUUSD!$L$2:$L$1000,"",0)</f>
        <v>M5</v>
      </c>
      <c r="K112">
        <f>_xlfn.XLOOKUP($A112,ALGLIB_SSA_XAUUSD!$J$2:$J$1000,ALGLIB_SSA_XAUUSD!$M$2:$M$1000,"",0)</f>
        <v>4674.03</v>
      </c>
      <c r="L112">
        <f>_xlfn.XLOOKUP($A112,ALGLIB_SSA_XAUUSD!$J$2:$J$1000,ALGLIB_SSA_XAUUSD!$N$2:$N$1000,"",0)</f>
        <v>4671.58878</v>
      </c>
      <c r="M112">
        <f>_xlfn.XLOOKUP($A112,ALGLIB_SSA_XAUUSD!$J$2:$J$1000,ALGLIB_SSA_XAUUSD!$O$2:$O$1000,"",0)</f>
        <v>4671.5593600000002</v>
      </c>
      <c r="N112">
        <f>_xlfn.XLOOKUP($A112,ALGLIB_SSA_XAUUSD!$J$2:$J$1000,ALGLIB_SSA_XAUUSD!$P$2:$P$1000,"",0)</f>
        <v>4673.9942700000001</v>
      </c>
      <c r="O112">
        <f>_xlfn.XLOOKUP($A112,ALGLIB_SSA_XAUUSD!$J$2:$J$1000,ALGLIB_SSA_XAUUSD!$Q$2:$Q$1000,"",0)</f>
        <v>4670.0770499999999</v>
      </c>
      <c r="R112">
        <f t="shared" si="11"/>
        <v>1775160600</v>
      </c>
      <c r="S112" t="str">
        <f t="shared" si="12"/>
        <v>XAUUSD</v>
      </c>
      <c r="T112" t="str">
        <f t="shared" si="13"/>
        <v>M5</v>
      </c>
      <c r="U112">
        <f t="shared" si="14"/>
        <v>4674.03</v>
      </c>
      <c r="V112">
        <v>4651.0371100000002</v>
      </c>
      <c r="W112">
        <v>4656.24226</v>
      </c>
      <c r="X112">
        <v>4671.58878</v>
      </c>
      <c r="Y112">
        <v>4671.5593600000002</v>
      </c>
      <c r="Z112">
        <f t="shared" si="15"/>
        <v>4665.4715466666667</v>
      </c>
      <c r="AA112">
        <f t="shared" si="16"/>
        <v>4673.9942700000001</v>
      </c>
      <c r="AB112">
        <f t="shared" si="17"/>
        <v>4636.6315183333336</v>
      </c>
      <c r="AC112">
        <f t="shared" si="18"/>
        <v>4670.0770499999999</v>
      </c>
      <c r="AF112">
        <f t="shared" si="19"/>
        <v>4671.58878</v>
      </c>
      <c r="AG112">
        <f t="shared" si="20"/>
        <v>4665.4715466666667</v>
      </c>
      <c r="AH112">
        <f t="shared" si="21"/>
        <v>4636.6315183333336</v>
      </c>
    </row>
    <row r="113" spans="1:34" x14ac:dyDescent="0.55000000000000004">
      <c r="A113">
        <f>ALGLIB_SSA_XAUUSD!J113</f>
        <v>1775160900</v>
      </c>
      <c r="B113" t="str">
        <f>_xlfn.XLOOKUP($A113,ALGLIB_SSA_XAUUSD!$A$2:$A$1000,ALGLIB_SSA_XAUUSD!$B$2:$B$1000,"",0)</f>
        <v/>
      </c>
      <c r="C113" t="str">
        <f>_xlfn.XLOOKUP($A113,ALGLIB_SSA_XAUUSD!$A$2:$A$1000,ALGLIB_SSA_XAUUSD!$C$2:$C$1000,"",0)</f>
        <v/>
      </c>
      <c r="D113" s="1">
        <f>D110+(D122-D110)*3/12</f>
        <v>4668.5200000000004</v>
      </c>
      <c r="E113" s="1">
        <f>E110+(E122-E110)*3/12</f>
        <v>4650.2973675000003</v>
      </c>
      <c r="F113" s="1">
        <f>F110+(F122-F110)*3/12</f>
        <v>4655.6694149999994</v>
      </c>
      <c r="G113" s="1">
        <f>G110+(G122-G110)*3/12</f>
        <v>4664.8862399999998</v>
      </c>
      <c r="H113" s="1">
        <f>H110+(H122-H110)*3/12</f>
        <v>4635.8673875000004</v>
      </c>
      <c r="I113" t="str">
        <f>_xlfn.XLOOKUP($A113,ALGLIB_SSA_XAUUSD!$J$2:$J$1000,ALGLIB_SSA_XAUUSD!$K$2:$K$1000,"",0)</f>
        <v>XAUUSD</v>
      </c>
      <c r="J113" t="str">
        <f>_xlfn.XLOOKUP($A113,ALGLIB_SSA_XAUUSD!$J$2:$J$1000,ALGLIB_SSA_XAUUSD!$L$2:$L$1000,"",0)</f>
        <v>M5</v>
      </c>
      <c r="K113">
        <f>_xlfn.XLOOKUP($A113,ALGLIB_SSA_XAUUSD!$J$2:$J$1000,ALGLIB_SSA_XAUUSD!$M$2:$M$1000,"",0)</f>
        <v>4668.38</v>
      </c>
      <c r="L113">
        <f>_xlfn.XLOOKUP($A113,ALGLIB_SSA_XAUUSD!$J$2:$J$1000,ALGLIB_SSA_XAUUSD!$N$2:$N$1000,"",0)</f>
        <v>4671.3736200000003</v>
      </c>
      <c r="M113">
        <f>_xlfn.XLOOKUP($A113,ALGLIB_SSA_XAUUSD!$J$2:$J$1000,ALGLIB_SSA_XAUUSD!$O$2:$O$1000,"",0)</f>
        <v>4671.4664899999998</v>
      </c>
      <c r="N113">
        <f>_xlfn.XLOOKUP($A113,ALGLIB_SSA_XAUUSD!$J$2:$J$1000,ALGLIB_SSA_XAUUSD!$P$2:$P$1000,"",0)</f>
        <v>4673.4397499999995</v>
      </c>
      <c r="O113">
        <f>_xlfn.XLOOKUP($A113,ALGLIB_SSA_XAUUSD!$J$2:$J$1000,ALGLIB_SSA_XAUUSD!$Q$2:$Q$1000,"",0)</f>
        <v>4670.1775900000002</v>
      </c>
      <c r="R113">
        <f t="shared" si="11"/>
        <v>1775160900</v>
      </c>
      <c r="S113" t="str">
        <f t="shared" si="12"/>
        <v>XAUUSD</v>
      </c>
      <c r="T113" t="str">
        <f t="shared" si="13"/>
        <v>M5</v>
      </c>
      <c r="U113">
        <f t="shared" si="14"/>
        <v>4668.38</v>
      </c>
      <c r="V113">
        <v>4650.2973700000002</v>
      </c>
      <c r="W113">
        <v>4655.6694100000004</v>
      </c>
      <c r="X113">
        <v>4671.3736200000003</v>
      </c>
      <c r="Y113">
        <v>4671.4664899999998</v>
      </c>
      <c r="Z113">
        <f t="shared" si="15"/>
        <v>4664.8862399999998</v>
      </c>
      <c r="AA113">
        <f t="shared" si="16"/>
        <v>4673.4397499999995</v>
      </c>
      <c r="AB113">
        <f t="shared" si="17"/>
        <v>4635.8673875000004</v>
      </c>
      <c r="AC113">
        <f t="shared" si="18"/>
        <v>4670.1775900000002</v>
      </c>
      <c r="AF113">
        <f t="shared" si="19"/>
        <v>4671.3736200000003</v>
      </c>
      <c r="AG113">
        <f t="shared" si="20"/>
        <v>4664.8862399999998</v>
      </c>
      <c r="AH113">
        <f t="shared" si="21"/>
        <v>4635.8673875000004</v>
      </c>
    </row>
    <row r="114" spans="1:34" x14ac:dyDescent="0.55000000000000004">
      <c r="A114">
        <f>ALGLIB_SSA_XAUUSD!J114</f>
        <v>1775161200</v>
      </c>
      <c r="B114" t="str">
        <f>_xlfn.XLOOKUP($A114,ALGLIB_SSA_XAUUSD!$A$2:$A$1000,ALGLIB_SSA_XAUUSD!$B$2:$B$1000,"",0)</f>
        <v/>
      </c>
      <c r="C114" t="str">
        <f>_xlfn.XLOOKUP($A114,ALGLIB_SSA_XAUUSD!$A$2:$A$1000,ALGLIB_SSA_XAUUSD!$C$2:$C$1000,"",0)</f>
        <v/>
      </c>
      <c r="D114" s="1">
        <f>D110+(D122-D110)*4/12</f>
        <v>4665.9966666666669</v>
      </c>
      <c r="E114" s="1">
        <f>E110+(E122-E110)*4/12</f>
        <v>4649.5576300000002</v>
      </c>
      <c r="F114" s="1">
        <f>F110+(F122-F110)*4/12</f>
        <v>4655.0965733333333</v>
      </c>
      <c r="G114" s="1">
        <f>G110+(G122-G110)*4/12</f>
        <v>4664.3009333333339</v>
      </c>
      <c r="H114" s="1">
        <f>H110+(H122-H110)*4/12</f>
        <v>4635.1032566666663</v>
      </c>
      <c r="I114" t="str">
        <f>_xlfn.XLOOKUP($A114,ALGLIB_SSA_XAUUSD!$J$2:$J$1000,ALGLIB_SSA_XAUUSD!$K$2:$K$1000,"",0)</f>
        <v>XAUUSD</v>
      </c>
      <c r="J114" t="str">
        <f>_xlfn.XLOOKUP($A114,ALGLIB_SSA_XAUUSD!$J$2:$J$1000,ALGLIB_SSA_XAUUSD!$L$2:$L$1000,"",0)</f>
        <v>M5</v>
      </c>
      <c r="K114">
        <f>_xlfn.XLOOKUP($A114,ALGLIB_SSA_XAUUSD!$J$2:$J$1000,ALGLIB_SSA_XAUUSD!$M$2:$M$1000,"",0)</f>
        <v>4666.67</v>
      </c>
      <c r="L114">
        <f>_xlfn.XLOOKUP($A114,ALGLIB_SSA_XAUUSD!$J$2:$J$1000,ALGLIB_SSA_XAUUSD!$N$2:$N$1000,"",0)</f>
        <v>4671.4971699999996</v>
      </c>
      <c r="M114">
        <f>_xlfn.XLOOKUP($A114,ALGLIB_SSA_XAUUSD!$J$2:$J$1000,ALGLIB_SSA_XAUUSD!$O$2:$O$1000,"",0)</f>
        <v>4671.4818299999997</v>
      </c>
      <c r="N114">
        <f>_xlfn.XLOOKUP($A114,ALGLIB_SSA_XAUUSD!$J$2:$J$1000,ALGLIB_SSA_XAUUSD!$P$2:$P$1000,"",0)</f>
        <v>4673.0921900000003</v>
      </c>
      <c r="O114">
        <f>_xlfn.XLOOKUP($A114,ALGLIB_SSA_XAUUSD!$J$2:$J$1000,ALGLIB_SSA_XAUUSD!$Q$2:$Q$1000,"",0)</f>
        <v>4670.4073399999997</v>
      </c>
      <c r="R114">
        <f t="shared" si="11"/>
        <v>1775161200</v>
      </c>
      <c r="S114" t="str">
        <f t="shared" si="12"/>
        <v>XAUUSD</v>
      </c>
      <c r="T114" t="str">
        <f t="shared" si="13"/>
        <v>M5</v>
      </c>
      <c r="U114">
        <f t="shared" si="14"/>
        <v>4666.67</v>
      </c>
      <c r="V114">
        <v>4649.5576300000002</v>
      </c>
      <c r="W114">
        <v>4655.0965699999997</v>
      </c>
      <c r="X114">
        <v>4671.4971699999996</v>
      </c>
      <c r="Y114">
        <v>4671.4818299999997</v>
      </c>
      <c r="Z114">
        <f t="shared" si="15"/>
        <v>4664.3009333333339</v>
      </c>
      <c r="AA114">
        <f t="shared" si="16"/>
        <v>4673.0921900000003</v>
      </c>
      <c r="AB114">
        <f t="shared" si="17"/>
        <v>4635.1032566666663</v>
      </c>
      <c r="AC114">
        <f t="shared" si="18"/>
        <v>4670.4073399999997</v>
      </c>
      <c r="AF114">
        <f t="shared" si="19"/>
        <v>4671.4971699999996</v>
      </c>
      <c r="AG114">
        <f t="shared" si="20"/>
        <v>4664.3009333333339</v>
      </c>
      <c r="AH114">
        <f t="shared" si="21"/>
        <v>4635.1032566666663</v>
      </c>
    </row>
    <row r="115" spans="1:34" x14ac:dyDescent="0.55000000000000004">
      <c r="A115">
        <f>ALGLIB_SSA_XAUUSD!J115</f>
        <v>1775161500</v>
      </c>
      <c r="B115" t="str">
        <f>_xlfn.XLOOKUP($A115,ALGLIB_SSA_XAUUSD!$A$2:$A$1000,ALGLIB_SSA_XAUUSD!$B$2:$B$1000,"",0)</f>
        <v/>
      </c>
      <c r="C115" t="str">
        <f>_xlfn.XLOOKUP($A115,ALGLIB_SSA_XAUUSD!$A$2:$A$1000,ALGLIB_SSA_XAUUSD!$C$2:$C$1000,"",0)</f>
        <v/>
      </c>
      <c r="D115" s="1">
        <f>D110+(D122-D110)*5/12</f>
        <v>4663.4733333333334</v>
      </c>
      <c r="E115" s="1">
        <f>E110+(E122-E110)*5/12</f>
        <v>4648.8178925000002</v>
      </c>
      <c r="F115" s="1">
        <f>F110+(F122-F110)*5/12</f>
        <v>4654.5237316666662</v>
      </c>
      <c r="G115" s="1">
        <f>G110+(G122-G110)*5/12</f>
        <v>4663.715626666667</v>
      </c>
      <c r="H115" s="1">
        <f>H110+(H122-H110)*5/12</f>
        <v>4634.3391258333331</v>
      </c>
      <c r="I115" t="str">
        <f>_xlfn.XLOOKUP($A115,ALGLIB_SSA_XAUUSD!$J$2:$J$1000,ALGLIB_SSA_XAUUSD!$K$2:$K$1000,"",0)</f>
        <v>XAUUSD</v>
      </c>
      <c r="J115" t="str">
        <f>_xlfn.XLOOKUP($A115,ALGLIB_SSA_XAUUSD!$J$2:$J$1000,ALGLIB_SSA_XAUUSD!$L$2:$L$1000,"",0)</f>
        <v>M5</v>
      </c>
      <c r="K115">
        <f>_xlfn.XLOOKUP($A115,ALGLIB_SSA_XAUUSD!$J$2:$J$1000,ALGLIB_SSA_XAUUSD!$M$2:$M$1000,"",0)</f>
        <v>4667.8999999999996</v>
      </c>
      <c r="L115">
        <f>_xlfn.XLOOKUP($A115,ALGLIB_SSA_XAUUSD!$J$2:$J$1000,ALGLIB_SSA_XAUUSD!$N$2:$N$1000,"",0)</f>
        <v>4671.9441500000003</v>
      </c>
      <c r="M115">
        <f>_xlfn.XLOOKUP($A115,ALGLIB_SSA_XAUUSD!$J$2:$J$1000,ALGLIB_SSA_XAUUSD!$O$2:$O$1000,"",0)</f>
        <v>4671.71299</v>
      </c>
      <c r="N115">
        <f>_xlfn.XLOOKUP($A115,ALGLIB_SSA_XAUUSD!$J$2:$J$1000,ALGLIB_SSA_XAUUSD!$P$2:$P$1000,"",0)</f>
        <v>4673.25731</v>
      </c>
      <c r="O115">
        <f>_xlfn.XLOOKUP($A115,ALGLIB_SSA_XAUUSD!$J$2:$J$1000,ALGLIB_SSA_XAUUSD!$Q$2:$Q$1000,"",0)</f>
        <v>4670.7202100000004</v>
      </c>
      <c r="R115">
        <f t="shared" si="11"/>
        <v>1775161500</v>
      </c>
      <c r="S115" t="str">
        <f t="shared" si="12"/>
        <v>XAUUSD</v>
      </c>
      <c r="T115" t="str">
        <f t="shared" si="13"/>
        <v>M5</v>
      </c>
      <c r="U115">
        <f t="shared" si="14"/>
        <v>4667.8999999999996</v>
      </c>
      <c r="V115">
        <v>4648.8178900000003</v>
      </c>
      <c r="W115">
        <v>4654.5237299999999</v>
      </c>
      <c r="X115">
        <v>4671.9441500000003</v>
      </c>
      <c r="Y115">
        <v>4671.71299</v>
      </c>
      <c r="Z115">
        <f t="shared" si="15"/>
        <v>4663.715626666667</v>
      </c>
      <c r="AA115">
        <f t="shared" si="16"/>
        <v>4673.25731</v>
      </c>
      <c r="AB115">
        <f t="shared" si="17"/>
        <v>4634.3391258333331</v>
      </c>
      <c r="AC115">
        <f t="shared" si="18"/>
        <v>4670.7202100000004</v>
      </c>
      <c r="AF115">
        <f t="shared" si="19"/>
        <v>4671.9441500000003</v>
      </c>
      <c r="AG115">
        <f t="shared" si="20"/>
        <v>4663.715626666667</v>
      </c>
      <c r="AH115">
        <f t="shared" si="21"/>
        <v>4634.3391258333331</v>
      </c>
    </row>
    <row r="116" spans="1:34" x14ac:dyDescent="0.55000000000000004">
      <c r="A116">
        <f>ALGLIB_SSA_XAUUSD!J116</f>
        <v>1775161800</v>
      </c>
      <c r="B116" t="str">
        <f>_xlfn.XLOOKUP($A116,ALGLIB_SSA_XAUUSD!$A$2:$A$1000,ALGLIB_SSA_XAUUSD!$B$2:$B$1000,"",0)</f>
        <v/>
      </c>
      <c r="C116" t="str">
        <f>_xlfn.XLOOKUP($A116,ALGLIB_SSA_XAUUSD!$A$2:$A$1000,ALGLIB_SSA_XAUUSD!$C$2:$C$1000,"",0)</f>
        <v/>
      </c>
      <c r="D116" s="1">
        <f>D110+(D122-D110)*6/12</f>
        <v>4660.9500000000007</v>
      </c>
      <c r="E116" s="1">
        <f>E110+(E122-E110)*6/12</f>
        <v>4648.0781550000002</v>
      </c>
      <c r="F116" s="1">
        <f>F110+(F122-F110)*6/12</f>
        <v>4653.9508900000001</v>
      </c>
      <c r="G116" s="1">
        <f>G110+(G122-G110)*6/12</f>
        <v>4663.1303200000002</v>
      </c>
      <c r="H116" s="1">
        <f>H110+(H122-H110)*6/12</f>
        <v>4633.5749949999999</v>
      </c>
      <c r="I116" t="str">
        <f>_xlfn.XLOOKUP($A116,ALGLIB_SSA_XAUUSD!$J$2:$J$1000,ALGLIB_SSA_XAUUSD!$K$2:$K$1000,"",0)</f>
        <v>XAUUSD</v>
      </c>
      <c r="J116" t="str">
        <f>_xlfn.XLOOKUP($A116,ALGLIB_SSA_XAUUSD!$J$2:$J$1000,ALGLIB_SSA_XAUUSD!$L$2:$L$1000,"",0)</f>
        <v>M5</v>
      </c>
      <c r="K116">
        <f>_xlfn.XLOOKUP($A116,ALGLIB_SSA_XAUUSD!$J$2:$J$1000,ALGLIB_SSA_XAUUSD!$M$2:$M$1000,"",0)</f>
        <v>4672.41</v>
      </c>
      <c r="L116">
        <f>_xlfn.XLOOKUP($A116,ALGLIB_SSA_XAUUSD!$J$2:$J$1000,ALGLIB_SSA_XAUUSD!$N$2:$N$1000,"",0)</f>
        <v>4672.3939399999999</v>
      </c>
      <c r="M116">
        <f>_xlfn.XLOOKUP($A116,ALGLIB_SSA_XAUUSD!$J$2:$J$1000,ALGLIB_SSA_XAUUSD!$O$2:$O$1000,"",0)</f>
        <v>4672.0534600000001</v>
      </c>
      <c r="N116">
        <f>_xlfn.XLOOKUP($A116,ALGLIB_SSA_XAUUSD!$J$2:$J$1000,ALGLIB_SSA_XAUUSD!$P$2:$P$1000,"",0)</f>
        <v>4673.7726300000004</v>
      </c>
      <c r="O116">
        <f>_xlfn.XLOOKUP($A116,ALGLIB_SSA_XAUUSD!$J$2:$J$1000,ALGLIB_SSA_XAUUSD!$Q$2:$Q$1000,"",0)</f>
        <v>4670.7442300000002</v>
      </c>
      <c r="R116">
        <f t="shared" si="11"/>
        <v>1775161800</v>
      </c>
      <c r="S116" t="str">
        <f t="shared" si="12"/>
        <v>XAUUSD</v>
      </c>
      <c r="T116" t="str">
        <f t="shared" si="13"/>
        <v>M5</v>
      </c>
      <c r="U116">
        <f t="shared" si="14"/>
        <v>4672.41</v>
      </c>
      <c r="V116">
        <v>4648.07816</v>
      </c>
      <c r="W116">
        <v>4653.9508900000001</v>
      </c>
      <c r="X116">
        <v>4672.3939399999999</v>
      </c>
      <c r="Y116">
        <v>4672.0534600000001</v>
      </c>
      <c r="Z116">
        <f t="shared" si="15"/>
        <v>4663.1303200000002</v>
      </c>
      <c r="AA116">
        <f t="shared" si="16"/>
        <v>4673.7726300000004</v>
      </c>
      <c r="AB116">
        <f t="shared" si="17"/>
        <v>4633.5749949999999</v>
      </c>
      <c r="AC116">
        <f t="shared" si="18"/>
        <v>4670.7442300000002</v>
      </c>
      <c r="AF116">
        <f t="shared" si="19"/>
        <v>4672.3939399999999</v>
      </c>
      <c r="AG116">
        <f t="shared" si="20"/>
        <v>4663.1303200000002</v>
      </c>
      <c r="AH116">
        <f t="shared" si="21"/>
        <v>4633.5749949999999</v>
      </c>
    </row>
    <row r="117" spans="1:34" x14ac:dyDescent="0.55000000000000004">
      <c r="A117">
        <f>ALGLIB_SSA_XAUUSD!J117</f>
        <v>1775162100</v>
      </c>
      <c r="B117" t="str">
        <f>_xlfn.XLOOKUP($A117,ALGLIB_SSA_XAUUSD!$A$2:$A$1000,ALGLIB_SSA_XAUUSD!$B$2:$B$1000,"",0)</f>
        <v/>
      </c>
      <c r="C117" t="str">
        <f>_xlfn.XLOOKUP($A117,ALGLIB_SSA_XAUUSD!$A$2:$A$1000,ALGLIB_SSA_XAUUSD!$C$2:$C$1000,"",0)</f>
        <v/>
      </c>
      <c r="D117" s="1">
        <f>D110+(D122-D110)*7/12</f>
        <v>4658.4266666666672</v>
      </c>
      <c r="E117" s="1">
        <f>E110+(E122-E110)*7/12</f>
        <v>4647.3384175000001</v>
      </c>
      <c r="F117" s="1">
        <f>F110+(F122-F110)*7/12</f>
        <v>4653.378048333333</v>
      </c>
      <c r="G117" s="1">
        <f>G110+(G122-G110)*7/12</f>
        <v>4662.5450133333334</v>
      </c>
      <c r="H117" s="1">
        <f>H110+(H122-H110)*7/12</f>
        <v>4632.8108641666668</v>
      </c>
      <c r="I117" t="str">
        <f>_xlfn.XLOOKUP($A117,ALGLIB_SSA_XAUUSD!$J$2:$J$1000,ALGLIB_SSA_XAUUSD!$K$2:$K$1000,"",0)</f>
        <v>XAUUSD</v>
      </c>
      <c r="J117" t="str">
        <f>_xlfn.XLOOKUP($A117,ALGLIB_SSA_XAUUSD!$J$2:$J$1000,ALGLIB_SSA_XAUUSD!$L$2:$L$1000,"",0)</f>
        <v>M5</v>
      </c>
      <c r="K117">
        <f>_xlfn.XLOOKUP($A117,ALGLIB_SSA_XAUUSD!$J$2:$J$1000,ALGLIB_SSA_XAUUSD!$M$2:$M$1000,"",0)</f>
        <v>4671.5</v>
      </c>
      <c r="L117">
        <f>_xlfn.XLOOKUP($A117,ALGLIB_SSA_XAUUSD!$J$2:$J$1000,ALGLIB_SSA_XAUUSD!$N$2:$N$1000,"",0)</f>
        <v>4672.23027</v>
      </c>
      <c r="M117">
        <f>_xlfn.XLOOKUP($A117,ALGLIB_SSA_XAUUSD!$J$2:$J$1000,ALGLIB_SSA_XAUUSD!$O$2:$O$1000,"",0)</f>
        <v>4672.1418700000004</v>
      </c>
      <c r="N117">
        <f>_xlfn.XLOOKUP($A117,ALGLIB_SSA_XAUUSD!$J$2:$J$1000,ALGLIB_SSA_XAUUSD!$P$2:$P$1000,"",0)</f>
        <v>4674.2225699999999</v>
      </c>
      <c r="O117">
        <f>_xlfn.XLOOKUP($A117,ALGLIB_SSA_XAUUSD!$J$2:$J$1000,ALGLIB_SSA_XAUUSD!$Q$2:$Q$1000,"",0)</f>
        <v>4669.9859100000003</v>
      </c>
      <c r="R117">
        <f t="shared" si="11"/>
        <v>1775162100</v>
      </c>
      <c r="S117" t="str">
        <f t="shared" si="12"/>
        <v>XAUUSD</v>
      </c>
      <c r="T117" t="str">
        <f t="shared" si="13"/>
        <v>M5</v>
      </c>
      <c r="U117">
        <f t="shared" si="14"/>
        <v>4671.5</v>
      </c>
      <c r="V117">
        <v>4647.33842</v>
      </c>
      <c r="W117">
        <v>4653.3780500000003</v>
      </c>
      <c r="X117">
        <v>4672.23027</v>
      </c>
      <c r="Y117">
        <v>4672.1418700000004</v>
      </c>
      <c r="Z117">
        <f t="shared" si="15"/>
        <v>4662.5450133333334</v>
      </c>
      <c r="AA117">
        <f t="shared" si="16"/>
        <v>4674.2225699999999</v>
      </c>
      <c r="AB117">
        <f t="shared" si="17"/>
        <v>4632.8108641666668</v>
      </c>
      <c r="AC117">
        <f t="shared" si="18"/>
        <v>4669.9859100000003</v>
      </c>
      <c r="AF117">
        <f t="shared" si="19"/>
        <v>4672.23027</v>
      </c>
      <c r="AG117">
        <f t="shared" si="20"/>
        <v>4662.5450133333334</v>
      </c>
      <c r="AH117">
        <f t="shared" si="21"/>
        <v>4632.8108641666668</v>
      </c>
    </row>
    <row r="118" spans="1:34" x14ac:dyDescent="0.55000000000000004">
      <c r="A118">
        <f>ALGLIB_SSA_XAUUSD!J118</f>
        <v>1775162400</v>
      </c>
      <c r="B118" t="str">
        <f>_xlfn.XLOOKUP($A118,ALGLIB_SSA_XAUUSD!$A$2:$A$1000,ALGLIB_SSA_XAUUSD!$B$2:$B$1000,"",0)</f>
        <v/>
      </c>
      <c r="C118" t="str">
        <f>_xlfn.XLOOKUP($A118,ALGLIB_SSA_XAUUSD!$A$2:$A$1000,ALGLIB_SSA_XAUUSD!$C$2:$C$1000,"",0)</f>
        <v/>
      </c>
      <c r="D118" s="1">
        <f>D110+(D122-D110)*8/12</f>
        <v>4655.9033333333336</v>
      </c>
      <c r="E118" s="1">
        <f>E110+(E122-E110)*8/12</f>
        <v>4646.5986800000001</v>
      </c>
      <c r="F118" s="1">
        <f>F110+(F122-F110)*8/12</f>
        <v>4652.805206666666</v>
      </c>
      <c r="G118" s="1">
        <f>G110+(G122-G110)*8/12</f>
        <v>4661.9597066666665</v>
      </c>
      <c r="H118" s="1">
        <f>H110+(H122-H110)*8/12</f>
        <v>4632.0467333333336</v>
      </c>
      <c r="I118" t="str">
        <f>_xlfn.XLOOKUP($A118,ALGLIB_SSA_XAUUSD!$J$2:$J$1000,ALGLIB_SSA_XAUUSD!$K$2:$K$1000,"",0)</f>
        <v>XAUUSD</v>
      </c>
      <c r="J118" t="str">
        <f>_xlfn.XLOOKUP($A118,ALGLIB_SSA_XAUUSD!$J$2:$J$1000,ALGLIB_SSA_XAUUSD!$L$2:$L$1000,"",0)</f>
        <v>M5</v>
      </c>
      <c r="K118">
        <f>_xlfn.XLOOKUP($A118,ALGLIB_SSA_XAUUSD!$J$2:$J$1000,ALGLIB_SSA_XAUUSD!$M$2:$M$1000,"",0)</f>
        <v>4669.05</v>
      </c>
      <c r="L118">
        <f>_xlfn.XLOOKUP($A118,ALGLIB_SSA_XAUUSD!$J$2:$J$1000,ALGLIB_SSA_XAUUSD!$N$2:$N$1000,"",0)</f>
        <v>4670.94895</v>
      </c>
      <c r="M118">
        <f>_xlfn.XLOOKUP($A118,ALGLIB_SSA_XAUUSD!$J$2:$J$1000,ALGLIB_SSA_XAUUSD!$O$2:$O$1000,"",0)</f>
        <v>4671.5454099999997</v>
      </c>
      <c r="N118">
        <f>_xlfn.XLOOKUP($A118,ALGLIB_SSA_XAUUSD!$J$2:$J$1000,ALGLIB_SSA_XAUUSD!$P$2:$P$1000,"",0)</f>
        <v>4674.0442499999999</v>
      </c>
      <c r="O118">
        <f>_xlfn.XLOOKUP($A118,ALGLIB_SSA_XAUUSD!$J$2:$J$1000,ALGLIB_SSA_XAUUSD!$Q$2:$Q$1000,"",0)</f>
        <v>4667.8971099999999</v>
      </c>
      <c r="R118">
        <f t="shared" si="11"/>
        <v>1775162400</v>
      </c>
      <c r="S118" t="str">
        <f t="shared" si="12"/>
        <v>XAUUSD</v>
      </c>
      <c r="T118" t="str">
        <f t="shared" si="13"/>
        <v>M5</v>
      </c>
      <c r="U118">
        <f t="shared" si="14"/>
        <v>4669.05</v>
      </c>
      <c r="V118">
        <v>4646.5986800000001</v>
      </c>
      <c r="W118">
        <v>4652.8052100000004</v>
      </c>
      <c r="X118">
        <v>4670.94895</v>
      </c>
      <c r="Y118">
        <v>4671.5454099999997</v>
      </c>
      <c r="Z118">
        <f t="shared" si="15"/>
        <v>4661.9597066666665</v>
      </c>
      <c r="AA118">
        <f t="shared" si="16"/>
        <v>4674.0442499999999</v>
      </c>
      <c r="AB118">
        <f t="shared" si="17"/>
        <v>4632.0467333333336</v>
      </c>
      <c r="AC118">
        <f t="shared" si="18"/>
        <v>4667.8971099999999</v>
      </c>
      <c r="AF118">
        <f t="shared" si="19"/>
        <v>4670.94895</v>
      </c>
      <c r="AG118">
        <f t="shared" si="20"/>
        <v>4661.9597066666665</v>
      </c>
      <c r="AH118">
        <f t="shared" si="21"/>
        <v>4632.0467333333336</v>
      </c>
    </row>
    <row r="119" spans="1:34" x14ac:dyDescent="0.55000000000000004">
      <c r="A119">
        <f>ALGLIB_SSA_XAUUSD!J119</f>
        <v>1775162700</v>
      </c>
      <c r="B119" t="str">
        <f>_xlfn.XLOOKUP($A119,ALGLIB_SSA_XAUUSD!$A$2:$A$1000,ALGLIB_SSA_XAUUSD!$B$2:$B$1000,"",0)</f>
        <v/>
      </c>
      <c r="C119" t="str">
        <f>_xlfn.XLOOKUP($A119,ALGLIB_SSA_XAUUSD!$A$2:$A$1000,ALGLIB_SSA_XAUUSD!$C$2:$C$1000,"",0)</f>
        <v/>
      </c>
      <c r="D119" s="1">
        <f>D110+(D122-D110)*9/12</f>
        <v>4653.38</v>
      </c>
      <c r="E119" s="1">
        <f>E110+(E122-E110)*9/12</f>
        <v>4645.8589425</v>
      </c>
      <c r="F119" s="1">
        <f>F110+(F122-F110)*9/12</f>
        <v>4652.2323649999998</v>
      </c>
      <c r="G119" s="1">
        <f>G110+(G122-G110)*9/12</f>
        <v>4661.3744000000006</v>
      </c>
      <c r="H119" s="1">
        <f>H110+(H122-H110)*9/12</f>
        <v>4631.2826024999995</v>
      </c>
      <c r="I119" t="str">
        <f>_xlfn.XLOOKUP($A119,ALGLIB_SSA_XAUUSD!$J$2:$J$1000,ALGLIB_SSA_XAUUSD!$K$2:$K$1000,"",0)</f>
        <v>XAUUSD</v>
      </c>
      <c r="J119" t="str">
        <f>_xlfn.XLOOKUP($A119,ALGLIB_SSA_XAUUSD!$J$2:$J$1000,ALGLIB_SSA_XAUUSD!$L$2:$L$1000,"",0)</f>
        <v>M5</v>
      </c>
      <c r="K119">
        <f>_xlfn.XLOOKUP($A119,ALGLIB_SSA_XAUUSD!$J$2:$J$1000,ALGLIB_SSA_XAUUSD!$M$2:$M$1000,"",0)</f>
        <v>4670.82</v>
      </c>
      <c r="L119">
        <f>_xlfn.XLOOKUP($A119,ALGLIB_SSA_XAUUSD!$J$2:$J$1000,ALGLIB_SSA_XAUUSD!$N$2:$N$1000,"",0)</f>
        <v>4668.19722</v>
      </c>
      <c r="M119">
        <f>_xlfn.XLOOKUP($A119,ALGLIB_SSA_XAUUSD!$J$2:$J$1000,ALGLIB_SSA_XAUUSD!$O$2:$O$1000,"",0)</f>
        <v>4669.8713200000002</v>
      </c>
      <c r="N119">
        <f>_xlfn.XLOOKUP($A119,ALGLIB_SSA_XAUUSD!$J$2:$J$1000,ALGLIB_SSA_XAUUSD!$P$2:$P$1000,"",0)</f>
        <v>4672.7255100000002</v>
      </c>
      <c r="O119">
        <f>_xlfn.XLOOKUP($A119,ALGLIB_SSA_XAUUSD!$J$2:$J$1000,ALGLIB_SSA_XAUUSD!$Q$2:$Q$1000,"",0)</f>
        <v>4664.2378799999997</v>
      </c>
      <c r="R119">
        <f t="shared" si="11"/>
        <v>1775162700</v>
      </c>
      <c r="S119" t="str">
        <f t="shared" si="12"/>
        <v>XAUUSD</v>
      </c>
      <c r="T119" t="str">
        <f t="shared" si="13"/>
        <v>M5</v>
      </c>
      <c r="U119">
        <f t="shared" si="14"/>
        <v>4670.82</v>
      </c>
      <c r="V119">
        <v>4645.8589400000001</v>
      </c>
      <c r="W119">
        <v>4652.2323699999997</v>
      </c>
      <c r="X119">
        <v>4668.19722</v>
      </c>
      <c r="Y119">
        <v>4669.8713200000002</v>
      </c>
      <c r="Z119">
        <f t="shared" si="15"/>
        <v>4661.3744000000006</v>
      </c>
      <c r="AA119">
        <f t="shared" si="16"/>
        <v>4672.7255100000002</v>
      </c>
      <c r="AB119">
        <f t="shared" si="17"/>
        <v>4631.2826024999995</v>
      </c>
      <c r="AC119">
        <f t="shared" si="18"/>
        <v>4664.2378799999997</v>
      </c>
      <c r="AF119">
        <f t="shared" si="19"/>
        <v>4668.19722</v>
      </c>
      <c r="AG119">
        <f t="shared" si="20"/>
        <v>4661.3744000000006</v>
      </c>
      <c r="AH119">
        <f t="shared" si="21"/>
        <v>4631.2826024999995</v>
      </c>
    </row>
    <row r="120" spans="1:34" x14ac:dyDescent="0.55000000000000004">
      <c r="A120">
        <f>ALGLIB_SSA_XAUUSD!J120</f>
        <v>1775163000</v>
      </c>
      <c r="B120" t="str">
        <f>_xlfn.XLOOKUP($A120,ALGLIB_SSA_XAUUSD!$A$2:$A$1000,ALGLIB_SSA_XAUUSD!$B$2:$B$1000,"",0)</f>
        <v/>
      </c>
      <c r="C120" t="str">
        <f>_xlfn.XLOOKUP($A120,ALGLIB_SSA_XAUUSD!$A$2:$A$1000,ALGLIB_SSA_XAUUSD!$C$2:$C$1000,"",0)</f>
        <v/>
      </c>
      <c r="D120" s="1">
        <f>D110+(D122-D110)*10/12</f>
        <v>4650.8566666666666</v>
      </c>
      <c r="E120" s="1">
        <f>E110+(E122-E110)*10/12</f>
        <v>4645.119205</v>
      </c>
      <c r="F120" s="1">
        <f>F110+(F122-F110)*10/12</f>
        <v>4651.6595233333328</v>
      </c>
      <c r="G120" s="1">
        <f>G110+(G122-G110)*10/12</f>
        <v>4660.7890933333338</v>
      </c>
      <c r="H120" s="1">
        <f>H110+(H122-H110)*10/12</f>
        <v>4630.5184716666663</v>
      </c>
      <c r="I120" t="str">
        <f>_xlfn.XLOOKUP($A120,ALGLIB_SSA_XAUUSD!$J$2:$J$1000,ALGLIB_SSA_XAUUSD!$K$2:$K$1000,"",0)</f>
        <v>XAUUSD</v>
      </c>
      <c r="J120" t="str">
        <f>_xlfn.XLOOKUP($A120,ALGLIB_SSA_XAUUSD!$J$2:$J$1000,ALGLIB_SSA_XAUUSD!$L$2:$L$1000,"",0)</f>
        <v>M5</v>
      </c>
      <c r="K120">
        <f>_xlfn.XLOOKUP($A120,ALGLIB_SSA_XAUUSD!$J$2:$J$1000,ALGLIB_SSA_XAUUSD!$M$2:$M$1000,"",0)</f>
        <v>4672.13</v>
      </c>
      <c r="L120">
        <f>_xlfn.XLOOKUP($A120,ALGLIB_SSA_XAUUSD!$J$2:$J$1000,ALGLIB_SSA_XAUUSD!$N$2:$N$1000,"",0)</f>
        <v>4663.7628100000002</v>
      </c>
      <c r="M120">
        <f>_xlfn.XLOOKUP($A120,ALGLIB_SSA_XAUUSD!$J$2:$J$1000,ALGLIB_SSA_XAUUSD!$O$2:$O$1000,"",0)</f>
        <v>4666.8170600000003</v>
      </c>
      <c r="N120">
        <f>_xlfn.XLOOKUP($A120,ALGLIB_SSA_XAUUSD!$J$2:$J$1000,ALGLIB_SSA_XAUUSD!$P$2:$P$1000,"",0)</f>
        <v>4669.8040600000004</v>
      </c>
      <c r="O120">
        <f>_xlfn.XLOOKUP($A120,ALGLIB_SSA_XAUUSD!$J$2:$J$1000,ALGLIB_SSA_XAUUSD!$Q$2:$Q$1000,"",0)</f>
        <v>4658.9708899999996</v>
      </c>
      <c r="R120">
        <f t="shared" si="11"/>
        <v>1775163000</v>
      </c>
      <c r="S120" t="str">
        <f t="shared" si="12"/>
        <v>XAUUSD</v>
      </c>
      <c r="T120" t="str">
        <f t="shared" si="13"/>
        <v>M5</v>
      </c>
      <c r="U120">
        <f t="shared" si="14"/>
        <v>4672.13</v>
      </c>
      <c r="V120">
        <v>4645.1192099999998</v>
      </c>
      <c r="W120">
        <v>4651.6595200000002</v>
      </c>
      <c r="X120">
        <v>4663.7628100000002</v>
      </c>
      <c r="Y120">
        <v>4666.8170600000003</v>
      </c>
      <c r="Z120">
        <f t="shared" si="15"/>
        <v>4660.7890933333338</v>
      </c>
      <c r="AA120">
        <f t="shared" si="16"/>
        <v>4669.8040600000004</v>
      </c>
      <c r="AB120">
        <f t="shared" si="17"/>
        <v>4630.5184716666663</v>
      </c>
      <c r="AC120">
        <f t="shared" si="18"/>
        <v>4658.9708899999996</v>
      </c>
      <c r="AF120">
        <f t="shared" si="19"/>
        <v>4663.7628100000002</v>
      </c>
      <c r="AG120">
        <f t="shared" si="20"/>
        <v>4660.7890933333338</v>
      </c>
      <c r="AH120">
        <f t="shared" si="21"/>
        <v>4630.5184716666663</v>
      </c>
    </row>
    <row r="121" spans="1:34" x14ac:dyDescent="0.55000000000000004">
      <c r="A121">
        <f>ALGLIB_SSA_XAUUSD!J121</f>
        <v>1775163300</v>
      </c>
      <c r="B121" t="str">
        <f>_xlfn.XLOOKUP($A121,ALGLIB_SSA_XAUUSD!$A$2:$A$1000,ALGLIB_SSA_XAUUSD!$B$2:$B$1000,"",0)</f>
        <v/>
      </c>
      <c r="C121" t="str">
        <f>_xlfn.XLOOKUP($A121,ALGLIB_SSA_XAUUSD!$A$2:$A$1000,ALGLIB_SSA_XAUUSD!$C$2:$C$1000,"",0)</f>
        <v/>
      </c>
      <c r="D121" s="1">
        <f>D110+(D122-D110)*11/12</f>
        <v>4648.3333333333339</v>
      </c>
      <c r="E121" s="1">
        <f>E110+(E122-E110)*11/12</f>
        <v>4644.3794674999999</v>
      </c>
      <c r="F121" s="1">
        <f>F110+(F122-F110)*11/12</f>
        <v>4651.0866816666667</v>
      </c>
      <c r="G121" s="1">
        <f>G110+(G122-G110)*11/12</f>
        <v>4660.2037866666669</v>
      </c>
      <c r="H121" s="1">
        <f>H110+(H122-H110)*11/12</f>
        <v>4629.7543408333331</v>
      </c>
      <c r="I121" t="str">
        <f>_xlfn.XLOOKUP($A121,ALGLIB_SSA_XAUUSD!$J$2:$J$1000,ALGLIB_SSA_XAUUSD!$K$2:$K$1000,"",0)</f>
        <v>XAUUSD</v>
      </c>
      <c r="J121" t="str">
        <f>_xlfn.XLOOKUP($A121,ALGLIB_SSA_XAUUSD!$J$2:$J$1000,ALGLIB_SSA_XAUUSD!$L$2:$L$1000,"",0)</f>
        <v>M5</v>
      </c>
      <c r="K121">
        <f>_xlfn.XLOOKUP($A121,ALGLIB_SSA_XAUUSD!$J$2:$J$1000,ALGLIB_SSA_XAUUSD!$M$2:$M$1000,"",0)</f>
        <v>4676.09</v>
      </c>
      <c r="L121">
        <f>_xlfn.XLOOKUP($A121,ALGLIB_SSA_XAUUSD!$J$2:$J$1000,ALGLIB_SSA_XAUUSD!$N$2:$N$1000,"",0)</f>
        <v>4657.7479999999996</v>
      </c>
      <c r="M121">
        <f>_xlfn.XLOOKUP($A121,ALGLIB_SSA_XAUUSD!$J$2:$J$1000,ALGLIB_SSA_XAUUSD!$O$2:$O$1000,"",0)</f>
        <v>4662.2825300000004</v>
      </c>
      <c r="N121">
        <f>_xlfn.XLOOKUP($A121,ALGLIB_SSA_XAUUSD!$J$2:$J$1000,ALGLIB_SSA_XAUUSD!$P$2:$P$1000,"",0)</f>
        <v>4665.1652800000002</v>
      </c>
      <c r="O121">
        <f>_xlfn.XLOOKUP($A121,ALGLIB_SSA_XAUUSD!$J$2:$J$1000,ALGLIB_SSA_XAUUSD!$Q$2:$Q$1000,"",0)</f>
        <v>4652.3676299999997</v>
      </c>
      <c r="R121">
        <f t="shared" si="11"/>
        <v>1775163300</v>
      </c>
      <c r="S121" t="str">
        <f t="shared" si="12"/>
        <v>XAUUSD</v>
      </c>
      <c r="T121" t="str">
        <f t="shared" si="13"/>
        <v>M5</v>
      </c>
      <c r="U121">
        <f t="shared" si="14"/>
        <v>4676.09</v>
      </c>
      <c r="V121">
        <v>4644.3794699999999</v>
      </c>
      <c r="W121">
        <v>4651.0866800000003</v>
      </c>
      <c r="X121">
        <v>4657.7479999999996</v>
      </c>
      <c r="Y121">
        <v>4662.2825300000004</v>
      </c>
      <c r="Z121">
        <f t="shared" si="15"/>
        <v>4660.2037866666669</v>
      </c>
      <c r="AA121">
        <f t="shared" si="16"/>
        <v>4665.1652800000002</v>
      </c>
      <c r="AB121">
        <f t="shared" si="17"/>
        <v>4629.7543408333331</v>
      </c>
      <c r="AC121">
        <f t="shared" si="18"/>
        <v>4652.3676299999997</v>
      </c>
      <c r="AF121">
        <f t="shared" si="19"/>
        <v>4657.7479999999996</v>
      </c>
      <c r="AG121">
        <f t="shared" si="20"/>
        <v>4660.2037866666669</v>
      </c>
      <c r="AH121">
        <f t="shared" si="21"/>
        <v>4629.7543408333331</v>
      </c>
    </row>
    <row r="122" spans="1:34" x14ac:dyDescent="0.55000000000000004">
      <c r="A122">
        <f>ALGLIB_SSA_XAUUSD!J122</f>
        <v>1775426400</v>
      </c>
      <c r="B122" t="str">
        <f>_xlfn.XLOOKUP($A122,ALGLIB_SSA_XAUUSD!$A$2:$A$1000,ALGLIB_SSA_XAUUSD!$B$2:$B$1000,"",0)</f>
        <v>XAUUSD</v>
      </c>
      <c r="C122" t="str">
        <f>_xlfn.XLOOKUP($A122,ALGLIB_SSA_XAUUSD!$A$2:$A$1000,ALGLIB_SSA_XAUUSD!$C$2:$C$1000,"",0)</f>
        <v>H1</v>
      </c>
      <c r="D122" s="2">
        <f>_xlfn.XLOOKUP($A122,ALGLIB_SSA_XAUUSD!$A$2:$A$1000,ALGLIB_SSA_XAUUSD!$D$2:$D$1000,"",0)</f>
        <v>4645.8100000000004</v>
      </c>
      <c r="E122" s="2">
        <f>_xlfn.XLOOKUP($A122,ALGLIB_SSA_XAUUSD!$A$2:$A$1000,ALGLIB_SSA_XAUUSD!$E$2:$E$1000,"",0)</f>
        <v>4643.6397299999999</v>
      </c>
      <c r="F122" s="2">
        <f>_xlfn.XLOOKUP($A122,ALGLIB_SSA_XAUUSD!$A$2:$A$1000,ALGLIB_SSA_XAUUSD!$F$2:$F$1000,"",0)</f>
        <v>4650.5138399999996</v>
      </c>
      <c r="G122" s="2">
        <f>_xlfn.XLOOKUP($A122,ALGLIB_SSA_XAUUSD!$A$2:$A$1000,ALGLIB_SSA_XAUUSD!$G$2:$G$1000,"",0)</f>
        <v>4659.6184800000001</v>
      </c>
      <c r="H122" s="2">
        <f>_xlfn.XLOOKUP($A122,ALGLIB_SSA_XAUUSD!$A$2:$A$1000,ALGLIB_SSA_XAUUSD!$H$2:$H$1000,"",0)</f>
        <v>4628.9902099999999</v>
      </c>
      <c r="I122" t="str">
        <f>_xlfn.XLOOKUP($A122,ALGLIB_SSA_XAUUSD!$J$2:$J$1000,ALGLIB_SSA_XAUUSD!$K$2:$K$1000,"",0)</f>
        <v>XAUUSD</v>
      </c>
      <c r="J122" t="str">
        <f>_xlfn.XLOOKUP($A122,ALGLIB_SSA_XAUUSD!$J$2:$J$1000,ALGLIB_SSA_XAUUSD!$L$2:$L$1000,"",0)</f>
        <v>M5</v>
      </c>
      <c r="K122">
        <f>_xlfn.XLOOKUP($A122,ALGLIB_SSA_XAUUSD!$J$2:$J$1000,ALGLIB_SSA_XAUUSD!$M$2:$M$1000,"",0)</f>
        <v>4637.3599999999997</v>
      </c>
      <c r="L122">
        <f>_xlfn.XLOOKUP($A122,ALGLIB_SSA_XAUUSD!$J$2:$J$1000,ALGLIB_SSA_XAUUSD!$N$2:$N$1000,"",0)</f>
        <v>4650.5617499999998</v>
      </c>
      <c r="M122">
        <f>_xlfn.XLOOKUP($A122,ALGLIB_SSA_XAUUSD!$J$2:$J$1000,ALGLIB_SSA_XAUUSD!$O$2:$O$1000,"",0)</f>
        <v>4656.4221399999997</v>
      </c>
      <c r="N122">
        <f>_xlfn.XLOOKUP($A122,ALGLIB_SSA_XAUUSD!$J$2:$J$1000,ALGLIB_SSA_XAUUSD!$P$2:$P$1000,"",0)</f>
        <v>4658.9313899999997</v>
      </c>
      <c r="O122">
        <f>_xlfn.XLOOKUP($A122,ALGLIB_SSA_XAUUSD!$J$2:$J$1000,ALGLIB_SSA_XAUUSD!$Q$2:$Q$1000,"",0)</f>
        <v>4644.8408300000001</v>
      </c>
      <c r="R122">
        <f t="shared" si="11"/>
        <v>1775426400</v>
      </c>
      <c r="S122" t="str">
        <f t="shared" si="12"/>
        <v>XAUUSD</v>
      </c>
      <c r="T122" t="str">
        <f t="shared" si="13"/>
        <v>M5</v>
      </c>
      <c r="U122">
        <f t="shared" si="14"/>
        <v>4637.3599999999997</v>
      </c>
      <c r="V122">
        <v>4643.6397299999999</v>
      </c>
      <c r="W122">
        <v>4650.5138399999996</v>
      </c>
      <c r="X122">
        <v>4650.5617499999998</v>
      </c>
      <c r="Y122">
        <v>4656.4221399999997</v>
      </c>
      <c r="Z122">
        <f t="shared" si="15"/>
        <v>4659.6184800000001</v>
      </c>
      <c r="AA122">
        <f t="shared" si="16"/>
        <v>4658.9313899999997</v>
      </c>
      <c r="AB122">
        <f t="shared" si="17"/>
        <v>4628.9902099999999</v>
      </c>
      <c r="AC122">
        <f t="shared" si="18"/>
        <v>4644.8408300000001</v>
      </c>
      <c r="AF122">
        <f t="shared" si="19"/>
        <v>4650.5617499999998</v>
      </c>
      <c r="AG122">
        <f t="shared" si="20"/>
        <v>4659.6184800000001</v>
      </c>
      <c r="AH122">
        <f t="shared" si="21"/>
        <v>4628.9902099999999</v>
      </c>
    </row>
    <row r="123" spans="1:34" x14ac:dyDescent="0.55000000000000004">
      <c r="A123">
        <f>ALGLIB_SSA_XAUUSD!J123</f>
        <v>1775426700</v>
      </c>
      <c r="B123" t="str">
        <f>_xlfn.XLOOKUP($A123,ALGLIB_SSA_XAUUSD!$A$2:$A$1000,ALGLIB_SSA_XAUUSD!$B$2:$B$1000,"",0)</f>
        <v/>
      </c>
      <c r="C123" t="str">
        <f>_xlfn.XLOOKUP($A123,ALGLIB_SSA_XAUUSD!$A$2:$A$1000,ALGLIB_SSA_XAUUSD!$C$2:$C$1000,"",0)</f>
        <v/>
      </c>
      <c r="D123" s="1">
        <f>D122+(D134-D122)*1/12</f>
        <v>4642.8700000000008</v>
      </c>
      <c r="E123" s="1">
        <f>E122+(E134-E122)*1/12</f>
        <v>4642.9894699999995</v>
      </c>
      <c r="F123" s="1">
        <f>F122+(F134-F122)*1/12</f>
        <v>4649.9022883333328</v>
      </c>
      <c r="G123" s="1">
        <f>G122+(G134-G122)*1/12</f>
        <v>4659.095430833333</v>
      </c>
      <c r="H123" s="1">
        <f>H122+(H134-H122)*1/12</f>
        <v>4628.3200283333335</v>
      </c>
      <c r="I123" t="str">
        <f>_xlfn.XLOOKUP($A123,ALGLIB_SSA_XAUUSD!$J$2:$J$1000,ALGLIB_SSA_XAUUSD!$K$2:$K$1000,"",0)</f>
        <v>XAUUSD</v>
      </c>
      <c r="J123" t="str">
        <f>_xlfn.XLOOKUP($A123,ALGLIB_SSA_XAUUSD!$J$2:$J$1000,ALGLIB_SSA_XAUUSD!$L$2:$L$1000,"",0)</f>
        <v>M5</v>
      </c>
      <c r="K123">
        <f>_xlfn.XLOOKUP($A123,ALGLIB_SSA_XAUUSD!$J$2:$J$1000,ALGLIB_SSA_XAUUSD!$M$2:$M$1000,"",0)</f>
        <v>4633.63</v>
      </c>
      <c r="L123">
        <f>_xlfn.XLOOKUP($A123,ALGLIB_SSA_XAUUSD!$J$2:$J$1000,ALGLIB_SSA_XAUUSD!$N$2:$N$1000,"",0)</f>
        <v>4643.8998199999996</v>
      </c>
      <c r="M123">
        <f>_xlfn.XLOOKUP($A123,ALGLIB_SSA_XAUUSD!$J$2:$J$1000,ALGLIB_SSA_XAUUSD!$O$2:$O$1000,"",0)</f>
        <v>4650.1609799999997</v>
      </c>
      <c r="N123">
        <f>_xlfn.XLOOKUP($A123,ALGLIB_SSA_XAUUSD!$J$2:$J$1000,ALGLIB_SSA_XAUUSD!$P$2:$P$1000,"",0)</f>
        <v>4652.0105800000001</v>
      </c>
      <c r="O123">
        <f>_xlfn.XLOOKUP($A123,ALGLIB_SSA_XAUUSD!$J$2:$J$1000,ALGLIB_SSA_XAUUSD!$Q$2:$Q$1000,"",0)</f>
        <v>4638.0308800000003</v>
      </c>
      <c r="R123">
        <f t="shared" si="11"/>
        <v>1775426700</v>
      </c>
      <c r="S123" t="str">
        <f t="shared" si="12"/>
        <v>XAUUSD</v>
      </c>
      <c r="T123" t="str">
        <f t="shared" si="13"/>
        <v>M5</v>
      </c>
      <c r="U123">
        <f t="shared" si="14"/>
        <v>4633.63</v>
      </c>
      <c r="V123">
        <v>4642.9894700000004</v>
      </c>
      <c r="W123">
        <v>4649.90229</v>
      </c>
      <c r="X123">
        <v>4643.8998199999996</v>
      </c>
      <c r="Y123">
        <v>4650.1609799999997</v>
      </c>
      <c r="Z123">
        <f t="shared" si="15"/>
        <v>4659.095430833333</v>
      </c>
      <c r="AA123">
        <f t="shared" si="16"/>
        <v>4652.0105800000001</v>
      </c>
      <c r="AB123">
        <f t="shared" si="17"/>
        <v>4628.3200283333335</v>
      </c>
      <c r="AC123">
        <f t="shared" si="18"/>
        <v>4638.0308800000003</v>
      </c>
      <c r="AF123">
        <f t="shared" si="19"/>
        <v>4643.8998199999996</v>
      </c>
      <c r="AG123">
        <f t="shared" si="20"/>
        <v>4659.095430833333</v>
      </c>
      <c r="AH123">
        <f t="shared" si="21"/>
        <v>4628.3200283333335</v>
      </c>
    </row>
    <row r="124" spans="1:34" x14ac:dyDescent="0.55000000000000004">
      <c r="A124">
        <f>ALGLIB_SSA_XAUUSD!J124</f>
        <v>1775427000</v>
      </c>
      <c r="B124" t="str">
        <f>_xlfn.XLOOKUP($A124,ALGLIB_SSA_XAUUSD!$A$2:$A$1000,ALGLIB_SSA_XAUUSD!$B$2:$B$1000,"",0)</f>
        <v/>
      </c>
      <c r="C124" t="str">
        <f>_xlfn.XLOOKUP($A124,ALGLIB_SSA_XAUUSD!$A$2:$A$1000,ALGLIB_SSA_XAUUSD!$C$2:$C$1000,"",0)</f>
        <v/>
      </c>
      <c r="D124" s="1">
        <f>D122+(D134-D122)*2/12</f>
        <v>4639.93</v>
      </c>
      <c r="E124" s="1">
        <f>E122+(E134-E122)*2/12</f>
        <v>4642.3392100000001</v>
      </c>
      <c r="F124" s="1">
        <f>F122+(F134-F122)*2/12</f>
        <v>4649.2907366666659</v>
      </c>
      <c r="G124" s="1">
        <f>G122+(G134-G122)*2/12</f>
        <v>4658.5723816666668</v>
      </c>
      <c r="H124" s="1">
        <f>H122+(H134-H122)*2/12</f>
        <v>4627.6498466666662</v>
      </c>
      <c r="I124" t="str">
        <f>_xlfn.XLOOKUP($A124,ALGLIB_SSA_XAUUSD!$J$2:$J$1000,ALGLIB_SSA_XAUUSD!$K$2:$K$1000,"",0)</f>
        <v>XAUUSD</v>
      </c>
      <c r="J124" t="str">
        <f>_xlfn.XLOOKUP($A124,ALGLIB_SSA_XAUUSD!$J$2:$J$1000,ALGLIB_SSA_XAUUSD!$L$2:$L$1000,"",0)</f>
        <v>M5</v>
      </c>
      <c r="K124">
        <f>_xlfn.XLOOKUP($A124,ALGLIB_SSA_XAUUSD!$J$2:$J$1000,ALGLIB_SSA_XAUUSD!$M$2:$M$1000,"",0)</f>
        <v>4629.97</v>
      </c>
      <c r="L124">
        <f>_xlfn.XLOOKUP($A124,ALGLIB_SSA_XAUUSD!$J$2:$J$1000,ALGLIB_SSA_XAUUSD!$N$2:$N$1000,"",0)</f>
        <v>4638.5802299999996</v>
      </c>
      <c r="M124">
        <f>_xlfn.XLOOKUP($A124,ALGLIB_SSA_XAUUSD!$J$2:$J$1000,ALGLIB_SSA_XAUUSD!$O$2:$O$1000,"",0)</f>
        <v>4644.3706000000002</v>
      </c>
      <c r="N124">
        <f>_xlfn.XLOOKUP($A124,ALGLIB_SSA_XAUUSD!$J$2:$J$1000,ALGLIB_SSA_XAUUSD!$P$2:$P$1000,"",0)</f>
        <v>4645.8410599999997</v>
      </c>
      <c r="O124">
        <f>_xlfn.XLOOKUP($A124,ALGLIB_SSA_XAUUSD!$J$2:$J$1000,ALGLIB_SSA_XAUUSD!$Q$2:$Q$1000,"",0)</f>
        <v>4632.5402100000001</v>
      </c>
      <c r="R124">
        <f t="shared" si="11"/>
        <v>1775427000</v>
      </c>
      <c r="S124" t="str">
        <f t="shared" si="12"/>
        <v>XAUUSD</v>
      </c>
      <c r="T124" t="str">
        <f t="shared" si="13"/>
        <v>M5</v>
      </c>
      <c r="U124">
        <f t="shared" si="14"/>
        <v>4629.97</v>
      </c>
      <c r="V124">
        <v>4642.3392100000001</v>
      </c>
      <c r="W124">
        <v>4649.2907400000004</v>
      </c>
      <c r="X124">
        <v>4638.5802299999996</v>
      </c>
      <c r="Y124">
        <v>4644.3706000000002</v>
      </c>
      <c r="Z124">
        <f t="shared" si="15"/>
        <v>4658.5723816666668</v>
      </c>
      <c r="AA124">
        <f t="shared" si="16"/>
        <v>4645.8410599999997</v>
      </c>
      <c r="AB124">
        <f t="shared" si="17"/>
        <v>4627.6498466666662</v>
      </c>
      <c r="AC124">
        <f t="shared" si="18"/>
        <v>4632.5402100000001</v>
      </c>
      <c r="AF124">
        <f t="shared" si="19"/>
        <v>4638.5802299999996</v>
      </c>
      <c r="AG124">
        <f t="shared" si="20"/>
        <v>4658.5723816666668</v>
      </c>
      <c r="AH124">
        <f t="shared" si="21"/>
        <v>4627.6498466666662</v>
      </c>
    </row>
    <row r="125" spans="1:34" x14ac:dyDescent="0.55000000000000004">
      <c r="A125">
        <f>ALGLIB_SSA_XAUUSD!J125</f>
        <v>1775427300</v>
      </c>
      <c r="B125" t="str">
        <f>_xlfn.XLOOKUP($A125,ALGLIB_SSA_XAUUSD!$A$2:$A$1000,ALGLIB_SSA_XAUUSD!$B$2:$B$1000,"",0)</f>
        <v/>
      </c>
      <c r="C125" t="str">
        <f>_xlfn.XLOOKUP($A125,ALGLIB_SSA_XAUUSD!$A$2:$A$1000,ALGLIB_SSA_XAUUSD!$C$2:$C$1000,"",0)</f>
        <v/>
      </c>
      <c r="D125" s="1">
        <f>D122+(D134-D122)*3/12</f>
        <v>4636.99</v>
      </c>
      <c r="E125" s="1">
        <f>E122+(E134-E122)*3/12</f>
        <v>4641.6889499999997</v>
      </c>
      <c r="F125" s="1">
        <f>F122+(F134-F122)*3/12</f>
        <v>4648.679185</v>
      </c>
      <c r="G125" s="1">
        <f>G122+(G134-G122)*3/12</f>
        <v>4658.0493324999998</v>
      </c>
      <c r="H125" s="1">
        <f>H122+(H134-H122)*3/12</f>
        <v>4626.9796649999998</v>
      </c>
      <c r="I125" t="str">
        <f>_xlfn.XLOOKUP($A125,ALGLIB_SSA_XAUUSD!$J$2:$J$1000,ALGLIB_SSA_XAUUSD!$K$2:$K$1000,"",0)</f>
        <v>XAUUSD</v>
      </c>
      <c r="J125" t="str">
        <f>_xlfn.XLOOKUP($A125,ALGLIB_SSA_XAUUSD!$J$2:$J$1000,ALGLIB_SSA_XAUUSD!$L$2:$L$1000,"",0)</f>
        <v>M5</v>
      </c>
      <c r="K125">
        <f>_xlfn.XLOOKUP($A125,ALGLIB_SSA_XAUUSD!$J$2:$J$1000,ALGLIB_SSA_XAUUSD!$M$2:$M$1000,"",0)</f>
        <v>4635.7700000000004</v>
      </c>
      <c r="L125">
        <f>_xlfn.XLOOKUP($A125,ALGLIB_SSA_XAUUSD!$J$2:$J$1000,ALGLIB_SSA_XAUUSD!$N$2:$N$1000,"",0)</f>
        <v>4635.1809899999998</v>
      </c>
      <c r="M125">
        <f>_xlfn.XLOOKUP($A125,ALGLIB_SSA_XAUUSD!$J$2:$J$1000,ALGLIB_SSA_XAUUSD!$O$2:$O$1000,"",0)</f>
        <v>4639.7758000000003</v>
      </c>
      <c r="N125">
        <f>_xlfn.XLOOKUP($A125,ALGLIB_SSA_XAUUSD!$J$2:$J$1000,ALGLIB_SSA_XAUUSD!$P$2:$P$1000,"",0)</f>
        <v>4641.2815499999997</v>
      </c>
      <c r="O125">
        <f>_xlfn.XLOOKUP($A125,ALGLIB_SSA_XAUUSD!$J$2:$J$1000,ALGLIB_SSA_XAUUSD!$Q$2:$Q$1000,"",0)</f>
        <v>4629.0387499999997</v>
      </c>
      <c r="R125">
        <f t="shared" si="11"/>
        <v>1775427300</v>
      </c>
      <c r="S125" t="str">
        <f t="shared" si="12"/>
        <v>XAUUSD</v>
      </c>
      <c r="T125" t="str">
        <f t="shared" si="13"/>
        <v>M5</v>
      </c>
      <c r="U125">
        <f t="shared" si="14"/>
        <v>4635.7700000000004</v>
      </c>
      <c r="V125">
        <v>4641.6889499999997</v>
      </c>
      <c r="W125">
        <v>4648.6791899999998</v>
      </c>
      <c r="X125">
        <v>4635.1809899999998</v>
      </c>
      <c r="Y125">
        <v>4639.7758000000003</v>
      </c>
      <c r="Z125">
        <f t="shared" si="15"/>
        <v>4658.0493324999998</v>
      </c>
      <c r="AA125">
        <f t="shared" si="16"/>
        <v>4641.2815499999997</v>
      </c>
      <c r="AB125">
        <f t="shared" si="17"/>
        <v>4626.9796649999998</v>
      </c>
      <c r="AC125">
        <f t="shared" si="18"/>
        <v>4629.0387499999997</v>
      </c>
      <c r="AF125">
        <f t="shared" si="19"/>
        <v>4635.1809899999998</v>
      </c>
      <c r="AG125">
        <f t="shared" si="20"/>
        <v>4658.0493324999998</v>
      </c>
      <c r="AH125">
        <f t="shared" si="21"/>
        <v>4626.9796649999998</v>
      </c>
    </row>
    <row r="126" spans="1:34" x14ac:dyDescent="0.55000000000000004">
      <c r="A126">
        <f>ALGLIB_SSA_XAUUSD!J126</f>
        <v>1775427600</v>
      </c>
      <c r="B126" t="str">
        <f>_xlfn.XLOOKUP($A126,ALGLIB_SSA_XAUUSD!$A$2:$A$1000,ALGLIB_SSA_XAUUSD!$B$2:$B$1000,"",0)</f>
        <v/>
      </c>
      <c r="C126" t="str">
        <f>_xlfn.XLOOKUP($A126,ALGLIB_SSA_XAUUSD!$A$2:$A$1000,ALGLIB_SSA_XAUUSD!$C$2:$C$1000,"",0)</f>
        <v/>
      </c>
      <c r="D126" s="1">
        <f>D122+(D134-D122)*4/12</f>
        <v>4634.05</v>
      </c>
      <c r="E126" s="1">
        <f>E122+(E134-E122)*4/12</f>
        <v>4641.0386900000003</v>
      </c>
      <c r="F126" s="1">
        <f>F122+(F134-F122)*4/12</f>
        <v>4648.0676333333331</v>
      </c>
      <c r="G126" s="1">
        <f>G122+(G134-G122)*4/12</f>
        <v>4657.5262833333336</v>
      </c>
      <c r="H126" s="1">
        <f>H122+(H134-H122)*4/12</f>
        <v>4626.3094833333334</v>
      </c>
      <c r="I126" t="str">
        <f>_xlfn.XLOOKUP($A126,ALGLIB_SSA_XAUUSD!$J$2:$J$1000,ALGLIB_SSA_XAUUSD!$K$2:$K$1000,"",0)</f>
        <v>XAUUSD</v>
      </c>
      <c r="J126" t="str">
        <f>_xlfn.XLOOKUP($A126,ALGLIB_SSA_XAUUSD!$J$2:$J$1000,ALGLIB_SSA_XAUUSD!$L$2:$L$1000,"",0)</f>
        <v>M5</v>
      </c>
      <c r="K126">
        <f>_xlfn.XLOOKUP($A126,ALGLIB_SSA_XAUUSD!$J$2:$J$1000,ALGLIB_SSA_XAUUSD!$M$2:$M$1000,"",0)</f>
        <v>4641.3500000000004</v>
      </c>
      <c r="L126">
        <f>_xlfn.XLOOKUP($A126,ALGLIB_SSA_XAUUSD!$J$2:$J$1000,ALGLIB_SSA_XAUUSD!$N$2:$N$1000,"",0)</f>
        <v>4633.7358199999999</v>
      </c>
      <c r="M126">
        <f>_xlfn.XLOOKUP($A126,ALGLIB_SSA_XAUUSD!$J$2:$J$1000,ALGLIB_SSA_XAUUSD!$O$2:$O$1000,"",0)</f>
        <v>4636.7558099999997</v>
      </c>
      <c r="N126">
        <f>_xlfn.XLOOKUP($A126,ALGLIB_SSA_XAUUSD!$J$2:$J$1000,ALGLIB_SSA_XAUUSD!$P$2:$P$1000,"",0)</f>
        <v>4638.7064200000004</v>
      </c>
      <c r="O126">
        <f>_xlfn.XLOOKUP($A126,ALGLIB_SSA_XAUUSD!$J$2:$J$1000,ALGLIB_SSA_XAUUSD!$Q$2:$Q$1000,"",0)</f>
        <v>4627.1490000000003</v>
      </c>
      <c r="R126">
        <f t="shared" si="11"/>
        <v>1775427600</v>
      </c>
      <c r="S126" t="str">
        <f t="shared" si="12"/>
        <v>XAUUSD</v>
      </c>
      <c r="T126" t="str">
        <f t="shared" si="13"/>
        <v>M5</v>
      </c>
      <c r="U126">
        <f t="shared" si="14"/>
        <v>4641.3500000000004</v>
      </c>
      <c r="V126">
        <v>4641.0386900000003</v>
      </c>
      <c r="W126">
        <v>4648.0676299999996</v>
      </c>
      <c r="X126">
        <v>4633.7358199999999</v>
      </c>
      <c r="Y126">
        <v>4636.7558099999997</v>
      </c>
      <c r="Z126">
        <f t="shared" si="15"/>
        <v>4657.5262833333336</v>
      </c>
      <c r="AA126">
        <f t="shared" si="16"/>
        <v>4638.7064200000004</v>
      </c>
      <c r="AB126">
        <f t="shared" si="17"/>
        <v>4626.3094833333334</v>
      </c>
      <c r="AC126">
        <f t="shared" si="18"/>
        <v>4627.1490000000003</v>
      </c>
      <c r="AF126">
        <f t="shared" si="19"/>
        <v>4633.7358199999999</v>
      </c>
      <c r="AG126">
        <f t="shared" si="20"/>
        <v>4657.5262833333336</v>
      </c>
      <c r="AH126">
        <f t="shared" si="21"/>
        <v>4626.3094833333334</v>
      </c>
    </row>
    <row r="127" spans="1:34" x14ac:dyDescent="0.55000000000000004">
      <c r="A127">
        <f>ALGLIB_SSA_XAUUSD!J127</f>
        <v>1775427900</v>
      </c>
      <c r="B127" t="str">
        <f>_xlfn.XLOOKUP($A127,ALGLIB_SSA_XAUUSD!$A$2:$A$1000,ALGLIB_SSA_XAUUSD!$B$2:$B$1000,"",0)</f>
        <v/>
      </c>
      <c r="C127" t="str">
        <f>_xlfn.XLOOKUP($A127,ALGLIB_SSA_XAUUSD!$A$2:$A$1000,ALGLIB_SSA_XAUUSD!$C$2:$C$1000,"",0)</f>
        <v/>
      </c>
      <c r="D127" s="1">
        <f>D122+(D134-D122)*5/12</f>
        <v>4631.1100000000006</v>
      </c>
      <c r="E127" s="1">
        <f>E122+(E134-E122)*5/12</f>
        <v>4640.38843</v>
      </c>
      <c r="F127" s="1">
        <f>F122+(F134-F122)*5/12</f>
        <v>4647.4560816666663</v>
      </c>
      <c r="G127" s="1">
        <f>G122+(G134-G122)*5/12</f>
        <v>4657.0032341666665</v>
      </c>
      <c r="H127" s="1">
        <f>H122+(H134-H122)*5/12</f>
        <v>4625.6393016666661</v>
      </c>
      <c r="I127" t="str">
        <f>_xlfn.XLOOKUP($A127,ALGLIB_SSA_XAUUSD!$J$2:$J$1000,ALGLIB_SSA_XAUUSD!$K$2:$K$1000,"",0)</f>
        <v>XAUUSD</v>
      </c>
      <c r="J127" t="str">
        <f>_xlfn.XLOOKUP($A127,ALGLIB_SSA_XAUUSD!$J$2:$J$1000,ALGLIB_SSA_XAUUSD!$L$2:$L$1000,"",0)</f>
        <v>M5</v>
      </c>
      <c r="K127">
        <f>_xlfn.XLOOKUP($A127,ALGLIB_SSA_XAUUSD!$J$2:$J$1000,ALGLIB_SSA_XAUUSD!$M$2:$M$1000,"",0)</f>
        <v>4635.96</v>
      </c>
      <c r="L127">
        <f>_xlfn.XLOOKUP($A127,ALGLIB_SSA_XAUUSD!$J$2:$J$1000,ALGLIB_SSA_XAUUSD!$N$2:$N$1000,"",0)</f>
        <v>4633.9632600000004</v>
      </c>
      <c r="M127">
        <f>_xlfn.XLOOKUP($A127,ALGLIB_SSA_XAUUSD!$J$2:$J$1000,ALGLIB_SSA_XAUUSD!$O$2:$O$1000,"",0)</f>
        <v>4635.3595400000004</v>
      </c>
      <c r="N127">
        <f>_xlfn.XLOOKUP($A127,ALGLIB_SSA_XAUUSD!$J$2:$J$1000,ALGLIB_SSA_XAUUSD!$P$2:$P$1000,"",0)</f>
        <v>4638.2820599999995</v>
      </c>
      <c r="O127">
        <f>_xlfn.XLOOKUP($A127,ALGLIB_SSA_XAUUSD!$J$2:$J$1000,ALGLIB_SSA_XAUUSD!$Q$2:$Q$1000,"",0)</f>
        <v>4626.52934</v>
      </c>
      <c r="R127">
        <f t="shared" si="11"/>
        <v>1775427900</v>
      </c>
      <c r="S127" t="str">
        <f t="shared" si="12"/>
        <v>XAUUSD</v>
      </c>
      <c r="T127" t="str">
        <f t="shared" si="13"/>
        <v>M5</v>
      </c>
      <c r="U127">
        <f t="shared" si="14"/>
        <v>4635.96</v>
      </c>
      <c r="V127">
        <v>4640.38843</v>
      </c>
      <c r="W127">
        <v>4647.4560799999999</v>
      </c>
      <c r="X127">
        <v>4633.9632600000004</v>
      </c>
      <c r="Y127">
        <v>4635.3595400000004</v>
      </c>
      <c r="Z127">
        <f t="shared" si="15"/>
        <v>4657.0032341666665</v>
      </c>
      <c r="AA127">
        <f t="shared" si="16"/>
        <v>4638.2820599999995</v>
      </c>
      <c r="AB127">
        <f t="shared" si="17"/>
        <v>4625.6393016666661</v>
      </c>
      <c r="AC127">
        <f t="shared" si="18"/>
        <v>4626.52934</v>
      </c>
      <c r="AF127">
        <f t="shared" si="19"/>
        <v>4633.9632600000004</v>
      </c>
      <c r="AG127">
        <f t="shared" si="20"/>
        <v>4657.0032341666665</v>
      </c>
      <c r="AH127">
        <f t="shared" si="21"/>
        <v>4625.6393016666661</v>
      </c>
    </row>
    <row r="128" spans="1:34" x14ac:dyDescent="0.55000000000000004">
      <c r="A128">
        <f>ALGLIB_SSA_XAUUSD!J128</f>
        <v>1775428200</v>
      </c>
      <c r="B128" t="str">
        <f>_xlfn.XLOOKUP($A128,ALGLIB_SSA_XAUUSD!$A$2:$A$1000,ALGLIB_SSA_XAUUSD!$B$2:$B$1000,"",0)</f>
        <v/>
      </c>
      <c r="C128" t="str">
        <f>_xlfn.XLOOKUP($A128,ALGLIB_SSA_XAUUSD!$A$2:$A$1000,ALGLIB_SSA_XAUUSD!$C$2:$C$1000,"",0)</f>
        <v/>
      </c>
      <c r="D128" s="1">
        <f>D122+(D134-D122)*6/12</f>
        <v>4628.17</v>
      </c>
      <c r="E128" s="1">
        <f>E122+(E134-E122)*6/12</f>
        <v>4639.7381700000005</v>
      </c>
      <c r="F128" s="1">
        <f>F122+(F134-F122)*6/12</f>
        <v>4646.8445300000003</v>
      </c>
      <c r="G128" s="1">
        <f>G122+(G134-G122)*6/12</f>
        <v>4656.4801850000003</v>
      </c>
      <c r="H128" s="1">
        <f>H122+(H134-H122)*6/12</f>
        <v>4624.9691199999997</v>
      </c>
      <c r="I128" t="str">
        <f>_xlfn.XLOOKUP($A128,ALGLIB_SSA_XAUUSD!$J$2:$J$1000,ALGLIB_SSA_XAUUSD!$K$2:$K$1000,"",0)</f>
        <v>XAUUSD</v>
      </c>
      <c r="J128" t="str">
        <f>_xlfn.XLOOKUP($A128,ALGLIB_SSA_XAUUSD!$J$2:$J$1000,ALGLIB_SSA_XAUUSD!$L$2:$L$1000,"",0)</f>
        <v>M5</v>
      </c>
      <c r="K128">
        <f>_xlfn.XLOOKUP($A128,ALGLIB_SSA_XAUUSD!$J$2:$J$1000,ALGLIB_SSA_XAUUSD!$M$2:$M$1000,"",0)</f>
        <v>4634.46</v>
      </c>
      <c r="L128">
        <f>_xlfn.XLOOKUP($A128,ALGLIB_SSA_XAUUSD!$J$2:$J$1000,ALGLIB_SSA_XAUUSD!$N$2:$N$1000,"",0)</f>
        <v>4635.5799699999998</v>
      </c>
      <c r="M128">
        <f>_xlfn.XLOOKUP($A128,ALGLIB_SSA_XAUUSD!$J$2:$J$1000,ALGLIB_SSA_XAUUSD!$O$2:$O$1000,"",0)</f>
        <v>4635.46976</v>
      </c>
      <c r="N128">
        <f>_xlfn.XLOOKUP($A128,ALGLIB_SSA_XAUUSD!$J$2:$J$1000,ALGLIB_SSA_XAUUSD!$P$2:$P$1000,"",0)</f>
        <v>4639.8127599999998</v>
      </c>
      <c r="O128">
        <f>_xlfn.XLOOKUP($A128,ALGLIB_SSA_XAUUSD!$J$2:$J$1000,ALGLIB_SSA_XAUUSD!$Q$2:$Q$1000,"",0)</f>
        <v>4626.7584900000002</v>
      </c>
      <c r="R128">
        <f t="shared" si="11"/>
        <v>1775428200</v>
      </c>
      <c r="S128" t="str">
        <f t="shared" si="12"/>
        <v>XAUUSD</v>
      </c>
      <c r="T128" t="str">
        <f t="shared" si="13"/>
        <v>M5</v>
      </c>
      <c r="U128">
        <f t="shared" si="14"/>
        <v>4634.46</v>
      </c>
      <c r="V128">
        <v>4639.7381699999996</v>
      </c>
      <c r="W128">
        <v>4646.8445300000003</v>
      </c>
      <c r="X128">
        <v>4635.5799699999998</v>
      </c>
      <c r="Y128">
        <v>4635.46976</v>
      </c>
      <c r="Z128">
        <f t="shared" si="15"/>
        <v>4656.4801850000003</v>
      </c>
      <c r="AA128">
        <f t="shared" si="16"/>
        <v>4639.8127599999998</v>
      </c>
      <c r="AB128">
        <f t="shared" si="17"/>
        <v>4624.9691199999997</v>
      </c>
      <c r="AC128">
        <f t="shared" si="18"/>
        <v>4626.7584900000002</v>
      </c>
      <c r="AF128">
        <f t="shared" si="19"/>
        <v>4635.5799699999998</v>
      </c>
      <c r="AG128">
        <f t="shared" si="20"/>
        <v>4656.4801850000003</v>
      </c>
      <c r="AH128">
        <f t="shared" si="21"/>
        <v>4624.9691199999997</v>
      </c>
    </row>
    <row r="129" spans="1:34" x14ac:dyDescent="0.55000000000000004">
      <c r="A129">
        <f>ALGLIB_SSA_XAUUSD!J129</f>
        <v>1775428500</v>
      </c>
      <c r="B129" t="str">
        <f>_xlfn.XLOOKUP($A129,ALGLIB_SSA_XAUUSD!$A$2:$A$1000,ALGLIB_SSA_XAUUSD!$B$2:$B$1000,"",0)</f>
        <v/>
      </c>
      <c r="C129" t="str">
        <f>_xlfn.XLOOKUP($A129,ALGLIB_SSA_XAUUSD!$A$2:$A$1000,ALGLIB_SSA_XAUUSD!$C$2:$C$1000,"",0)</f>
        <v/>
      </c>
      <c r="D129" s="1">
        <f>D122+(D134-D122)*7/12</f>
        <v>4625.2299999999996</v>
      </c>
      <c r="E129" s="1">
        <f>E122+(E134-E122)*7/12</f>
        <v>4639.0879100000002</v>
      </c>
      <c r="F129" s="1">
        <f>F122+(F134-F122)*7/12</f>
        <v>4646.2329783333334</v>
      </c>
      <c r="G129" s="1">
        <f>G122+(G134-G122)*7/12</f>
        <v>4655.9571358333333</v>
      </c>
      <c r="H129" s="1">
        <f>H122+(H134-H122)*7/12</f>
        <v>4624.2989383333334</v>
      </c>
      <c r="I129" t="str">
        <f>_xlfn.XLOOKUP($A129,ALGLIB_SSA_XAUUSD!$J$2:$J$1000,ALGLIB_SSA_XAUUSD!$K$2:$K$1000,"",0)</f>
        <v>XAUUSD</v>
      </c>
      <c r="J129" t="str">
        <f>_xlfn.XLOOKUP($A129,ALGLIB_SSA_XAUUSD!$J$2:$J$1000,ALGLIB_SSA_XAUUSD!$L$2:$L$1000,"",0)</f>
        <v>M5</v>
      </c>
      <c r="K129">
        <f>_xlfn.XLOOKUP($A129,ALGLIB_SSA_XAUUSD!$J$2:$J$1000,ALGLIB_SSA_XAUUSD!$M$2:$M$1000,"",0)</f>
        <v>4641.8100000000004</v>
      </c>
      <c r="L129">
        <f>_xlfn.XLOOKUP($A129,ALGLIB_SSA_XAUUSD!$J$2:$J$1000,ALGLIB_SSA_XAUUSD!$N$2:$N$1000,"",0)</f>
        <v>4637.9731099999999</v>
      </c>
      <c r="M129">
        <f>_xlfn.XLOOKUP($A129,ALGLIB_SSA_XAUUSD!$J$2:$J$1000,ALGLIB_SSA_XAUUSD!$O$2:$O$1000,"",0)</f>
        <v>4636.7214299999996</v>
      </c>
      <c r="N129">
        <f>_xlfn.XLOOKUP($A129,ALGLIB_SSA_XAUUSD!$J$2:$J$1000,ALGLIB_SSA_XAUUSD!$P$2:$P$1000,"",0)</f>
        <v>4642.7662399999999</v>
      </c>
      <c r="O129">
        <f>_xlfn.XLOOKUP($A129,ALGLIB_SSA_XAUUSD!$J$2:$J$1000,ALGLIB_SSA_XAUUSD!$Q$2:$Q$1000,"",0)</f>
        <v>4627.4491600000001</v>
      </c>
      <c r="R129">
        <f t="shared" si="11"/>
        <v>1775428500</v>
      </c>
      <c r="S129" t="str">
        <f t="shared" si="12"/>
        <v>XAUUSD</v>
      </c>
      <c r="T129" t="str">
        <f t="shared" si="13"/>
        <v>M5</v>
      </c>
      <c r="U129">
        <f t="shared" si="14"/>
        <v>4641.8100000000004</v>
      </c>
      <c r="V129">
        <v>4639.0879100000002</v>
      </c>
      <c r="W129">
        <v>4646.2329799999998</v>
      </c>
      <c r="X129">
        <v>4637.9731099999999</v>
      </c>
      <c r="Y129">
        <v>4636.7214299999996</v>
      </c>
      <c r="Z129">
        <f t="shared" si="15"/>
        <v>4655.9571358333333</v>
      </c>
      <c r="AA129">
        <f t="shared" si="16"/>
        <v>4642.7662399999999</v>
      </c>
      <c r="AB129">
        <f t="shared" si="17"/>
        <v>4624.2989383333334</v>
      </c>
      <c r="AC129">
        <f t="shared" si="18"/>
        <v>4627.4491600000001</v>
      </c>
      <c r="AF129">
        <f t="shared" si="19"/>
        <v>4637.9731099999999</v>
      </c>
      <c r="AG129">
        <f t="shared" si="20"/>
        <v>4655.9571358333333</v>
      </c>
      <c r="AH129">
        <f t="shared" si="21"/>
        <v>4624.2989383333334</v>
      </c>
    </row>
    <row r="130" spans="1:34" x14ac:dyDescent="0.55000000000000004">
      <c r="A130">
        <f>ALGLIB_SSA_XAUUSD!J130</f>
        <v>1775428800</v>
      </c>
      <c r="B130" t="str">
        <f>_xlfn.XLOOKUP($A130,ALGLIB_SSA_XAUUSD!$A$2:$A$1000,ALGLIB_SSA_XAUUSD!$B$2:$B$1000,"",0)</f>
        <v/>
      </c>
      <c r="C130" t="str">
        <f>_xlfn.XLOOKUP($A130,ALGLIB_SSA_XAUUSD!$A$2:$A$1000,ALGLIB_SSA_XAUUSD!$C$2:$C$1000,"",0)</f>
        <v/>
      </c>
      <c r="D130" s="1">
        <f>D122+(D134-D122)*8/12</f>
        <v>4622.29</v>
      </c>
      <c r="E130" s="1">
        <f>E122+(E134-E122)*8/12</f>
        <v>4638.4376499999998</v>
      </c>
      <c r="F130" s="1">
        <f>F122+(F134-F122)*8/12</f>
        <v>4645.6214266666666</v>
      </c>
      <c r="G130" s="1">
        <f>G122+(G134-G122)*8/12</f>
        <v>4655.4340866666662</v>
      </c>
      <c r="H130" s="1">
        <f>H122+(H134-H122)*8/12</f>
        <v>4623.628756666666</v>
      </c>
      <c r="I130" t="str">
        <f>_xlfn.XLOOKUP($A130,ALGLIB_SSA_XAUUSD!$J$2:$J$1000,ALGLIB_SSA_XAUUSD!$K$2:$K$1000,"",0)</f>
        <v>XAUUSD</v>
      </c>
      <c r="J130" t="str">
        <f>_xlfn.XLOOKUP($A130,ALGLIB_SSA_XAUUSD!$J$2:$J$1000,ALGLIB_SSA_XAUUSD!$L$2:$L$1000,"",0)</f>
        <v>M5</v>
      </c>
      <c r="K130">
        <f>_xlfn.XLOOKUP($A130,ALGLIB_SSA_XAUUSD!$J$2:$J$1000,ALGLIB_SSA_XAUUSD!$M$2:$M$1000,"",0)</f>
        <v>4642.72</v>
      </c>
      <c r="L130">
        <f>_xlfn.XLOOKUP($A130,ALGLIB_SSA_XAUUSD!$J$2:$J$1000,ALGLIB_SSA_XAUUSD!$N$2:$N$1000,"",0)</f>
        <v>4640.2075999999997</v>
      </c>
      <c r="M130">
        <f>_xlfn.XLOOKUP($A130,ALGLIB_SSA_XAUUSD!$J$2:$J$1000,ALGLIB_SSA_XAUUSD!$O$2:$O$1000,"",0)</f>
        <v>4638.4645200000004</v>
      </c>
      <c r="N130">
        <f>_xlfn.XLOOKUP($A130,ALGLIB_SSA_XAUUSD!$J$2:$J$1000,ALGLIB_SSA_XAUUSD!$P$2:$P$1000,"",0)</f>
        <v>4646.3120399999998</v>
      </c>
      <c r="O130">
        <f>_xlfn.XLOOKUP($A130,ALGLIB_SSA_XAUUSD!$J$2:$J$1000,ALGLIB_SSA_XAUUSD!$Q$2:$Q$1000,"",0)</f>
        <v>4628.1457600000003</v>
      </c>
      <c r="R130">
        <f t="shared" si="11"/>
        <v>1775428800</v>
      </c>
      <c r="S130" t="str">
        <f t="shared" si="12"/>
        <v>XAUUSD</v>
      </c>
      <c r="T130" t="str">
        <f t="shared" si="13"/>
        <v>M5</v>
      </c>
      <c r="U130">
        <f t="shared" si="14"/>
        <v>4642.72</v>
      </c>
      <c r="V130">
        <v>4638.4376499999998</v>
      </c>
      <c r="W130">
        <v>4645.6214300000001</v>
      </c>
      <c r="X130">
        <v>4640.2075999999997</v>
      </c>
      <c r="Y130">
        <v>4638.4645200000004</v>
      </c>
      <c r="Z130">
        <f t="shared" si="15"/>
        <v>4655.4340866666662</v>
      </c>
      <c r="AA130">
        <f t="shared" si="16"/>
        <v>4646.3120399999998</v>
      </c>
      <c r="AB130">
        <f t="shared" si="17"/>
        <v>4623.628756666666</v>
      </c>
      <c r="AC130">
        <f t="shared" si="18"/>
        <v>4628.1457600000003</v>
      </c>
      <c r="AF130">
        <f t="shared" si="19"/>
        <v>4640.2075999999997</v>
      </c>
      <c r="AG130">
        <f t="shared" si="20"/>
        <v>4655.4340866666662</v>
      </c>
      <c r="AH130">
        <f t="shared" si="21"/>
        <v>4623.628756666666</v>
      </c>
    </row>
    <row r="131" spans="1:34" x14ac:dyDescent="0.55000000000000004">
      <c r="A131">
        <f>ALGLIB_SSA_XAUUSD!J131</f>
        <v>1775429100</v>
      </c>
      <c r="B131" t="str">
        <f>_xlfn.XLOOKUP($A131,ALGLIB_SSA_XAUUSD!$A$2:$A$1000,ALGLIB_SSA_XAUUSD!$B$2:$B$1000,"",0)</f>
        <v/>
      </c>
      <c r="C131" t="str">
        <f>_xlfn.XLOOKUP($A131,ALGLIB_SSA_XAUUSD!$A$2:$A$1000,ALGLIB_SSA_XAUUSD!$C$2:$C$1000,"",0)</f>
        <v/>
      </c>
      <c r="D131" s="1">
        <f>D122+(D134-D122)*9/12</f>
        <v>4619.3500000000004</v>
      </c>
      <c r="E131" s="1">
        <f>E122+(E134-E122)*9/12</f>
        <v>4637.7873900000004</v>
      </c>
      <c r="F131" s="1">
        <f>F122+(F134-F122)*9/12</f>
        <v>4645.0098749999997</v>
      </c>
      <c r="G131" s="1">
        <f>G122+(G134-G122)*9/12</f>
        <v>4654.9110375</v>
      </c>
      <c r="H131" s="1">
        <f>H122+(H134-H122)*9/12</f>
        <v>4622.9585749999997</v>
      </c>
      <c r="I131" t="str">
        <f>_xlfn.XLOOKUP($A131,ALGLIB_SSA_XAUUSD!$J$2:$J$1000,ALGLIB_SSA_XAUUSD!$K$2:$K$1000,"",0)</f>
        <v>XAUUSD</v>
      </c>
      <c r="J131" t="str">
        <f>_xlfn.XLOOKUP($A131,ALGLIB_SSA_XAUUSD!$J$2:$J$1000,ALGLIB_SSA_XAUUSD!$L$2:$L$1000,"",0)</f>
        <v>M5</v>
      </c>
      <c r="K131">
        <f>_xlfn.XLOOKUP($A131,ALGLIB_SSA_XAUUSD!$J$2:$J$1000,ALGLIB_SSA_XAUUSD!$M$2:$M$1000,"",0)</f>
        <v>4642.66</v>
      </c>
      <c r="L131">
        <f>_xlfn.XLOOKUP($A131,ALGLIB_SSA_XAUUSD!$J$2:$J$1000,ALGLIB_SSA_XAUUSD!$N$2:$N$1000,"",0)</f>
        <v>4641.5893400000004</v>
      </c>
      <c r="M131">
        <f>_xlfn.XLOOKUP($A131,ALGLIB_SSA_XAUUSD!$J$2:$J$1000,ALGLIB_SSA_XAUUSD!$O$2:$O$1000,"",0)</f>
        <v>4640.02693</v>
      </c>
      <c r="N131">
        <f>_xlfn.XLOOKUP($A131,ALGLIB_SSA_XAUUSD!$J$2:$J$1000,ALGLIB_SSA_XAUUSD!$P$2:$P$1000,"",0)</f>
        <v>4649.4396999999999</v>
      </c>
      <c r="O131">
        <f>_xlfn.XLOOKUP($A131,ALGLIB_SSA_XAUUSD!$J$2:$J$1000,ALGLIB_SSA_XAUUSD!$Q$2:$Q$1000,"",0)</f>
        <v>4628.4591700000001</v>
      </c>
      <c r="R131">
        <f t="shared" ref="R131:R194" si="22">A131</f>
        <v>1775429100</v>
      </c>
      <c r="S131" t="str">
        <f t="shared" ref="S131:S194" si="23">I131</f>
        <v>XAUUSD</v>
      </c>
      <c r="T131" t="str">
        <f t="shared" ref="T131:T194" si="24">J131</f>
        <v>M5</v>
      </c>
      <c r="U131">
        <f t="shared" ref="U131:U194" si="25">K131</f>
        <v>4642.66</v>
      </c>
      <c r="V131">
        <v>4637.7873900000004</v>
      </c>
      <c r="W131">
        <v>4645.0098799999996</v>
      </c>
      <c r="X131">
        <v>4641.5893400000004</v>
      </c>
      <c r="Y131">
        <v>4640.02693</v>
      </c>
      <c r="Z131">
        <f t="shared" ref="Z131:Z194" si="26">G131</f>
        <v>4654.9110375</v>
      </c>
      <c r="AA131">
        <f t="shared" ref="AA131:AA194" si="27">N131</f>
        <v>4649.4396999999999</v>
      </c>
      <c r="AB131">
        <f t="shared" ref="AB131:AB194" si="28">H131</f>
        <v>4622.9585749999997</v>
      </c>
      <c r="AC131">
        <f t="shared" ref="AC131:AC194" si="29">O131</f>
        <v>4628.4591700000001</v>
      </c>
      <c r="AF131">
        <f t="shared" ref="AF131:AF194" si="30">X131</f>
        <v>4641.5893400000004</v>
      </c>
      <c r="AG131">
        <f t="shared" ref="AG131:AG194" si="31">Z131</f>
        <v>4654.9110375</v>
      </c>
      <c r="AH131">
        <f t="shared" ref="AH131:AH194" si="32">AB131</f>
        <v>4622.9585749999997</v>
      </c>
    </row>
    <row r="132" spans="1:34" x14ac:dyDescent="0.55000000000000004">
      <c r="A132">
        <f>ALGLIB_SSA_XAUUSD!J132</f>
        <v>1775429400</v>
      </c>
      <c r="B132" t="str">
        <f>_xlfn.XLOOKUP($A132,ALGLIB_SSA_XAUUSD!$A$2:$A$1000,ALGLIB_SSA_XAUUSD!$B$2:$B$1000,"",0)</f>
        <v/>
      </c>
      <c r="C132" t="str">
        <f>_xlfn.XLOOKUP($A132,ALGLIB_SSA_XAUUSD!$A$2:$A$1000,ALGLIB_SSA_XAUUSD!$C$2:$C$1000,"",0)</f>
        <v/>
      </c>
      <c r="D132" s="1">
        <f>D122+(D134-D122)*10/12</f>
        <v>4616.41</v>
      </c>
      <c r="E132" s="1">
        <f>E122+(E134-E122)*10/12</f>
        <v>4637.1371300000001</v>
      </c>
      <c r="F132" s="1">
        <f>F122+(F134-F122)*10/12</f>
        <v>4644.3983233333329</v>
      </c>
      <c r="G132" s="1">
        <f>G122+(G134-G122)*10/12</f>
        <v>4654.3879883333329</v>
      </c>
      <c r="H132" s="1">
        <f>H122+(H134-H122)*10/12</f>
        <v>4622.2883933333333</v>
      </c>
      <c r="I132" t="str">
        <f>_xlfn.XLOOKUP($A132,ALGLIB_SSA_XAUUSD!$J$2:$J$1000,ALGLIB_SSA_XAUUSD!$K$2:$K$1000,"",0)</f>
        <v>XAUUSD</v>
      </c>
      <c r="J132" t="str">
        <f>_xlfn.XLOOKUP($A132,ALGLIB_SSA_XAUUSD!$J$2:$J$1000,ALGLIB_SSA_XAUUSD!$L$2:$L$1000,"",0)</f>
        <v>M5</v>
      </c>
      <c r="K132">
        <f>_xlfn.XLOOKUP($A132,ALGLIB_SSA_XAUUSD!$J$2:$J$1000,ALGLIB_SSA_XAUUSD!$M$2:$M$1000,"",0)</f>
        <v>4629.1400000000003</v>
      </c>
      <c r="L132">
        <f>_xlfn.XLOOKUP($A132,ALGLIB_SSA_XAUUSD!$J$2:$J$1000,ALGLIB_SSA_XAUUSD!$N$2:$N$1000,"",0)</f>
        <v>4641.6517299999996</v>
      </c>
      <c r="M132">
        <f>_xlfn.XLOOKUP($A132,ALGLIB_SSA_XAUUSD!$J$2:$J$1000,ALGLIB_SSA_XAUUSD!$O$2:$O$1000,"",0)</f>
        <v>4640.8393299999998</v>
      </c>
      <c r="N132">
        <f>_xlfn.XLOOKUP($A132,ALGLIB_SSA_XAUUSD!$J$2:$J$1000,ALGLIB_SSA_XAUUSD!$P$2:$P$1000,"",0)</f>
        <v>4651.2021699999996</v>
      </c>
      <c r="O132">
        <f>_xlfn.XLOOKUP($A132,ALGLIB_SSA_XAUUSD!$J$2:$J$1000,ALGLIB_SSA_XAUUSD!$Q$2:$Q$1000,"",0)</f>
        <v>4628.9286700000002</v>
      </c>
      <c r="R132">
        <f t="shared" si="22"/>
        <v>1775429400</v>
      </c>
      <c r="S132" t="str">
        <f t="shared" si="23"/>
        <v>XAUUSD</v>
      </c>
      <c r="T132" t="str">
        <f t="shared" si="24"/>
        <v>M5</v>
      </c>
      <c r="U132">
        <f t="shared" si="25"/>
        <v>4629.1400000000003</v>
      </c>
      <c r="V132">
        <v>4637.1371300000001</v>
      </c>
      <c r="W132">
        <v>4644.3983200000002</v>
      </c>
      <c r="X132">
        <v>4641.6517299999996</v>
      </c>
      <c r="Y132">
        <v>4640.8393299999998</v>
      </c>
      <c r="Z132">
        <f t="shared" si="26"/>
        <v>4654.3879883333329</v>
      </c>
      <c r="AA132">
        <f t="shared" si="27"/>
        <v>4651.2021699999996</v>
      </c>
      <c r="AB132">
        <f t="shared" si="28"/>
        <v>4622.2883933333333</v>
      </c>
      <c r="AC132">
        <f t="shared" si="29"/>
        <v>4628.9286700000002</v>
      </c>
      <c r="AF132">
        <f t="shared" si="30"/>
        <v>4641.6517299999996</v>
      </c>
      <c r="AG132">
        <f t="shared" si="31"/>
        <v>4654.3879883333329</v>
      </c>
      <c r="AH132">
        <f t="shared" si="32"/>
        <v>4622.2883933333333</v>
      </c>
    </row>
    <row r="133" spans="1:34" x14ac:dyDescent="0.55000000000000004">
      <c r="A133">
        <f>ALGLIB_SSA_XAUUSD!J133</f>
        <v>1775429700</v>
      </c>
      <c r="B133" t="str">
        <f>_xlfn.XLOOKUP($A133,ALGLIB_SSA_XAUUSD!$A$2:$A$1000,ALGLIB_SSA_XAUUSD!$B$2:$B$1000,"",0)</f>
        <v/>
      </c>
      <c r="C133" t="str">
        <f>_xlfn.XLOOKUP($A133,ALGLIB_SSA_XAUUSD!$A$2:$A$1000,ALGLIB_SSA_XAUUSD!$C$2:$C$1000,"",0)</f>
        <v/>
      </c>
      <c r="D133" s="1">
        <f>D122+(D134-D122)*11/12</f>
        <v>4613.4699999999993</v>
      </c>
      <c r="E133" s="1">
        <f>E122+(E134-E122)*11/12</f>
        <v>4636.4868700000006</v>
      </c>
      <c r="F133" s="1">
        <f>F122+(F134-F122)*11/12</f>
        <v>4643.7867716666669</v>
      </c>
      <c r="G133" s="1">
        <f>G122+(G134-G122)*11/12</f>
        <v>4653.8649391666668</v>
      </c>
      <c r="H133" s="1">
        <f>H122+(H134-H122)*11/12</f>
        <v>4621.618211666666</v>
      </c>
      <c r="I133" t="str">
        <f>_xlfn.XLOOKUP($A133,ALGLIB_SSA_XAUUSD!$J$2:$J$1000,ALGLIB_SSA_XAUUSD!$K$2:$K$1000,"",0)</f>
        <v>XAUUSD</v>
      </c>
      <c r="J133" t="str">
        <f>_xlfn.XLOOKUP($A133,ALGLIB_SSA_XAUUSD!$J$2:$J$1000,ALGLIB_SSA_XAUUSD!$L$2:$L$1000,"",0)</f>
        <v>M5</v>
      </c>
      <c r="K133">
        <f>_xlfn.XLOOKUP($A133,ALGLIB_SSA_XAUUSD!$J$2:$J$1000,ALGLIB_SSA_XAUUSD!$M$2:$M$1000,"",0)</f>
        <v>4645.8100000000004</v>
      </c>
      <c r="L133">
        <f>_xlfn.XLOOKUP($A133,ALGLIB_SSA_XAUUSD!$J$2:$J$1000,ALGLIB_SSA_XAUUSD!$N$2:$N$1000,"",0)</f>
        <v>4640.4489199999998</v>
      </c>
      <c r="M133">
        <f>_xlfn.XLOOKUP($A133,ALGLIB_SSA_XAUUSD!$J$2:$J$1000,ALGLIB_SSA_XAUUSD!$O$2:$O$1000,"",0)</f>
        <v>4640.6441199999999</v>
      </c>
      <c r="N133">
        <f>_xlfn.XLOOKUP($A133,ALGLIB_SSA_XAUUSD!$J$2:$J$1000,ALGLIB_SSA_XAUUSD!$P$2:$P$1000,"",0)</f>
        <v>4651.0454</v>
      </c>
      <c r="O133">
        <f>_xlfn.XLOOKUP($A133,ALGLIB_SSA_XAUUSD!$J$2:$J$1000,ALGLIB_SSA_XAUUSD!$Q$2:$Q$1000,"",0)</f>
        <v>4629.1110600000002</v>
      </c>
      <c r="R133">
        <f t="shared" si="22"/>
        <v>1775429700</v>
      </c>
      <c r="S133" t="str">
        <f t="shared" si="23"/>
        <v>XAUUSD</v>
      </c>
      <c r="T133" t="str">
        <f t="shared" si="24"/>
        <v>M5</v>
      </c>
      <c r="U133">
        <f t="shared" si="25"/>
        <v>4645.8100000000004</v>
      </c>
      <c r="V133">
        <v>4636.4868699999997</v>
      </c>
      <c r="W133">
        <v>4643.7867699999997</v>
      </c>
      <c r="X133">
        <v>4640.4489199999998</v>
      </c>
      <c r="Y133">
        <v>4640.6441199999999</v>
      </c>
      <c r="Z133">
        <f t="shared" si="26"/>
        <v>4653.8649391666668</v>
      </c>
      <c r="AA133">
        <f t="shared" si="27"/>
        <v>4651.0454</v>
      </c>
      <c r="AB133">
        <f t="shared" si="28"/>
        <v>4621.618211666666</v>
      </c>
      <c r="AC133">
        <f t="shared" si="29"/>
        <v>4629.1110600000002</v>
      </c>
      <c r="AF133">
        <f t="shared" si="30"/>
        <v>4640.4489199999998</v>
      </c>
      <c r="AG133">
        <f t="shared" si="31"/>
        <v>4653.8649391666668</v>
      </c>
      <c r="AH133">
        <f t="shared" si="32"/>
        <v>4621.618211666666</v>
      </c>
    </row>
    <row r="134" spans="1:34" x14ac:dyDescent="0.55000000000000004">
      <c r="A134">
        <f>ALGLIB_SSA_XAUUSD!J134</f>
        <v>1775430000</v>
      </c>
      <c r="B134" t="str">
        <f>_xlfn.XLOOKUP($A134,ALGLIB_SSA_XAUUSD!$A$2:$A$1000,ALGLIB_SSA_XAUUSD!$B$2:$B$1000,"",0)</f>
        <v>XAUUSD</v>
      </c>
      <c r="C134" t="str">
        <f>_xlfn.XLOOKUP($A134,ALGLIB_SSA_XAUUSD!$A$2:$A$1000,ALGLIB_SSA_XAUUSD!$C$2:$C$1000,"",0)</f>
        <v>H1</v>
      </c>
      <c r="D134" s="2">
        <f>_xlfn.XLOOKUP($A134,ALGLIB_SSA_XAUUSD!$A$2:$A$1000,ALGLIB_SSA_XAUUSD!$D$2:$D$1000,"",0)</f>
        <v>4610.53</v>
      </c>
      <c r="E134" s="2">
        <f>_xlfn.XLOOKUP($A134,ALGLIB_SSA_XAUUSD!$A$2:$A$1000,ALGLIB_SSA_XAUUSD!$E$2:$E$1000,"",0)</f>
        <v>4635.8366100000003</v>
      </c>
      <c r="F134" s="2">
        <f>_xlfn.XLOOKUP($A134,ALGLIB_SSA_XAUUSD!$A$2:$A$1000,ALGLIB_SSA_XAUUSD!$F$2:$F$1000,"",0)</f>
        <v>4643.1752200000001</v>
      </c>
      <c r="G134" s="2">
        <f>_xlfn.XLOOKUP($A134,ALGLIB_SSA_XAUUSD!$A$2:$A$1000,ALGLIB_SSA_XAUUSD!$G$2:$G$1000,"",0)</f>
        <v>4653.3418899999997</v>
      </c>
      <c r="H134" s="2">
        <f>_xlfn.XLOOKUP($A134,ALGLIB_SSA_XAUUSD!$A$2:$A$1000,ALGLIB_SSA_XAUUSD!$H$2:$H$1000,"",0)</f>
        <v>4620.9480299999996</v>
      </c>
      <c r="I134" t="str">
        <f>_xlfn.XLOOKUP($A134,ALGLIB_SSA_XAUUSD!$J$2:$J$1000,ALGLIB_SSA_XAUUSD!$K$2:$K$1000,"",0)</f>
        <v>XAUUSD</v>
      </c>
      <c r="J134" t="str">
        <f>_xlfn.XLOOKUP($A134,ALGLIB_SSA_XAUUSD!$J$2:$J$1000,ALGLIB_SSA_XAUUSD!$L$2:$L$1000,"",0)</f>
        <v>M5</v>
      </c>
      <c r="K134">
        <f>_xlfn.XLOOKUP($A134,ALGLIB_SSA_XAUUSD!$J$2:$J$1000,ALGLIB_SSA_XAUUSD!$M$2:$M$1000,"",0)</f>
        <v>4636.75</v>
      </c>
      <c r="L134">
        <f>_xlfn.XLOOKUP($A134,ALGLIB_SSA_XAUUSD!$J$2:$J$1000,ALGLIB_SSA_XAUUSD!$N$2:$N$1000,"",0)</f>
        <v>4637.5130099999997</v>
      </c>
      <c r="M134">
        <f>_xlfn.XLOOKUP($A134,ALGLIB_SSA_XAUUSD!$J$2:$J$1000,ALGLIB_SSA_XAUUSD!$O$2:$O$1000,"",0)</f>
        <v>4639.0785699999997</v>
      </c>
      <c r="N134">
        <f>_xlfn.XLOOKUP($A134,ALGLIB_SSA_XAUUSD!$J$2:$J$1000,ALGLIB_SSA_XAUUSD!$P$2:$P$1000,"",0)</f>
        <v>4648.58493</v>
      </c>
      <c r="O134">
        <f>_xlfn.XLOOKUP($A134,ALGLIB_SSA_XAUUSD!$J$2:$J$1000,ALGLIB_SSA_XAUUSD!$Q$2:$Q$1000,"",0)</f>
        <v>4628.5196999999998</v>
      </c>
      <c r="R134">
        <f t="shared" si="22"/>
        <v>1775430000</v>
      </c>
      <c r="S134" t="str">
        <f t="shared" si="23"/>
        <v>XAUUSD</v>
      </c>
      <c r="T134" t="str">
        <f t="shared" si="24"/>
        <v>M5</v>
      </c>
      <c r="U134">
        <f t="shared" si="25"/>
        <v>4636.75</v>
      </c>
      <c r="V134">
        <v>4635.8366100000003</v>
      </c>
      <c r="W134">
        <v>4643.1752200000001</v>
      </c>
      <c r="X134">
        <v>4637.5130099999997</v>
      </c>
      <c r="Y134">
        <v>4639.0785699999997</v>
      </c>
      <c r="Z134">
        <f t="shared" si="26"/>
        <v>4653.3418899999997</v>
      </c>
      <c r="AA134">
        <f t="shared" si="27"/>
        <v>4648.58493</v>
      </c>
      <c r="AB134">
        <f t="shared" si="28"/>
        <v>4620.9480299999996</v>
      </c>
      <c r="AC134">
        <f t="shared" si="29"/>
        <v>4628.5196999999998</v>
      </c>
      <c r="AF134">
        <f t="shared" si="30"/>
        <v>4637.5130099999997</v>
      </c>
      <c r="AG134">
        <f t="shared" si="31"/>
        <v>4653.3418899999997</v>
      </c>
      <c r="AH134">
        <f t="shared" si="32"/>
        <v>4620.9480299999996</v>
      </c>
    </row>
    <row r="135" spans="1:34" x14ac:dyDescent="0.55000000000000004">
      <c r="A135">
        <f>ALGLIB_SSA_XAUUSD!J135</f>
        <v>1775430300</v>
      </c>
      <c r="B135" t="str">
        <f>_xlfn.XLOOKUP($A135,ALGLIB_SSA_XAUUSD!$A$2:$A$1000,ALGLIB_SSA_XAUUSD!$B$2:$B$1000,"",0)</f>
        <v/>
      </c>
      <c r="C135" t="str">
        <f>_xlfn.XLOOKUP($A135,ALGLIB_SSA_XAUUSD!$A$2:$A$1000,ALGLIB_SSA_XAUUSD!$C$2:$C$1000,"",0)</f>
        <v/>
      </c>
      <c r="D135" s="1">
        <f>D134+(D146-D134)*1/12</f>
        <v>4611.5291666666662</v>
      </c>
      <c r="E135" s="1">
        <f>E134+(E146-E134)*1/12</f>
        <v>4635.4630966666673</v>
      </c>
      <c r="F135" s="1">
        <f>F134+(F146-F134)*1/12</f>
        <v>4642.6826883333333</v>
      </c>
      <c r="G135" s="1">
        <f>G134+(G146-G134)*1/12</f>
        <v>4652.9881925</v>
      </c>
      <c r="H135" s="1">
        <f>H134+(H146-H134)*1/12</f>
        <v>4620.5049216666666</v>
      </c>
      <c r="I135" t="str">
        <f>_xlfn.XLOOKUP($A135,ALGLIB_SSA_XAUUSD!$J$2:$J$1000,ALGLIB_SSA_XAUUSD!$K$2:$K$1000,"",0)</f>
        <v>XAUUSD</v>
      </c>
      <c r="J135" t="str">
        <f>_xlfn.XLOOKUP($A135,ALGLIB_SSA_XAUUSD!$J$2:$J$1000,ALGLIB_SSA_XAUUSD!$L$2:$L$1000,"",0)</f>
        <v>M5</v>
      </c>
      <c r="K135">
        <f>_xlfn.XLOOKUP($A135,ALGLIB_SSA_XAUUSD!$J$2:$J$1000,ALGLIB_SSA_XAUUSD!$M$2:$M$1000,"",0)</f>
        <v>4630.4799999999996</v>
      </c>
      <c r="L135">
        <f>_xlfn.XLOOKUP($A135,ALGLIB_SSA_XAUUSD!$J$2:$J$1000,ALGLIB_SSA_XAUUSD!$N$2:$N$1000,"",0)</f>
        <v>4633.2935900000002</v>
      </c>
      <c r="M135">
        <f>_xlfn.XLOOKUP($A135,ALGLIB_SSA_XAUUSD!$J$2:$J$1000,ALGLIB_SSA_XAUUSD!$O$2:$O$1000,"",0)</f>
        <v>4636.1860800000004</v>
      </c>
      <c r="N135">
        <f>_xlfn.XLOOKUP($A135,ALGLIB_SSA_XAUUSD!$J$2:$J$1000,ALGLIB_SSA_XAUUSD!$P$2:$P$1000,"",0)</f>
        <v>4644.0196900000001</v>
      </c>
      <c r="O135">
        <f>_xlfn.XLOOKUP($A135,ALGLIB_SSA_XAUUSD!$J$2:$J$1000,ALGLIB_SSA_XAUUSD!$Q$2:$Q$1000,"",0)</f>
        <v>4626.87979</v>
      </c>
      <c r="R135">
        <f t="shared" si="22"/>
        <v>1775430300</v>
      </c>
      <c r="S135" t="str">
        <f t="shared" si="23"/>
        <v>XAUUSD</v>
      </c>
      <c r="T135" t="str">
        <f t="shared" si="24"/>
        <v>M5</v>
      </c>
      <c r="U135">
        <f t="shared" si="25"/>
        <v>4630.4799999999996</v>
      </c>
      <c r="V135">
        <v>4635.4630999999999</v>
      </c>
      <c r="W135">
        <v>4642.6826899999996</v>
      </c>
      <c r="X135">
        <v>4633.2935900000002</v>
      </c>
      <c r="Y135">
        <v>4636.1860800000004</v>
      </c>
      <c r="Z135">
        <f t="shared" si="26"/>
        <v>4652.9881925</v>
      </c>
      <c r="AA135">
        <f t="shared" si="27"/>
        <v>4644.0196900000001</v>
      </c>
      <c r="AB135">
        <f t="shared" si="28"/>
        <v>4620.5049216666666</v>
      </c>
      <c r="AC135">
        <f t="shared" si="29"/>
        <v>4626.87979</v>
      </c>
      <c r="AF135">
        <f t="shared" si="30"/>
        <v>4633.2935900000002</v>
      </c>
      <c r="AG135">
        <f t="shared" si="31"/>
        <v>4652.9881925</v>
      </c>
      <c r="AH135">
        <f t="shared" si="32"/>
        <v>4620.5049216666666</v>
      </c>
    </row>
    <row r="136" spans="1:34" x14ac:dyDescent="0.55000000000000004">
      <c r="A136">
        <f>ALGLIB_SSA_XAUUSD!J136</f>
        <v>1775430600</v>
      </c>
      <c r="B136" t="str">
        <f>_xlfn.XLOOKUP($A136,ALGLIB_SSA_XAUUSD!$A$2:$A$1000,ALGLIB_SSA_XAUUSD!$B$2:$B$1000,"",0)</f>
        <v/>
      </c>
      <c r="C136" t="str">
        <f>_xlfn.XLOOKUP($A136,ALGLIB_SSA_XAUUSD!$A$2:$A$1000,ALGLIB_SSA_XAUUSD!$C$2:$C$1000,"",0)</f>
        <v/>
      </c>
      <c r="D136" s="1">
        <f>D134+(D146-D134)*2/12</f>
        <v>4612.5283333333336</v>
      </c>
      <c r="E136" s="1">
        <f>E134+(E146-E134)*2/12</f>
        <v>4635.0895833333334</v>
      </c>
      <c r="F136" s="1">
        <f>F134+(F146-F134)*2/12</f>
        <v>4642.1901566666666</v>
      </c>
      <c r="G136" s="1">
        <f>G134+(G146-G134)*2/12</f>
        <v>4652.6344950000002</v>
      </c>
      <c r="H136" s="1">
        <f>H134+(H146-H134)*2/12</f>
        <v>4620.0618133333328</v>
      </c>
      <c r="I136" t="str">
        <f>_xlfn.XLOOKUP($A136,ALGLIB_SSA_XAUUSD!$J$2:$J$1000,ALGLIB_SSA_XAUUSD!$K$2:$K$1000,"",0)</f>
        <v>XAUUSD</v>
      </c>
      <c r="J136" t="str">
        <f>_xlfn.XLOOKUP($A136,ALGLIB_SSA_XAUUSD!$J$2:$J$1000,ALGLIB_SSA_XAUUSD!$L$2:$L$1000,"",0)</f>
        <v>M5</v>
      </c>
      <c r="K136">
        <f>_xlfn.XLOOKUP($A136,ALGLIB_SSA_XAUUSD!$J$2:$J$1000,ALGLIB_SSA_XAUUSD!$M$2:$M$1000,"",0)</f>
        <v>4632.63</v>
      </c>
      <c r="L136">
        <f>_xlfn.XLOOKUP($A136,ALGLIB_SSA_XAUUSD!$J$2:$J$1000,ALGLIB_SSA_XAUUSD!$N$2:$N$1000,"",0)</f>
        <v>4628.3430799999996</v>
      </c>
      <c r="M136">
        <f>_xlfn.XLOOKUP($A136,ALGLIB_SSA_XAUUSD!$J$2:$J$1000,ALGLIB_SSA_XAUUSD!$O$2:$O$1000,"",0)</f>
        <v>4632.26458</v>
      </c>
      <c r="N136">
        <f>_xlfn.XLOOKUP($A136,ALGLIB_SSA_XAUUSD!$J$2:$J$1000,ALGLIB_SSA_XAUUSD!$P$2:$P$1000,"",0)</f>
        <v>4638.0888599999998</v>
      </c>
      <c r="O136">
        <f>_xlfn.XLOOKUP($A136,ALGLIB_SSA_XAUUSD!$J$2:$J$1000,ALGLIB_SSA_XAUUSD!$Q$2:$Q$1000,"",0)</f>
        <v>4624.2941700000001</v>
      </c>
      <c r="R136">
        <f t="shared" si="22"/>
        <v>1775430600</v>
      </c>
      <c r="S136" t="str">
        <f t="shared" si="23"/>
        <v>XAUUSD</v>
      </c>
      <c r="T136" t="str">
        <f t="shared" si="24"/>
        <v>M5</v>
      </c>
      <c r="U136">
        <f t="shared" si="25"/>
        <v>4632.63</v>
      </c>
      <c r="V136">
        <v>4635.0895799999998</v>
      </c>
      <c r="W136">
        <v>4642.1901600000001</v>
      </c>
      <c r="X136">
        <v>4628.3430799999996</v>
      </c>
      <c r="Y136">
        <v>4632.26458</v>
      </c>
      <c r="Z136">
        <f t="shared" si="26"/>
        <v>4652.6344950000002</v>
      </c>
      <c r="AA136">
        <f t="shared" si="27"/>
        <v>4638.0888599999998</v>
      </c>
      <c r="AB136">
        <f t="shared" si="28"/>
        <v>4620.0618133333328</v>
      </c>
      <c r="AC136">
        <f t="shared" si="29"/>
        <v>4624.2941700000001</v>
      </c>
      <c r="AF136">
        <f t="shared" si="30"/>
        <v>4628.3430799999996</v>
      </c>
      <c r="AG136">
        <f t="shared" si="31"/>
        <v>4652.6344950000002</v>
      </c>
      <c r="AH136">
        <f t="shared" si="32"/>
        <v>4620.0618133333328</v>
      </c>
    </row>
    <row r="137" spans="1:34" x14ac:dyDescent="0.55000000000000004">
      <c r="A137">
        <f>ALGLIB_SSA_XAUUSD!J137</f>
        <v>1775430900</v>
      </c>
      <c r="B137" t="str">
        <f>_xlfn.XLOOKUP($A137,ALGLIB_SSA_XAUUSD!$A$2:$A$1000,ALGLIB_SSA_XAUUSD!$B$2:$B$1000,"",0)</f>
        <v/>
      </c>
      <c r="C137" t="str">
        <f>_xlfn.XLOOKUP($A137,ALGLIB_SSA_XAUUSD!$A$2:$A$1000,ALGLIB_SSA_XAUUSD!$C$2:$C$1000,"",0)</f>
        <v/>
      </c>
      <c r="D137" s="1">
        <f>D134+(D146-D134)*3/12</f>
        <v>4613.5275000000001</v>
      </c>
      <c r="E137" s="1">
        <f>E134+(E146-E134)*3/12</f>
        <v>4634.7160700000004</v>
      </c>
      <c r="F137" s="1">
        <f>F134+(F146-F134)*3/12</f>
        <v>4641.6976249999998</v>
      </c>
      <c r="G137" s="1">
        <f>G134+(G146-G134)*3/12</f>
        <v>4652.2807974999996</v>
      </c>
      <c r="H137" s="1">
        <f>H134+(H146-H134)*3/12</f>
        <v>4619.6187049999999</v>
      </c>
      <c r="I137" t="str">
        <f>_xlfn.XLOOKUP($A137,ALGLIB_SSA_XAUUSD!$J$2:$J$1000,ALGLIB_SSA_XAUUSD!$K$2:$K$1000,"",0)</f>
        <v>XAUUSD</v>
      </c>
      <c r="J137" t="str">
        <f>_xlfn.XLOOKUP($A137,ALGLIB_SSA_XAUUSD!$J$2:$J$1000,ALGLIB_SSA_XAUUSD!$L$2:$L$1000,"",0)</f>
        <v>M5</v>
      </c>
      <c r="K137">
        <f>_xlfn.XLOOKUP($A137,ALGLIB_SSA_XAUUSD!$J$2:$J$1000,ALGLIB_SSA_XAUUSD!$M$2:$M$1000,"",0)</f>
        <v>4624.8500000000004</v>
      </c>
      <c r="L137">
        <f>_xlfn.XLOOKUP($A137,ALGLIB_SSA_XAUUSD!$J$2:$J$1000,ALGLIB_SSA_XAUUSD!$N$2:$N$1000,"",0)</f>
        <v>4623.1102499999997</v>
      </c>
      <c r="M137">
        <f>_xlfn.XLOOKUP($A137,ALGLIB_SSA_XAUUSD!$J$2:$J$1000,ALGLIB_SSA_XAUUSD!$O$2:$O$1000,"",0)</f>
        <v>4627.6874200000002</v>
      </c>
      <c r="N137">
        <f>_xlfn.XLOOKUP($A137,ALGLIB_SSA_XAUUSD!$J$2:$J$1000,ALGLIB_SSA_XAUUSD!$P$2:$P$1000,"",0)</f>
        <v>4631.6184000000003</v>
      </c>
      <c r="O137">
        <f>_xlfn.XLOOKUP($A137,ALGLIB_SSA_XAUUSD!$J$2:$J$1000,ALGLIB_SSA_XAUUSD!$Q$2:$Q$1000,"",0)</f>
        <v>4620.9525000000003</v>
      </c>
      <c r="R137">
        <f t="shared" si="22"/>
        <v>1775430900</v>
      </c>
      <c r="S137" t="str">
        <f t="shared" si="23"/>
        <v>XAUUSD</v>
      </c>
      <c r="T137" t="str">
        <f t="shared" si="24"/>
        <v>M5</v>
      </c>
      <c r="U137">
        <f t="shared" si="25"/>
        <v>4624.8500000000004</v>
      </c>
      <c r="V137">
        <v>4634.7160700000004</v>
      </c>
      <c r="W137">
        <v>4641.6976299999997</v>
      </c>
      <c r="X137">
        <v>4623.1102499999997</v>
      </c>
      <c r="Y137">
        <v>4627.6874200000002</v>
      </c>
      <c r="Z137">
        <f t="shared" si="26"/>
        <v>4652.2807974999996</v>
      </c>
      <c r="AA137">
        <f t="shared" si="27"/>
        <v>4631.6184000000003</v>
      </c>
      <c r="AB137">
        <f t="shared" si="28"/>
        <v>4619.6187049999999</v>
      </c>
      <c r="AC137">
        <f t="shared" si="29"/>
        <v>4620.9525000000003</v>
      </c>
      <c r="AF137">
        <f t="shared" si="30"/>
        <v>4623.1102499999997</v>
      </c>
      <c r="AG137">
        <f t="shared" si="31"/>
        <v>4652.2807974999996</v>
      </c>
      <c r="AH137">
        <f t="shared" si="32"/>
        <v>4619.6187049999999</v>
      </c>
    </row>
    <row r="138" spans="1:34" x14ac:dyDescent="0.55000000000000004">
      <c r="A138">
        <f>ALGLIB_SSA_XAUUSD!J138</f>
        <v>1775431200</v>
      </c>
      <c r="B138" t="str">
        <f>_xlfn.XLOOKUP($A138,ALGLIB_SSA_XAUUSD!$A$2:$A$1000,ALGLIB_SSA_XAUUSD!$B$2:$B$1000,"",0)</f>
        <v/>
      </c>
      <c r="C138" t="str">
        <f>_xlfn.XLOOKUP($A138,ALGLIB_SSA_XAUUSD!$A$2:$A$1000,ALGLIB_SSA_XAUUSD!$C$2:$C$1000,"",0)</f>
        <v/>
      </c>
      <c r="D138" s="1">
        <f>D134+(D146-D134)*4/12</f>
        <v>4614.5266666666666</v>
      </c>
      <c r="E138" s="1">
        <f>E134+(E146-E134)*4/12</f>
        <v>4634.3425566666665</v>
      </c>
      <c r="F138" s="1">
        <f>F134+(F146-F134)*4/12</f>
        <v>4641.205093333333</v>
      </c>
      <c r="G138" s="1">
        <f>G134+(G146-G134)*4/12</f>
        <v>4651.9270999999999</v>
      </c>
      <c r="H138" s="1">
        <f>H134+(H146-H134)*4/12</f>
        <v>4619.175596666666</v>
      </c>
      <c r="I138" t="str">
        <f>_xlfn.XLOOKUP($A138,ALGLIB_SSA_XAUUSD!$J$2:$J$1000,ALGLIB_SSA_XAUUSD!$K$2:$K$1000,"",0)</f>
        <v>XAUUSD</v>
      </c>
      <c r="J138" t="str">
        <f>_xlfn.XLOOKUP($A138,ALGLIB_SSA_XAUUSD!$J$2:$J$1000,ALGLIB_SSA_XAUUSD!$L$2:$L$1000,"",0)</f>
        <v>M5</v>
      </c>
      <c r="K138">
        <f>_xlfn.XLOOKUP($A138,ALGLIB_SSA_XAUUSD!$J$2:$J$1000,ALGLIB_SSA_XAUUSD!$M$2:$M$1000,"",0)</f>
        <v>4619.92</v>
      </c>
      <c r="L138">
        <f>_xlfn.XLOOKUP($A138,ALGLIB_SSA_XAUUSD!$J$2:$J$1000,ALGLIB_SSA_XAUUSD!$N$2:$N$1000,"",0)</f>
        <v>4618.3136800000002</v>
      </c>
      <c r="M138">
        <f>_xlfn.XLOOKUP($A138,ALGLIB_SSA_XAUUSD!$J$2:$J$1000,ALGLIB_SSA_XAUUSD!$O$2:$O$1000,"",0)</f>
        <v>4623.0005499999997</v>
      </c>
      <c r="N138">
        <f>_xlfn.XLOOKUP($A138,ALGLIB_SSA_XAUUSD!$J$2:$J$1000,ALGLIB_SSA_XAUUSD!$P$2:$P$1000,"",0)</f>
        <v>4625.3512700000001</v>
      </c>
      <c r="O138">
        <f>_xlfn.XLOOKUP($A138,ALGLIB_SSA_XAUUSD!$J$2:$J$1000,ALGLIB_SSA_XAUUSD!$Q$2:$Q$1000,"",0)</f>
        <v>4617.1724599999998</v>
      </c>
      <c r="R138">
        <f t="shared" si="22"/>
        <v>1775431200</v>
      </c>
      <c r="S138" t="str">
        <f t="shared" si="23"/>
        <v>XAUUSD</v>
      </c>
      <c r="T138" t="str">
        <f t="shared" si="24"/>
        <v>M5</v>
      </c>
      <c r="U138">
        <f t="shared" si="25"/>
        <v>4619.92</v>
      </c>
      <c r="V138">
        <v>4634.34256</v>
      </c>
      <c r="W138">
        <v>4641.2050900000004</v>
      </c>
      <c r="X138">
        <v>4618.3136800000002</v>
      </c>
      <c r="Y138">
        <v>4623.0005499999997</v>
      </c>
      <c r="Z138">
        <f t="shared" si="26"/>
        <v>4651.9270999999999</v>
      </c>
      <c r="AA138">
        <f t="shared" si="27"/>
        <v>4625.3512700000001</v>
      </c>
      <c r="AB138">
        <f t="shared" si="28"/>
        <v>4619.175596666666</v>
      </c>
      <c r="AC138">
        <f t="shared" si="29"/>
        <v>4617.1724599999998</v>
      </c>
      <c r="AF138">
        <f t="shared" si="30"/>
        <v>4618.3136800000002</v>
      </c>
      <c r="AG138">
        <f t="shared" si="31"/>
        <v>4651.9270999999999</v>
      </c>
      <c r="AH138">
        <f t="shared" si="32"/>
        <v>4619.175596666666</v>
      </c>
    </row>
    <row r="139" spans="1:34" x14ac:dyDescent="0.55000000000000004">
      <c r="A139">
        <f>ALGLIB_SSA_XAUUSD!J139</f>
        <v>1775431500</v>
      </c>
      <c r="B139" t="str">
        <f>_xlfn.XLOOKUP($A139,ALGLIB_SSA_XAUUSD!$A$2:$A$1000,ALGLIB_SSA_XAUUSD!$B$2:$B$1000,"",0)</f>
        <v/>
      </c>
      <c r="C139" t="str">
        <f>_xlfn.XLOOKUP($A139,ALGLIB_SSA_XAUUSD!$A$2:$A$1000,ALGLIB_SSA_XAUUSD!$C$2:$C$1000,"",0)</f>
        <v/>
      </c>
      <c r="D139" s="1">
        <f>D134+(D146-D134)*5/12</f>
        <v>4615.5258333333331</v>
      </c>
      <c r="E139" s="1">
        <f>E134+(E146-E134)*5/12</f>
        <v>4633.9690433333335</v>
      </c>
      <c r="F139" s="1">
        <f>F134+(F146-F134)*5/12</f>
        <v>4640.7125616666663</v>
      </c>
      <c r="G139" s="1">
        <f>G134+(G146-G134)*5/12</f>
        <v>4651.5734025000002</v>
      </c>
      <c r="H139" s="1">
        <f>H134+(H146-H134)*5/12</f>
        <v>4618.7324883333331</v>
      </c>
      <c r="I139" t="str">
        <f>_xlfn.XLOOKUP($A139,ALGLIB_SSA_XAUUSD!$J$2:$J$1000,ALGLIB_SSA_XAUUSD!$K$2:$K$1000,"",0)</f>
        <v>XAUUSD</v>
      </c>
      <c r="J139" t="str">
        <f>_xlfn.XLOOKUP($A139,ALGLIB_SSA_XAUUSD!$J$2:$J$1000,ALGLIB_SSA_XAUUSD!$L$2:$L$1000,"",0)</f>
        <v>M5</v>
      </c>
      <c r="K139">
        <f>_xlfn.XLOOKUP($A139,ALGLIB_SSA_XAUUSD!$J$2:$J$1000,ALGLIB_SSA_XAUUSD!$M$2:$M$1000,"",0)</f>
        <v>4609.4799999999996</v>
      </c>
      <c r="L139">
        <f>_xlfn.XLOOKUP($A139,ALGLIB_SSA_XAUUSD!$J$2:$J$1000,ALGLIB_SSA_XAUUSD!$N$2:$N$1000,"",0)</f>
        <v>4614.5224099999996</v>
      </c>
      <c r="M139">
        <f>_xlfn.XLOOKUP($A139,ALGLIB_SSA_XAUUSD!$J$2:$J$1000,ALGLIB_SSA_XAUUSD!$O$2:$O$1000,"",0)</f>
        <v>4618.7614800000001</v>
      </c>
      <c r="N139">
        <f>_xlfn.XLOOKUP($A139,ALGLIB_SSA_XAUUSD!$J$2:$J$1000,ALGLIB_SSA_XAUUSD!$P$2:$P$1000,"",0)</f>
        <v>4620.1356100000003</v>
      </c>
      <c r="O139">
        <f>_xlfn.XLOOKUP($A139,ALGLIB_SSA_XAUUSD!$J$2:$J$1000,ALGLIB_SSA_XAUUSD!$Q$2:$Q$1000,"",0)</f>
        <v>4613.4706999999999</v>
      </c>
      <c r="R139">
        <f t="shared" si="22"/>
        <v>1775431500</v>
      </c>
      <c r="S139" t="str">
        <f t="shared" si="23"/>
        <v>XAUUSD</v>
      </c>
      <c r="T139" t="str">
        <f t="shared" si="24"/>
        <v>M5</v>
      </c>
      <c r="U139">
        <f t="shared" si="25"/>
        <v>4609.4799999999996</v>
      </c>
      <c r="V139">
        <v>4633.9690399999999</v>
      </c>
      <c r="W139">
        <v>4640.7125599999999</v>
      </c>
      <c r="X139">
        <v>4614.5224099999996</v>
      </c>
      <c r="Y139">
        <v>4618.7614800000001</v>
      </c>
      <c r="Z139">
        <f t="shared" si="26"/>
        <v>4651.5734025000002</v>
      </c>
      <c r="AA139">
        <f t="shared" si="27"/>
        <v>4620.1356100000003</v>
      </c>
      <c r="AB139">
        <f t="shared" si="28"/>
        <v>4618.7324883333331</v>
      </c>
      <c r="AC139">
        <f t="shared" si="29"/>
        <v>4613.4706999999999</v>
      </c>
      <c r="AF139">
        <f t="shared" si="30"/>
        <v>4614.5224099999996</v>
      </c>
      <c r="AG139">
        <f t="shared" si="31"/>
        <v>4651.5734025000002</v>
      </c>
      <c r="AH139">
        <f t="shared" si="32"/>
        <v>4618.7324883333331</v>
      </c>
    </row>
    <row r="140" spans="1:34" x14ac:dyDescent="0.55000000000000004">
      <c r="A140">
        <f>ALGLIB_SSA_XAUUSD!J140</f>
        <v>1775431800</v>
      </c>
      <c r="B140" t="str">
        <f>_xlfn.XLOOKUP($A140,ALGLIB_SSA_XAUUSD!$A$2:$A$1000,ALGLIB_SSA_XAUUSD!$B$2:$B$1000,"",0)</f>
        <v/>
      </c>
      <c r="C140" t="str">
        <f>_xlfn.XLOOKUP($A140,ALGLIB_SSA_XAUUSD!$A$2:$A$1000,ALGLIB_SSA_XAUUSD!$C$2:$C$1000,"",0)</f>
        <v/>
      </c>
      <c r="D140" s="1">
        <f>D134+(D146-D134)*6/12</f>
        <v>4616.5249999999996</v>
      </c>
      <c r="E140" s="1">
        <f>E134+(E146-E134)*6/12</f>
        <v>4633.5955300000005</v>
      </c>
      <c r="F140" s="1">
        <f>F134+(F146-F134)*6/12</f>
        <v>4640.2200300000004</v>
      </c>
      <c r="G140" s="1">
        <f>G134+(G146-G134)*6/12</f>
        <v>4651.2197049999995</v>
      </c>
      <c r="H140" s="1">
        <f>H134+(H146-H134)*6/12</f>
        <v>4618.2893800000002</v>
      </c>
      <c r="I140" t="str">
        <f>_xlfn.XLOOKUP($A140,ALGLIB_SSA_XAUUSD!$J$2:$J$1000,ALGLIB_SSA_XAUUSD!$K$2:$K$1000,"",0)</f>
        <v>XAUUSD</v>
      </c>
      <c r="J140" t="str">
        <f>_xlfn.XLOOKUP($A140,ALGLIB_SSA_XAUUSD!$J$2:$J$1000,ALGLIB_SSA_XAUUSD!$L$2:$L$1000,"",0)</f>
        <v>M5</v>
      </c>
      <c r="K140">
        <f>_xlfn.XLOOKUP($A140,ALGLIB_SSA_XAUUSD!$J$2:$J$1000,ALGLIB_SSA_XAUUSD!$M$2:$M$1000,"",0)</f>
        <v>4615.4399999999996</v>
      </c>
      <c r="L140">
        <f>_xlfn.XLOOKUP($A140,ALGLIB_SSA_XAUUSD!$J$2:$J$1000,ALGLIB_SSA_XAUUSD!$N$2:$N$1000,"",0)</f>
        <v>4612.2961999999998</v>
      </c>
      <c r="M140">
        <f>_xlfn.XLOOKUP($A140,ALGLIB_SSA_XAUUSD!$J$2:$J$1000,ALGLIB_SSA_XAUUSD!$O$2:$O$1000,"",0)</f>
        <v>4615.5288399999999</v>
      </c>
      <c r="N140">
        <f>_xlfn.XLOOKUP($A140,ALGLIB_SSA_XAUUSD!$J$2:$J$1000,ALGLIB_SSA_XAUUSD!$P$2:$P$1000,"",0)</f>
        <v>4616.5612199999996</v>
      </c>
      <c r="O140">
        <f>_xlfn.XLOOKUP($A140,ALGLIB_SSA_XAUUSD!$J$2:$J$1000,ALGLIB_SSA_XAUUSD!$Q$2:$Q$1000,"",0)</f>
        <v>4610.5015400000002</v>
      </c>
      <c r="R140">
        <f t="shared" si="22"/>
        <v>1775431800</v>
      </c>
      <c r="S140" t="str">
        <f t="shared" si="23"/>
        <v>XAUUSD</v>
      </c>
      <c r="T140" t="str">
        <f t="shared" si="24"/>
        <v>M5</v>
      </c>
      <c r="U140">
        <f t="shared" si="25"/>
        <v>4615.4399999999996</v>
      </c>
      <c r="V140">
        <v>4633.5955299999996</v>
      </c>
      <c r="W140">
        <v>4640.2200300000004</v>
      </c>
      <c r="X140">
        <v>4612.2961999999998</v>
      </c>
      <c r="Y140">
        <v>4615.5288399999999</v>
      </c>
      <c r="Z140">
        <f t="shared" si="26"/>
        <v>4651.2197049999995</v>
      </c>
      <c r="AA140">
        <f t="shared" si="27"/>
        <v>4616.5612199999996</v>
      </c>
      <c r="AB140">
        <f t="shared" si="28"/>
        <v>4618.2893800000002</v>
      </c>
      <c r="AC140">
        <f t="shared" si="29"/>
        <v>4610.5015400000002</v>
      </c>
      <c r="AF140">
        <f t="shared" si="30"/>
        <v>4612.2961999999998</v>
      </c>
      <c r="AG140">
        <f t="shared" si="31"/>
        <v>4651.2197049999995</v>
      </c>
      <c r="AH140">
        <f t="shared" si="32"/>
        <v>4618.2893800000002</v>
      </c>
    </row>
    <row r="141" spans="1:34" x14ac:dyDescent="0.55000000000000004">
      <c r="A141">
        <f>ALGLIB_SSA_XAUUSD!J141</f>
        <v>1775432100</v>
      </c>
      <c r="B141" t="str">
        <f>_xlfn.XLOOKUP($A141,ALGLIB_SSA_XAUUSD!$A$2:$A$1000,ALGLIB_SSA_XAUUSD!$B$2:$B$1000,"",0)</f>
        <v/>
      </c>
      <c r="C141" t="str">
        <f>_xlfn.XLOOKUP($A141,ALGLIB_SSA_XAUUSD!$A$2:$A$1000,ALGLIB_SSA_XAUUSD!$C$2:$C$1000,"",0)</f>
        <v/>
      </c>
      <c r="D141" s="1">
        <f>D134+(D146-D134)*7/12</f>
        <v>4617.524166666667</v>
      </c>
      <c r="E141" s="1">
        <f>E134+(E146-E134)*7/12</f>
        <v>4633.2220166666666</v>
      </c>
      <c r="F141" s="1">
        <f>F134+(F146-F134)*7/12</f>
        <v>4639.7274983333336</v>
      </c>
      <c r="G141" s="1">
        <f>G134+(G146-G134)*7/12</f>
        <v>4650.8660074999998</v>
      </c>
      <c r="H141" s="1">
        <f>H134+(H146-H134)*7/12</f>
        <v>4617.8462716666663</v>
      </c>
      <c r="I141" t="str">
        <f>_xlfn.XLOOKUP($A141,ALGLIB_SSA_XAUUSD!$J$2:$J$1000,ALGLIB_SSA_XAUUSD!$K$2:$K$1000,"",0)</f>
        <v>XAUUSD</v>
      </c>
      <c r="J141" t="str">
        <f>_xlfn.XLOOKUP($A141,ALGLIB_SSA_XAUUSD!$J$2:$J$1000,ALGLIB_SSA_XAUUSD!$L$2:$L$1000,"",0)</f>
        <v>M5</v>
      </c>
      <c r="K141">
        <f>_xlfn.XLOOKUP($A141,ALGLIB_SSA_XAUUSD!$J$2:$J$1000,ALGLIB_SSA_XAUUSD!$M$2:$M$1000,"",0)</f>
        <v>4614.28</v>
      </c>
      <c r="L141">
        <f>_xlfn.XLOOKUP($A141,ALGLIB_SSA_XAUUSD!$J$2:$J$1000,ALGLIB_SSA_XAUUSD!$N$2:$N$1000,"",0)</f>
        <v>4611.5436499999996</v>
      </c>
      <c r="M141">
        <f>_xlfn.XLOOKUP($A141,ALGLIB_SSA_XAUUSD!$J$2:$J$1000,ALGLIB_SSA_XAUUSD!$O$2:$O$1000,"",0)</f>
        <v>4613.5362400000004</v>
      </c>
      <c r="N141">
        <f>_xlfn.XLOOKUP($A141,ALGLIB_SSA_XAUUSD!$J$2:$J$1000,ALGLIB_SSA_XAUUSD!$P$2:$P$1000,"",0)</f>
        <v>4614.9085299999997</v>
      </c>
      <c r="O141">
        <f>_xlfn.XLOOKUP($A141,ALGLIB_SSA_XAUUSD!$J$2:$J$1000,ALGLIB_SSA_XAUUSD!$Q$2:$Q$1000,"",0)</f>
        <v>4608.6942799999997</v>
      </c>
      <c r="R141">
        <f t="shared" si="22"/>
        <v>1775432100</v>
      </c>
      <c r="S141" t="str">
        <f t="shared" si="23"/>
        <v>XAUUSD</v>
      </c>
      <c r="T141" t="str">
        <f t="shared" si="24"/>
        <v>M5</v>
      </c>
      <c r="U141">
        <f t="shared" si="25"/>
        <v>4614.28</v>
      </c>
      <c r="V141">
        <v>4633.2220200000002</v>
      </c>
      <c r="W141">
        <v>4639.7275</v>
      </c>
      <c r="X141">
        <v>4611.5436499999996</v>
      </c>
      <c r="Y141">
        <v>4613.5362400000004</v>
      </c>
      <c r="Z141">
        <f t="shared" si="26"/>
        <v>4650.8660074999998</v>
      </c>
      <c r="AA141">
        <f t="shared" si="27"/>
        <v>4614.9085299999997</v>
      </c>
      <c r="AB141">
        <f t="shared" si="28"/>
        <v>4617.8462716666663</v>
      </c>
      <c r="AC141">
        <f t="shared" si="29"/>
        <v>4608.6942799999997</v>
      </c>
      <c r="AF141">
        <f t="shared" si="30"/>
        <v>4611.5436499999996</v>
      </c>
      <c r="AG141">
        <f t="shared" si="31"/>
        <v>4650.8660074999998</v>
      </c>
      <c r="AH141">
        <f t="shared" si="32"/>
        <v>4617.8462716666663</v>
      </c>
    </row>
    <row r="142" spans="1:34" x14ac:dyDescent="0.55000000000000004">
      <c r="A142">
        <f>ALGLIB_SSA_XAUUSD!J142</f>
        <v>1775432400</v>
      </c>
      <c r="B142" t="str">
        <f>_xlfn.XLOOKUP($A142,ALGLIB_SSA_XAUUSD!$A$2:$A$1000,ALGLIB_SSA_XAUUSD!$B$2:$B$1000,"",0)</f>
        <v/>
      </c>
      <c r="C142" t="str">
        <f>_xlfn.XLOOKUP($A142,ALGLIB_SSA_XAUUSD!$A$2:$A$1000,ALGLIB_SSA_XAUUSD!$C$2:$C$1000,"",0)</f>
        <v/>
      </c>
      <c r="D142" s="1">
        <f>D134+(D146-D134)*8/12</f>
        <v>4618.5233333333335</v>
      </c>
      <c r="E142" s="1">
        <f>E134+(E146-E134)*8/12</f>
        <v>4632.8485033333336</v>
      </c>
      <c r="F142" s="1">
        <f>F134+(F146-F134)*8/12</f>
        <v>4639.2349666666669</v>
      </c>
      <c r="G142" s="1">
        <f>G134+(G146-G134)*8/12</f>
        <v>4650.5123100000001</v>
      </c>
      <c r="H142" s="1">
        <f>H134+(H146-H134)*8/12</f>
        <v>4617.4031633333334</v>
      </c>
      <c r="I142" t="str">
        <f>_xlfn.XLOOKUP($A142,ALGLIB_SSA_XAUUSD!$J$2:$J$1000,ALGLIB_SSA_XAUUSD!$K$2:$K$1000,"",0)</f>
        <v>XAUUSD</v>
      </c>
      <c r="J142" t="str">
        <f>_xlfn.XLOOKUP($A142,ALGLIB_SSA_XAUUSD!$J$2:$J$1000,ALGLIB_SSA_XAUUSD!$L$2:$L$1000,"",0)</f>
        <v>M5</v>
      </c>
      <c r="K142">
        <f>_xlfn.XLOOKUP($A142,ALGLIB_SSA_XAUUSD!$J$2:$J$1000,ALGLIB_SSA_XAUUSD!$M$2:$M$1000,"",0)</f>
        <v>4607.25</v>
      </c>
      <c r="L142">
        <f>_xlfn.XLOOKUP($A142,ALGLIB_SSA_XAUUSD!$J$2:$J$1000,ALGLIB_SSA_XAUUSD!$N$2:$N$1000,"",0)</f>
        <v>4612.1248800000003</v>
      </c>
      <c r="M142">
        <f>_xlfn.XLOOKUP($A142,ALGLIB_SSA_XAUUSD!$J$2:$J$1000,ALGLIB_SSA_XAUUSD!$O$2:$O$1000,"",0)</f>
        <v>4612.8305600000003</v>
      </c>
      <c r="N142">
        <f>_xlfn.XLOOKUP($A142,ALGLIB_SSA_XAUUSD!$J$2:$J$1000,ALGLIB_SSA_XAUUSD!$P$2:$P$1000,"",0)</f>
        <v>4615.0315199999995</v>
      </c>
      <c r="O142">
        <f>_xlfn.XLOOKUP($A142,ALGLIB_SSA_XAUUSD!$J$2:$J$1000,ALGLIB_SSA_XAUUSD!$Q$2:$Q$1000,"",0)</f>
        <v>4608.0202300000001</v>
      </c>
      <c r="R142">
        <f t="shared" si="22"/>
        <v>1775432400</v>
      </c>
      <c r="S142" t="str">
        <f t="shared" si="23"/>
        <v>XAUUSD</v>
      </c>
      <c r="T142" t="str">
        <f t="shared" si="24"/>
        <v>M5</v>
      </c>
      <c r="U142">
        <f t="shared" si="25"/>
        <v>4607.25</v>
      </c>
      <c r="V142">
        <v>4632.8485000000001</v>
      </c>
      <c r="W142">
        <v>4639.2349700000004</v>
      </c>
      <c r="X142">
        <v>4612.1248800000003</v>
      </c>
      <c r="Y142">
        <v>4612.8305600000003</v>
      </c>
      <c r="Z142">
        <f t="shared" si="26"/>
        <v>4650.5123100000001</v>
      </c>
      <c r="AA142">
        <f t="shared" si="27"/>
        <v>4615.0315199999995</v>
      </c>
      <c r="AB142">
        <f t="shared" si="28"/>
        <v>4617.4031633333334</v>
      </c>
      <c r="AC142">
        <f t="shared" si="29"/>
        <v>4608.0202300000001</v>
      </c>
      <c r="AF142">
        <f t="shared" si="30"/>
        <v>4612.1248800000003</v>
      </c>
      <c r="AG142">
        <f t="shared" si="31"/>
        <v>4650.5123100000001</v>
      </c>
      <c r="AH142">
        <f t="shared" si="32"/>
        <v>4617.4031633333334</v>
      </c>
    </row>
    <row r="143" spans="1:34" x14ac:dyDescent="0.55000000000000004">
      <c r="A143">
        <f>ALGLIB_SSA_XAUUSD!J143</f>
        <v>1775432700</v>
      </c>
      <c r="B143" t="str">
        <f>_xlfn.XLOOKUP($A143,ALGLIB_SSA_XAUUSD!$A$2:$A$1000,ALGLIB_SSA_XAUUSD!$B$2:$B$1000,"",0)</f>
        <v/>
      </c>
      <c r="C143" t="str">
        <f>_xlfn.XLOOKUP($A143,ALGLIB_SSA_XAUUSD!$A$2:$A$1000,ALGLIB_SSA_XAUUSD!$C$2:$C$1000,"",0)</f>
        <v/>
      </c>
      <c r="D143" s="1">
        <f>D134+(D146-D134)*9/12</f>
        <v>4619.5225</v>
      </c>
      <c r="E143" s="1">
        <f>E134+(E146-E134)*9/12</f>
        <v>4632.4749899999997</v>
      </c>
      <c r="F143" s="1">
        <f>F134+(F146-F134)*9/12</f>
        <v>4638.7424350000001</v>
      </c>
      <c r="G143" s="1">
        <f>G134+(G146-G134)*9/12</f>
        <v>4650.1586125000003</v>
      </c>
      <c r="H143" s="1">
        <f>H134+(H146-H134)*9/12</f>
        <v>4616.9600549999996</v>
      </c>
      <c r="I143" t="str">
        <f>_xlfn.XLOOKUP($A143,ALGLIB_SSA_XAUUSD!$J$2:$J$1000,ALGLIB_SSA_XAUUSD!$K$2:$K$1000,"",0)</f>
        <v>XAUUSD</v>
      </c>
      <c r="J143" t="str">
        <f>_xlfn.XLOOKUP($A143,ALGLIB_SSA_XAUUSD!$J$2:$J$1000,ALGLIB_SSA_XAUUSD!$L$2:$L$1000,"",0)</f>
        <v>M5</v>
      </c>
      <c r="K143">
        <f>_xlfn.XLOOKUP($A143,ALGLIB_SSA_XAUUSD!$J$2:$J$1000,ALGLIB_SSA_XAUUSD!$M$2:$M$1000,"",0)</f>
        <v>4613.58</v>
      </c>
      <c r="L143">
        <f>_xlfn.XLOOKUP($A143,ALGLIB_SSA_XAUUSD!$J$2:$J$1000,ALGLIB_SSA_XAUUSD!$N$2:$N$1000,"",0)</f>
        <v>4613.8474200000001</v>
      </c>
      <c r="M143">
        <f>_xlfn.XLOOKUP($A143,ALGLIB_SSA_XAUUSD!$J$2:$J$1000,ALGLIB_SSA_XAUUSD!$O$2:$O$1000,"",0)</f>
        <v>4613.3389900000002</v>
      </c>
      <c r="N143">
        <f>_xlfn.XLOOKUP($A143,ALGLIB_SSA_XAUUSD!$J$2:$J$1000,ALGLIB_SSA_XAUUSD!$P$2:$P$1000,"",0)</f>
        <v>4616.6145100000003</v>
      </c>
      <c r="O143">
        <f>_xlfn.XLOOKUP($A143,ALGLIB_SSA_XAUUSD!$J$2:$J$1000,ALGLIB_SSA_XAUUSD!$Q$2:$Q$1000,"",0)</f>
        <v>4608.5599599999996</v>
      </c>
      <c r="R143">
        <f t="shared" si="22"/>
        <v>1775432700</v>
      </c>
      <c r="S143" t="str">
        <f t="shared" si="23"/>
        <v>XAUUSD</v>
      </c>
      <c r="T143" t="str">
        <f t="shared" si="24"/>
        <v>M5</v>
      </c>
      <c r="U143">
        <f t="shared" si="25"/>
        <v>4613.58</v>
      </c>
      <c r="V143">
        <v>4632.4749899999997</v>
      </c>
      <c r="W143">
        <v>4638.74244</v>
      </c>
      <c r="X143">
        <v>4613.8474200000001</v>
      </c>
      <c r="Y143">
        <v>4613.3389900000002</v>
      </c>
      <c r="Z143">
        <f t="shared" si="26"/>
        <v>4650.1586125000003</v>
      </c>
      <c r="AA143">
        <f t="shared" si="27"/>
        <v>4616.6145100000003</v>
      </c>
      <c r="AB143">
        <f t="shared" si="28"/>
        <v>4616.9600549999996</v>
      </c>
      <c r="AC143">
        <f t="shared" si="29"/>
        <v>4608.5599599999996</v>
      </c>
      <c r="AF143">
        <f t="shared" si="30"/>
        <v>4613.8474200000001</v>
      </c>
      <c r="AG143">
        <f t="shared" si="31"/>
        <v>4650.1586125000003</v>
      </c>
      <c r="AH143">
        <f t="shared" si="32"/>
        <v>4616.9600549999996</v>
      </c>
    </row>
    <row r="144" spans="1:34" x14ac:dyDescent="0.55000000000000004">
      <c r="A144">
        <f>ALGLIB_SSA_XAUUSD!J144</f>
        <v>1775433000</v>
      </c>
      <c r="B144" t="str">
        <f>_xlfn.XLOOKUP($A144,ALGLIB_SSA_XAUUSD!$A$2:$A$1000,ALGLIB_SSA_XAUUSD!$B$2:$B$1000,"",0)</f>
        <v/>
      </c>
      <c r="C144" t="str">
        <f>_xlfn.XLOOKUP($A144,ALGLIB_SSA_XAUUSD!$A$2:$A$1000,ALGLIB_SSA_XAUUSD!$C$2:$C$1000,"",0)</f>
        <v/>
      </c>
      <c r="D144" s="1">
        <f>D134+(D146-D134)*10/12</f>
        <v>4620.5216666666674</v>
      </c>
      <c r="E144" s="1">
        <f>E134+(E146-E134)*10/12</f>
        <v>4632.1014766666667</v>
      </c>
      <c r="F144" s="1">
        <f>F134+(F146-F134)*10/12</f>
        <v>4638.2499033333334</v>
      </c>
      <c r="G144" s="1">
        <f>G134+(G146-G134)*10/12</f>
        <v>4649.8049150000006</v>
      </c>
      <c r="H144" s="1">
        <f>H134+(H146-H134)*10/12</f>
        <v>4616.5169466666666</v>
      </c>
      <c r="I144" t="str">
        <f>_xlfn.XLOOKUP($A144,ALGLIB_SSA_XAUUSD!$J$2:$J$1000,ALGLIB_SSA_XAUUSD!$K$2:$K$1000,"",0)</f>
        <v>XAUUSD</v>
      </c>
      <c r="J144" t="str">
        <f>_xlfn.XLOOKUP($A144,ALGLIB_SSA_XAUUSD!$J$2:$J$1000,ALGLIB_SSA_XAUUSD!$L$2:$L$1000,"",0)</f>
        <v>M5</v>
      </c>
      <c r="K144">
        <f>_xlfn.XLOOKUP($A144,ALGLIB_SSA_XAUUSD!$J$2:$J$1000,ALGLIB_SSA_XAUUSD!$M$2:$M$1000,"",0)</f>
        <v>4616.92</v>
      </c>
      <c r="L144">
        <f>_xlfn.XLOOKUP($A144,ALGLIB_SSA_XAUUSD!$J$2:$J$1000,ALGLIB_SSA_XAUUSD!$N$2:$N$1000,"",0)</f>
        <v>4616.0218000000004</v>
      </c>
      <c r="M144">
        <f>_xlfn.XLOOKUP($A144,ALGLIB_SSA_XAUUSD!$J$2:$J$1000,ALGLIB_SSA_XAUUSD!$O$2:$O$1000,"",0)</f>
        <v>4614.6804000000002</v>
      </c>
      <c r="N144">
        <f>_xlfn.XLOOKUP($A144,ALGLIB_SSA_XAUUSD!$J$2:$J$1000,ALGLIB_SSA_XAUUSD!$P$2:$P$1000,"",0)</f>
        <v>4619.0384999999997</v>
      </c>
      <c r="O144">
        <f>_xlfn.XLOOKUP($A144,ALGLIB_SSA_XAUUSD!$J$2:$J$1000,ALGLIB_SSA_XAUUSD!$Q$2:$Q$1000,"",0)</f>
        <v>4609.9696599999997</v>
      </c>
      <c r="R144">
        <f t="shared" si="22"/>
        <v>1775433000</v>
      </c>
      <c r="S144" t="str">
        <f t="shared" si="23"/>
        <v>XAUUSD</v>
      </c>
      <c r="T144" t="str">
        <f t="shared" si="24"/>
        <v>M5</v>
      </c>
      <c r="U144">
        <f t="shared" si="25"/>
        <v>4616.92</v>
      </c>
      <c r="V144">
        <v>4632.1014800000003</v>
      </c>
      <c r="W144">
        <v>4638.2498999999998</v>
      </c>
      <c r="X144">
        <v>4616.0218000000004</v>
      </c>
      <c r="Y144">
        <v>4614.6804000000002</v>
      </c>
      <c r="Z144">
        <f t="shared" si="26"/>
        <v>4649.8049150000006</v>
      </c>
      <c r="AA144">
        <f t="shared" si="27"/>
        <v>4619.0384999999997</v>
      </c>
      <c r="AB144">
        <f t="shared" si="28"/>
        <v>4616.5169466666666</v>
      </c>
      <c r="AC144">
        <f t="shared" si="29"/>
        <v>4609.9696599999997</v>
      </c>
      <c r="AF144">
        <f t="shared" si="30"/>
        <v>4616.0218000000004</v>
      </c>
      <c r="AG144">
        <f t="shared" si="31"/>
        <v>4649.8049150000006</v>
      </c>
      <c r="AH144">
        <f t="shared" si="32"/>
        <v>4616.5169466666666</v>
      </c>
    </row>
    <row r="145" spans="1:34" x14ac:dyDescent="0.55000000000000004">
      <c r="A145">
        <f>ALGLIB_SSA_XAUUSD!J145</f>
        <v>1775433300</v>
      </c>
      <c r="B145" t="str">
        <f>_xlfn.XLOOKUP($A145,ALGLIB_SSA_XAUUSD!$A$2:$A$1000,ALGLIB_SSA_XAUUSD!$B$2:$B$1000,"",0)</f>
        <v/>
      </c>
      <c r="C145" t="str">
        <f>_xlfn.XLOOKUP($A145,ALGLIB_SSA_XAUUSD!$A$2:$A$1000,ALGLIB_SSA_XAUUSD!$C$2:$C$1000,"",0)</f>
        <v/>
      </c>
      <c r="D145" s="1">
        <f>D134+(D146-D134)*11/12</f>
        <v>4621.5208333333339</v>
      </c>
      <c r="E145" s="1">
        <f>E134+(E146-E134)*11/12</f>
        <v>4631.7279633333328</v>
      </c>
      <c r="F145" s="1">
        <f>F134+(F146-F134)*11/12</f>
        <v>4637.7573716666666</v>
      </c>
      <c r="G145" s="1">
        <f>G134+(G146-G134)*11/12</f>
        <v>4649.4512175</v>
      </c>
      <c r="H145" s="1">
        <f>H134+(H146-H134)*11/12</f>
        <v>4616.0738383333328</v>
      </c>
      <c r="I145" t="str">
        <f>_xlfn.XLOOKUP($A145,ALGLIB_SSA_XAUUSD!$J$2:$J$1000,ALGLIB_SSA_XAUUSD!$K$2:$K$1000,"",0)</f>
        <v>XAUUSD</v>
      </c>
      <c r="J145" t="str">
        <f>_xlfn.XLOOKUP($A145,ALGLIB_SSA_XAUUSD!$J$2:$J$1000,ALGLIB_SSA_XAUUSD!$L$2:$L$1000,"",0)</f>
        <v>M5</v>
      </c>
      <c r="K145">
        <f>_xlfn.XLOOKUP($A145,ALGLIB_SSA_XAUUSD!$J$2:$J$1000,ALGLIB_SSA_XAUUSD!$M$2:$M$1000,"",0)</f>
        <v>4610.53</v>
      </c>
      <c r="L145">
        <f>_xlfn.XLOOKUP($A145,ALGLIB_SSA_XAUUSD!$J$2:$J$1000,ALGLIB_SSA_XAUUSD!$N$2:$N$1000,"",0)</f>
        <v>4618.0248499999998</v>
      </c>
      <c r="M145">
        <f>_xlfn.XLOOKUP($A145,ALGLIB_SSA_XAUUSD!$J$2:$J$1000,ALGLIB_SSA_XAUUSD!$O$2:$O$1000,"",0)</f>
        <v>4616.3526300000003</v>
      </c>
      <c r="N145">
        <f>_xlfn.XLOOKUP($A145,ALGLIB_SSA_XAUUSD!$J$2:$J$1000,ALGLIB_SSA_XAUUSD!$P$2:$P$1000,"",0)</f>
        <v>4621.6044199999997</v>
      </c>
      <c r="O145">
        <f>_xlfn.XLOOKUP($A145,ALGLIB_SSA_XAUUSD!$J$2:$J$1000,ALGLIB_SSA_XAUUSD!$Q$2:$Q$1000,"",0)</f>
        <v>4611.6280900000002</v>
      </c>
      <c r="R145">
        <f t="shared" si="22"/>
        <v>1775433300</v>
      </c>
      <c r="S145" t="str">
        <f t="shared" si="23"/>
        <v>XAUUSD</v>
      </c>
      <c r="T145" t="str">
        <f t="shared" si="24"/>
        <v>M5</v>
      </c>
      <c r="U145">
        <f t="shared" si="25"/>
        <v>4610.53</v>
      </c>
      <c r="V145">
        <v>4631.7279600000002</v>
      </c>
      <c r="W145">
        <v>4637.7573700000003</v>
      </c>
      <c r="X145">
        <v>4618.0248499999998</v>
      </c>
      <c r="Y145">
        <v>4616.3526300000003</v>
      </c>
      <c r="Z145">
        <f t="shared" si="26"/>
        <v>4649.4512175</v>
      </c>
      <c r="AA145">
        <f t="shared" si="27"/>
        <v>4621.6044199999997</v>
      </c>
      <c r="AB145">
        <f t="shared" si="28"/>
        <v>4616.0738383333328</v>
      </c>
      <c r="AC145">
        <f t="shared" si="29"/>
        <v>4611.6280900000002</v>
      </c>
      <c r="AF145">
        <f t="shared" si="30"/>
        <v>4618.0248499999998</v>
      </c>
      <c r="AG145">
        <f t="shared" si="31"/>
        <v>4649.4512175</v>
      </c>
      <c r="AH145">
        <f t="shared" si="32"/>
        <v>4616.0738383333328</v>
      </c>
    </row>
    <row r="146" spans="1:34" x14ac:dyDescent="0.55000000000000004">
      <c r="A146">
        <f>ALGLIB_SSA_XAUUSD!J146</f>
        <v>1775433600</v>
      </c>
      <c r="B146" t="str">
        <f>_xlfn.XLOOKUP($A146,ALGLIB_SSA_XAUUSD!$A$2:$A$1000,ALGLIB_SSA_XAUUSD!$B$2:$B$1000,"",0)</f>
        <v>XAUUSD</v>
      </c>
      <c r="C146" t="str">
        <f>_xlfn.XLOOKUP($A146,ALGLIB_SSA_XAUUSD!$A$2:$A$1000,ALGLIB_SSA_XAUUSD!$C$2:$C$1000,"",0)</f>
        <v>H1</v>
      </c>
      <c r="D146" s="2">
        <f>_xlfn.XLOOKUP($A146,ALGLIB_SSA_XAUUSD!$A$2:$A$1000,ALGLIB_SSA_XAUUSD!$D$2:$D$1000,"",0)</f>
        <v>4622.5200000000004</v>
      </c>
      <c r="E146" s="2">
        <f>_xlfn.XLOOKUP($A146,ALGLIB_SSA_XAUUSD!$A$2:$A$1000,ALGLIB_SSA_XAUUSD!$E$2:$E$1000,"",0)</f>
        <v>4631.3544499999998</v>
      </c>
      <c r="F146" s="2">
        <f>_xlfn.XLOOKUP($A146,ALGLIB_SSA_XAUUSD!$A$2:$A$1000,ALGLIB_SSA_XAUUSD!$F$2:$F$1000,"",0)</f>
        <v>4637.2648399999998</v>
      </c>
      <c r="G146" s="2">
        <f>_xlfn.XLOOKUP($A146,ALGLIB_SSA_XAUUSD!$A$2:$A$1000,ALGLIB_SSA_XAUUSD!$G$2:$G$1000,"",0)</f>
        <v>4649.0975200000003</v>
      </c>
      <c r="H146" s="2">
        <f>_xlfn.XLOOKUP($A146,ALGLIB_SSA_XAUUSD!$A$2:$A$1000,ALGLIB_SSA_XAUUSD!$H$2:$H$1000,"",0)</f>
        <v>4615.6307299999999</v>
      </c>
      <c r="I146" t="str">
        <f>_xlfn.XLOOKUP($A146,ALGLIB_SSA_XAUUSD!$J$2:$J$1000,ALGLIB_SSA_XAUUSD!$K$2:$K$1000,"",0)</f>
        <v>XAUUSD</v>
      </c>
      <c r="J146" t="str">
        <f>_xlfn.XLOOKUP($A146,ALGLIB_SSA_XAUUSD!$J$2:$J$1000,ALGLIB_SSA_XAUUSD!$L$2:$L$1000,"",0)</f>
        <v>M5</v>
      </c>
      <c r="K146">
        <f>_xlfn.XLOOKUP($A146,ALGLIB_SSA_XAUUSD!$J$2:$J$1000,ALGLIB_SSA_XAUUSD!$M$2:$M$1000,"",0)</f>
        <v>4623.28</v>
      </c>
      <c r="L146">
        <f>_xlfn.XLOOKUP($A146,ALGLIB_SSA_XAUUSD!$J$2:$J$1000,ALGLIB_SSA_XAUUSD!$N$2:$N$1000,"",0)</f>
        <v>4619.5503399999998</v>
      </c>
      <c r="M146">
        <f>_xlfn.XLOOKUP($A146,ALGLIB_SSA_XAUUSD!$J$2:$J$1000,ALGLIB_SSA_XAUUSD!$O$2:$O$1000,"",0)</f>
        <v>4617.9514799999997</v>
      </c>
      <c r="N146">
        <f>_xlfn.XLOOKUP($A146,ALGLIB_SSA_XAUUSD!$J$2:$J$1000,ALGLIB_SSA_XAUUSD!$P$2:$P$1000,"",0)</f>
        <v>4623.8075799999997</v>
      </c>
      <c r="O146">
        <f>_xlfn.XLOOKUP($A146,ALGLIB_SSA_XAUUSD!$J$2:$J$1000,ALGLIB_SSA_XAUUSD!$Q$2:$Q$1000,"",0)</f>
        <v>4613.0892700000004</v>
      </c>
      <c r="R146">
        <f t="shared" si="22"/>
        <v>1775433600</v>
      </c>
      <c r="S146" t="str">
        <f t="shared" si="23"/>
        <v>XAUUSD</v>
      </c>
      <c r="T146" t="str">
        <f t="shared" si="24"/>
        <v>M5</v>
      </c>
      <c r="U146">
        <f t="shared" si="25"/>
        <v>4623.28</v>
      </c>
      <c r="V146">
        <v>4631.3544499999998</v>
      </c>
      <c r="W146">
        <v>4637.2648399999998</v>
      </c>
      <c r="X146">
        <v>4619.5503399999998</v>
      </c>
      <c r="Y146">
        <v>4617.9514799999997</v>
      </c>
      <c r="Z146">
        <f t="shared" si="26"/>
        <v>4649.0975200000003</v>
      </c>
      <c r="AA146">
        <f t="shared" si="27"/>
        <v>4623.8075799999997</v>
      </c>
      <c r="AB146">
        <f t="shared" si="28"/>
        <v>4615.6307299999999</v>
      </c>
      <c r="AC146">
        <f t="shared" si="29"/>
        <v>4613.0892700000004</v>
      </c>
      <c r="AF146">
        <f t="shared" si="30"/>
        <v>4619.5503399999998</v>
      </c>
      <c r="AG146">
        <f t="shared" si="31"/>
        <v>4649.0975200000003</v>
      </c>
      <c r="AH146">
        <f t="shared" si="32"/>
        <v>4615.6307299999999</v>
      </c>
    </row>
    <row r="147" spans="1:34" x14ac:dyDescent="0.55000000000000004">
      <c r="A147">
        <f>ALGLIB_SSA_XAUUSD!J147</f>
        <v>1775433900</v>
      </c>
      <c r="B147" t="str">
        <f>_xlfn.XLOOKUP($A147,ALGLIB_SSA_XAUUSD!$A$2:$A$1000,ALGLIB_SSA_XAUUSD!$B$2:$B$1000,"",0)</f>
        <v/>
      </c>
      <c r="C147" t="str">
        <f>_xlfn.XLOOKUP($A147,ALGLIB_SSA_XAUUSD!$A$2:$A$1000,ALGLIB_SSA_XAUUSD!$C$2:$C$1000,"",0)</f>
        <v/>
      </c>
      <c r="D147" s="1">
        <f>D146+(D158-D146)*1/12</f>
        <v>4622.8083333333334</v>
      </c>
      <c r="E147" s="1">
        <f>E146+(E158-E146)*1/12</f>
        <v>4631.3011816666667</v>
      </c>
      <c r="F147" s="1">
        <f>F146+(F158-F146)*1/12</f>
        <v>4636.9919399999999</v>
      </c>
      <c r="G147" s="1">
        <f>G146+(G158-G146)*1/12</f>
        <v>4649.0164166666673</v>
      </c>
      <c r="H147" s="1">
        <f>H146+(H158-H146)*1/12</f>
        <v>4615.511833333333</v>
      </c>
      <c r="I147" t="str">
        <f>_xlfn.XLOOKUP($A147,ALGLIB_SSA_XAUUSD!$J$2:$J$1000,ALGLIB_SSA_XAUUSD!$K$2:$K$1000,"",0)</f>
        <v>XAUUSD</v>
      </c>
      <c r="J147" t="str">
        <f>_xlfn.XLOOKUP($A147,ALGLIB_SSA_XAUUSD!$J$2:$J$1000,ALGLIB_SSA_XAUUSD!$L$2:$L$1000,"",0)</f>
        <v>M5</v>
      </c>
      <c r="K147">
        <f>_xlfn.XLOOKUP($A147,ALGLIB_SSA_XAUUSD!$J$2:$J$1000,ALGLIB_SSA_XAUUSD!$M$2:$M$1000,"",0)</f>
        <v>4623.1899999999996</v>
      </c>
      <c r="L147">
        <f>_xlfn.XLOOKUP($A147,ALGLIB_SSA_XAUUSD!$J$2:$J$1000,ALGLIB_SSA_XAUUSD!$N$2:$N$1000,"",0)</f>
        <v>4619.9449699999996</v>
      </c>
      <c r="M147">
        <f>_xlfn.XLOOKUP($A147,ALGLIB_SSA_XAUUSD!$J$2:$J$1000,ALGLIB_SSA_XAUUSD!$O$2:$O$1000,"",0)</f>
        <v>4618.94823</v>
      </c>
      <c r="N147">
        <f>_xlfn.XLOOKUP($A147,ALGLIB_SSA_XAUUSD!$J$2:$J$1000,ALGLIB_SSA_XAUUSD!$P$2:$P$1000,"",0)</f>
        <v>4625.0669600000001</v>
      </c>
      <c r="O147">
        <f>_xlfn.XLOOKUP($A147,ALGLIB_SSA_XAUUSD!$J$2:$J$1000,ALGLIB_SSA_XAUUSD!$Q$2:$Q$1000,"",0)</f>
        <v>4613.9897199999996</v>
      </c>
      <c r="R147">
        <f t="shared" si="22"/>
        <v>1775433900</v>
      </c>
      <c r="S147" t="str">
        <f t="shared" si="23"/>
        <v>XAUUSD</v>
      </c>
      <c r="T147" t="str">
        <f t="shared" si="24"/>
        <v>M5</v>
      </c>
      <c r="U147">
        <f t="shared" si="25"/>
        <v>4623.1899999999996</v>
      </c>
      <c r="V147">
        <v>4631.3011800000004</v>
      </c>
      <c r="W147">
        <v>4636.9919399999999</v>
      </c>
      <c r="X147">
        <v>4619.9449699999996</v>
      </c>
      <c r="Y147">
        <v>4618.94823</v>
      </c>
      <c r="Z147">
        <f t="shared" si="26"/>
        <v>4649.0164166666673</v>
      </c>
      <c r="AA147">
        <f t="shared" si="27"/>
        <v>4625.0669600000001</v>
      </c>
      <c r="AB147">
        <f t="shared" si="28"/>
        <v>4615.511833333333</v>
      </c>
      <c r="AC147">
        <f t="shared" si="29"/>
        <v>4613.9897199999996</v>
      </c>
      <c r="AF147">
        <f t="shared" si="30"/>
        <v>4619.9449699999996</v>
      </c>
      <c r="AG147">
        <f t="shared" si="31"/>
        <v>4649.0164166666673</v>
      </c>
      <c r="AH147">
        <f t="shared" si="32"/>
        <v>4615.511833333333</v>
      </c>
    </row>
    <row r="148" spans="1:34" x14ac:dyDescent="0.55000000000000004">
      <c r="A148">
        <f>ALGLIB_SSA_XAUUSD!J148</f>
        <v>1775434200</v>
      </c>
      <c r="B148" t="str">
        <f>_xlfn.XLOOKUP($A148,ALGLIB_SSA_XAUUSD!$A$2:$A$1000,ALGLIB_SSA_XAUUSD!$B$2:$B$1000,"",0)</f>
        <v/>
      </c>
      <c r="C148" t="str">
        <f>_xlfn.XLOOKUP($A148,ALGLIB_SSA_XAUUSD!$A$2:$A$1000,ALGLIB_SSA_XAUUSD!$C$2:$C$1000,"",0)</f>
        <v/>
      </c>
      <c r="D148" s="1">
        <f>D146+(D158-D146)*2/12</f>
        <v>4623.0966666666673</v>
      </c>
      <c r="E148" s="1">
        <f>E146+(E158-E146)*2/12</f>
        <v>4631.2479133333327</v>
      </c>
      <c r="F148" s="1">
        <f>F146+(F158-F146)*2/12</f>
        <v>4636.7190399999999</v>
      </c>
      <c r="G148" s="1">
        <f>G146+(G158-G146)*2/12</f>
        <v>4648.9353133333334</v>
      </c>
      <c r="H148" s="1">
        <f>H146+(H158-H146)*2/12</f>
        <v>4615.3929366666662</v>
      </c>
      <c r="I148" t="str">
        <f>_xlfn.XLOOKUP($A148,ALGLIB_SSA_XAUUSD!$J$2:$J$1000,ALGLIB_SSA_XAUUSD!$K$2:$K$1000,"",0)</f>
        <v>XAUUSD</v>
      </c>
      <c r="J148" t="str">
        <f>_xlfn.XLOOKUP($A148,ALGLIB_SSA_XAUUSD!$J$2:$J$1000,ALGLIB_SSA_XAUUSD!$L$2:$L$1000,"",0)</f>
        <v>M5</v>
      </c>
      <c r="K148">
        <f>_xlfn.XLOOKUP($A148,ALGLIB_SSA_XAUUSD!$J$2:$J$1000,ALGLIB_SSA_XAUUSD!$M$2:$M$1000,"",0)</f>
        <v>4626.16</v>
      </c>
      <c r="L148">
        <f>_xlfn.XLOOKUP($A148,ALGLIB_SSA_XAUUSD!$J$2:$J$1000,ALGLIB_SSA_XAUUSD!$N$2:$N$1000,"",0)</f>
        <v>4619.1158100000002</v>
      </c>
      <c r="M148">
        <f>_xlfn.XLOOKUP($A148,ALGLIB_SSA_XAUUSD!$J$2:$J$1000,ALGLIB_SSA_XAUUSD!$O$2:$O$1000,"",0)</f>
        <v>4619.0320199999996</v>
      </c>
      <c r="N148">
        <f>_xlfn.XLOOKUP($A148,ALGLIB_SSA_XAUUSD!$J$2:$J$1000,ALGLIB_SSA_XAUUSD!$P$2:$P$1000,"",0)</f>
        <v>4625.0957799999996</v>
      </c>
      <c r="O148">
        <f>_xlfn.XLOOKUP($A148,ALGLIB_SSA_XAUUSD!$J$2:$J$1000,ALGLIB_SSA_XAUUSD!$Q$2:$Q$1000,"",0)</f>
        <v>4613.8329199999998</v>
      </c>
      <c r="R148">
        <f t="shared" si="22"/>
        <v>1775434200</v>
      </c>
      <c r="S148" t="str">
        <f t="shared" si="23"/>
        <v>XAUUSD</v>
      </c>
      <c r="T148" t="str">
        <f t="shared" si="24"/>
        <v>M5</v>
      </c>
      <c r="U148">
        <f t="shared" si="25"/>
        <v>4626.16</v>
      </c>
      <c r="V148">
        <v>4631.24791</v>
      </c>
      <c r="W148">
        <v>4636.7190399999999</v>
      </c>
      <c r="X148">
        <v>4619.1158100000002</v>
      </c>
      <c r="Y148">
        <v>4619.0320199999996</v>
      </c>
      <c r="Z148">
        <f t="shared" si="26"/>
        <v>4648.9353133333334</v>
      </c>
      <c r="AA148">
        <f t="shared" si="27"/>
        <v>4625.0957799999996</v>
      </c>
      <c r="AB148">
        <f t="shared" si="28"/>
        <v>4615.3929366666662</v>
      </c>
      <c r="AC148">
        <f t="shared" si="29"/>
        <v>4613.8329199999998</v>
      </c>
      <c r="AF148">
        <f t="shared" si="30"/>
        <v>4619.1158100000002</v>
      </c>
      <c r="AG148">
        <f t="shared" si="31"/>
        <v>4648.9353133333334</v>
      </c>
      <c r="AH148">
        <f t="shared" si="32"/>
        <v>4615.3929366666662</v>
      </c>
    </row>
    <row r="149" spans="1:34" x14ac:dyDescent="0.55000000000000004">
      <c r="A149">
        <f>ALGLIB_SSA_XAUUSD!J149</f>
        <v>1775434500</v>
      </c>
      <c r="B149" t="str">
        <f>_xlfn.XLOOKUP($A149,ALGLIB_SSA_XAUUSD!$A$2:$A$1000,ALGLIB_SSA_XAUUSD!$B$2:$B$1000,"",0)</f>
        <v/>
      </c>
      <c r="C149" t="str">
        <f>_xlfn.XLOOKUP($A149,ALGLIB_SSA_XAUUSD!$A$2:$A$1000,ALGLIB_SSA_XAUUSD!$C$2:$C$1000,"",0)</f>
        <v/>
      </c>
      <c r="D149" s="1">
        <f>D146+(D158-D146)*3/12</f>
        <v>4623.3850000000002</v>
      </c>
      <c r="E149" s="1">
        <f>E146+(E158-E146)*3/12</f>
        <v>4631.1946449999996</v>
      </c>
      <c r="F149" s="1">
        <f>F146+(F158-F146)*3/12</f>
        <v>4636.44614</v>
      </c>
      <c r="G149" s="1">
        <f>G146+(G158-G146)*3/12</f>
        <v>4648.8542100000004</v>
      </c>
      <c r="H149" s="1">
        <f>H146+(H158-H146)*3/12</f>
        <v>4615.2740400000002</v>
      </c>
      <c r="I149" t="str">
        <f>_xlfn.XLOOKUP($A149,ALGLIB_SSA_XAUUSD!$J$2:$J$1000,ALGLIB_SSA_XAUUSD!$K$2:$K$1000,"",0)</f>
        <v>XAUUSD</v>
      </c>
      <c r="J149" t="str">
        <f>_xlfn.XLOOKUP($A149,ALGLIB_SSA_XAUUSD!$J$2:$J$1000,ALGLIB_SSA_XAUUSD!$L$2:$L$1000,"",0)</f>
        <v>M5</v>
      </c>
      <c r="K149">
        <f>_xlfn.XLOOKUP($A149,ALGLIB_SSA_XAUUSD!$J$2:$J$1000,ALGLIB_SSA_XAUUSD!$M$2:$M$1000,"",0)</f>
        <v>4614.87</v>
      </c>
      <c r="L149">
        <f>_xlfn.XLOOKUP($A149,ALGLIB_SSA_XAUUSD!$J$2:$J$1000,ALGLIB_SSA_XAUUSD!$N$2:$N$1000,"",0)</f>
        <v>4617.1842200000001</v>
      </c>
      <c r="M149">
        <f>_xlfn.XLOOKUP($A149,ALGLIB_SSA_XAUUSD!$J$2:$J$1000,ALGLIB_SSA_XAUUSD!$O$2:$O$1000,"",0)</f>
        <v>4618.1081199999999</v>
      </c>
      <c r="N149">
        <f>_xlfn.XLOOKUP($A149,ALGLIB_SSA_XAUUSD!$J$2:$J$1000,ALGLIB_SSA_XAUUSD!$P$2:$P$1000,"",0)</f>
        <v>4623.9011600000003</v>
      </c>
      <c r="O149">
        <f>_xlfn.XLOOKUP($A149,ALGLIB_SSA_XAUUSD!$J$2:$J$1000,ALGLIB_SSA_XAUUSD!$Q$2:$Q$1000,"",0)</f>
        <v>4612.5855300000003</v>
      </c>
      <c r="R149">
        <f t="shared" si="22"/>
        <v>1775434500</v>
      </c>
      <c r="S149" t="str">
        <f t="shared" si="23"/>
        <v>XAUUSD</v>
      </c>
      <c r="T149" t="str">
        <f t="shared" si="24"/>
        <v>M5</v>
      </c>
      <c r="U149">
        <f t="shared" si="25"/>
        <v>4614.87</v>
      </c>
      <c r="V149">
        <v>4631.1946399999997</v>
      </c>
      <c r="W149">
        <v>4636.44614</v>
      </c>
      <c r="X149">
        <v>4617.1842200000001</v>
      </c>
      <c r="Y149">
        <v>4618.1081199999999</v>
      </c>
      <c r="Z149">
        <f t="shared" si="26"/>
        <v>4648.8542100000004</v>
      </c>
      <c r="AA149">
        <f t="shared" si="27"/>
        <v>4623.9011600000003</v>
      </c>
      <c r="AB149">
        <f t="shared" si="28"/>
        <v>4615.2740400000002</v>
      </c>
      <c r="AC149">
        <f t="shared" si="29"/>
        <v>4612.5855300000003</v>
      </c>
      <c r="AF149">
        <f t="shared" si="30"/>
        <v>4617.1842200000001</v>
      </c>
      <c r="AG149">
        <f t="shared" si="31"/>
        <v>4648.8542100000004</v>
      </c>
      <c r="AH149">
        <f t="shared" si="32"/>
        <v>4615.2740400000002</v>
      </c>
    </row>
    <row r="150" spans="1:34" x14ac:dyDescent="0.55000000000000004">
      <c r="A150">
        <f>ALGLIB_SSA_XAUUSD!J150</f>
        <v>1775434800</v>
      </c>
      <c r="B150" t="str">
        <f>_xlfn.XLOOKUP($A150,ALGLIB_SSA_XAUUSD!$A$2:$A$1000,ALGLIB_SSA_XAUUSD!$B$2:$B$1000,"",0)</f>
        <v/>
      </c>
      <c r="C150" t="str">
        <f>_xlfn.XLOOKUP($A150,ALGLIB_SSA_XAUUSD!$A$2:$A$1000,ALGLIB_SSA_XAUUSD!$C$2:$C$1000,"",0)</f>
        <v/>
      </c>
      <c r="D150" s="1">
        <f>D146+(D158-D146)*4/12</f>
        <v>4623.6733333333332</v>
      </c>
      <c r="E150" s="1">
        <f>E146+(E158-E146)*4/12</f>
        <v>4631.1413766666665</v>
      </c>
      <c r="F150" s="1">
        <f>F146+(F158-F146)*4/12</f>
        <v>4636.1732400000001</v>
      </c>
      <c r="G150" s="1">
        <f>G146+(G158-G146)*4/12</f>
        <v>4648.7731066666665</v>
      </c>
      <c r="H150" s="1">
        <f>H146+(H158-H146)*4/12</f>
        <v>4615.1551433333334</v>
      </c>
      <c r="I150" t="str">
        <f>_xlfn.XLOOKUP($A150,ALGLIB_SSA_XAUUSD!$J$2:$J$1000,ALGLIB_SSA_XAUUSD!$K$2:$K$1000,"",0)</f>
        <v>XAUUSD</v>
      </c>
      <c r="J150" t="str">
        <f>_xlfn.XLOOKUP($A150,ALGLIB_SSA_XAUUSD!$J$2:$J$1000,ALGLIB_SSA_XAUUSD!$L$2:$L$1000,"",0)</f>
        <v>M5</v>
      </c>
      <c r="K150">
        <f>_xlfn.XLOOKUP($A150,ALGLIB_SSA_XAUUSD!$J$2:$J$1000,ALGLIB_SSA_XAUUSD!$M$2:$M$1000,"",0)</f>
        <v>4617.09</v>
      </c>
      <c r="L150">
        <f>_xlfn.XLOOKUP($A150,ALGLIB_SSA_XAUUSD!$J$2:$J$1000,ALGLIB_SSA_XAUUSD!$N$2:$N$1000,"",0)</f>
        <v>4614.8605200000002</v>
      </c>
      <c r="M150">
        <f>_xlfn.XLOOKUP($A150,ALGLIB_SSA_XAUUSD!$J$2:$J$1000,ALGLIB_SSA_XAUUSD!$O$2:$O$1000,"",0)</f>
        <v>4616.4843199999996</v>
      </c>
      <c r="N150">
        <f>_xlfn.XLOOKUP($A150,ALGLIB_SSA_XAUUSD!$J$2:$J$1000,ALGLIB_SSA_XAUUSD!$P$2:$P$1000,"",0)</f>
        <v>4621.7020599999996</v>
      </c>
      <c r="O150">
        <f>_xlfn.XLOOKUP($A150,ALGLIB_SSA_XAUUSD!$J$2:$J$1000,ALGLIB_SSA_XAUUSD!$Q$2:$Q$1000,"",0)</f>
        <v>4610.7120400000003</v>
      </c>
      <c r="R150">
        <f t="shared" si="22"/>
        <v>1775434800</v>
      </c>
      <c r="S150" t="str">
        <f t="shared" si="23"/>
        <v>XAUUSD</v>
      </c>
      <c r="T150" t="str">
        <f t="shared" si="24"/>
        <v>M5</v>
      </c>
      <c r="U150">
        <f t="shared" si="25"/>
        <v>4617.09</v>
      </c>
      <c r="V150">
        <v>4631.14138</v>
      </c>
      <c r="W150">
        <v>4636.1732400000001</v>
      </c>
      <c r="X150">
        <v>4614.8605200000002</v>
      </c>
      <c r="Y150">
        <v>4616.4843199999996</v>
      </c>
      <c r="Z150">
        <f t="shared" si="26"/>
        <v>4648.7731066666665</v>
      </c>
      <c r="AA150">
        <f t="shared" si="27"/>
        <v>4621.7020599999996</v>
      </c>
      <c r="AB150">
        <f t="shared" si="28"/>
        <v>4615.1551433333334</v>
      </c>
      <c r="AC150">
        <f t="shared" si="29"/>
        <v>4610.7120400000003</v>
      </c>
      <c r="AF150">
        <f t="shared" si="30"/>
        <v>4614.8605200000002</v>
      </c>
      <c r="AG150">
        <f t="shared" si="31"/>
        <v>4648.7731066666665</v>
      </c>
      <c r="AH150">
        <f t="shared" si="32"/>
        <v>4615.1551433333334</v>
      </c>
    </row>
    <row r="151" spans="1:34" x14ac:dyDescent="0.55000000000000004">
      <c r="A151">
        <f>ALGLIB_SSA_XAUUSD!J151</f>
        <v>1775435100</v>
      </c>
      <c r="B151" t="str">
        <f>_xlfn.XLOOKUP($A151,ALGLIB_SSA_XAUUSD!$A$2:$A$1000,ALGLIB_SSA_XAUUSD!$B$2:$B$1000,"",0)</f>
        <v/>
      </c>
      <c r="C151" t="str">
        <f>_xlfn.XLOOKUP($A151,ALGLIB_SSA_XAUUSD!$A$2:$A$1000,ALGLIB_SSA_XAUUSD!$C$2:$C$1000,"",0)</f>
        <v/>
      </c>
      <c r="D151" s="1">
        <f>D146+(D158-D146)*5/12</f>
        <v>4623.961666666667</v>
      </c>
      <c r="E151" s="1">
        <f>E146+(E158-E146)*5/12</f>
        <v>4631.0881083333334</v>
      </c>
      <c r="F151" s="1">
        <f>F146+(F158-F146)*5/12</f>
        <v>4635.9003400000001</v>
      </c>
      <c r="G151" s="1">
        <f>G146+(G158-G146)*5/12</f>
        <v>4648.6920033333336</v>
      </c>
      <c r="H151" s="1">
        <f>H146+(H158-H146)*5/12</f>
        <v>4615.0362466666666</v>
      </c>
      <c r="I151" t="str">
        <f>_xlfn.XLOOKUP($A151,ALGLIB_SSA_XAUUSD!$J$2:$J$1000,ALGLIB_SSA_XAUUSD!$K$2:$K$1000,"",0)</f>
        <v>XAUUSD</v>
      </c>
      <c r="J151" t="str">
        <f>_xlfn.XLOOKUP($A151,ALGLIB_SSA_XAUUSD!$J$2:$J$1000,ALGLIB_SSA_XAUUSD!$L$2:$L$1000,"",0)</f>
        <v>M5</v>
      </c>
      <c r="K151">
        <f>_xlfn.XLOOKUP($A151,ALGLIB_SSA_XAUUSD!$J$2:$J$1000,ALGLIB_SSA_XAUUSD!$M$2:$M$1000,"",0)</f>
        <v>4603.5200000000004</v>
      </c>
      <c r="L151">
        <f>_xlfn.XLOOKUP($A151,ALGLIB_SSA_XAUUSD!$J$2:$J$1000,ALGLIB_SSA_XAUUSD!$N$2:$N$1000,"",0)</f>
        <v>4612.6509699999997</v>
      </c>
      <c r="M151">
        <f>_xlfn.XLOOKUP($A151,ALGLIB_SSA_XAUUSD!$J$2:$J$1000,ALGLIB_SSA_XAUUSD!$O$2:$O$1000,"",0)</f>
        <v>4614.56765</v>
      </c>
      <c r="N151">
        <f>_xlfn.XLOOKUP($A151,ALGLIB_SSA_XAUUSD!$J$2:$J$1000,ALGLIB_SSA_XAUUSD!$P$2:$P$1000,"",0)</f>
        <v>4619.1656899999998</v>
      </c>
      <c r="O151">
        <f>_xlfn.XLOOKUP($A151,ALGLIB_SSA_XAUUSD!$J$2:$J$1000,ALGLIB_SSA_XAUUSD!$Q$2:$Q$1000,"",0)</f>
        <v>4608.7485900000001</v>
      </c>
      <c r="R151">
        <f t="shared" si="22"/>
        <v>1775435100</v>
      </c>
      <c r="S151" t="str">
        <f t="shared" si="23"/>
        <v>XAUUSD</v>
      </c>
      <c r="T151" t="str">
        <f t="shared" si="24"/>
        <v>M5</v>
      </c>
      <c r="U151">
        <f t="shared" si="25"/>
        <v>4603.5200000000004</v>
      </c>
      <c r="V151">
        <v>4631.0881099999997</v>
      </c>
      <c r="W151">
        <v>4635.9003400000001</v>
      </c>
      <c r="X151">
        <v>4612.6509699999997</v>
      </c>
      <c r="Y151">
        <v>4614.56765</v>
      </c>
      <c r="Z151">
        <f t="shared" si="26"/>
        <v>4648.6920033333336</v>
      </c>
      <c r="AA151">
        <f t="shared" si="27"/>
        <v>4619.1656899999998</v>
      </c>
      <c r="AB151">
        <f t="shared" si="28"/>
        <v>4615.0362466666666</v>
      </c>
      <c r="AC151">
        <f t="shared" si="29"/>
        <v>4608.7485900000001</v>
      </c>
      <c r="AF151">
        <f t="shared" si="30"/>
        <v>4612.6509699999997</v>
      </c>
      <c r="AG151">
        <f t="shared" si="31"/>
        <v>4648.6920033333336</v>
      </c>
      <c r="AH151">
        <f t="shared" si="32"/>
        <v>4615.0362466666666</v>
      </c>
    </row>
    <row r="152" spans="1:34" x14ac:dyDescent="0.55000000000000004">
      <c r="A152">
        <f>ALGLIB_SSA_XAUUSD!J152</f>
        <v>1775435400</v>
      </c>
      <c r="B152" t="str">
        <f>_xlfn.XLOOKUP($A152,ALGLIB_SSA_XAUUSD!$A$2:$A$1000,ALGLIB_SSA_XAUUSD!$B$2:$B$1000,"",0)</f>
        <v/>
      </c>
      <c r="C152" t="str">
        <f>_xlfn.XLOOKUP($A152,ALGLIB_SSA_XAUUSD!$A$2:$A$1000,ALGLIB_SSA_XAUUSD!$C$2:$C$1000,"",0)</f>
        <v/>
      </c>
      <c r="D152" s="1">
        <f>D146+(D158-D146)*6/12</f>
        <v>4624.25</v>
      </c>
      <c r="E152" s="1">
        <f>E146+(E158-E146)*6/12</f>
        <v>4631.0348400000003</v>
      </c>
      <c r="F152" s="1">
        <f>F146+(F158-F146)*6/12</f>
        <v>4635.6274400000002</v>
      </c>
      <c r="G152" s="1">
        <f>G146+(G158-G146)*6/12</f>
        <v>4648.6108999999997</v>
      </c>
      <c r="H152" s="1">
        <f>H146+(H158-H146)*6/12</f>
        <v>4614.9173499999997</v>
      </c>
      <c r="I152" t="str">
        <f>_xlfn.XLOOKUP($A152,ALGLIB_SSA_XAUUSD!$J$2:$J$1000,ALGLIB_SSA_XAUUSD!$K$2:$K$1000,"",0)</f>
        <v>XAUUSD</v>
      </c>
      <c r="J152" t="str">
        <f>_xlfn.XLOOKUP($A152,ALGLIB_SSA_XAUUSD!$J$2:$J$1000,ALGLIB_SSA_XAUUSD!$L$2:$L$1000,"",0)</f>
        <v>M5</v>
      </c>
      <c r="K152">
        <f>_xlfn.XLOOKUP($A152,ALGLIB_SSA_XAUUSD!$J$2:$J$1000,ALGLIB_SSA_XAUUSD!$M$2:$M$1000,"",0)</f>
        <v>4609.2</v>
      </c>
      <c r="L152">
        <f>_xlfn.XLOOKUP($A152,ALGLIB_SSA_XAUUSD!$J$2:$J$1000,ALGLIB_SSA_XAUUSD!$N$2:$N$1000,"",0)</f>
        <v>4611.4684500000003</v>
      </c>
      <c r="M152">
        <f>_xlfn.XLOOKUP($A152,ALGLIB_SSA_XAUUSD!$J$2:$J$1000,ALGLIB_SSA_XAUUSD!$O$2:$O$1000,"",0)</f>
        <v>4613.0180499999997</v>
      </c>
      <c r="N152">
        <f>_xlfn.XLOOKUP($A152,ALGLIB_SSA_XAUUSD!$J$2:$J$1000,ALGLIB_SSA_XAUUSD!$P$2:$P$1000,"",0)</f>
        <v>4616.9894599999998</v>
      </c>
      <c r="O152">
        <f>_xlfn.XLOOKUP($A152,ALGLIB_SSA_XAUUSD!$J$2:$J$1000,ALGLIB_SSA_XAUUSD!$Q$2:$Q$1000,"",0)</f>
        <v>4607.5706200000004</v>
      </c>
      <c r="R152">
        <f t="shared" si="22"/>
        <v>1775435400</v>
      </c>
      <c r="S152" t="str">
        <f t="shared" si="23"/>
        <v>XAUUSD</v>
      </c>
      <c r="T152" t="str">
        <f t="shared" si="24"/>
        <v>M5</v>
      </c>
      <c r="U152">
        <f t="shared" si="25"/>
        <v>4609.2</v>
      </c>
      <c r="V152">
        <v>4631.0348400000003</v>
      </c>
      <c r="W152">
        <v>4635.6274400000002</v>
      </c>
      <c r="X152">
        <v>4611.4684500000003</v>
      </c>
      <c r="Y152">
        <v>4613.0180499999997</v>
      </c>
      <c r="Z152">
        <f t="shared" si="26"/>
        <v>4648.6108999999997</v>
      </c>
      <c r="AA152">
        <f t="shared" si="27"/>
        <v>4616.9894599999998</v>
      </c>
      <c r="AB152">
        <f t="shared" si="28"/>
        <v>4614.9173499999997</v>
      </c>
      <c r="AC152">
        <f t="shared" si="29"/>
        <v>4607.5706200000004</v>
      </c>
      <c r="AF152">
        <f t="shared" si="30"/>
        <v>4611.4684500000003</v>
      </c>
      <c r="AG152">
        <f t="shared" si="31"/>
        <v>4648.6108999999997</v>
      </c>
      <c r="AH152">
        <f t="shared" si="32"/>
        <v>4614.9173499999997</v>
      </c>
    </row>
    <row r="153" spans="1:34" x14ac:dyDescent="0.55000000000000004">
      <c r="A153">
        <f>ALGLIB_SSA_XAUUSD!J153</f>
        <v>1775435700</v>
      </c>
      <c r="B153" t="str">
        <f>_xlfn.XLOOKUP($A153,ALGLIB_SSA_XAUUSD!$A$2:$A$1000,ALGLIB_SSA_XAUUSD!$B$2:$B$1000,"",0)</f>
        <v/>
      </c>
      <c r="C153" t="str">
        <f>_xlfn.XLOOKUP($A153,ALGLIB_SSA_XAUUSD!$A$2:$A$1000,ALGLIB_SSA_XAUUSD!$C$2:$C$1000,"",0)</f>
        <v/>
      </c>
      <c r="D153" s="1">
        <f>D146+(D158-D146)*7/12</f>
        <v>4624.538333333333</v>
      </c>
      <c r="E153" s="1">
        <f>E146+(E158-E146)*7/12</f>
        <v>4630.9815716666662</v>
      </c>
      <c r="F153" s="1">
        <f>F146+(F158-F146)*7/12</f>
        <v>4635.3545399999994</v>
      </c>
      <c r="G153" s="1">
        <f>G146+(G158-G146)*7/12</f>
        <v>4648.5297966666667</v>
      </c>
      <c r="H153" s="1">
        <f>H146+(H158-H146)*7/12</f>
        <v>4614.7984533333329</v>
      </c>
      <c r="I153" t="str">
        <f>_xlfn.XLOOKUP($A153,ALGLIB_SSA_XAUUSD!$J$2:$J$1000,ALGLIB_SSA_XAUUSD!$K$2:$K$1000,"",0)</f>
        <v>XAUUSD</v>
      </c>
      <c r="J153" t="str">
        <f>_xlfn.XLOOKUP($A153,ALGLIB_SSA_XAUUSD!$J$2:$J$1000,ALGLIB_SSA_XAUUSD!$L$2:$L$1000,"",0)</f>
        <v>M5</v>
      </c>
      <c r="K153">
        <f>_xlfn.XLOOKUP($A153,ALGLIB_SSA_XAUUSD!$J$2:$J$1000,ALGLIB_SSA_XAUUSD!$M$2:$M$1000,"",0)</f>
        <v>4610.5600000000004</v>
      </c>
      <c r="L153">
        <f>_xlfn.XLOOKUP($A153,ALGLIB_SSA_XAUUSD!$J$2:$J$1000,ALGLIB_SSA_XAUUSD!$N$2:$N$1000,"",0)</f>
        <v>4611.6755800000001</v>
      </c>
      <c r="M153">
        <f>_xlfn.XLOOKUP($A153,ALGLIB_SSA_XAUUSD!$J$2:$J$1000,ALGLIB_SSA_XAUUSD!$O$2:$O$1000,"",0)</f>
        <v>4612.34681</v>
      </c>
      <c r="N153">
        <f>_xlfn.XLOOKUP($A153,ALGLIB_SSA_XAUUSD!$J$2:$J$1000,ALGLIB_SSA_XAUUSD!$P$2:$P$1000,"",0)</f>
        <v>4615.9714599999998</v>
      </c>
      <c r="O153">
        <f>_xlfn.XLOOKUP($A153,ALGLIB_SSA_XAUUSD!$J$2:$J$1000,ALGLIB_SSA_XAUUSD!$Q$2:$Q$1000,"",0)</f>
        <v>4607.6396299999997</v>
      </c>
      <c r="R153">
        <f t="shared" si="22"/>
        <v>1775435700</v>
      </c>
      <c r="S153" t="str">
        <f t="shared" si="23"/>
        <v>XAUUSD</v>
      </c>
      <c r="T153" t="str">
        <f t="shared" si="24"/>
        <v>M5</v>
      </c>
      <c r="U153">
        <f t="shared" si="25"/>
        <v>4610.5600000000004</v>
      </c>
      <c r="V153">
        <v>4630.9815699999999</v>
      </c>
      <c r="W153">
        <v>4635.3545400000003</v>
      </c>
      <c r="X153">
        <v>4611.6755800000001</v>
      </c>
      <c r="Y153">
        <v>4612.34681</v>
      </c>
      <c r="Z153">
        <f t="shared" si="26"/>
        <v>4648.5297966666667</v>
      </c>
      <c r="AA153">
        <f t="shared" si="27"/>
        <v>4615.9714599999998</v>
      </c>
      <c r="AB153">
        <f t="shared" si="28"/>
        <v>4614.7984533333329</v>
      </c>
      <c r="AC153">
        <f t="shared" si="29"/>
        <v>4607.6396299999997</v>
      </c>
      <c r="AF153">
        <f t="shared" si="30"/>
        <v>4611.6755800000001</v>
      </c>
      <c r="AG153">
        <f t="shared" si="31"/>
        <v>4648.5297966666667</v>
      </c>
      <c r="AH153">
        <f t="shared" si="32"/>
        <v>4614.7984533333329</v>
      </c>
    </row>
    <row r="154" spans="1:34" x14ac:dyDescent="0.55000000000000004">
      <c r="A154">
        <f>ALGLIB_SSA_XAUUSD!J154</f>
        <v>1775436000</v>
      </c>
      <c r="B154" t="str">
        <f>_xlfn.XLOOKUP($A154,ALGLIB_SSA_XAUUSD!$A$2:$A$1000,ALGLIB_SSA_XAUUSD!$B$2:$B$1000,"",0)</f>
        <v/>
      </c>
      <c r="C154" t="str">
        <f>_xlfn.XLOOKUP($A154,ALGLIB_SSA_XAUUSD!$A$2:$A$1000,ALGLIB_SSA_XAUUSD!$C$2:$C$1000,"",0)</f>
        <v/>
      </c>
      <c r="D154" s="1">
        <f>D146+(D158-D146)*8/12</f>
        <v>4624.8266666666668</v>
      </c>
      <c r="E154" s="1">
        <f>E146+(E158-E146)*8/12</f>
        <v>4630.9283033333331</v>
      </c>
      <c r="F154" s="1">
        <f>F146+(F158-F146)*8/12</f>
        <v>4635.0816399999994</v>
      </c>
      <c r="G154" s="1">
        <f>G146+(G158-G146)*8/12</f>
        <v>4648.4486933333337</v>
      </c>
      <c r="H154" s="1">
        <f>H146+(H158-H146)*8/12</f>
        <v>4614.679556666666</v>
      </c>
      <c r="I154" t="str">
        <f>_xlfn.XLOOKUP($A154,ALGLIB_SSA_XAUUSD!$J$2:$J$1000,ALGLIB_SSA_XAUUSD!$K$2:$K$1000,"",0)</f>
        <v>XAUUSD</v>
      </c>
      <c r="J154" t="str">
        <f>_xlfn.XLOOKUP($A154,ALGLIB_SSA_XAUUSD!$J$2:$J$1000,ALGLIB_SSA_XAUUSD!$L$2:$L$1000,"",0)</f>
        <v>M5</v>
      </c>
      <c r="K154">
        <f>_xlfn.XLOOKUP($A154,ALGLIB_SSA_XAUUSD!$J$2:$J$1000,ALGLIB_SSA_XAUUSD!$M$2:$M$1000,"",0)</f>
        <v>4619.16</v>
      </c>
      <c r="L154">
        <f>_xlfn.XLOOKUP($A154,ALGLIB_SSA_XAUUSD!$J$2:$J$1000,ALGLIB_SSA_XAUUSD!$N$2:$N$1000,"",0)</f>
        <v>4613.46515</v>
      </c>
      <c r="M154">
        <f>_xlfn.XLOOKUP($A154,ALGLIB_SSA_XAUUSD!$J$2:$J$1000,ALGLIB_SSA_XAUUSD!$O$2:$O$1000,"",0)</f>
        <v>4612.9059800000005</v>
      </c>
      <c r="N154">
        <f>_xlfn.XLOOKUP($A154,ALGLIB_SSA_XAUUSD!$J$2:$J$1000,ALGLIB_SSA_XAUUSD!$P$2:$P$1000,"",0)</f>
        <v>4616.5727699999998</v>
      </c>
      <c r="O154">
        <f>_xlfn.XLOOKUP($A154,ALGLIB_SSA_XAUUSD!$J$2:$J$1000,ALGLIB_SSA_XAUUSD!$Q$2:$Q$1000,"",0)</f>
        <v>4609.1351199999999</v>
      </c>
      <c r="R154">
        <f t="shared" si="22"/>
        <v>1775436000</v>
      </c>
      <c r="S154" t="str">
        <f t="shared" si="23"/>
        <v>XAUUSD</v>
      </c>
      <c r="T154" t="str">
        <f t="shared" si="24"/>
        <v>M5</v>
      </c>
      <c r="U154">
        <f t="shared" si="25"/>
        <v>4619.16</v>
      </c>
      <c r="V154">
        <v>4630.9282999999996</v>
      </c>
      <c r="W154">
        <v>4635.0816400000003</v>
      </c>
      <c r="X154">
        <v>4613.46515</v>
      </c>
      <c r="Y154">
        <v>4612.9059800000005</v>
      </c>
      <c r="Z154">
        <f t="shared" si="26"/>
        <v>4648.4486933333337</v>
      </c>
      <c r="AA154">
        <f t="shared" si="27"/>
        <v>4616.5727699999998</v>
      </c>
      <c r="AB154">
        <f t="shared" si="28"/>
        <v>4614.679556666666</v>
      </c>
      <c r="AC154">
        <f t="shared" si="29"/>
        <v>4609.1351199999999</v>
      </c>
      <c r="AF154">
        <f t="shared" si="30"/>
        <v>4613.46515</v>
      </c>
      <c r="AG154">
        <f t="shared" si="31"/>
        <v>4648.4486933333337</v>
      </c>
      <c r="AH154">
        <f t="shared" si="32"/>
        <v>4614.679556666666</v>
      </c>
    </row>
    <row r="155" spans="1:34" x14ac:dyDescent="0.55000000000000004">
      <c r="A155">
        <f>ALGLIB_SSA_XAUUSD!J155</f>
        <v>1775436300</v>
      </c>
      <c r="B155" t="str">
        <f>_xlfn.XLOOKUP($A155,ALGLIB_SSA_XAUUSD!$A$2:$A$1000,ALGLIB_SSA_XAUUSD!$B$2:$B$1000,"",0)</f>
        <v/>
      </c>
      <c r="C155" t="str">
        <f>_xlfn.XLOOKUP($A155,ALGLIB_SSA_XAUUSD!$A$2:$A$1000,ALGLIB_SSA_XAUUSD!$C$2:$C$1000,"",0)</f>
        <v/>
      </c>
      <c r="D155" s="1">
        <f>D146+(D158-D146)*9/12</f>
        <v>4625.1149999999998</v>
      </c>
      <c r="E155" s="1">
        <f>E146+(E158-E146)*9/12</f>
        <v>4630.875035</v>
      </c>
      <c r="F155" s="1">
        <f>F146+(F158-F146)*9/12</f>
        <v>4634.8087399999995</v>
      </c>
      <c r="G155" s="1">
        <f>G146+(G158-G146)*9/12</f>
        <v>4648.3675899999998</v>
      </c>
      <c r="H155" s="1">
        <f>H146+(H158-H146)*9/12</f>
        <v>4614.5606599999992</v>
      </c>
      <c r="I155" t="str">
        <f>_xlfn.XLOOKUP($A155,ALGLIB_SSA_XAUUSD!$J$2:$J$1000,ALGLIB_SSA_XAUUSD!$K$2:$K$1000,"",0)</f>
        <v>XAUUSD</v>
      </c>
      <c r="J155" t="str">
        <f>_xlfn.XLOOKUP($A155,ALGLIB_SSA_XAUUSD!$J$2:$J$1000,ALGLIB_SSA_XAUUSD!$L$2:$L$1000,"",0)</f>
        <v>M5</v>
      </c>
      <c r="K155">
        <f>_xlfn.XLOOKUP($A155,ALGLIB_SSA_XAUUSD!$J$2:$J$1000,ALGLIB_SSA_XAUUSD!$M$2:$M$1000,"",0)</f>
        <v>4617.8</v>
      </c>
      <c r="L155">
        <f>_xlfn.XLOOKUP($A155,ALGLIB_SSA_XAUUSD!$J$2:$J$1000,ALGLIB_SSA_XAUUSD!$N$2:$N$1000,"",0)</f>
        <v>4616.5817100000004</v>
      </c>
      <c r="M155">
        <f>_xlfn.XLOOKUP($A155,ALGLIB_SSA_XAUUSD!$J$2:$J$1000,ALGLIB_SSA_XAUUSD!$O$2:$O$1000,"",0)</f>
        <v>4614.7438499999998</v>
      </c>
      <c r="N155">
        <f>_xlfn.XLOOKUP($A155,ALGLIB_SSA_XAUUSD!$J$2:$J$1000,ALGLIB_SSA_XAUUSD!$P$2:$P$1000,"",0)</f>
        <v>4618.7831999999999</v>
      </c>
      <c r="O155">
        <f>_xlfn.XLOOKUP($A155,ALGLIB_SSA_XAUUSD!$J$2:$J$1000,ALGLIB_SSA_XAUUSD!$Q$2:$Q$1000,"",0)</f>
        <v>4611.93649</v>
      </c>
      <c r="R155">
        <f t="shared" si="22"/>
        <v>1775436300</v>
      </c>
      <c r="S155" t="str">
        <f t="shared" si="23"/>
        <v>XAUUSD</v>
      </c>
      <c r="T155" t="str">
        <f t="shared" si="24"/>
        <v>M5</v>
      </c>
      <c r="U155">
        <f t="shared" si="25"/>
        <v>4617.8</v>
      </c>
      <c r="V155">
        <v>4630.8750399999999</v>
      </c>
      <c r="W155">
        <v>4634.8087400000004</v>
      </c>
      <c r="X155">
        <v>4616.5817100000004</v>
      </c>
      <c r="Y155">
        <v>4614.7438499999998</v>
      </c>
      <c r="Z155">
        <f t="shared" si="26"/>
        <v>4648.3675899999998</v>
      </c>
      <c r="AA155">
        <f t="shared" si="27"/>
        <v>4618.7831999999999</v>
      </c>
      <c r="AB155">
        <f t="shared" si="28"/>
        <v>4614.5606599999992</v>
      </c>
      <c r="AC155">
        <f t="shared" si="29"/>
        <v>4611.93649</v>
      </c>
      <c r="AF155">
        <f t="shared" si="30"/>
        <v>4616.5817100000004</v>
      </c>
      <c r="AG155">
        <f t="shared" si="31"/>
        <v>4648.3675899999998</v>
      </c>
      <c r="AH155">
        <f t="shared" si="32"/>
        <v>4614.5606599999992</v>
      </c>
    </row>
    <row r="156" spans="1:34" x14ac:dyDescent="0.55000000000000004">
      <c r="A156">
        <f>ALGLIB_SSA_XAUUSD!J156</f>
        <v>1775436600</v>
      </c>
      <c r="B156" t="str">
        <f>_xlfn.XLOOKUP($A156,ALGLIB_SSA_XAUUSD!$A$2:$A$1000,ALGLIB_SSA_XAUUSD!$B$2:$B$1000,"",0)</f>
        <v/>
      </c>
      <c r="C156" t="str">
        <f>_xlfn.XLOOKUP($A156,ALGLIB_SSA_XAUUSD!$A$2:$A$1000,ALGLIB_SSA_XAUUSD!$C$2:$C$1000,"",0)</f>
        <v/>
      </c>
      <c r="D156" s="1">
        <f>D146+(D158-D146)*10/12</f>
        <v>4625.4033333333327</v>
      </c>
      <c r="E156" s="1">
        <f>E146+(E158-E146)*10/12</f>
        <v>4630.821766666666</v>
      </c>
      <c r="F156" s="1">
        <f>F146+(F158-F146)*10/12</f>
        <v>4634.5358399999996</v>
      </c>
      <c r="G156" s="1">
        <f>G146+(G158-G146)*10/12</f>
        <v>4648.2864866666669</v>
      </c>
      <c r="H156" s="1">
        <f>H146+(H158-H146)*10/12</f>
        <v>4614.4417633333333</v>
      </c>
      <c r="I156" t="str">
        <f>_xlfn.XLOOKUP($A156,ALGLIB_SSA_XAUUSD!$J$2:$J$1000,ALGLIB_SSA_XAUUSD!$K$2:$K$1000,"",0)</f>
        <v>XAUUSD</v>
      </c>
      <c r="J156" t="str">
        <f>_xlfn.XLOOKUP($A156,ALGLIB_SSA_XAUUSD!$J$2:$J$1000,ALGLIB_SSA_XAUUSD!$L$2:$L$1000,"",0)</f>
        <v>M5</v>
      </c>
      <c r="K156">
        <f>_xlfn.XLOOKUP($A156,ALGLIB_SSA_XAUUSD!$J$2:$J$1000,ALGLIB_SSA_XAUUSD!$M$2:$M$1000,"",0)</f>
        <v>4621.3</v>
      </c>
      <c r="L156">
        <f>_xlfn.XLOOKUP($A156,ALGLIB_SSA_XAUUSD!$J$2:$J$1000,ALGLIB_SSA_XAUUSD!$N$2:$N$1000,"",0)</f>
        <v>4620.7816700000003</v>
      </c>
      <c r="M156">
        <f>_xlfn.XLOOKUP($A156,ALGLIB_SSA_XAUUSD!$J$2:$J$1000,ALGLIB_SSA_XAUUSD!$O$2:$O$1000,"",0)</f>
        <v>4617.7627599999996</v>
      </c>
      <c r="N156">
        <f>_xlfn.XLOOKUP($A156,ALGLIB_SSA_XAUUSD!$J$2:$J$1000,ALGLIB_SSA_XAUUSD!$P$2:$P$1000,"",0)</f>
        <v>4622.5082000000002</v>
      </c>
      <c r="O156">
        <f>_xlfn.XLOOKUP($A156,ALGLIB_SSA_XAUUSD!$J$2:$J$1000,ALGLIB_SSA_XAUUSD!$Q$2:$Q$1000,"",0)</f>
        <v>4615.6148000000003</v>
      </c>
      <c r="R156">
        <f t="shared" si="22"/>
        <v>1775436600</v>
      </c>
      <c r="S156" t="str">
        <f t="shared" si="23"/>
        <v>XAUUSD</v>
      </c>
      <c r="T156" t="str">
        <f t="shared" si="24"/>
        <v>M5</v>
      </c>
      <c r="U156">
        <f t="shared" si="25"/>
        <v>4621.3</v>
      </c>
      <c r="V156">
        <v>4630.8217699999996</v>
      </c>
      <c r="W156">
        <v>4634.5358399999996</v>
      </c>
      <c r="X156">
        <v>4620.7816700000003</v>
      </c>
      <c r="Y156">
        <v>4617.7627599999996</v>
      </c>
      <c r="Z156">
        <f t="shared" si="26"/>
        <v>4648.2864866666669</v>
      </c>
      <c r="AA156">
        <f t="shared" si="27"/>
        <v>4622.5082000000002</v>
      </c>
      <c r="AB156">
        <f t="shared" si="28"/>
        <v>4614.4417633333333</v>
      </c>
      <c r="AC156">
        <f t="shared" si="29"/>
        <v>4615.6148000000003</v>
      </c>
      <c r="AF156">
        <f t="shared" si="30"/>
        <v>4620.7816700000003</v>
      </c>
      <c r="AG156">
        <f t="shared" si="31"/>
        <v>4648.2864866666669</v>
      </c>
      <c r="AH156">
        <f t="shared" si="32"/>
        <v>4614.4417633333333</v>
      </c>
    </row>
    <row r="157" spans="1:34" x14ac:dyDescent="0.55000000000000004">
      <c r="A157">
        <f>ALGLIB_SSA_XAUUSD!J157</f>
        <v>1775436900</v>
      </c>
      <c r="B157" t="str">
        <f>_xlfn.XLOOKUP($A157,ALGLIB_SSA_XAUUSD!$A$2:$A$1000,ALGLIB_SSA_XAUUSD!$B$2:$B$1000,"",0)</f>
        <v/>
      </c>
      <c r="C157" t="str">
        <f>_xlfn.XLOOKUP($A157,ALGLIB_SSA_XAUUSD!$A$2:$A$1000,ALGLIB_SSA_XAUUSD!$C$2:$C$1000,"",0)</f>
        <v/>
      </c>
      <c r="D157" s="1">
        <f>D146+(D158-D146)*11/12</f>
        <v>4625.6916666666666</v>
      </c>
      <c r="E157" s="1">
        <f>E146+(E158-E146)*11/12</f>
        <v>4630.7684983333329</v>
      </c>
      <c r="F157" s="1">
        <f>F146+(F158-F146)*11/12</f>
        <v>4634.2629399999996</v>
      </c>
      <c r="G157" s="1">
        <f>G146+(G158-G146)*11/12</f>
        <v>4648.205383333333</v>
      </c>
      <c r="H157" s="1">
        <f>H146+(H158-H146)*11/12</f>
        <v>4614.3228666666664</v>
      </c>
      <c r="I157" t="str">
        <f>_xlfn.XLOOKUP($A157,ALGLIB_SSA_XAUUSD!$J$2:$J$1000,ALGLIB_SSA_XAUUSD!$K$2:$K$1000,"",0)</f>
        <v>XAUUSD</v>
      </c>
      <c r="J157" t="str">
        <f>_xlfn.XLOOKUP($A157,ALGLIB_SSA_XAUUSD!$J$2:$J$1000,ALGLIB_SSA_XAUUSD!$L$2:$L$1000,"",0)</f>
        <v>M5</v>
      </c>
      <c r="K157">
        <f>_xlfn.XLOOKUP($A157,ALGLIB_SSA_XAUUSD!$J$2:$J$1000,ALGLIB_SSA_XAUUSD!$M$2:$M$1000,"",0)</f>
        <v>4622.5200000000004</v>
      </c>
      <c r="L157">
        <f>_xlfn.XLOOKUP($A157,ALGLIB_SSA_XAUUSD!$J$2:$J$1000,ALGLIB_SSA_XAUUSD!$N$2:$N$1000,"",0)</f>
        <v>4625.5099200000004</v>
      </c>
      <c r="M157">
        <f>_xlfn.XLOOKUP($A157,ALGLIB_SSA_XAUUSD!$J$2:$J$1000,ALGLIB_SSA_XAUUSD!$O$2:$O$1000,"",0)</f>
        <v>4621.63634</v>
      </c>
      <c r="N157">
        <f>_xlfn.XLOOKUP($A157,ALGLIB_SSA_XAUUSD!$J$2:$J$1000,ALGLIB_SSA_XAUUSD!$P$2:$P$1000,"",0)</f>
        <v>4627.3999400000002</v>
      </c>
      <c r="O157">
        <f>_xlfn.XLOOKUP($A157,ALGLIB_SSA_XAUUSD!$J$2:$J$1000,ALGLIB_SSA_XAUUSD!$Q$2:$Q$1000,"",0)</f>
        <v>4619.7752200000004</v>
      </c>
      <c r="R157">
        <f t="shared" si="22"/>
        <v>1775436900</v>
      </c>
      <c r="S157" t="str">
        <f t="shared" si="23"/>
        <v>XAUUSD</v>
      </c>
      <c r="T157" t="str">
        <f t="shared" si="24"/>
        <v>M5</v>
      </c>
      <c r="U157">
        <f t="shared" si="25"/>
        <v>4622.5200000000004</v>
      </c>
      <c r="V157">
        <v>4630.7685000000001</v>
      </c>
      <c r="W157">
        <v>4634.2629399999996</v>
      </c>
      <c r="X157">
        <v>4625.5099200000004</v>
      </c>
      <c r="Y157">
        <v>4621.63634</v>
      </c>
      <c r="Z157">
        <f t="shared" si="26"/>
        <v>4648.205383333333</v>
      </c>
      <c r="AA157">
        <f t="shared" si="27"/>
        <v>4627.3999400000002</v>
      </c>
      <c r="AB157">
        <f t="shared" si="28"/>
        <v>4614.3228666666664</v>
      </c>
      <c r="AC157">
        <f t="shared" si="29"/>
        <v>4619.7752200000004</v>
      </c>
      <c r="AF157">
        <f t="shared" si="30"/>
        <v>4625.5099200000004</v>
      </c>
      <c r="AG157">
        <f t="shared" si="31"/>
        <v>4648.205383333333</v>
      </c>
      <c r="AH157">
        <f t="shared" si="32"/>
        <v>4614.3228666666664</v>
      </c>
    </row>
    <row r="158" spans="1:34" x14ac:dyDescent="0.55000000000000004">
      <c r="A158">
        <f>ALGLIB_SSA_XAUUSD!J158</f>
        <v>1775437200</v>
      </c>
      <c r="B158" t="str">
        <f>_xlfn.XLOOKUP($A158,ALGLIB_SSA_XAUUSD!$A$2:$A$1000,ALGLIB_SSA_XAUUSD!$B$2:$B$1000,"",0)</f>
        <v>XAUUSD</v>
      </c>
      <c r="C158" t="str">
        <f>_xlfn.XLOOKUP($A158,ALGLIB_SSA_XAUUSD!$A$2:$A$1000,ALGLIB_SSA_XAUUSD!$C$2:$C$1000,"",0)</f>
        <v>H1</v>
      </c>
      <c r="D158" s="2">
        <f>_xlfn.XLOOKUP($A158,ALGLIB_SSA_XAUUSD!$A$2:$A$1000,ALGLIB_SSA_XAUUSD!$D$2:$D$1000,"",0)</f>
        <v>4625.9799999999996</v>
      </c>
      <c r="E158" s="2">
        <f>_xlfn.XLOOKUP($A158,ALGLIB_SSA_XAUUSD!$A$2:$A$1000,ALGLIB_SSA_XAUUSD!$E$2:$E$1000,"",0)</f>
        <v>4630.7152299999998</v>
      </c>
      <c r="F158" s="2">
        <f>_xlfn.XLOOKUP($A158,ALGLIB_SSA_XAUUSD!$A$2:$A$1000,ALGLIB_SSA_XAUUSD!$F$2:$F$1000,"",0)</f>
        <v>4633.9900399999997</v>
      </c>
      <c r="G158" s="2">
        <f>_xlfn.XLOOKUP($A158,ALGLIB_SSA_XAUUSD!$A$2:$A$1000,ALGLIB_SSA_XAUUSD!$G$2:$G$1000,"",0)</f>
        <v>4648.12428</v>
      </c>
      <c r="H158" s="2">
        <f>_xlfn.XLOOKUP($A158,ALGLIB_SSA_XAUUSD!$A$2:$A$1000,ALGLIB_SSA_XAUUSD!$H$2:$H$1000,"",0)</f>
        <v>4614.2039699999996</v>
      </c>
      <c r="I158" t="str">
        <f>_xlfn.XLOOKUP($A158,ALGLIB_SSA_XAUUSD!$J$2:$J$1000,ALGLIB_SSA_XAUUSD!$K$2:$K$1000,"",0)</f>
        <v>XAUUSD</v>
      </c>
      <c r="J158" t="str">
        <f>_xlfn.XLOOKUP($A158,ALGLIB_SSA_XAUUSD!$J$2:$J$1000,ALGLIB_SSA_XAUUSD!$L$2:$L$1000,"",0)</f>
        <v>M5</v>
      </c>
      <c r="K158">
        <f>_xlfn.XLOOKUP($A158,ALGLIB_SSA_XAUUSD!$J$2:$J$1000,ALGLIB_SSA_XAUUSD!$M$2:$M$1000,"",0)</f>
        <v>4631.26</v>
      </c>
      <c r="L158">
        <f>_xlfn.XLOOKUP($A158,ALGLIB_SSA_XAUUSD!$J$2:$J$1000,ALGLIB_SSA_XAUUSD!$N$2:$N$1000,"",0)</f>
        <v>4630.1856200000002</v>
      </c>
      <c r="M158">
        <f>_xlfn.XLOOKUP($A158,ALGLIB_SSA_XAUUSD!$J$2:$J$1000,ALGLIB_SSA_XAUUSD!$O$2:$O$1000,"",0)</f>
        <v>4625.9109799999997</v>
      </c>
      <c r="N158">
        <f>_xlfn.XLOOKUP($A158,ALGLIB_SSA_XAUUSD!$J$2:$J$1000,ALGLIB_SSA_XAUUSD!$P$2:$P$1000,"",0)</f>
        <v>4632.7437</v>
      </c>
      <c r="O158">
        <f>_xlfn.XLOOKUP($A158,ALGLIB_SSA_XAUUSD!$J$2:$J$1000,ALGLIB_SSA_XAUUSD!$Q$2:$Q$1000,"",0)</f>
        <v>4623.8327900000004</v>
      </c>
      <c r="R158">
        <f t="shared" si="22"/>
        <v>1775437200</v>
      </c>
      <c r="S158" t="str">
        <f t="shared" si="23"/>
        <v>XAUUSD</v>
      </c>
      <c r="T158" t="str">
        <f t="shared" si="24"/>
        <v>M5</v>
      </c>
      <c r="U158">
        <f t="shared" si="25"/>
        <v>4631.26</v>
      </c>
      <c r="V158">
        <v>4630.7152299999998</v>
      </c>
      <c r="W158">
        <v>4633.9900399999997</v>
      </c>
      <c r="X158">
        <v>4630.1856200000002</v>
      </c>
      <c r="Y158">
        <v>4625.9109799999997</v>
      </c>
      <c r="Z158">
        <f t="shared" si="26"/>
        <v>4648.12428</v>
      </c>
      <c r="AA158">
        <f t="shared" si="27"/>
        <v>4632.7437</v>
      </c>
      <c r="AB158">
        <f t="shared" si="28"/>
        <v>4614.2039699999996</v>
      </c>
      <c r="AC158">
        <f t="shared" si="29"/>
        <v>4623.8327900000004</v>
      </c>
      <c r="AF158">
        <f t="shared" si="30"/>
        <v>4630.1856200000002</v>
      </c>
      <c r="AG158">
        <f t="shared" si="31"/>
        <v>4648.12428</v>
      </c>
      <c r="AH158">
        <f t="shared" si="32"/>
        <v>4614.2039699999996</v>
      </c>
    </row>
    <row r="159" spans="1:34" x14ac:dyDescent="0.55000000000000004">
      <c r="A159">
        <f>ALGLIB_SSA_XAUUSD!J159</f>
        <v>1775437500</v>
      </c>
      <c r="B159" t="str">
        <f>_xlfn.XLOOKUP($A159,ALGLIB_SSA_XAUUSD!$A$2:$A$1000,ALGLIB_SSA_XAUUSD!$B$2:$B$1000,"",0)</f>
        <v/>
      </c>
      <c r="C159" t="str">
        <f>_xlfn.XLOOKUP($A159,ALGLIB_SSA_XAUUSD!$A$2:$A$1000,ALGLIB_SSA_XAUUSD!$C$2:$C$1000,"",0)</f>
        <v/>
      </c>
      <c r="D159" s="1">
        <f>D158+(D170-D158)*1/12</f>
        <v>4627.82</v>
      </c>
      <c r="E159" s="1">
        <f>E158+(E170-E158)*1/12</f>
        <v>4630.9963483333331</v>
      </c>
      <c r="F159" s="1">
        <f>F158+(F170-F158)*1/12</f>
        <v>4633.9941483333332</v>
      </c>
      <c r="G159" s="1">
        <f>G158+(G170-G158)*1/12</f>
        <v>4648.3035374999999</v>
      </c>
      <c r="H159" s="1">
        <f>H158+(H170-H158)*1/12</f>
        <v>4614.4079991666658</v>
      </c>
      <c r="I159" t="str">
        <f>_xlfn.XLOOKUP($A159,ALGLIB_SSA_XAUUSD!$J$2:$J$1000,ALGLIB_SSA_XAUUSD!$K$2:$K$1000,"",0)</f>
        <v>XAUUSD</v>
      </c>
      <c r="J159" t="str">
        <f>_xlfn.XLOOKUP($A159,ALGLIB_SSA_XAUUSD!$J$2:$J$1000,ALGLIB_SSA_XAUUSD!$L$2:$L$1000,"",0)</f>
        <v>M5</v>
      </c>
      <c r="K159">
        <f>_xlfn.XLOOKUP($A159,ALGLIB_SSA_XAUUSD!$J$2:$J$1000,ALGLIB_SSA_XAUUSD!$M$2:$M$1000,"",0)</f>
        <v>4637.6499999999996</v>
      </c>
      <c r="L159">
        <f>_xlfn.XLOOKUP($A159,ALGLIB_SSA_XAUUSD!$J$2:$J$1000,ALGLIB_SSA_XAUUSD!$N$2:$N$1000,"",0)</f>
        <v>4634.0378199999996</v>
      </c>
      <c r="M159">
        <f>_xlfn.XLOOKUP($A159,ALGLIB_SSA_XAUUSD!$J$2:$J$1000,ALGLIB_SSA_XAUUSD!$O$2:$O$1000,"",0)</f>
        <v>4629.9744000000001</v>
      </c>
      <c r="N159">
        <f>_xlfn.XLOOKUP($A159,ALGLIB_SSA_XAUUSD!$J$2:$J$1000,ALGLIB_SSA_XAUUSD!$P$2:$P$1000,"",0)</f>
        <v>4637.6982200000002</v>
      </c>
      <c r="O159">
        <f>_xlfn.XLOOKUP($A159,ALGLIB_SSA_XAUUSD!$J$2:$J$1000,ALGLIB_SSA_XAUUSD!$Q$2:$Q$1000,"",0)</f>
        <v>4627.26224</v>
      </c>
      <c r="R159">
        <f t="shared" si="22"/>
        <v>1775437500</v>
      </c>
      <c r="S159" t="str">
        <f t="shared" si="23"/>
        <v>XAUUSD</v>
      </c>
      <c r="T159" t="str">
        <f t="shared" si="24"/>
        <v>M5</v>
      </c>
      <c r="U159">
        <f t="shared" si="25"/>
        <v>4637.6499999999996</v>
      </c>
      <c r="V159">
        <v>4630.9963500000003</v>
      </c>
      <c r="W159">
        <v>4633.9941500000004</v>
      </c>
      <c r="X159">
        <v>4634.0378199999996</v>
      </c>
      <c r="Y159">
        <v>4629.9744000000001</v>
      </c>
      <c r="Z159">
        <f t="shared" si="26"/>
        <v>4648.3035374999999</v>
      </c>
      <c r="AA159">
        <f t="shared" si="27"/>
        <v>4637.6982200000002</v>
      </c>
      <c r="AB159">
        <f t="shared" si="28"/>
        <v>4614.4079991666658</v>
      </c>
      <c r="AC159">
        <f t="shared" si="29"/>
        <v>4627.26224</v>
      </c>
      <c r="AF159">
        <f t="shared" si="30"/>
        <v>4634.0378199999996</v>
      </c>
      <c r="AG159">
        <f t="shared" si="31"/>
        <v>4648.3035374999999</v>
      </c>
      <c r="AH159">
        <f t="shared" si="32"/>
        <v>4614.4079991666658</v>
      </c>
    </row>
    <row r="160" spans="1:34" x14ac:dyDescent="0.55000000000000004">
      <c r="A160">
        <f>ALGLIB_SSA_XAUUSD!J160</f>
        <v>1775437800</v>
      </c>
      <c r="B160" t="str">
        <f>_xlfn.XLOOKUP($A160,ALGLIB_SSA_XAUUSD!$A$2:$A$1000,ALGLIB_SSA_XAUUSD!$B$2:$B$1000,"",0)</f>
        <v/>
      </c>
      <c r="C160" t="str">
        <f>_xlfn.XLOOKUP($A160,ALGLIB_SSA_XAUUSD!$A$2:$A$1000,ALGLIB_SSA_XAUUSD!$C$2:$C$1000,"",0)</f>
        <v/>
      </c>
      <c r="D160" s="1">
        <f>D158+(D170-D158)*2/12</f>
        <v>4629.66</v>
      </c>
      <c r="E160" s="1">
        <f>E158+(E170-E158)*2/12</f>
        <v>4631.2774666666664</v>
      </c>
      <c r="F160" s="1">
        <f>F158+(F170-F158)*2/12</f>
        <v>4633.9982566666667</v>
      </c>
      <c r="G160" s="1">
        <f>G158+(G170-G158)*2/12</f>
        <v>4648.4827949999999</v>
      </c>
      <c r="H160" s="1">
        <f>H158+(H170-H158)*2/12</f>
        <v>4614.612028333333</v>
      </c>
      <c r="I160" t="str">
        <f>_xlfn.XLOOKUP($A160,ALGLIB_SSA_XAUUSD!$J$2:$J$1000,ALGLIB_SSA_XAUUSD!$K$2:$K$1000,"",0)</f>
        <v>XAUUSD</v>
      </c>
      <c r="J160" t="str">
        <f>_xlfn.XLOOKUP($A160,ALGLIB_SSA_XAUUSD!$J$2:$J$1000,ALGLIB_SSA_XAUUSD!$L$2:$L$1000,"",0)</f>
        <v>M5</v>
      </c>
      <c r="K160">
        <f>_xlfn.XLOOKUP($A160,ALGLIB_SSA_XAUUSD!$J$2:$J$1000,ALGLIB_SSA_XAUUSD!$M$2:$M$1000,"",0)</f>
        <v>4641.83</v>
      </c>
      <c r="L160">
        <f>_xlfn.XLOOKUP($A160,ALGLIB_SSA_XAUUSD!$J$2:$J$1000,ALGLIB_SSA_XAUUSD!$N$2:$N$1000,"",0)</f>
        <v>4636.4624100000001</v>
      </c>
      <c r="M160">
        <f>_xlfn.XLOOKUP($A160,ALGLIB_SSA_XAUUSD!$J$2:$J$1000,ALGLIB_SSA_XAUUSD!$O$2:$O$1000,"",0)</f>
        <v>4633.2183999999997</v>
      </c>
      <c r="N160">
        <f>_xlfn.XLOOKUP($A160,ALGLIB_SSA_XAUUSD!$J$2:$J$1000,ALGLIB_SSA_XAUUSD!$P$2:$P$1000,"",0)</f>
        <v>4641.38004</v>
      </c>
      <c r="O160">
        <f>_xlfn.XLOOKUP($A160,ALGLIB_SSA_XAUUSD!$J$2:$J$1000,ALGLIB_SSA_XAUUSD!$Q$2:$Q$1000,"",0)</f>
        <v>4629.5903699999999</v>
      </c>
      <c r="R160">
        <f t="shared" si="22"/>
        <v>1775437800</v>
      </c>
      <c r="S160" t="str">
        <f t="shared" si="23"/>
        <v>XAUUSD</v>
      </c>
      <c r="T160" t="str">
        <f t="shared" si="24"/>
        <v>M5</v>
      </c>
      <c r="U160">
        <f t="shared" si="25"/>
        <v>4641.83</v>
      </c>
      <c r="V160">
        <v>4631.27747</v>
      </c>
      <c r="W160">
        <v>4633.9982600000003</v>
      </c>
      <c r="X160">
        <v>4636.4624100000001</v>
      </c>
      <c r="Y160">
        <v>4633.2183999999997</v>
      </c>
      <c r="Z160">
        <f t="shared" si="26"/>
        <v>4648.4827949999999</v>
      </c>
      <c r="AA160">
        <f t="shared" si="27"/>
        <v>4641.38004</v>
      </c>
      <c r="AB160">
        <f t="shared" si="28"/>
        <v>4614.612028333333</v>
      </c>
      <c r="AC160">
        <f t="shared" si="29"/>
        <v>4629.5903699999999</v>
      </c>
      <c r="AF160">
        <f t="shared" si="30"/>
        <v>4636.4624100000001</v>
      </c>
      <c r="AG160">
        <f t="shared" si="31"/>
        <v>4648.4827949999999</v>
      </c>
      <c r="AH160">
        <f t="shared" si="32"/>
        <v>4614.612028333333</v>
      </c>
    </row>
    <row r="161" spans="1:34" x14ac:dyDescent="0.55000000000000004">
      <c r="A161">
        <f>ALGLIB_SSA_XAUUSD!J161</f>
        <v>1775438100</v>
      </c>
      <c r="B161" t="str">
        <f>_xlfn.XLOOKUP($A161,ALGLIB_SSA_XAUUSD!$A$2:$A$1000,ALGLIB_SSA_XAUUSD!$B$2:$B$1000,"",0)</f>
        <v/>
      </c>
      <c r="C161" t="str">
        <f>_xlfn.XLOOKUP($A161,ALGLIB_SSA_XAUUSD!$A$2:$A$1000,ALGLIB_SSA_XAUUSD!$C$2:$C$1000,"",0)</f>
        <v/>
      </c>
      <c r="D161" s="1">
        <f>D158+(D170-D158)*3/12</f>
        <v>4631.5</v>
      </c>
      <c r="E161" s="1">
        <f>E158+(E170-E158)*3/12</f>
        <v>4631.5585849999998</v>
      </c>
      <c r="F161" s="1">
        <f>F158+(F170-F158)*3/12</f>
        <v>4634.0023650000003</v>
      </c>
      <c r="G161" s="1">
        <f>G158+(G170-G158)*3/12</f>
        <v>4648.6620524999998</v>
      </c>
      <c r="H161" s="1">
        <f>H158+(H170-H158)*3/12</f>
        <v>4614.8160575000002</v>
      </c>
      <c r="I161" t="str">
        <f>_xlfn.XLOOKUP($A161,ALGLIB_SSA_XAUUSD!$J$2:$J$1000,ALGLIB_SSA_XAUUSD!$K$2:$K$1000,"",0)</f>
        <v>XAUUSD</v>
      </c>
      <c r="J161" t="str">
        <f>_xlfn.XLOOKUP($A161,ALGLIB_SSA_XAUUSD!$J$2:$J$1000,ALGLIB_SSA_XAUUSD!$L$2:$L$1000,"",0)</f>
        <v>M5</v>
      </c>
      <c r="K161">
        <f>_xlfn.XLOOKUP($A161,ALGLIB_SSA_XAUUSD!$J$2:$J$1000,ALGLIB_SSA_XAUUSD!$M$2:$M$1000,"",0)</f>
        <v>4625.1099999999997</v>
      </c>
      <c r="L161">
        <f>_xlfn.XLOOKUP($A161,ALGLIB_SSA_XAUUSD!$J$2:$J$1000,ALGLIB_SSA_XAUUSD!$N$2:$N$1000,"",0)</f>
        <v>4637.13555</v>
      </c>
      <c r="M161">
        <f>_xlfn.XLOOKUP($A161,ALGLIB_SSA_XAUUSD!$J$2:$J$1000,ALGLIB_SSA_XAUUSD!$O$2:$O$1000,"",0)</f>
        <v>4635.1769800000002</v>
      </c>
      <c r="N161">
        <f>_xlfn.XLOOKUP($A161,ALGLIB_SSA_XAUUSD!$J$2:$J$1000,ALGLIB_SSA_XAUUSD!$P$2:$P$1000,"",0)</f>
        <v>4643.2445200000002</v>
      </c>
      <c r="O161">
        <f>_xlfn.XLOOKUP($A161,ALGLIB_SSA_XAUUSD!$J$2:$J$1000,ALGLIB_SSA_XAUUSD!$Q$2:$Q$1000,"",0)</f>
        <v>4630.3998099999999</v>
      </c>
      <c r="R161">
        <f t="shared" si="22"/>
        <v>1775438100</v>
      </c>
      <c r="S161" t="str">
        <f t="shared" si="23"/>
        <v>XAUUSD</v>
      </c>
      <c r="T161" t="str">
        <f t="shared" si="24"/>
        <v>M5</v>
      </c>
      <c r="U161">
        <f t="shared" si="25"/>
        <v>4625.1099999999997</v>
      </c>
      <c r="V161">
        <v>4631.5585899999996</v>
      </c>
      <c r="W161">
        <v>4634.0023700000002</v>
      </c>
      <c r="X161">
        <v>4637.13555</v>
      </c>
      <c r="Y161">
        <v>4635.1769800000002</v>
      </c>
      <c r="Z161">
        <f t="shared" si="26"/>
        <v>4648.6620524999998</v>
      </c>
      <c r="AA161">
        <f t="shared" si="27"/>
        <v>4643.2445200000002</v>
      </c>
      <c r="AB161">
        <f t="shared" si="28"/>
        <v>4614.8160575000002</v>
      </c>
      <c r="AC161">
        <f t="shared" si="29"/>
        <v>4630.3998099999999</v>
      </c>
      <c r="AF161">
        <f t="shared" si="30"/>
        <v>4637.13555</v>
      </c>
      <c r="AG161">
        <f t="shared" si="31"/>
        <v>4648.6620524999998</v>
      </c>
      <c r="AH161">
        <f t="shared" si="32"/>
        <v>4614.8160575000002</v>
      </c>
    </row>
    <row r="162" spans="1:34" x14ac:dyDescent="0.55000000000000004">
      <c r="A162">
        <f>ALGLIB_SSA_XAUUSD!J162</f>
        <v>1775438400</v>
      </c>
      <c r="B162" t="str">
        <f>_xlfn.XLOOKUP($A162,ALGLIB_SSA_XAUUSD!$A$2:$A$1000,ALGLIB_SSA_XAUUSD!$B$2:$B$1000,"",0)</f>
        <v/>
      </c>
      <c r="C162" t="str">
        <f>_xlfn.XLOOKUP($A162,ALGLIB_SSA_XAUUSD!$A$2:$A$1000,ALGLIB_SSA_XAUUSD!$C$2:$C$1000,"",0)</f>
        <v/>
      </c>
      <c r="D162" s="1">
        <f>D158+(D170-D158)*4/12</f>
        <v>4633.34</v>
      </c>
      <c r="E162" s="1">
        <f>E158+(E170-E158)*4/12</f>
        <v>4631.8397033333331</v>
      </c>
      <c r="F162" s="1">
        <f>F158+(F170-F158)*4/12</f>
        <v>4634.0064733333329</v>
      </c>
      <c r="G162" s="1">
        <f>G158+(G170-G158)*4/12</f>
        <v>4648.8413099999998</v>
      </c>
      <c r="H162" s="1">
        <f>H158+(H170-H158)*4/12</f>
        <v>4615.0200866666664</v>
      </c>
      <c r="I162" t="str">
        <f>_xlfn.XLOOKUP($A162,ALGLIB_SSA_XAUUSD!$J$2:$J$1000,ALGLIB_SSA_XAUUSD!$K$2:$K$1000,"",0)</f>
        <v>XAUUSD</v>
      </c>
      <c r="J162" t="str">
        <f>_xlfn.XLOOKUP($A162,ALGLIB_SSA_XAUUSD!$J$2:$J$1000,ALGLIB_SSA_XAUUSD!$L$2:$L$1000,"",0)</f>
        <v>M5</v>
      </c>
      <c r="K162">
        <f>_xlfn.XLOOKUP($A162,ALGLIB_SSA_XAUUSD!$J$2:$J$1000,ALGLIB_SSA_XAUUSD!$M$2:$M$1000,"",0)</f>
        <v>4632.76</v>
      </c>
      <c r="L162">
        <f>_xlfn.XLOOKUP($A162,ALGLIB_SSA_XAUUSD!$J$2:$J$1000,ALGLIB_SSA_XAUUSD!$N$2:$N$1000,"",0)</f>
        <v>4636.5198600000003</v>
      </c>
      <c r="M162">
        <f>_xlfn.XLOOKUP($A162,ALGLIB_SSA_XAUUSD!$J$2:$J$1000,ALGLIB_SSA_XAUUSD!$O$2:$O$1000,"",0)</f>
        <v>4635.8484200000003</v>
      </c>
      <c r="N162">
        <f>_xlfn.XLOOKUP($A162,ALGLIB_SSA_XAUUSD!$J$2:$J$1000,ALGLIB_SSA_XAUUSD!$P$2:$P$1000,"",0)</f>
        <v>4643.0847199999998</v>
      </c>
      <c r="O162">
        <f>_xlfn.XLOOKUP($A162,ALGLIB_SSA_XAUUSD!$J$2:$J$1000,ALGLIB_SSA_XAUUSD!$Q$2:$Q$1000,"",0)</f>
        <v>4630.0613999999996</v>
      </c>
      <c r="R162">
        <f t="shared" si="22"/>
        <v>1775438400</v>
      </c>
      <c r="S162" t="str">
        <f t="shared" si="23"/>
        <v>XAUUSD</v>
      </c>
      <c r="T162" t="str">
        <f t="shared" si="24"/>
        <v>M5</v>
      </c>
      <c r="U162">
        <f t="shared" si="25"/>
        <v>4632.76</v>
      </c>
      <c r="V162">
        <v>4631.8397000000004</v>
      </c>
      <c r="W162">
        <v>4634.0064700000003</v>
      </c>
      <c r="X162">
        <v>4636.5198600000003</v>
      </c>
      <c r="Y162">
        <v>4635.8484200000003</v>
      </c>
      <c r="Z162">
        <f t="shared" si="26"/>
        <v>4648.8413099999998</v>
      </c>
      <c r="AA162">
        <f t="shared" si="27"/>
        <v>4643.0847199999998</v>
      </c>
      <c r="AB162">
        <f t="shared" si="28"/>
        <v>4615.0200866666664</v>
      </c>
      <c r="AC162">
        <f t="shared" si="29"/>
        <v>4630.0613999999996</v>
      </c>
      <c r="AF162">
        <f t="shared" si="30"/>
        <v>4636.5198600000003</v>
      </c>
      <c r="AG162">
        <f t="shared" si="31"/>
        <v>4648.8413099999998</v>
      </c>
      <c r="AH162">
        <f t="shared" si="32"/>
        <v>4615.0200866666664</v>
      </c>
    </row>
    <row r="163" spans="1:34" x14ac:dyDescent="0.55000000000000004">
      <c r="A163">
        <f>ALGLIB_SSA_XAUUSD!J163</f>
        <v>1775438700</v>
      </c>
      <c r="B163" t="str">
        <f>_xlfn.XLOOKUP($A163,ALGLIB_SSA_XAUUSD!$A$2:$A$1000,ALGLIB_SSA_XAUUSD!$B$2:$B$1000,"",0)</f>
        <v/>
      </c>
      <c r="C163" t="str">
        <f>_xlfn.XLOOKUP($A163,ALGLIB_SSA_XAUUSD!$A$2:$A$1000,ALGLIB_SSA_XAUUSD!$C$2:$C$1000,"",0)</f>
        <v/>
      </c>
      <c r="D163" s="1">
        <f>D158+(D170-D158)*5/12</f>
        <v>4635.18</v>
      </c>
      <c r="E163" s="1">
        <f>E158+(E170-E158)*5/12</f>
        <v>4632.1208216666664</v>
      </c>
      <c r="F163" s="1">
        <f>F158+(F170-F158)*5/12</f>
        <v>4634.0105816666664</v>
      </c>
      <c r="G163" s="1">
        <f>G158+(G170-G158)*5/12</f>
        <v>4649.0205674999997</v>
      </c>
      <c r="H163" s="1">
        <f>H158+(H170-H158)*5/12</f>
        <v>4615.2241158333327</v>
      </c>
      <c r="I163" t="str">
        <f>_xlfn.XLOOKUP($A163,ALGLIB_SSA_XAUUSD!$J$2:$J$1000,ALGLIB_SSA_XAUUSD!$K$2:$K$1000,"",0)</f>
        <v>XAUUSD</v>
      </c>
      <c r="J163" t="str">
        <f>_xlfn.XLOOKUP($A163,ALGLIB_SSA_XAUUSD!$J$2:$J$1000,ALGLIB_SSA_XAUUSD!$L$2:$L$1000,"",0)</f>
        <v>M5</v>
      </c>
      <c r="K163">
        <f>_xlfn.XLOOKUP($A163,ALGLIB_SSA_XAUUSD!$J$2:$J$1000,ALGLIB_SSA_XAUUSD!$M$2:$M$1000,"",0)</f>
        <v>4641.0200000000004</v>
      </c>
      <c r="L163">
        <f>_xlfn.XLOOKUP($A163,ALGLIB_SSA_XAUUSD!$J$2:$J$1000,ALGLIB_SSA_XAUUSD!$N$2:$N$1000,"",0)</f>
        <v>4634.6832100000001</v>
      </c>
      <c r="M163">
        <f>_xlfn.XLOOKUP($A163,ALGLIB_SSA_XAUUSD!$J$2:$J$1000,ALGLIB_SSA_XAUUSD!$O$2:$O$1000,"",0)</f>
        <v>4635.2658199999996</v>
      </c>
      <c r="N163">
        <f>_xlfn.XLOOKUP($A163,ALGLIB_SSA_XAUUSD!$J$2:$J$1000,ALGLIB_SSA_XAUUSD!$P$2:$P$1000,"",0)</f>
        <v>4641.2359800000004</v>
      </c>
      <c r="O163">
        <f>_xlfn.XLOOKUP($A163,ALGLIB_SSA_XAUUSD!$J$2:$J$1000,ALGLIB_SSA_XAUUSD!$Q$2:$Q$1000,"",0)</f>
        <v>4628.8650399999997</v>
      </c>
      <c r="R163">
        <f t="shared" si="22"/>
        <v>1775438700</v>
      </c>
      <c r="S163" t="str">
        <f t="shared" si="23"/>
        <v>XAUUSD</v>
      </c>
      <c r="T163" t="str">
        <f t="shared" si="24"/>
        <v>M5</v>
      </c>
      <c r="U163">
        <f t="shared" si="25"/>
        <v>4641.0200000000004</v>
      </c>
      <c r="V163">
        <v>4632.1208200000001</v>
      </c>
      <c r="W163">
        <v>4634.0105800000001</v>
      </c>
      <c r="X163">
        <v>4634.6832100000001</v>
      </c>
      <c r="Y163">
        <v>4635.2658199999996</v>
      </c>
      <c r="Z163">
        <f t="shared" si="26"/>
        <v>4649.0205674999997</v>
      </c>
      <c r="AA163">
        <f t="shared" si="27"/>
        <v>4641.2359800000004</v>
      </c>
      <c r="AB163">
        <f t="shared" si="28"/>
        <v>4615.2241158333327</v>
      </c>
      <c r="AC163">
        <f t="shared" si="29"/>
        <v>4628.8650399999997</v>
      </c>
      <c r="AF163">
        <f t="shared" si="30"/>
        <v>4634.6832100000001</v>
      </c>
      <c r="AG163">
        <f t="shared" si="31"/>
        <v>4649.0205674999997</v>
      </c>
      <c r="AH163">
        <f t="shared" si="32"/>
        <v>4615.2241158333327</v>
      </c>
    </row>
    <row r="164" spans="1:34" x14ac:dyDescent="0.55000000000000004">
      <c r="A164">
        <f>ALGLIB_SSA_XAUUSD!J164</f>
        <v>1775439000</v>
      </c>
      <c r="B164" t="str">
        <f>_xlfn.XLOOKUP($A164,ALGLIB_SSA_XAUUSD!$A$2:$A$1000,ALGLIB_SSA_XAUUSD!$B$2:$B$1000,"",0)</f>
        <v/>
      </c>
      <c r="C164" t="str">
        <f>_xlfn.XLOOKUP($A164,ALGLIB_SSA_XAUUSD!$A$2:$A$1000,ALGLIB_SSA_XAUUSD!$C$2:$C$1000,"",0)</f>
        <v/>
      </c>
      <c r="D164" s="1">
        <f>D158+(D170-D158)*6/12</f>
        <v>4637.0200000000004</v>
      </c>
      <c r="E164" s="1">
        <f>E158+(E170-E158)*6/12</f>
        <v>4632.4019399999997</v>
      </c>
      <c r="F164" s="1">
        <f>F158+(F170-F158)*6/12</f>
        <v>4634.01469</v>
      </c>
      <c r="G164" s="1">
        <f>G158+(G170-G158)*6/12</f>
        <v>4649.1998249999997</v>
      </c>
      <c r="H164" s="1">
        <f>H158+(H170-H158)*6/12</f>
        <v>4615.4281449999999</v>
      </c>
      <c r="I164" t="str">
        <f>_xlfn.XLOOKUP($A164,ALGLIB_SSA_XAUUSD!$J$2:$J$1000,ALGLIB_SSA_XAUUSD!$K$2:$K$1000,"",0)</f>
        <v>XAUUSD</v>
      </c>
      <c r="J164" t="str">
        <f>_xlfn.XLOOKUP($A164,ALGLIB_SSA_XAUUSD!$J$2:$J$1000,ALGLIB_SSA_XAUUSD!$L$2:$L$1000,"",0)</f>
        <v>M5</v>
      </c>
      <c r="K164">
        <f>_xlfn.XLOOKUP($A164,ALGLIB_SSA_XAUUSD!$J$2:$J$1000,ALGLIB_SSA_XAUUSD!$M$2:$M$1000,"",0)</f>
        <v>4628.82</v>
      </c>
      <c r="L164">
        <f>_xlfn.XLOOKUP($A164,ALGLIB_SSA_XAUUSD!$J$2:$J$1000,ALGLIB_SSA_XAUUSD!$N$2:$N$1000,"",0)</f>
        <v>4631.8258999999998</v>
      </c>
      <c r="M164">
        <f>_xlfn.XLOOKUP($A164,ALGLIB_SSA_XAUUSD!$J$2:$J$1000,ALGLIB_SSA_XAUUSD!$O$2:$O$1000,"",0)</f>
        <v>4633.5458600000002</v>
      </c>
      <c r="N164">
        <f>_xlfn.XLOOKUP($A164,ALGLIB_SSA_XAUUSD!$J$2:$J$1000,ALGLIB_SSA_XAUUSD!$P$2:$P$1000,"",0)</f>
        <v>4637.9871300000004</v>
      </c>
      <c r="O164">
        <f>_xlfn.XLOOKUP($A164,ALGLIB_SSA_XAUUSD!$J$2:$J$1000,ALGLIB_SSA_XAUUSD!$Q$2:$Q$1000,"",0)</f>
        <v>4626.8162499999999</v>
      </c>
      <c r="R164">
        <f t="shared" si="22"/>
        <v>1775439000</v>
      </c>
      <c r="S164" t="str">
        <f t="shared" si="23"/>
        <v>XAUUSD</v>
      </c>
      <c r="T164" t="str">
        <f t="shared" si="24"/>
        <v>M5</v>
      </c>
      <c r="U164">
        <f t="shared" si="25"/>
        <v>4628.82</v>
      </c>
      <c r="V164">
        <v>4632.4019399999997</v>
      </c>
      <c r="W164">
        <v>4634.01469</v>
      </c>
      <c r="X164">
        <v>4631.8258999999998</v>
      </c>
      <c r="Y164">
        <v>4633.5458600000002</v>
      </c>
      <c r="Z164">
        <f t="shared" si="26"/>
        <v>4649.1998249999997</v>
      </c>
      <c r="AA164">
        <f t="shared" si="27"/>
        <v>4637.9871300000004</v>
      </c>
      <c r="AB164">
        <f t="shared" si="28"/>
        <v>4615.4281449999999</v>
      </c>
      <c r="AC164">
        <f t="shared" si="29"/>
        <v>4626.8162499999999</v>
      </c>
      <c r="AF164">
        <f t="shared" si="30"/>
        <v>4631.8258999999998</v>
      </c>
      <c r="AG164">
        <f t="shared" si="31"/>
        <v>4649.1998249999997</v>
      </c>
      <c r="AH164">
        <f t="shared" si="32"/>
        <v>4615.4281449999999</v>
      </c>
    </row>
    <row r="165" spans="1:34" x14ac:dyDescent="0.55000000000000004">
      <c r="A165">
        <f>ALGLIB_SSA_XAUUSD!J165</f>
        <v>1775439300</v>
      </c>
      <c r="B165" t="str">
        <f>_xlfn.XLOOKUP($A165,ALGLIB_SSA_XAUUSD!$A$2:$A$1000,ALGLIB_SSA_XAUUSD!$B$2:$B$1000,"",0)</f>
        <v/>
      </c>
      <c r="C165" t="str">
        <f>_xlfn.XLOOKUP($A165,ALGLIB_SSA_XAUUSD!$A$2:$A$1000,ALGLIB_SSA_XAUUSD!$C$2:$C$1000,"",0)</f>
        <v/>
      </c>
      <c r="D165" s="1">
        <f>D158+(D170-D158)*7/12</f>
        <v>4638.8599999999997</v>
      </c>
      <c r="E165" s="1">
        <f>E158+(E170-E158)*7/12</f>
        <v>4632.6830583333331</v>
      </c>
      <c r="F165" s="1">
        <f>F158+(F170-F158)*7/12</f>
        <v>4634.0187983333335</v>
      </c>
      <c r="G165" s="1">
        <f>G158+(G170-G158)*7/12</f>
        <v>4649.3790825000005</v>
      </c>
      <c r="H165" s="1">
        <f>H158+(H170-H158)*7/12</f>
        <v>4615.632174166667</v>
      </c>
      <c r="I165" t="str">
        <f>_xlfn.XLOOKUP($A165,ALGLIB_SSA_XAUUSD!$J$2:$J$1000,ALGLIB_SSA_XAUUSD!$K$2:$K$1000,"",0)</f>
        <v>XAUUSD</v>
      </c>
      <c r="J165" t="str">
        <f>_xlfn.XLOOKUP($A165,ALGLIB_SSA_XAUUSD!$J$2:$J$1000,ALGLIB_SSA_XAUUSD!$L$2:$L$1000,"",0)</f>
        <v>M5</v>
      </c>
      <c r="K165">
        <f>_xlfn.XLOOKUP($A165,ALGLIB_SSA_XAUUSD!$J$2:$J$1000,ALGLIB_SSA_XAUUSD!$M$2:$M$1000,"",0)</f>
        <v>4635.1899999999996</v>
      </c>
      <c r="L165">
        <f>_xlfn.XLOOKUP($A165,ALGLIB_SSA_XAUUSD!$J$2:$J$1000,ALGLIB_SSA_XAUUSD!$N$2:$N$1000,"",0)</f>
        <v>4628.8602799999999</v>
      </c>
      <c r="M165">
        <f>_xlfn.XLOOKUP($A165,ALGLIB_SSA_XAUUSD!$J$2:$J$1000,ALGLIB_SSA_XAUUSD!$O$2:$O$1000,"",0)</f>
        <v>4631.2030699999996</v>
      </c>
      <c r="N165">
        <f>_xlfn.XLOOKUP($A165,ALGLIB_SSA_XAUUSD!$J$2:$J$1000,ALGLIB_SSA_XAUUSD!$P$2:$P$1000,"",0)</f>
        <v>4634.04061</v>
      </c>
      <c r="O165">
        <f>_xlfn.XLOOKUP($A165,ALGLIB_SSA_XAUUSD!$J$2:$J$1000,ALGLIB_SSA_XAUUSD!$Q$2:$Q$1000,"",0)</f>
        <v>4624.4709800000001</v>
      </c>
      <c r="R165">
        <f t="shared" si="22"/>
        <v>1775439300</v>
      </c>
      <c r="S165" t="str">
        <f t="shared" si="23"/>
        <v>XAUUSD</v>
      </c>
      <c r="T165" t="str">
        <f t="shared" si="24"/>
        <v>M5</v>
      </c>
      <c r="U165">
        <f t="shared" si="25"/>
        <v>4635.1899999999996</v>
      </c>
      <c r="V165">
        <v>4632.6830600000003</v>
      </c>
      <c r="W165">
        <v>4634.0187999999998</v>
      </c>
      <c r="X165">
        <v>4628.8602799999999</v>
      </c>
      <c r="Y165">
        <v>4631.2030699999996</v>
      </c>
      <c r="Z165">
        <f t="shared" si="26"/>
        <v>4649.3790825000005</v>
      </c>
      <c r="AA165">
        <f t="shared" si="27"/>
        <v>4634.04061</v>
      </c>
      <c r="AB165">
        <f t="shared" si="28"/>
        <v>4615.632174166667</v>
      </c>
      <c r="AC165">
        <f t="shared" si="29"/>
        <v>4624.4709800000001</v>
      </c>
      <c r="AF165">
        <f t="shared" si="30"/>
        <v>4628.8602799999999</v>
      </c>
      <c r="AG165">
        <f t="shared" si="31"/>
        <v>4649.3790825000005</v>
      </c>
      <c r="AH165">
        <f t="shared" si="32"/>
        <v>4615.632174166667</v>
      </c>
    </row>
    <row r="166" spans="1:34" x14ac:dyDescent="0.55000000000000004">
      <c r="A166">
        <f>ALGLIB_SSA_XAUUSD!J166</f>
        <v>1775439600</v>
      </c>
      <c r="B166" t="str">
        <f>_xlfn.XLOOKUP($A166,ALGLIB_SSA_XAUUSD!$A$2:$A$1000,ALGLIB_SSA_XAUUSD!$B$2:$B$1000,"",0)</f>
        <v/>
      </c>
      <c r="C166" t="str">
        <f>_xlfn.XLOOKUP($A166,ALGLIB_SSA_XAUUSD!$A$2:$A$1000,ALGLIB_SSA_XAUUSD!$C$2:$C$1000,"",0)</f>
        <v/>
      </c>
      <c r="D166" s="1">
        <f>D158+(D170-D158)*8/12</f>
        <v>4640.7</v>
      </c>
      <c r="E166" s="1">
        <f>E158+(E170-E158)*8/12</f>
        <v>4632.9641766666664</v>
      </c>
      <c r="F166" s="1">
        <f>F158+(F170-F158)*8/12</f>
        <v>4634.022906666667</v>
      </c>
      <c r="G166" s="1">
        <f>G158+(G170-G158)*8/12</f>
        <v>4649.5583400000005</v>
      </c>
      <c r="H166" s="1">
        <f>H158+(H170-H158)*8/12</f>
        <v>4615.8362033333333</v>
      </c>
      <c r="I166" t="str">
        <f>_xlfn.XLOOKUP($A166,ALGLIB_SSA_XAUUSD!$J$2:$J$1000,ALGLIB_SSA_XAUUSD!$K$2:$K$1000,"",0)</f>
        <v>XAUUSD</v>
      </c>
      <c r="J166" t="str">
        <f>_xlfn.XLOOKUP($A166,ALGLIB_SSA_XAUUSD!$J$2:$J$1000,ALGLIB_SSA_XAUUSD!$L$2:$L$1000,"",0)</f>
        <v>M5</v>
      </c>
      <c r="K166">
        <f>_xlfn.XLOOKUP($A166,ALGLIB_SSA_XAUUSD!$J$2:$J$1000,ALGLIB_SSA_XAUUSD!$M$2:$M$1000,"",0)</f>
        <v>4628.21</v>
      </c>
      <c r="L166">
        <f>_xlfn.XLOOKUP($A166,ALGLIB_SSA_XAUUSD!$J$2:$J$1000,ALGLIB_SSA_XAUUSD!$N$2:$N$1000,"",0)</f>
        <v>4626.3064599999998</v>
      </c>
      <c r="M166">
        <f>_xlfn.XLOOKUP($A166,ALGLIB_SSA_XAUUSD!$J$2:$J$1000,ALGLIB_SSA_XAUUSD!$O$2:$O$1000,"",0)</f>
        <v>4628.7547699999996</v>
      </c>
      <c r="N166">
        <f>_xlfn.XLOOKUP($A166,ALGLIB_SSA_XAUUSD!$J$2:$J$1000,ALGLIB_SSA_XAUUSD!$P$2:$P$1000,"",0)</f>
        <v>4630.4286899999997</v>
      </c>
      <c r="O166">
        <f>_xlfn.XLOOKUP($A166,ALGLIB_SSA_XAUUSD!$J$2:$J$1000,ALGLIB_SSA_XAUUSD!$Q$2:$Q$1000,"",0)</f>
        <v>4622.3483200000001</v>
      </c>
      <c r="R166">
        <f t="shared" si="22"/>
        <v>1775439600</v>
      </c>
      <c r="S166" t="str">
        <f t="shared" si="23"/>
        <v>XAUUSD</v>
      </c>
      <c r="T166" t="str">
        <f t="shared" si="24"/>
        <v>M5</v>
      </c>
      <c r="U166">
        <f t="shared" si="25"/>
        <v>4628.21</v>
      </c>
      <c r="V166">
        <v>4632.9641799999999</v>
      </c>
      <c r="W166">
        <v>4634.0229099999997</v>
      </c>
      <c r="X166">
        <v>4626.3064599999998</v>
      </c>
      <c r="Y166">
        <v>4628.7547699999996</v>
      </c>
      <c r="Z166">
        <f t="shared" si="26"/>
        <v>4649.5583400000005</v>
      </c>
      <c r="AA166">
        <f t="shared" si="27"/>
        <v>4630.4286899999997</v>
      </c>
      <c r="AB166">
        <f t="shared" si="28"/>
        <v>4615.8362033333333</v>
      </c>
      <c r="AC166">
        <f t="shared" si="29"/>
        <v>4622.3483200000001</v>
      </c>
      <c r="AF166">
        <f t="shared" si="30"/>
        <v>4626.3064599999998</v>
      </c>
      <c r="AG166">
        <f t="shared" si="31"/>
        <v>4649.5583400000005</v>
      </c>
      <c r="AH166">
        <f t="shared" si="32"/>
        <v>4615.8362033333333</v>
      </c>
    </row>
    <row r="167" spans="1:34" x14ac:dyDescent="0.55000000000000004">
      <c r="A167">
        <f>ALGLIB_SSA_XAUUSD!J167</f>
        <v>1775439900</v>
      </c>
      <c r="B167" t="str">
        <f>_xlfn.XLOOKUP($A167,ALGLIB_SSA_XAUUSD!$A$2:$A$1000,ALGLIB_SSA_XAUUSD!$B$2:$B$1000,"",0)</f>
        <v/>
      </c>
      <c r="C167" t="str">
        <f>_xlfn.XLOOKUP($A167,ALGLIB_SSA_XAUUSD!$A$2:$A$1000,ALGLIB_SSA_XAUUSD!$C$2:$C$1000,"",0)</f>
        <v/>
      </c>
      <c r="D167" s="1">
        <f>D158+(D170-D158)*9/12</f>
        <v>4642.54</v>
      </c>
      <c r="E167" s="1">
        <f>E158+(E170-E158)*9/12</f>
        <v>4633.2452949999997</v>
      </c>
      <c r="F167" s="1">
        <f>F158+(F170-F158)*9/12</f>
        <v>4634.0270149999997</v>
      </c>
      <c r="G167" s="1">
        <f>G158+(G170-G158)*9/12</f>
        <v>4649.7375975000004</v>
      </c>
      <c r="H167" s="1">
        <f>H158+(H170-H158)*9/12</f>
        <v>4616.0402324999995</v>
      </c>
      <c r="I167" t="str">
        <f>_xlfn.XLOOKUP($A167,ALGLIB_SSA_XAUUSD!$J$2:$J$1000,ALGLIB_SSA_XAUUSD!$K$2:$K$1000,"",0)</f>
        <v>XAUUSD</v>
      </c>
      <c r="J167" t="str">
        <f>_xlfn.XLOOKUP($A167,ALGLIB_SSA_XAUUSD!$J$2:$J$1000,ALGLIB_SSA_XAUUSD!$L$2:$L$1000,"",0)</f>
        <v>M5</v>
      </c>
      <c r="K167">
        <f>_xlfn.XLOOKUP($A167,ALGLIB_SSA_XAUUSD!$J$2:$J$1000,ALGLIB_SSA_XAUUSD!$M$2:$M$1000,"",0)</f>
        <v>4623.55</v>
      </c>
      <c r="L167">
        <f>_xlfn.XLOOKUP($A167,ALGLIB_SSA_XAUUSD!$J$2:$J$1000,ALGLIB_SSA_XAUUSD!$N$2:$N$1000,"",0)</f>
        <v>4624.9736000000003</v>
      </c>
      <c r="M167">
        <f>_xlfn.XLOOKUP($A167,ALGLIB_SSA_XAUUSD!$J$2:$J$1000,ALGLIB_SSA_XAUUSD!$O$2:$O$1000,"",0)</f>
        <v>4626.8641799999996</v>
      </c>
      <c r="N167">
        <f>_xlfn.XLOOKUP($A167,ALGLIB_SSA_XAUUSD!$J$2:$J$1000,ALGLIB_SSA_XAUUSD!$P$2:$P$1000,"",0)</f>
        <v>4628.0294100000001</v>
      </c>
      <c r="O167">
        <f>_xlfn.XLOOKUP($A167,ALGLIB_SSA_XAUUSD!$J$2:$J$1000,ALGLIB_SSA_XAUUSD!$Q$2:$Q$1000,"",0)</f>
        <v>4621.0247900000004</v>
      </c>
      <c r="R167">
        <f t="shared" si="22"/>
        <v>1775439900</v>
      </c>
      <c r="S167" t="str">
        <f t="shared" si="23"/>
        <v>XAUUSD</v>
      </c>
      <c r="T167" t="str">
        <f t="shared" si="24"/>
        <v>M5</v>
      </c>
      <c r="U167">
        <f t="shared" si="25"/>
        <v>4623.55</v>
      </c>
      <c r="V167">
        <v>4633.2452999999996</v>
      </c>
      <c r="W167">
        <v>4634.0270099999998</v>
      </c>
      <c r="X167">
        <v>4624.9736000000003</v>
      </c>
      <c r="Y167">
        <v>4626.8641799999996</v>
      </c>
      <c r="Z167">
        <f t="shared" si="26"/>
        <v>4649.7375975000004</v>
      </c>
      <c r="AA167">
        <f t="shared" si="27"/>
        <v>4628.0294100000001</v>
      </c>
      <c r="AB167">
        <f t="shared" si="28"/>
        <v>4616.0402324999995</v>
      </c>
      <c r="AC167">
        <f t="shared" si="29"/>
        <v>4621.0247900000004</v>
      </c>
      <c r="AF167">
        <f t="shared" si="30"/>
        <v>4624.9736000000003</v>
      </c>
      <c r="AG167">
        <f t="shared" si="31"/>
        <v>4649.7375975000004</v>
      </c>
      <c r="AH167">
        <f t="shared" si="32"/>
        <v>4616.0402324999995</v>
      </c>
    </row>
    <row r="168" spans="1:34" x14ac:dyDescent="0.55000000000000004">
      <c r="A168">
        <f>ALGLIB_SSA_XAUUSD!J168</f>
        <v>1775440200</v>
      </c>
      <c r="B168" t="str">
        <f>_xlfn.XLOOKUP($A168,ALGLIB_SSA_XAUUSD!$A$2:$A$1000,ALGLIB_SSA_XAUUSD!$B$2:$B$1000,"",0)</f>
        <v/>
      </c>
      <c r="C168" t="str">
        <f>_xlfn.XLOOKUP($A168,ALGLIB_SSA_XAUUSD!$A$2:$A$1000,ALGLIB_SSA_XAUUSD!$C$2:$C$1000,"",0)</f>
        <v/>
      </c>
      <c r="D168" s="1">
        <f>D158+(D170-D158)*10/12</f>
        <v>4644.38</v>
      </c>
      <c r="E168" s="1">
        <f>E158+(E170-E158)*10/12</f>
        <v>4633.526413333333</v>
      </c>
      <c r="F168" s="1">
        <f>F158+(F170-F158)*10/12</f>
        <v>4634.0311233333332</v>
      </c>
      <c r="G168" s="1">
        <f>G158+(G170-G158)*10/12</f>
        <v>4649.9168550000004</v>
      </c>
      <c r="H168" s="1">
        <f>H158+(H170-H158)*10/12</f>
        <v>4616.2442616666667</v>
      </c>
      <c r="I168" t="str">
        <f>_xlfn.XLOOKUP($A168,ALGLIB_SSA_XAUUSD!$J$2:$J$1000,ALGLIB_SSA_XAUUSD!$K$2:$K$1000,"",0)</f>
        <v>XAUUSD</v>
      </c>
      <c r="J168" t="str">
        <f>_xlfn.XLOOKUP($A168,ALGLIB_SSA_XAUUSD!$J$2:$J$1000,ALGLIB_SSA_XAUUSD!$L$2:$L$1000,"",0)</f>
        <v>M5</v>
      </c>
      <c r="K168">
        <f>_xlfn.XLOOKUP($A168,ALGLIB_SSA_XAUUSD!$J$2:$J$1000,ALGLIB_SSA_XAUUSD!$M$2:$M$1000,"",0)</f>
        <v>4626.3599999999997</v>
      </c>
      <c r="L168">
        <f>_xlfn.XLOOKUP($A168,ALGLIB_SSA_XAUUSD!$J$2:$J$1000,ALGLIB_SSA_XAUUSD!$N$2:$N$1000,"",0)</f>
        <v>4625.4562400000004</v>
      </c>
      <c r="M168">
        <f>_xlfn.XLOOKUP($A168,ALGLIB_SSA_XAUUSD!$J$2:$J$1000,ALGLIB_SSA_XAUUSD!$O$2:$O$1000,"",0)</f>
        <v>4626.16021</v>
      </c>
      <c r="N168">
        <f>_xlfn.XLOOKUP($A168,ALGLIB_SSA_XAUUSD!$J$2:$J$1000,ALGLIB_SSA_XAUUSD!$P$2:$P$1000,"",0)</f>
        <v>4627.6728800000001</v>
      </c>
      <c r="O168">
        <f>_xlfn.XLOOKUP($A168,ALGLIB_SSA_XAUUSD!$J$2:$J$1000,ALGLIB_SSA_XAUUSD!$Q$2:$Q$1000,"",0)</f>
        <v>4620.9570899999999</v>
      </c>
      <c r="R168">
        <f t="shared" si="22"/>
        <v>1775440200</v>
      </c>
      <c r="S168" t="str">
        <f t="shared" si="23"/>
        <v>XAUUSD</v>
      </c>
      <c r="T168" t="str">
        <f t="shared" si="24"/>
        <v>M5</v>
      </c>
      <c r="U168">
        <f t="shared" si="25"/>
        <v>4626.3599999999997</v>
      </c>
      <c r="V168">
        <v>4633.5264100000004</v>
      </c>
      <c r="W168">
        <v>4634.0311199999996</v>
      </c>
      <c r="X168">
        <v>4625.4562400000004</v>
      </c>
      <c r="Y168">
        <v>4626.16021</v>
      </c>
      <c r="Z168">
        <f t="shared" si="26"/>
        <v>4649.9168550000004</v>
      </c>
      <c r="AA168">
        <f t="shared" si="27"/>
        <v>4627.6728800000001</v>
      </c>
      <c r="AB168">
        <f t="shared" si="28"/>
        <v>4616.2442616666667</v>
      </c>
      <c r="AC168">
        <f t="shared" si="29"/>
        <v>4620.9570899999999</v>
      </c>
      <c r="AF168">
        <f t="shared" si="30"/>
        <v>4625.4562400000004</v>
      </c>
      <c r="AG168">
        <f t="shared" si="31"/>
        <v>4649.9168550000004</v>
      </c>
      <c r="AH168">
        <f t="shared" si="32"/>
        <v>4616.2442616666667</v>
      </c>
    </row>
    <row r="169" spans="1:34" x14ac:dyDescent="0.55000000000000004">
      <c r="A169">
        <f>ALGLIB_SSA_XAUUSD!J169</f>
        <v>1775440500</v>
      </c>
      <c r="B169" t="str">
        <f>_xlfn.XLOOKUP($A169,ALGLIB_SSA_XAUUSD!$A$2:$A$1000,ALGLIB_SSA_XAUUSD!$B$2:$B$1000,"",0)</f>
        <v/>
      </c>
      <c r="C169" t="str">
        <f>_xlfn.XLOOKUP($A169,ALGLIB_SSA_XAUUSD!$A$2:$A$1000,ALGLIB_SSA_XAUUSD!$C$2:$C$1000,"",0)</f>
        <v/>
      </c>
      <c r="D169" s="1">
        <f>D158+(D170-D158)*11/12</f>
        <v>4646.22</v>
      </c>
      <c r="E169" s="1">
        <f>E158+(E170-E158)*11/12</f>
        <v>4633.8075316666664</v>
      </c>
      <c r="F169" s="1">
        <f>F158+(F170-F158)*11/12</f>
        <v>4634.0352316666667</v>
      </c>
      <c r="G169" s="1">
        <f>G158+(G170-G158)*11/12</f>
        <v>4650.0961125000003</v>
      </c>
      <c r="H169" s="1">
        <f>H158+(H170-H158)*11/12</f>
        <v>4616.4482908333339</v>
      </c>
      <c r="I169" t="str">
        <f>_xlfn.XLOOKUP($A169,ALGLIB_SSA_XAUUSD!$J$2:$J$1000,ALGLIB_SSA_XAUUSD!$K$2:$K$1000,"",0)</f>
        <v>XAUUSD</v>
      </c>
      <c r="J169" t="str">
        <f>_xlfn.XLOOKUP($A169,ALGLIB_SSA_XAUUSD!$J$2:$J$1000,ALGLIB_SSA_XAUUSD!$L$2:$L$1000,"",0)</f>
        <v>M5</v>
      </c>
      <c r="K169">
        <f>_xlfn.XLOOKUP($A169,ALGLIB_SSA_XAUUSD!$J$2:$J$1000,ALGLIB_SSA_XAUUSD!$M$2:$M$1000,"",0)</f>
        <v>4625.9799999999996</v>
      </c>
      <c r="L169">
        <f>_xlfn.XLOOKUP($A169,ALGLIB_SSA_XAUUSD!$J$2:$J$1000,ALGLIB_SSA_XAUUSD!$N$2:$N$1000,"",0)</f>
        <v>4627.8990000000003</v>
      </c>
      <c r="M169">
        <f>_xlfn.XLOOKUP($A169,ALGLIB_SSA_XAUUSD!$J$2:$J$1000,ALGLIB_SSA_XAUUSD!$O$2:$O$1000,"",0)</f>
        <v>4627.0296099999996</v>
      </c>
      <c r="N169">
        <f>_xlfn.XLOOKUP($A169,ALGLIB_SSA_XAUUSD!$J$2:$J$1000,ALGLIB_SSA_XAUUSD!$P$2:$P$1000,"",0)</f>
        <v>4629.77016</v>
      </c>
      <c r="O169">
        <f>_xlfn.XLOOKUP($A169,ALGLIB_SSA_XAUUSD!$J$2:$J$1000,ALGLIB_SSA_XAUUSD!$Q$2:$Q$1000,"",0)</f>
        <v>4622.4919600000003</v>
      </c>
      <c r="R169">
        <f t="shared" si="22"/>
        <v>1775440500</v>
      </c>
      <c r="S169" t="str">
        <f t="shared" si="23"/>
        <v>XAUUSD</v>
      </c>
      <c r="T169" t="str">
        <f t="shared" si="24"/>
        <v>M5</v>
      </c>
      <c r="U169">
        <f t="shared" si="25"/>
        <v>4625.9799999999996</v>
      </c>
      <c r="V169">
        <v>4633.80753</v>
      </c>
      <c r="W169">
        <v>4634.0352300000004</v>
      </c>
      <c r="X169">
        <v>4627.8990000000003</v>
      </c>
      <c r="Y169">
        <v>4627.0296099999996</v>
      </c>
      <c r="Z169">
        <f t="shared" si="26"/>
        <v>4650.0961125000003</v>
      </c>
      <c r="AA169">
        <f t="shared" si="27"/>
        <v>4629.77016</v>
      </c>
      <c r="AB169">
        <f t="shared" si="28"/>
        <v>4616.4482908333339</v>
      </c>
      <c r="AC169">
        <f t="shared" si="29"/>
        <v>4622.4919600000003</v>
      </c>
      <c r="AF169">
        <f t="shared" si="30"/>
        <v>4627.8990000000003</v>
      </c>
      <c r="AG169">
        <f t="shared" si="31"/>
        <v>4650.0961125000003</v>
      </c>
      <c r="AH169">
        <f t="shared" si="32"/>
        <v>4616.4482908333339</v>
      </c>
    </row>
    <row r="170" spans="1:34" x14ac:dyDescent="0.55000000000000004">
      <c r="A170">
        <f>ALGLIB_SSA_XAUUSD!J170</f>
        <v>1775440800</v>
      </c>
      <c r="B170" t="str">
        <f>_xlfn.XLOOKUP($A170,ALGLIB_SSA_XAUUSD!$A$2:$A$1000,ALGLIB_SSA_XAUUSD!$B$2:$B$1000,"",0)</f>
        <v>XAUUSD</v>
      </c>
      <c r="C170" t="str">
        <f>_xlfn.XLOOKUP($A170,ALGLIB_SSA_XAUUSD!$A$2:$A$1000,ALGLIB_SSA_XAUUSD!$C$2:$C$1000,"",0)</f>
        <v>H1</v>
      </c>
      <c r="D170" s="2">
        <f>_xlfn.XLOOKUP($A170,ALGLIB_SSA_XAUUSD!$A$2:$A$1000,ALGLIB_SSA_XAUUSD!$D$2:$D$1000,"",0)</f>
        <v>4648.0600000000004</v>
      </c>
      <c r="E170" s="2">
        <f>_xlfn.XLOOKUP($A170,ALGLIB_SSA_XAUUSD!$A$2:$A$1000,ALGLIB_SSA_XAUUSD!$E$2:$E$1000,"",0)</f>
        <v>4634.0886499999997</v>
      </c>
      <c r="F170" s="2">
        <f>_xlfn.XLOOKUP($A170,ALGLIB_SSA_XAUUSD!$A$2:$A$1000,ALGLIB_SSA_XAUUSD!$F$2:$F$1000,"",0)</f>
        <v>4634.0393400000003</v>
      </c>
      <c r="G170" s="2">
        <f>_xlfn.XLOOKUP($A170,ALGLIB_SSA_XAUUSD!$A$2:$A$1000,ALGLIB_SSA_XAUUSD!$G$2:$G$1000,"",0)</f>
        <v>4650.2753700000003</v>
      </c>
      <c r="H170" s="2">
        <f>_xlfn.XLOOKUP($A170,ALGLIB_SSA_XAUUSD!$A$2:$A$1000,ALGLIB_SSA_XAUUSD!$H$2:$H$1000,"",0)</f>
        <v>4616.6523200000001</v>
      </c>
      <c r="I170" t="str">
        <f>_xlfn.XLOOKUP($A170,ALGLIB_SSA_XAUUSD!$J$2:$J$1000,ALGLIB_SSA_XAUUSD!$K$2:$K$1000,"",0)</f>
        <v>XAUUSD</v>
      </c>
      <c r="J170" t="str">
        <f>_xlfn.XLOOKUP($A170,ALGLIB_SSA_XAUUSD!$J$2:$J$1000,ALGLIB_SSA_XAUUSD!$L$2:$L$1000,"",0)</f>
        <v>M5</v>
      </c>
      <c r="K170">
        <f>_xlfn.XLOOKUP($A170,ALGLIB_SSA_XAUUSD!$J$2:$J$1000,ALGLIB_SSA_XAUUSD!$M$2:$M$1000,"",0)</f>
        <v>4629.6000000000004</v>
      </c>
      <c r="L170">
        <f>_xlfn.XLOOKUP($A170,ALGLIB_SSA_XAUUSD!$J$2:$J$1000,ALGLIB_SSA_XAUUSD!$N$2:$N$1000,"",0)</f>
        <v>4632.2258899999997</v>
      </c>
      <c r="M170">
        <f>_xlfn.XLOOKUP($A170,ALGLIB_SSA_XAUUSD!$J$2:$J$1000,ALGLIB_SSA_XAUUSD!$O$2:$O$1000,"",0)</f>
        <v>4629.6277499999997</v>
      </c>
      <c r="N170">
        <f>_xlfn.XLOOKUP($A170,ALGLIB_SSA_XAUUSD!$J$2:$J$1000,ALGLIB_SSA_XAUUSD!$P$2:$P$1000,"",0)</f>
        <v>4634.2308800000001</v>
      </c>
      <c r="O170">
        <f>_xlfn.XLOOKUP($A170,ALGLIB_SSA_XAUUSD!$J$2:$J$1000,ALGLIB_SSA_XAUUSD!$Q$2:$Q$1000,"",0)</f>
        <v>4625.71144</v>
      </c>
      <c r="R170">
        <f t="shared" si="22"/>
        <v>1775440800</v>
      </c>
      <c r="S170" t="str">
        <f t="shared" si="23"/>
        <v>XAUUSD</v>
      </c>
      <c r="T170" t="str">
        <f t="shared" si="24"/>
        <v>M5</v>
      </c>
      <c r="U170">
        <f t="shared" si="25"/>
        <v>4629.6000000000004</v>
      </c>
      <c r="V170">
        <v>4634.0886499999997</v>
      </c>
      <c r="W170">
        <v>4634.0393400000003</v>
      </c>
      <c r="X170">
        <v>4632.2258899999997</v>
      </c>
      <c r="Y170">
        <v>4629.6277499999997</v>
      </c>
      <c r="Z170">
        <f t="shared" si="26"/>
        <v>4650.2753700000003</v>
      </c>
      <c r="AA170">
        <f t="shared" si="27"/>
        <v>4634.2308800000001</v>
      </c>
      <c r="AB170">
        <f t="shared" si="28"/>
        <v>4616.6523200000001</v>
      </c>
      <c r="AC170">
        <f t="shared" si="29"/>
        <v>4625.71144</v>
      </c>
      <c r="AF170">
        <f t="shared" si="30"/>
        <v>4632.2258899999997</v>
      </c>
      <c r="AG170">
        <f t="shared" si="31"/>
        <v>4650.2753700000003</v>
      </c>
      <c r="AH170">
        <f t="shared" si="32"/>
        <v>4616.6523200000001</v>
      </c>
    </row>
    <row r="171" spans="1:34" x14ac:dyDescent="0.55000000000000004">
      <c r="A171">
        <f>ALGLIB_SSA_XAUUSD!J171</f>
        <v>1775441100</v>
      </c>
      <c r="B171" t="str">
        <f>_xlfn.XLOOKUP($A171,ALGLIB_SSA_XAUUSD!$A$2:$A$1000,ALGLIB_SSA_XAUUSD!$B$2:$B$1000,"",0)</f>
        <v/>
      </c>
      <c r="C171" t="str">
        <f>_xlfn.XLOOKUP($A171,ALGLIB_SSA_XAUUSD!$A$2:$A$1000,ALGLIB_SSA_XAUUSD!$C$2:$C$1000,"",0)</f>
        <v/>
      </c>
      <c r="D171" s="1">
        <f>D170+(D182-D170)*1/12</f>
        <v>4647.4341666666669</v>
      </c>
      <c r="E171" s="1">
        <f>E170+(E182-E170)*1/12</f>
        <v>4634.6451716666661</v>
      </c>
      <c r="F171" s="1">
        <f>F170+(F182-F170)*1/12</f>
        <v>4634.3196550000002</v>
      </c>
      <c r="G171" s="1">
        <f>G170+(G182-G170)*1/12</f>
        <v>4650.6509716666669</v>
      </c>
      <c r="H171" s="1">
        <f>H170+(H182-H170)*1/12</f>
        <v>4617.1747974999998</v>
      </c>
      <c r="I171" t="str">
        <f>_xlfn.XLOOKUP($A171,ALGLIB_SSA_XAUUSD!$J$2:$J$1000,ALGLIB_SSA_XAUUSD!$K$2:$K$1000,"",0)</f>
        <v>XAUUSD</v>
      </c>
      <c r="J171" t="str">
        <f>_xlfn.XLOOKUP($A171,ALGLIB_SSA_XAUUSD!$J$2:$J$1000,ALGLIB_SSA_XAUUSD!$L$2:$L$1000,"",0)</f>
        <v>M5</v>
      </c>
      <c r="K171">
        <f>_xlfn.XLOOKUP($A171,ALGLIB_SSA_XAUUSD!$J$2:$J$1000,ALGLIB_SSA_XAUUSD!$M$2:$M$1000,"",0)</f>
        <v>4632.28</v>
      </c>
      <c r="L171">
        <f>_xlfn.XLOOKUP($A171,ALGLIB_SSA_XAUUSD!$J$2:$J$1000,ALGLIB_SSA_XAUUSD!$N$2:$N$1000,"",0)</f>
        <v>4637.9561000000003</v>
      </c>
      <c r="M171">
        <f>_xlfn.XLOOKUP($A171,ALGLIB_SSA_XAUUSD!$J$2:$J$1000,ALGLIB_SSA_XAUUSD!$O$2:$O$1000,"",0)</f>
        <v>4633.7919300000003</v>
      </c>
      <c r="N171">
        <f>_xlfn.XLOOKUP($A171,ALGLIB_SSA_XAUUSD!$J$2:$J$1000,ALGLIB_SSA_XAUUSD!$P$2:$P$1000,"",0)</f>
        <v>4640.5057100000004</v>
      </c>
      <c r="O171">
        <f>_xlfn.XLOOKUP($A171,ALGLIB_SSA_XAUUSD!$J$2:$J$1000,ALGLIB_SSA_XAUUSD!$Q$2:$Q$1000,"",0)</f>
        <v>4630.4324500000002</v>
      </c>
      <c r="R171">
        <f t="shared" si="22"/>
        <v>1775441100</v>
      </c>
      <c r="S171" t="str">
        <f t="shared" si="23"/>
        <v>XAUUSD</v>
      </c>
      <c r="T171" t="str">
        <f t="shared" si="24"/>
        <v>M5</v>
      </c>
      <c r="U171">
        <f t="shared" si="25"/>
        <v>4632.28</v>
      </c>
      <c r="V171">
        <v>4634.6451699999998</v>
      </c>
      <c r="W171">
        <v>4634.3196600000001</v>
      </c>
      <c r="X171">
        <v>4637.9561000000003</v>
      </c>
      <c r="Y171">
        <v>4633.7919300000003</v>
      </c>
      <c r="Z171">
        <f t="shared" si="26"/>
        <v>4650.6509716666669</v>
      </c>
      <c r="AA171">
        <f t="shared" si="27"/>
        <v>4640.5057100000004</v>
      </c>
      <c r="AB171">
        <f t="shared" si="28"/>
        <v>4617.1747974999998</v>
      </c>
      <c r="AC171">
        <f t="shared" si="29"/>
        <v>4630.4324500000002</v>
      </c>
      <c r="AF171">
        <f t="shared" si="30"/>
        <v>4637.9561000000003</v>
      </c>
      <c r="AG171">
        <f t="shared" si="31"/>
        <v>4650.6509716666669</v>
      </c>
      <c r="AH171">
        <f t="shared" si="32"/>
        <v>4617.1747974999998</v>
      </c>
    </row>
    <row r="172" spans="1:34" x14ac:dyDescent="0.55000000000000004">
      <c r="A172">
        <f>ALGLIB_SSA_XAUUSD!J172</f>
        <v>1775441400</v>
      </c>
      <c r="B172" t="str">
        <f>_xlfn.XLOOKUP($A172,ALGLIB_SSA_XAUUSD!$A$2:$A$1000,ALGLIB_SSA_XAUUSD!$B$2:$B$1000,"",0)</f>
        <v/>
      </c>
      <c r="C172" t="str">
        <f>_xlfn.XLOOKUP($A172,ALGLIB_SSA_XAUUSD!$A$2:$A$1000,ALGLIB_SSA_XAUUSD!$C$2:$C$1000,"",0)</f>
        <v/>
      </c>
      <c r="D172" s="1">
        <f>D170+(D182-D170)*2/12</f>
        <v>4646.8083333333334</v>
      </c>
      <c r="E172" s="1">
        <f>E170+(E182-E170)*2/12</f>
        <v>4635.2016933333334</v>
      </c>
      <c r="F172" s="1">
        <f>F170+(F182-F170)*2/12</f>
        <v>4634.5999700000002</v>
      </c>
      <c r="G172" s="1">
        <f>G170+(G182-G170)*2/12</f>
        <v>4651.0265733333335</v>
      </c>
      <c r="H172" s="1">
        <f>H170+(H182-H170)*2/12</f>
        <v>4617.6972750000004</v>
      </c>
      <c r="I172" t="str">
        <f>_xlfn.XLOOKUP($A172,ALGLIB_SSA_XAUUSD!$J$2:$J$1000,ALGLIB_SSA_XAUUSD!$K$2:$K$1000,"",0)</f>
        <v>XAUUSD</v>
      </c>
      <c r="J172" t="str">
        <f>_xlfn.XLOOKUP($A172,ALGLIB_SSA_XAUUSD!$J$2:$J$1000,ALGLIB_SSA_XAUUSD!$L$2:$L$1000,"",0)</f>
        <v>M5</v>
      </c>
      <c r="K172">
        <f>_xlfn.XLOOKUP($A172,ALGLIB_SSA_XAUUSD!$J$2:$J$1000,ALGLIB_SSA_XAUUSD!$M$2:$M$1000,"",0)</f>
        <v>4636.2700000000004</v>
      </c>
      <c r="L172">
        <f>_xlfn.XLOOKUP($A172,ALGLIB_SSA_XAUUSD!$J$2:$J$1000,ALGLIB_SSA_XAUUSD!$N$2:$N$1000,"",0)</f>
        <v>4644.42148</v>
      </c>
      <c r="M172">
        <f>_xlfn.XLOOKUP($A172,ALGLIB_SSA_XAUUSD!$J$2:$J$1000,ALGLIB_SSA_XAUUSD!$O$2:$O$1000,"",0)</f>
        <v>4639.1067000000003</v>
      </c>
      <c r="N172">
        <f>_xlfn.XLOOKUP($A172,ALGLIB_SSA_XAUUSD!$J$2:$J$1000,ALGLIB_SSA_XAUUSD!$P$2:$P$1000,"",0)</f>
        <v>4647.7893299999996</v>
      </c>
      <c r="O172">
        <f>_xlfn.XLOOKUP($A172,ALGLIB_SSA_XAUUSD!$J$2:$J$1000,ALGLIB_SSA_XAUUSD!$Q$2:$Q$1000,"",0)</f>
        <v>4636.1905500000003</v>
      </c>
      <c r="R172">
        <f t="shared" si="22"/>
        <v>1775441400</v>
      </c>
      <c r="S172" t="str">
        <f t="shared" si="23"/>
        <v>XAUUSD</v>
      </c>
      <c r="T172" t="str">
        <f t="shared" si="24"/>
        <v>M5</v>
      </c>
      <c r="U172">
        <f t="shared" si="25"/>
        <v>4636.2700000000004</v>
      </c>
      <c r="V172">
        <v>4635.2016899999999</v>
      </c>
      <c r="W172">
        <v>4634.5999700000002</v>
      </c>
      <c r="X172">
        <v>4644.42148</v>
      </c>
      <c r="Y172">
        <v>4639.1067000000003</v>
      </c>
      <c r="Z172">
        <f t="shared" si="26"/>
        <v>4651.0265733333335</v>
      </c>
      <c r="AA172">
        <f t="shared" si="27"/>
        <v>4647.7893299999996</v>
      </c>
      <c r="AB172">
        <f t="shared" si="28"/>
        <v>4617.6972750000004</v>
      </c>
      <c r="AC172">
        <f t="shared" si="29"/>
        <v>4636.1905500000003</v>
      </c>
      <c r="AF172">
        <f t="shared" si="30"/>
        <v>4644.42148</v>
      </c>
      <c r="AG172">
        <f t="shared" si="31"/>
        <v>4651.0265733333335</v>
      </c>
      <c r="AH172">
        <f t="shared" si="32"/>
        <v>4617.6972750000004</v>
      </c>
    </row>
    <row r="173" spans="1:34" x14ac:dyDescent="0.55000000000000004">
      <c r="A173">
        <f>ALGLIB_SSA_XAUUSD!J173</f>
        <v>1775441700</v>
      </c>
      <c r="B173" t="str">
        <f>_xlfn.XLOOKUP($A173,ALGLIB_SSA_XAUUSD!$A$2:$A$1000,ALGLIB_SSA_XAUUSD!$B$2:$B$1000,"",0)</f>
        <v/>
      </c>
      <c r="C173" t="str">
        <f>_xlfn.XLOOKUP($A173,ALGLIB_SSA_XAUUSD!$A$2:$A$1000,ALGLIB_SSA_XAUUSD!$C$2:$C$1000,"",0)</f>
        <v/>
      </c>
      <c r="D173" s="1">
        <f>D170+(D182-D170)*3/12</f>
        <v>4646.1825000000008</v>
      </c>
      <c r="E173" s="1">
        <f>E170+(E182-E170)*3/12</f>
        <v>4635.7582149999998</v>
      </c>
      <c r="F173" s="1">
        <f>F170+(F182-F170)*3/12</f>
        <v>4634.8802850000002</v>
      </c>
      <c r="G173" s="1">
        <f>G170+(G182-G170)*3/12</f>
        <v>4651.4021750000002</v>
      </c>
      <c r="H173" s="1">
        <f>H170+(H182-H170)*3/12</f>
        <v>4618.2197525000001</v>
      </c>
      <c r="I173" t="str">
        <f>_xlfn.XLOOKUP($A173,ALGLIB_SSA_XAUUSD!$J$2:$J$1000,ALGLIB_SSA_XAUUSD!$K$2:$K$1000,"",0)</f>
        <v>XAUUSD</v>
      </c>
      <c r="J173" t="str">
        <f>_xlfn.XLOOKUP($A173,ALGLIB_SSA_XAUUSD!$J$2:$J$1000,ALGLIB_SSA_XAUUSD!$L$2:$L$1000,"",0)</f>
        <v>M5</v>
      </c>
      <c r="K173">
        <f>_xlfn.XLOOKUP($A173,ALGLIB_SSA_XAUUSD!$J$2:$J$1000,ALGLIB_SSA_XAUUSD!$M$2:$M$1000,"",0)</f>
        <v>4663.26</v>
      </c>
      <c r="L173">
        <f>_xlfn.XLOOKUP($A173,ALGLIB_SSA_XAUUSD!$J$2:$J$1000,ALGLIB_SSA_XAUUSD!$N$2:$N$1000,"",0)</f>
        <v>4650.7967399999998</v>
      </c>
      <c r="M173">
        <f>_xlfn.XLOOKUP($A173,ALGLIB_SSA_XAUUSD!$J$2:$J$1000,ALGLIB_SSA_XAUUSD!$O$2:$O$1000,"",0)</f>
        <v>4644.95172</v>
      </c>
      <c r="N173">
        <f>_xlfn.XLOOKUP($A173,ALGLIB_SSA_XAUUSD!$J$2:$J$1000,ALGLIB_SSA_XAUUSD!$P$2:$P$1000,"",0)</f>
        <v>4655.0013099999996</v>
      </c>
      <c r="O173">
        <f>_xlfn.XLOOKUP($A173,ALGLIB_SSA_XAUUSD!$J$2:$J$1000,ALGLIB_SSA_XAUUSD!$Q$2:$Q$1000,"",0)</f>
        <v>4642.3179899999996</v>
      </c>
      <c r="R173">
        <f t="shared" si="22"/>
        <v>1775441700</v>
      </c>
      <c r="S173" t="str">
        <f t="shared" si="23"/>
        <v>XAUUSD</v>
      </c>
      <c r="T173" t="str">
        <f t="shared" si="24"/>
        <v>M5</v>
      </c>
      <c r="U173">
        <f t="shared" si="25"/>
        <v>4663.26</v>
      </c>
      <c r="V173">
        <v>4635.7582199999997</v>
      </c>
      <c r="W173">
        <v>4634.8802900000001</v>
      </c>
      <c r="X173">
        <v>4650.7967399999998</v>
      </c>
      <c r="Y173">
        <v>4644.95172</v>
      </c>
      <c r="Z173">
        <f t="shared" si="26"/>
        <v>4651.4021750000002</v>
      </c>
      <c r="AA173">
        <f t="shared" si="27"/>
        <v>4655.0013099999996</v>
      </c>
      <c r="AB173">
        <f t="shared" si="28"/>
        <v>4618.2197525000001</v>
      </c>
      <c r="AC173">
        <f t="shared" si="29"/>
        <v>4642.3179899999996</v>
      </c>
      <c r="AF173">
        <f t="shared" si="30"/>
        <v>4650.7967399999998</v>
      </c>
      <c r="AG173">
        <f t="shared" si="31"/>
        <v>4651.4021750000002</v>
      </c>
      <c r="AH173">
        <f t="shared" si="32"/>
        <v>4618.2197525000001</v>
      </c>
    </row>
    <row r="174" spans="1:34" x14ac:dyDescent="0.55000000000000004">
      <c r="A174">
        <f>ALGLIB_SSA_XAUUSD!J174</f>
        <v>1775442000</v>
      </c>
      <c r="B174" t="str">
        <f>_xlfn.XLOOKUP($A174,ALGLIB_SSA_XAUUSD!$A$2:$A$1000,ALGLIB_SSA_XAUUSD!$B$2:$B$1000,"",0)</f>
        <v/>
      </c>
      <c r="C174" t="str">
        <f>_xlfn.XLOOKUP($A174,ALGLIB_SSA_XAUUSD!$A$2:$A$1000,ALGLIB_SSA_XAUUSD!$C$2:$C$1000,"",0)</f>
        <v/>
      </c>
      <c r="D174" s="1">
        <f>D170+(D182-D170)*4/12</f>
        <v>4645.5566666666673</v>
      </c>
      <c r="E174" s="1">
        <f>E170+(E182-E170)*4/12</f>
        <v>4636.3147366666662</v>
      </c>
      <c r="F174" s="1">
        <f>F170+(F182-F170)*4/12</f>
        <v>4635.1606000000002</v>
      </c>
      <c r="G174" s="1">
        <f>G170+(G182-G170)*4/12</f>
        <v>4651.7777766666668</v>
      </c>
      <c r="H174" s="1">
        <f>H170+(H182-H170)*4/12</f>
        <v>4618.7422299999998</v>
      </c>
      <c r="I174" t="str">
        <f>_xlfn.XLOOKUP($A174,ALGLIB_SSA_XAUUSD!$J$2:$J$1000,ALGLIB_SSA_XAUUSD!$K$2:$K$1000,"",0)</f>
        <v>XAUUSD</v>
      </c>
      <c r="J174" t="str">
        <f>_xlfn.XLOOKUP($A174,ALGLIB_SSA_XAUUSD!$J$2:$J$1000,ALGLIB_SSA_XAUUSD!$L$2:$L$1000,"",0)</f>
        <v>M5</v>
      </c>
      <c r="K174">
        <f>_xlfn.XLOOKUP($A174,ALGLIB_SSA_XAUUSD!$J$2:$J$1000,ALGLIB_SSA_XAUUSD!$M$2:$M$1000,"",0)</f>
        <v>4665.33</v>
      </c>
      <c r="L174">
        <f>_xlfn.XLOOKUP($A174,ALGLIB_SSA_XAUUSD!$J$2:$J$1000,ALGLIB_SSA_XAUUSD!$N$2:$N$1000,"",0)</f>
        <v>4655.6768199999997</v>
      </c>
      <c r="M174">
        <f>_xlfn.XLOOKUP($A174,ALGLIB_SSA_XAUUSD!$J$2:$J$1000,ALGLIB_SSA_XAUUSD!$O$2:$O$1000,"",0)</f>
        <v>4650.3142699999999</v>
      </c>
      <c r="N174">
        <f>_xlfn.XLOOKUP($A174,ALGLIB_SSA_XAUUSD!$J$2:$J$1000,ALGLIB_SSA_XAUUSD!$P$2:$P$1000,"",0)</f>
        <v>4660.6690399999998</v>
      </c>
      <c r="O174">
        <f>_xlfn.XLOOKUP($A174,ALGLIB_SSA_XAUUSD!$J$2:$J$1000,ALGLIB_SSA_XAUUSD!$Q$2:$Q$1000,"",0)</f>
        <v>4648.0223400000004</v>
      </c>
      <c r="R174">
        <f t="shared" si="22"/>
        <v>1775442000</v>
      </c>
      <c r="S174" t="str">
        <f t="shared" si="23"/>
        <v>XAUUSD</v>
      </c>
      <c r="T174" t="str">
        <f t="shared" si="24"/>
        <v>M5</v>
      </c>
      <c r="U174">
        <f t="shared" si="25"/>
        <v>4665.33</v>
      </c>
      <c r="V174">
        <v>4636.3147399999998</v>
      </c>
      <c r="W174">
        <v>4635.1606000000002</v>
      </c>
      <c r="X174">
        <v>4655.6768199999997</v>
      </c>
      <c r="Y174">
        <v>4650.3142699999999</v>
      </c>
      <c r="Z174">
        <f t="shared" si="26"/>
        <v>4651.7777766666668</v>
      </c>
      <c r="AA174">
        <f t="shared" si="27"/>
        <v>4660.6690399999998</v>
      </c>
      <c r="AB174">
        <f t="shared" si="28"/>
        <v>4618.7422299999998</v>
      </c>
      <c r="AC174">
        <f t="shared" si="29"/>
        <v>4648.0223400000004</v>
      </c>
      <c r="AF174">
        <f t="shared" si="30"/>
        <v>4655.6768199999997</v>
      </c>
      <c r="AG174">
        <f t="shared" si="31"/>
        <v>4651.7777766666668</v>
      </c>
      <c r="AH174">
        <f t="shared" si="32"/>
        <v>4618.7422299999998</v>
      </c>
    </row>
    <row r="175" spans="1:34" x14ac:dyDescent="0.55000000000000004">
      <c r="A175">
        <f>ALGLIB_SSA_XAUUSD!J175</f>
        <v>1775442300</v>
      </c>
      <c r="B175" t="str">
        <f>_xlfn.XLOOKUP($A175,ALGLIB_SSA_XAUUSD!$A$2:$A$1000,ALGLIB_SSA_XAUUSD!$B$2:$B$1000,"",0)</f>
        <v/>
      </c>
      <c r="C175" t="str">
        <f>_xlfn.XLOOKUP($A175,ALGLIB_SSA_XAUUSD!$A$2:$A$1000,ALGLIB_SSA_XAUUSD!$C$2:$C$1000,"",0)</f>
        <v/>
      </c>
      <c r="D175" s="1">
        <f>D170+(D182-D170)*5/12</f>
        <v>4644.9308333333338</v>
      </c>
      <c r="E175" s="1">
        <f>E170+(E182-E170)*5/12</f>
        <v>4636.8712583333336</v>
      </c>
      <c r="F175" s="1">
        <f>F170+(F182-F170)*5/12</f>
        <v>4635.4409150000001</v>
      </c>
      <c r="G175" s="1">
        <f>G170+(G182-G170)*5/12</f>
        <v>4652.1533783333334</v>
      </c>
      <c r="H175" s="1">
        <f>H170+(H182-H170)*5/12</f>
        <v>4619.2647075000004</v>
      </c>
      <c r="I175" t="str">
        <f>_xlfn.XLOOKUP($A175,ALGLIB_SSA_XAUUSD!$J$2:$J$1000,ALGLIB_SSA_XAUUSD!$K$2:$K$1000,"",0)</f>
        <v>XAUUSD</v>
      </c>
      <c r="J175" t="str">
        <f>_xlfn.XLOOKUP($A175,ALGLIB_SSA_XAUUSD!$J$2:$J$1000,ALGLIB_SSA_XAUUSD!$L$2:$L$1000,"",0)</f>
        <v>M5</v>
      </c>
      <c r="K175">
        <f>_xlfn.XLOOKUP($A175,ALGLIB_SSA_XAUUSD!$J$2:$J$1000,ALGLIB_SSA_XAUUSD!$M$2:$M$1000,"",0)</f>
        <v>4661.16</v>
      </c>
      <c r="L175">
        <f>_xlfn.XLOOKUP($A175,ALGLIB_SSA_XAUUSD!$J$2:$J$1000,ALGLIB_SSA_XAUUSD!$N$2:$N$1000,"",0)</f>
        <v>4658.5065999999997</v>
      </c>
      <c r="M175">
        <f>_xlfn.XLOOKUP($A175,ALGLIB_SSA_XAUUSD!$J$2:$J$1000,ALGLIB_SSA_XAUUSD!$O$2:$O$1000,"",0)</f>
        <v>4654.4104299999999</v>
      </c>
      <c r="N175">
        <f>_xlfn.XLOOKUP($A175,ALGLIB_SSA_XAUUSD!$J$2:$J$1000,ALGLIB_SSA_XAUUSD!$P$2:$P$1000,"",0)</f>
        <v>4664.0313800000004</v>
      </c>
      <c r="O175">
        <f>_xlfn.XLOOKUP($A175,ALGLIB_SSA_XAUUSD!$J$2:$J$1000,ALGLIB_SSA_XAUUSD!$Q$2:$Q$1000,"",0)</f>
        <v>4652.0402899999999</v>
      </c>
      <c r="R175">
        <f t="shared" si="22"/>
        <v>1775442300</v>
      </c>
      <c r="S175" t="str">
        <f t="shared" si="23"/>
        <v>XAUUSD</v>
      </c>
      <c r="T175" t="str">
        <f t="shared" si="24"/>
        <v>M5</v>
      </c>
      <c r="U175">
        <f t="shared" si="25"/>
        <v>4661.16</v>
      </c>
      <c r="V175">
        <v>4636.8712599999999</v>
      </c>
      <c r="W175">
        <v>4635.44092</v>
      </c>
      <c r="X175">
        <v>4658.5065999999997</v>
      </c>
      <c r="Y175">
        <v>4654.4104299999999</v>
      </c>
      <c r="Z175">
        <f t="shared" si="26"/>
        <v>4652.1533783333334</v>
      </c>
      <c r="AA175">
        <f t="shared" si="27"/>
        <v>4664.0313800000004</v>
      </c>
      <c r="AB175">
        <f t="shared" si="28"/>
        <v>4619.2647075000004</v>
      </c>
      <c r="AC175">
        <f t="shared" si="29"/>
        <v>4652.0402899999999</v>
      </c>
      <c r="AF175">
        <f t="shared" si="30"/>
        <v>4658.5065999999997</v>
      </c>
      <c r="AG175">
        <f t="shared" si="31"/>
        <v>4652.1533783333334</v>
      </c>
      <c r="AH175">
        <f t="shared" si="32"/>
        <v>4619.2647075000004</v>
      </c>
    </row>
    <row r="176" spans="1:34" x14ac:dyDescent="0.55000000000000004">
      <c r="A176">
        <f>ALGLIB_SSA_XAUUSD!J176</f>
        <v>1775442600</v>
      </c>
      <c r="B176" t="str">
        <f>_xlfn.XLOOKUP($A176,ALGLIB_SSA_XAUUSD!$A$2:$A$1000,ALGLIB_SSA_XAUUSD!$B$2:$B$1000,"",0)</f>
        <v/>
      </c>
      <c r="C176" t="str">
        <f>_xlfn.XLOOKUP($A176,ALGLIB_SSA_XAUUSD!$A$2:$A$1000,ALGLIB_SSA_XAUUSD!$C$2:$C$1000,"",0)</f>
        <v/>
      </c>
      <c r="D176" s="1">
        <f>D170+(D182-D170)*6/12</f>
        <v>4644.3050000000003</v>
      </c>
      <c r="E176" s="1">
        <f>E170+(E182-E170)*6/12</f>
        <v>4637.42778</v>
      </c>
      <c r="F176" s="1">
        <f>F170+(F182-F170)*6/12</f>
        <v>4635.7212300000001</v>
      </c>
      <c r="G176" s="1">
        <f>G170+(G182-G170)*6/12</f>
        <v>4652.52898</v>
      </c>
      <c r="H176" s="1">
        <f>H170+(H182-H170)*6/12</f>
        <v>4619.7871850000001</v>
      </c>
      <c r="I176" t="str">
        <f>_xlfn.XLOOKUP($A176,ALGLIB_SSA_XAUUSD!$J$2:$J$1000,ALGLIB_SSA_XAUUSD!$K$2:$K$1000,"",0)</f>
        <v>XAUUSD</v>
      </c>
      <c r="J176" t="str">
        <f>_xlfn.XLOOKUP($A176,ALGLIB_SSA_XAUUSD!$J$2:$J$1000,ALGLIB_SSA_XAUUSD!$L$2:$L$1000,"",0)</f>
        <v>M5</v>
      </c>
      <c r="K176">
        <f>_xlfn.XLOOKUP($A176,ALGLIB_SSA_XAUUSD!$J$2:$J$1000,ALGLIB_SSA_XAUUSD!$M$2:$M$1000,"",0)</f>
        <v>4654.38</v>
      </c>
      <c r="L176">
        <f>_xlfn.XLOOKUP($A176,ALGLIB_SSA_XAUUSD!$J$2:$J$1000,ALGLIB_SSA_XAUUSD!$N$2:$N$1000,"",0)</f>
        <v>4659.2057599999998</v>
      </c>
      <c r="M176">
        <f>_xlfn.XLOOKUP($A176,ALGLIB_SSA_XAUUSD!$J$2:$J$1000,ALGLIB_SSA_XAUUSD!$O$2:$O$1000,"",0)</f>
        <v>4656.8081000000002</v>
      </c>
      <c r="N176">
        <f>_xlfn.XLOOKUP($A176,ALGLIB_SSA_XAUUSD!$J$2:$J$1000,ALGLIB_SSA_XAUUSD!$P$2:$P$1000,"",0)</f>
        <v>4664.9805500000002</v>
      </c>
      <c r="O176">
        <f>_xlfn.XLOOKUP($A176,ALGLIB_SSA_XAUUSD!$J$2:$J$1000,ALGLIB_SSA_XAUUSD!$Q$2:$Q$1000,"",0)</f>
        <v>4654.0630199999996</v>
      </c>
      <c r="R176">
        <f t="shared" si="22"/>
        <v>1775442600</v>
      </c>
      <c r="S176" t="str">
        <f t="shared" si="23"/>
        <v>XAUUSD</v>
      </c>
      <c r="T176" t="str">
        <f t="shared" si="24"/>
        <v>M5</v>
      </c>
      <c r="U176">
        <f t="shared" si="25"/>
        <v>4654.38</v>
      </c>
      <c r="V176">
        <v>4637.42778</v>
      </c>
      <c r="W176">
        <v>4635.7212300000001</v>
      </c>
      <c r="X176">
        <v>4659.2057599999998</v>
      </c>
      <c r="Y176">
        <v>4656.8081000000002</v>
      </c>
      <c r="Z176">
        <f t="shared" si="26"/>
        <v>4652.52898</v>
      </c>
      <c r="AA176">
        <f t="shared" si="27"/>
        <v>4664.9805500000002</v>
      </c>
      <c r="AB176">
        <f t="shared" si="28"/>
        <v>4619.7871850000001</v>
      </c>
      <c r="AC176">
        <f t="shared" si="29"/>
        <v>4654.0630199999996</v>
      </c>
      <c r="AF176">
        <f t="shared" si="30"/>
        <v>4659.2057599999998</v>
      </c>
      <c r="AG176">
        <f t="shared" si="31"/>
        <v>4652.52898</v>
      </c>
      <c r="AH176">
        <f t="shared" si="32"/>
        <v>4619.7871850000001</v>
      </c>
    </row>
    <row r="177" spans="1:34" x14ac:dyDescent="0.55000000000000004">
      <c r="A177">
        <f>ALGLIB_SSA_XAUUSD!J177</f>
        <v>1775442900</v>
      </c>
      <c r="B177" t="str">
        <f>_xlfn.XLOOKUP($A177,ALGLIB_SSA_XAUUSD!$A$2:$A$1000,ALGLIB_SSA_XAUUSD!$B$2:$B$1000,"",0)</f>
        <v/>
      </c>
      <c r="C177" t="str">
        <f>_xlfn.XLOOKUP($A177,ALGLIB_SSA_XAUUSD!$A$2:$A$1000,ALGLIB_SSA_XAUUSD!$C$2:$C$1000,"",0)</f>
        <v/>
      </c>
      <c r="D177" s="1">
        <f>D170+(D182-D170)*7/12</f>
        <v>4643.6791666666668</v>
      </c>
      <c r="E177" s="1">
        <f>E170+(E182-E170)*7/12</f>
        <v>4637.9843016666664</v>
      </c>
      <c r="F177" s="1">
        <f>F170+(F182-F170)*7/12</f>
        <v>4636.0015450000001</v>
      </c>
      <c r="G177" s="1">
        <f>G170+(G182-G170)*7/12</f>
        <v>4652.9045816666667</v>
      </c>
      <c r="H177" s="1">
        <f>H170+(H182-H170)*7/12</f>
        <v>4620.3096624999998</v>
      </c>
      <c r="I177" t="str">
        <f>_xlfn.XLOOKUP($A177,ALGLIB_SSA_XAUUSD!$J$2:$J$1000,ALGLIB_SSA_XAUUSD!$K$2:$K$1000,"",0)</f>
        <v>XAUUSD</v>
      </c>
      <c r="J177" t="str">
        <f>_xlfn.XLOOKUP($A177,ALGLIB_SSA_XAUUSD!$J$2:$J$1000,ALGLIB_SSA_XAUUSD!$L$2:$L$1000,"",0)</f>
        <v>M5</v>
      </c>
      <c r="K177">
        <f>_xlfn.XLOOKUP($A177,ALGLIB_SSA_XAUUSD!$J$2:$J$1000,ALGLIB_SSA_XAUUSD!$M$2:$M$1000,"",0)</f>
        <v>4651.3999999999996</v>
      </c>
      <c r="L177">
        <f>_xlfn.XLOOKUP($A177,ALGLIB_SSA_XAUUSD!$J$2:$J$1000,ALGLIB_SSA_XAUUSD!$N$2:$N$1000,"",0)</f>
        <v>4658.01415</v>
      </c>
      <c r="M177">
        <f>_xlfn.XLOOKUP($A177,ALGLIB_SSA_XAUUSD!$J$2:$J$1000,ALGLIB_SSA_XAUUSD!$O$2:$O$1000,"",0)</f>
        <v>4657.4111300000004</v>
      </c>
      <c r="N177">
        <f>_xlfn.XLOOKUP($A177,ALGLIB_SSA_XAUUSD!$J$2:$J$1000,ALGLIB_SSA_XAUUSD!$P$2:$P$1000,"",0)</f>
        <v>4663.6978200000003</v>
      </c>
      <c r="O177">
        <f>_xlfn.XLOOKUP($A177,ALGLIB_SSA_XAUUSD!$J$2:$J$1000,ALGLIB_SSA_XAUUSD!$Q$2:$Q$1000,"",0)</f>
        <v>4654.1077999999998</v>
      </c>
      <c r="R177">
        <f t="shared" si="22"/>
        <v>1775442900</v>
      </c>
      <c r="S177" t="str">
        <f t="shared" si="23"/>
        <v>XAUUSD</v>
      </c>
      <c r="T177" t="str">
        <f t="shared" si="24"/>
        <v>M5</v>
      </c>
      <c r="U177">
        <f t="shared" si="25"/>
        <v>4651.3999999999996</v>
      </c>
      <c r="V177">
        <v>4637.9843000000001</v>
      </c>
      <c r="W177">
        <v>4636.00155</v>
      </c>
      <c r="X177">
        <v>4658.01415</v>
      </c>
      <c r="Y177">
        <v>4657.4111300000004</v>
      </c>
      <c r="Z177">
        <f t="shared" si="26"/>
        <v>4652.9045816666667</v>
      </c>
      <c r="AA177">
        <f t="shared" si="27"/>
        <v>4663.6978200000003</v>
      </c>
      <c r="AB177">
        <f t="shared" si="28"/>
        <v>4620.3096624999998</v>
      </c>
      <c r="AC177">
        <f t="shared" si="29"/>
        <v>4654.1077999999998</v>
      </c>
      <c r="AF177">
        <f t="shared" si="30"/>
        <v>4658.01415</v>
      </c>
      <c r="AG177">
        <f t="shared" si="31"/>
        <v>4652.9045816666667</v>
      </c>
      <c r="AH177">
        <f t="shared" si="32"/>
        <v>4620.3096624999998</v>
      </c>
    </row>
    <row r="178" spans="1:34" x14ac:dyDescent="0.55000000000000004">
      <c r="A178">
        <f>ALGLIB_SSA_XAUUSD!J178</f>
        <v>1775443200</v>
      </c>
      <c r="B178" t="str">
        <f>_xlfn.XLOOKUP($A178,ALGLIB_SSA_XAUUSD!$A$2:$A$1000,ALGLIB_SSA_XAUUSD!$B$2:$B$1000,"",0)</f>
        <v/>
      </c>
      <c r="C178" t="str">
        <f>_xlfn.XLOOKUP($A178,ALGLIB_SSA_XAUUSD!$A$2:$A$1000,ALGLIB_SSA_XAUUSD!$C$2:$C$1000,"",0)</f>
        <v/>
      </c>
      <c r="D178" s="1">
        <f>D170+(D182-D170)*8/12</f>
        <v>4643.0533333333333</v>
      </c>
      <c r="E178" s="1">
        <f>E170+(E182-E170)*8/12</f>
        <v>4638.5408233333337</v>
      </c>
      <c r="F178" s="1">
        <f>F170+(F182-F170)*8/12</f>
        <v>4636.2818600000001</v>
      </c>
      <c r="G178" s="1">
        <f>G170+(G182-G170)*8/12</f>
        <v>4653.2801833333333</v>
      </c>
      <c r="H178" s="1">
        <f>H170+(H182-H170)*8/12</f>
        <v>4620.8321400000004</v>
      </c>
      <c r="I178" t="str">
        <f>_xlfn.XLOOKUP($A178,ALGLIB_SSA_XAUUSD!$J$2:$J$1000,ALGLIB_SSA_XAUUSD!$K$2:$K$1000,"",0)</f>
        <v>XAUUSD</v>
      </c>
      <c r="J178" t="str">
        <f>_xlfn.XLOOKUP($A178,ALGLIB_SSA_XAUUSD!$J$2:$J$1000,ALGLIB_SSA_XAUUSD!$L$2:$L$1000,"",0)</f>
        <v>M5</v>
      </c>
      <c r="K178">
        <f>_xlfn.XLOOKUP($A178,ALGLIB_SSA_XAUUSD!$J$2:$J$1000,ALGLIB_SSA_XAUUSD!$M$2:$M$1000,"",0)</f>
        <v>4651.07</v>
      </c>
      <c r="L178">
        <f>_xlfn.XLOOKUP($A178,ALGLIB_SSA_XAUUSD!$J$2:$J$1000,ALGLIB_SSA_XAUUSD!$N$2:$N$1000,"",0)</f>
        <v>4655.2921100000003</v>
      </c>
      <c r="M178">
        <f>_xlfn.XLOOKUP($A178,ALGLIB_SSA_XAUUSD!$J$2:$J$1000,ALGLIB_SSA_XAUUSD!$O$2:$O$1000,"",0)</f>
        <v>4656.3516200000004</v>
      </c>
      <c r="N178">
        <f>_xlfn.XLOOKUP($A178,ALGLIB_SSA_XAUUSD!$J$2:$J$1000,ALGLIB_SSA_XAUUSD!$P$2:$P$1000,"",0)</f>
        <v>4660.8784100000003</v>
      </c>
      <c r="O178">
        <f>_xlfn.XLOOKUP($A178,ALGLIB_SSA_XAUUSD!$J$2:$J$1000,ALGLIB_SSA_XAUUSD!$Q$2:$Q$1000,"",0)</f>
        <v>4652.5263199999999</v>
      </c>
      <c r="R178">
        <f t="shared" si="22"/>
        <v>1775443200</v>
      </c>
      <c r="S178" t="str">
        <f t="shared" si="23"/>
        <v>XAUUSD</v>
      </c>
      <c r="T178" t="str">
        <f t="shared" si="24"/>
        <v>M5</v>
      </c>
      <c r="U178">
        <f t="shared" si="25"/>
        <v>4651.07</v>
      </c>
      <c r="V178">
        <v>4638.5408200000002</v>
      </c>
      <c r="W178">
        <v>4636.2818600000001</v>
      </c>
      <c r="X178">
        <v>4655.2921100000003</v>
      </c>
      <c r="Y178">
        <v>4656.3516200000004</v>
      </c>
      <c r="Z178">
        <f t="shared" si="26"/>
        <v>4653.2801833333333</v>
      </c>
      <c r="AA178">
        <f t="shared" si="27"/>
        <v>4660.8784100000003</v>
      </c>
      <c r="AB178">
        <f t="shared" si="28"/>
        <v>4620.8321400000004</v>
      </c>
      <c r="AC178">
        <f t="shared" si="29"/>
        <v>4652.5263199999999</v>
      </c>
      <c r="AF178">
        <f t="shared" si="30"/>
        <v>4655.2921100000003</v>
      </c>
      <c r="AG178">
        <f t="shared" si="31"/>
        <v>4653.2801833333333</v>
      </c>
      <c r="AH178">
        <f t="shared" si="32"/>
        <v>4620.8321400000004</v>
      </c>
    </row>
    <row r="179" spans="1:34" x14ac:dyDescent="0.55000000000000004">
      <c r="A179">
        <f>ALGLIB_SSA_XAUUSD!J179</f>
        <v>1775443500</v>
      </c>
      <c r="B179" t="str">
        <f>_xlfn.XLOOKUP($A179,ALGLIB_SSA_XAUUSD!$A$2:$A$1000,ALGLIB_SSA_XAUUSD!$B$2:$B$1000,"",0)</f>
        <v/>
      </c>
      <c r="C179" t="str">
        <f>_xlfn.XLOOKUP($A179,ALGLIB_SSA_XAUUSD!$A$2:$A$1000,ALGLIB_SSA_XAUUSD!$C$2:$C$1000,"",0)</f>
        <v/>
      </c>
      <c r="D179" s="1">
        <f>D170+(D182-D170)*9/12</f>
        <v>4642.4274999999998</v>
      </c>
      <c r="E179" s="1">
        <f>E170+(E182-E170)*9/12</f>
        <v>4639.0973450000001</v>
      </c>
      <c r="F179" s="1">
        <f>F170+(F182-F170)*9/12</f>
        <v>4636.562175</v>
      </c>
      <c r="G179" s="1">
        <f>G170+(G182-G170)*9/12</f>
        <v>4653.6557849999999</v>
      </c>
      <c r="H179" s="1">
        <f>H170+(H182-H170)*9/12</f>
        <v>4621.3546175000001</v>
      </c>
      <c r="I179" t="str">
        <f>_xlfn.XLOOKUP($A179,ALGLIB_SSA_XAUUSD!$J$2:$J$1000,ALGLIB_SSA_XAUUSD!$K$2:$K$1000,"",0)</f>
        <v>XAUUSD</v>
      </c>
      <c r="J179" t="str">
        <f>_xlfn.XLOOKUP($A179,ALGLIB_SSA_XAUUSD!$J$2:$J$1000,ALGLIB_SSA_XAUUSD!$L$2:$L$1000,"",0)</f>
        <v>M5</v>
      </c>
      <c r="K179">
        <f>_xlfn.XLOOKUP($A179,ALGLIB_SSA_XAUUSD!$J$2:$J$1000,ALGLIB_SSA_XAUUSD!$M$2:$M$1000,"",0)</f>
        <v>4652.2700000000004</v>
      </c>
      <c r="L179">
        <f>_xlfn.XLOOKUP($A179,ALGLIB_SSA_XAUUSD!$J$2:$J$1000,ALGLIB_SSA_XAUUSD!$N$2:$N$1000,"",0)</f>
        <v>4651.4528499999997</v>
      </c>
      <c r="M179">
        <f>_xlfn.XLOOKUP($A179,ALGLIB_SSA_XAUUSD!$J$2:$J$1000,ALGLIB_SSA_XAUUSD!$O$2:$O$1000,"",0)</f>
        <v>4653.9022299999997</v>
      </c>
      <c r="N179">
        <f>_xlfn.XLOOKUP($A179,ALGLIB_SSA_XAUUSD!$J$2:$J$1000,ALGLIB_SSA_XAUUSD!$P$2:$P$1000,"",0)</f>
        <v>4657.0416500000001</v>
      </c>
      <c r="O179">
        <f>_xlfn.XLOOKUP($A179,ALGLIB_SSA_XAUUSD!$J$2:$J$1000,ALGLIB_SSA_XAUUSD!$Q$2:$Q$1000,"",0)</f>
        <v>4649.4926699999996</v>
      </c>
      <c r="R179">
        <f t="shared" si="22"/>
        <v>1775443500</v>
      </c>
      <c r="S179" t="str">
        <f t="shared" si="23"/>
        <v>XAUUSD</v>
      </c>
      <c r="T179" t="str">
        <f t="shared" si="24"/>
        <v>M5</v>
      </c>
      <c r="U179">
        <f t="shared" si="25"/>
        <v>4652.2700000000004</v>
      </c>
      <c r="V179">
        <v>4639.09735</v>
      </c>
      <c r="W179">
        <v>4636.5621799999999</v>
      </c>
      <c r="X179">
        <v>4651.4528499999997</v>
      </c>
      <c r="Y179">
        <v>4653.9022299999997</v>
      </c>
      <c r="Z179">
        <f t="shared" si="26"/>
        <v>4653.6557849999999</v>
      </c>
      <c r="AA179">
        <f t="shared" si="27"/>
        <v>4657.0416500000001</v>
      </c>
      <c r="AB179">
        <f t="shared" si="28"/>
        <v>4621.3546175000001</v>
      </c>
      <c r="AC179">
        <f t="shared" si="29"/>
        <v>4649.4926699999996</v>
      </c>
      <c r="AF179">
        <f t="shared" si="30"/>
        <v>4651.4528499999997</v>
      </c>
      <c r="AG179">
        <f t="shared" si="31"/>
        <v>4653.6557849999999</v>
      </c>
      <c r="AH179">
        <f t="shared" si="32"/>
        <v>4621.3546175000001</v>
      </c>
    </row>
    <row r="180" spans="1:34" x14ac:dyDescent="0.55000000000000004">
      <c r="A180">
        <f>ALGLIB_SSA_XAUUSD!J180</f>
        <v>1775443800</v>
      </c>
      <c r="B180" t="str">
        <f>_xlfn.XLOOKUP($A180,ALGLIB_SSA_XAUUSD!$A$2:$A$1000,ALGLIB_SSA_XAUUSD!$B$2:$B$1000,"",0)</f>
        <v/>
      </c>
      <c r="C180" t="str">
        <f>_xlfn.XLOOKUP($A180,ALGLIB_SSA_XAUUSD!$A$2:$A$1000,ALGLIB_SSA_XAUUSD!$C$2:$C$1000,"",0)</f>
        <v/>
      </c>
      <c r="D180" s="1">
        <f>D170+(D182-D170)*10/12</f>
        <v>4641.8016666666672</v>
      </c>
      <c r="E180" s="1">
        <f>E170+(E182-E170)*10/12</f>
        <v>4639.6538666666665</v>
      </c>
      <c r="F180" s="1">
        <f>F170+(F182-F170)*10/12</f>
        <v>4636.84249</v>
      </c>
      <c r="G180" s="1">
        <f>G170+(G182-G170)*10/12</f>
        <v>4654.0313866666665</v>
      </c>
      <c r="H180" s="1">
        <f>H170+(H182-H170)*10/12</f>
        <v>4621.8770949999998</v>
      </c>
      <c r="I180" t="str">
        <f>_xlfn.XLOOKUP($A180,ALGLIB_SSA_XAUUSD!$J$2:$J$1000,ALGLIB_SSA_XAUUSD!$K$2:$K$1000,"",0)</f>
        <v>XAUUSD</v>
      </c>
      <c r="J180" t="str">
        <f>_xlfn.XLOOKUP($A180,ALGLIB_SSA_XAUUSD!$J$2:$J$1000,ALGLIB_SSA_XAUUSD!$L$2:$L$1000,"",0)</f>
        <v>M5</v>
      </c>
      <c r="K180">
        <f>_xlfn.XLOOKUP($A180,ALGLIB_SSA_XAUUSD!$J$2:$J$1000,ALGLIB_SSA_XAUUSD!$M$2:$M$1000,"",0)</f>
        <v>4650.66</v>
      </c>
      <c r="L180">
        <f>_xlfn.XLOOKUP($A180,ALGLIB_SSA_XAUUSD!$J$2:$J$1000,ALGLIB_SSA_XAUUSD!$N$2:$N$1000,"",0)</f>
        <v>4646.9288800000004</v>
      </c>
      <c r="M180">
        <f>_xlfn.XLOOKUP($A180,ALGLIB_SSA_XAUUSD!$J$2:$J$1000,ALGLIB_SSA_XAUUSD!$O$2:$O$1000,"",0)</f>
        <v>4650.4155600000004</v>
      </c>
      <c r="N180">
        <f>_xlfn.XLOOKUP($A180,ALGLIB_SSA_XAUUSD!$J$2:$J$1000,ALGLIB_SSA_XAUUSD!$P$2:$P$1000,"",0)</f>
        <v>4652.6657999999998</v>
      </c>
      <c r="O180">
        <f>_xlfn.XLOOKUP($A180,ALGLIB_SSA_XAUUSD!$J$2:$J$1000,ALGLIB_SSA_XAUUSD!$Q$2:$Q$1000,"",0)</f>
        <v>4645.39156</v>
      </c>
      <c r="R180">
        <f t="shared" si="22"/>
        <v>1775443800</v>
      </c>
      <c r="S180" t="str">
        <f t="shared" si="23"/>
        <v>XAUUSD</v>
      </c>
      <c r="T180" t="str">
        <f t="shared" si="24"/>
        <v>M5</v>
      </c>
      <c r="U180">
        <f t="shared" si="25"/>
        <v>4650.66</v>
      </c>
      <c r="V180">
        <v>4639.6538700000001</v>
      </c>
      <c r="W180">
        <v>4636.84249</v>
      </c>
      <c r="X180">
        <v>4646.9288800000004</v>
      </c>
      <c r="Y180">
        <v>4650.4155600000004</v>
      </c>
      <c r="Z180">
        <f t="shared" si="26"/>
        <v>4654.0313866666665</v>
      </c>
      <c r="AA180">
        <f t="shared" si="27"/>
        <v>4652.6657999999998</v>
      </c>
      <c r="AB180">
        <f t="shared" si="28"/>
        <v>4621.8770949999998</v>
      </c>
      <c r="AC180">
        <f t="shared" si="29"/>
        <v>4645.39156</v>
      </c>
      <c r="AF180">
        <f t="shared" si="30"/>
        <v>4646.9288800000004</v>
      </c>
      <c r="AG180">
        <f t="shared" si="31"/>
        <v>4654.0313866666665</v>
      </c>
      <c r="AH180">
        <f t="shared" si="32"/>
        <v>4621.8770949999998</v>
      </c>
    </row>
    <row r="181" spans="1:34" x14ac:dyDescent="0.55000000000000004">
      <c r="A181">
        <f>ALGLIB_SSA_XAUUSD!J181</f>
        <v>1775444100</v>
      </c>
      <c r="B181" t="str">
        <f>_xlfn.XLOOKUP($A181,ALGLIB_SSA_XAUUSD!$A$2:$A$1000,ALGLIB_SSA_XAUUSD!$B$2:$B$1000,"",0)</f>
        <v/>
      </c>
      <c r="C181" t="str">
        <f>_xlfn.XLOOKUP($A181,ALGLIB_SSA_XAUUSD!$A$2:$A$1000,ALGLIB_SSA_XAUUSD!$C$2:$C$1000,"",0)</f>
        <v/>
      </c>
      <c r="D181" s="1">
        <f>D170+(D182-D170)*11/12</f>
        <v>4641.1758333333337</v>
      </c>
      <c r="E181" s="1">
        <f>E170+(E182-E170)*11/12</f>
        <v>4640.2103883333339</v>
      </c>
      <c r="F181" s="1">
        <f>F170+(F182-F170)*11/12</f>
        <v>4637.122805</v>
      </c>
      <c r="G181" s="1">
        <f>G170+(G182-G170)*11/12</f>
        <v>4654.4069883333332</v>
      </c>
      <c r="H181" s="1">
        <f>H170+(H182-H170)*11/12</f>
        <v>4622.3995725000004</v>
      </c>
      <c r="I181" t="str">
        <f>_xlfn.XLOOKUP($A181,ALGLIB_SSA_XAUUSD!$J$2:$J$1000,ALGLIB_SSA_XAUUSD!$K$2:$K$1000,"",0)</f>
        <v>XAUUSD</v>
      </c>
      <c r="J181" t="str">
        <f>_xlfn.XLOOKUP($A181,ALGLIB_SSA_XAUUSD!$J$2:$J$1000,ALGLIB_SSA_XAUUSD!$L$2:$L$1000,"",0)</f>
        <v>M5</v>
      </c>
      <c r="K181">
        <f>_xlfn.XLOOKUP($A181,ALGLIB_SSA_XAUUSD!$J$2:$J$1000,ALGLIB_SSA_XAUUSD!$M$2:$M$1000,"",0)</f>
        <v>4648.0600000000004</v>
      </c>
      <c r="L181">
        <f>_xlfn.XLOOKUP($A181,ALGLIB_SSA_XAUUSD!$J$2:$J$1000,ALGLIB_SSA_XAUUSD!$N$2:$N$1000,"",0)</f>
        <v>4642.1920200000004</v>
      </c>
      <c r="M181">
        <f>_xlfn.XLOOKUP($A181,ALGLIB_SSA_XAUUSD!$J$2:$J$1000,ALGLIB_SSA_XAUUSD!$O$2:$O$1000,"",0)</f>
        <v>4646.3037899999999</v>
      </c>
      <c r="N181">
        <f>_xlfn.XLOOKUP($A181,ALGLIB_SSA_XAUUSD!$J$2:$J$1000,ALGLIB_SSA_XAUUSD!$P$2:$P$1000,"",0)</f>
        <v>4648.1373299999996</v>
      </c>
      <c r="O181">
        <f>_xlfn.XLOOKUP($A181,ALGLIB_SSA_XAUUSD!$J$2:$J$1000,ALGLIB_SSA_XAUUSD!$Q$2:$Q$1000,"",0)</f>
        <v>4640.7748700000002</v>
      </c>
      <c r="R181">
        <f t="shared" si="22"/>
        <v>1775444100</v>
      </c>
      <c r="S181" t="str">
        <f t="shared" si="23"/>
        <v>XAUUSD</v>
      </c>
      <c r="T181" t="str">
        <f t="shared" si="24"/>
        <v>M5</v>
      </c>
      <c r="U181">
        <f t="shared" si="25"/>
        <v>4648.0600000000004</v>
      </c>
      <c r="V181">
        <v>4640.2103900000002</v>
      </c>
      <c r="W181">
        <v>4637.1228099999998</v>
      </c>
      <c r="X181">
        <v>4642.1920200000004</v>
      </c>
      <c r="Y181">
        <v>4646.3037899999999</v>
      </c>
      <c r="Z181">
        <f t="shared" si="26"/>
        <v>4654.4069883333332</v>
      </c>
      <c r="AA181">
        <f t="shared" si="27"/>
        <v>4648.1373299999996</v>
      </c>
      <c r="AB181">
        <f t="shared" si="28"/>
        <v>4622.3995725000004</v>
      </c>
      <c r="AC181">
        <f t="shared" si="29"/>
        <v>4640.7748700000002</v>
      </c>
      <c r="AF181">
        <f t="shared" si="30"/>
        <v>4642.1920200000004</v>
      </c>
      <c r="AG181">
        <f t="shared" si="31"/>
        <v>4654.4069883333332</v>
      </c>
      <c r="AH181">
        <f t="shared" si="32"/>
        <v>4622.3995725000004</v>
      </c>
    </row>
    <row r="182" spans="1:34" x14ac:dyDescent="0.55000000000000004">
      <c r="A182">
        <f>ALGLIB_SSA_XAUUSD!J182</f>
        <v>1775444400</v>
      </c>
      <c r="B182" t="str">
        <f>_xlfn.XLOOKUP($A182,ALGLIB_SSA_XAUUSD!$A$2:$A$1000,ALGLIB_SSA_XAUUSD!$B$2:$B$1000,"",0)</f>
        <v>XAUUSD</v>
      </c>
      <c r="C182" t="str">
        <f>_xlfn.XLOOKUP($A182,ALGLIB_SSA_XAUUSD!$A$2:$A$1000,ALGLIB_SSA_XAUUSD!$C$2:$C$1000,"",0)</f>
        <v>H1</v>
      </c>
      <c r="D182" s="2">
        <f>_xlfn.XLOOKUP($A182,ALGLIB_SSA_XAUUSD!$A$2:$A$1000,ALGLIB_SSA_XAUUSD!$D$2:$D$1000,"",0)</f>
        <v>4640.55</v>
      </c>
      <c r="E182" s="2">
        <f>_xlfn.XLOOKUP($A182,ALGLIB_SSA_XAUUSD!$A$2:$A$1000,ALGLIB_SSA_XAUUSD!$E$2:$E$1000,"",0)</f>
        <v>4640.7669100000003</v>
      </c>
      <c r="F182" s="2">
        <f>_xlfn.XLOOKUP($A182,ALGLIB_SSA_XAUUSD!$A$2:$A$1000,ALGLIB_SSA_XAUUSD!$F$2:$F$1000,"",0)</f>
        <v>4637.4031199999999</v>
      </c>
      <c r="G182" s="2">
        <f>_xlfn.XLOOKUP($A182,ALGLIB_SSA_XAUUSD!$A$2:$A$1000,ALGLIB_SSA_XAUUSD!$G$2:$G$1000,"",0)</f>
        <v>4654.7825899999998</v>
      </c>
      <c r="H182" s="2">
        <f>_xlfn.XLOOKUP($A182,ALGLIB_SSA_XAUUSD!$A$2:$A$1000,ALGLIB_SSA_XAUUSD!$H$2:$H$1000,"",0)</f>
        <v>4622.9220500000001</v>
      </c>
      <c r="I182" t="str">
        <f>_xlfn.XLOOKUP($A182,ALGLIB_SSA_XAUUSD!$J$2:$J$1000,ALGLIB_SSA_XAUUSD!$K$2:$K$1000,"",0)</f>
        <v>XAUUSD</v>
      </c>
      <c r="J182" t="str">
        <f>_xlfn.XLOOKUP($A182,ALGLIB_SSA_XAUUSD!$J$2:$J$1000,ALGLIB_SSA_XAUUSD!$L$2:$L$1000,"",0)</f>
        <v>M5</v>
      </c>
      <c r="K182">
        <f>_xlfn.XLOOKUP($A182,ALGLIB_SSA_XAUUSD!$J$2:$J$1000,ALGLIB_SSA_XAUUSD!$M$2:$M$1000,"",0)</f>
        <v>4634.6000000000004</v>
      </c>
      <c r="L182">
        <f>_xlfn.XLOOKUP($A182,ALGLIB_SSA_XAUUSD!$J$2:$J$1000,ALGLIB_SSA_XAUUSD!$N$2:$N$1000,"",0)</f>
        <v>4637.6893399999999</v>
      </c>
      <c r="M182">
        <f>_xlfn.XLOOKUP($A182,ALGLIB_SSA_XAUUSD!$J$2:$J$1000,ALGLIB_SSA_XAUUSD!$O$2:$O$1000,"",0)</f>
        <v>4641.9965700000002</v>
      </c>
      <c r="N182">
        <f>_xlfn.XLOOKUP($A182,ALGLIB_SSA_XAUUSD!$J$2:$J$1000,ALGLIB_SSA_XAUUSD!$P$2:$P$1000,"",0)</f>
        <v>4643.8547200000003</v>
      </c>
      <c r="O182">
        <f>_xlfn.XLOOKUP($A182,ALGLIB_SSA_XAUUSD!$J$2:$J$1000,ALGLIB_SSA_XAUUSD!$Q$2:$Q$1000,"",0)</f>
        <v>4636.1070099999997</v>
      </c>
      <c r="R182">
        <f t="shared" si="22"/>
        <v>1775444400</v>
      </c>
      <c r="S182" t="str">
        <f t="shared" si="23"/>
        <v>XAUUSD</v>
      </c>
      <c r="T182" t="str">
        <f t="shared" si="24"/>
        <v>M5</v>
      </c>
      <c r="U182">
        <f t="shared" si="25"/>
        <v>4634.6000000000004</v>
      </c>
      <c r="V182">
        <v>4640.7669100000003</v>
      </c>
      <c r="W182">
        <v>4637.4031199999999</v>
      </c>
      <c r="X182">
        <v>4637.6893399999999</v>
      </c>
      <c r="Y182">
        <v>4641.9965700000002</v>
      </c>
      <c r="Z182">
        <f t="shared" si="26"/>
        <v>4654.7825899999998</v>
      </c>
      <c r="AA182">
        <f t="shared" si="27"/>
        <v>4643.8547200000003</v>
      </c>
      <c r="AB182">
        <f t="shared" si="28"/>
        <v>4622.9220500000001</v>
      </c>
      <c r="AC182">
        <f t="shared" si="29"/>
        <v>4636.1070099999997</v>
      </c>
      <c r="AF182">
        <f t="shared" si="30"/>
        <v>4637.6893399999999</v>
      </c>
      <c r="AG182">
        <f t="shared" si="31"/>
        <v>4654.7825899999998</v>
      </c>
      <c r="AH182">
        <f t="shared" si="32"/>
        <v>4622.9220500000001</v>
      </c>
    </row>
    <row r="183" spans="1:34" x14ac:dyDescent="0.55000000000000004">
      <c r="A183">
        <f>ALGLIB_SSA_XAUUSD!J183</f>
        <v>1775444700</v>
      </c>
      <c r="B183" t="str">
        <f>_xlfn.XLOOKUP($A183,ALGLIB_SSA_XAUUSD!$A$2:$A$1000,ALGLIB_SSA_XAUUSD!$B$2:$B$1000,"",0)</f>
        <v/>
      </c>
      <c r="C183" t="str">
        <f>_xlfn.XLOOKUP($A183,ALGLIB_SSA_XAUUSD!$A$2:$A$1000,ALGLIB_SSA_XAUUSD!$C$2:$C$1000,"",0)</f>
        <v/>
      </c>
      <c r="D183" s="1">
        <f>D182+(D194-D182)*1/12</f>
        <v>4642.0983333333334</v>
      </c>
      <c r="E183" s="1">
        <f>E182+(E194-E182)*1/12</f>
        <v>4641.5636700000005</v>
      </c>
      <c r="F183" s="1">
        <f>F182+(F194-F182)*1/12</f>
        <v>4637.9416583333332</v>
      </c>
      <c r="G183" s="1">
        <f>G182+(G194-G182)*1/12</f>
        <v>4655.3769633333332</v>
      </c>
      <c r="H183" s="1">
        <f>H182+(H194-H182)*1/12</f>
        <v>4623.7138924999999</v>
      </c>
      <c r="I183" t="str">
        <f>_xlfn.XLOOKUP($A183,ALGLIB_SSA_XAUUSD!$J$2:$J$1000,ALGLIB_SSA_XAUUSD!$K$2:$K$1000,"",0)</f>
        <v>XAUUSD</v>
      </c>
      <c r="J183" t="str">
        <f>_xlfn.XLOOKUP($A183,ALGLIB_SSA_XAUUSD!$J$2:$J$1000,ALGLIB_SSA_XAUUSD!$L$2:$L$1000,"",0)</f>
        <v>M5</v>
      </c>
      <c r="K183">
        <f>_xlfn.XLOOKUP($A183,ALGLIB_SSA_XAUUSD!$J$2:$J$1000,ALGLIB_SSA_XAUUSD!$M$2:$M$1000,"",0)</f>
        <v>4631.1099999999997</v>
      </c>
      <c r="L183">
        <f>_xlfn.XLOOKUP($A183,ALGLIB_SSA_XAUUSD!$J$2:$J$1000,ALGLIB_SSA_XAUUSD!$N$2:$N$1000,"",0)</f>
        <v>4634.0024899999999</v>
      </c>
      <c r="M183">
        <f>_xlfn.XLOOKUP($A183,ALGLIB_SSA_XAUUSD!$J$2:$J$1000,ALGLIB_SSA_XAUUSD!$O$2:$O$1000,"",0)</f>
        <v>4637.99953</v>
      </c>
      <c r="N183">
        <f>_xlfn.XLOOKUP($A183,ALGLIB_SSA_XAUUSD!$J$2:$J$1000,ALGLIB_SSA_XAUUSD!$P$2:$P$1000,"",0)</f>
        <v>4640.0883700000004</v>
      </c>
      <c r="O183">
        <f>_xlfn.XLOOKUP($A183,ALGLIB_SSA_XAUUSD!$J$2:$J$1000,ALGLIB_SSA_XAUUSD!$Q$2:$Q$1000,"",0)</f>
        <v>4632.1372700000002</v>
      </c>
      <c r="R183">
        <f t="shared" si="22"/>
        <v>1775444700</v>
      </c>
      <c r="S183" t="str">
        <f t="shared" si="23"/>
        <v>XAUUSD</v>
      </c>
      <c r="T183" t="str">
        <f t="shared" si="24"/>
        <v>M5</v>
      </c>
      <c r="U183">
        <f t="shared" si="25"/>
        <v>4631.1099999999997</v>
      </c>
      <c r="V183">
        <v>4641.5636699999995</v>
      </c>
      <c r="W183">
        <v>4637.9416600000004</v>
      </c>
      <c r="X183">
        <v>4634.0024899999999</v>
      </c>
      <c r="Y183">
        <v>4637.99953</v>
      </c>
      <c r="Z183">
        <f t="shared" si="26"/>
        <v>4655.3769633333332</v>
      </c>
      <c r="AA183">
        <f t="shared" si="27"/>
        <v>4640.0883700000004</v>
      </c>
      <c r="AB183">
        <f t="shared" si="28"/>
        <v>4623.7138924999999</v>
      </c>
      <c r="AC183">
        <f t="shared" si="29"/>
        <v>4632.1372700000002</v>
      </c>
      <c r="AF183">
        <f t="shared" si="30"/>
        <v>4634.0024899999999</v>
      </c>
      <c r="AG183">
        <f t="shared" si="31"/>
        <v>4655.3769633333332</v>
      </c>
      <c r="AH183">
        <f t="shared" si="32"/>
        <v>4623.7138924999999</v>
      </c>
    </row>
    <row r="184" spans="1:34" x14ac:dyDescent="0.55000000000000004">
      <c r="A184">
        <f>ALGLIB_SSA_XAUUSD!J184</f>
        <v>1775445000</v>
      </c>
      <c r="B184" t="str">
        <f>_xlfn.XLOOKUP($A184,ALGLIB_SSA_XAUUSD!$A$2:$A$1000,ALGLIB_SSA_XAUUSD!$B$2:$B$1000,"",0)</f>
        <v/>
      </c>
      <c r="C184" t="str">
        <f>_xlfn.XLOOKUP($A184,ALGLIB_SSA_XAUUSD!$A$2:$A$1000,ALGLIB_SSA_XAUUSD!$C$2:$C$1000,"",0)</f>
        <v/>
      </c>
      <c r="D184" s="1">
        <f>D182+(D194-D182)*2/12</f>
        <v>4643.6466666666665</v>
      </c>
      <c r="E184" s="1">
        <f>E182+(E194-E182)*2/12</f>
        <v>4642.3604300000006</v>
      </c>
      <c r="F184" s="1">
        <f>F182+(F194-F182)*2/12</f>
        <v>4638.4801966666664</v>
      </c>
      <c r="G184" s="1">
        <f>G182+(G194-G182)*2/12</f>
        <v>4655.9713366666665</v>
      </c>
      <c r="H184" s="1">
        <f>H182+(H194-H182)*2/12</f>
        <v>4624.5057349999997</v>
      </c>
      <c r="I184" t="str">
        <f>_xlfn.XLOOKUP($A184,ALGLIB_SSA_XAUUSD!$J$2:$J$1000,ALGLIB_SSA_XAUUSD!$K$2:$K$1000,"",0)</f>
        <v>XAUUSD</v>
      </c>
      <c r="J184" t="str">
        <f>_xlfn.XLOOKUP($A184,ALGLIB_SSA_XAUUSD!$J$2:$J$1000,ALGLIB_SSA_XAUUSD!$L$2:$L$1000,"",0)</f>
        <v>M5</v>
      </c>
      <c r="K184">
        <f>_xlfn.XLOOKUP($A184,ALGLIB_SSA_XAUUSD!$J$2:$J$1000,ALGLIB_SSA_XAUUSD!$M$2:$M$1000,"",0)</f>
        <v>4632.38</v>
      </c>
      <c r="L184">
        <f>_xlfn.XLOOKUP($A184,ALGLIB_SSA_XAUUSD!$J$2:$J$1000,ALGLIB_SSA_XAUUSD!$N$2:$N$1000,"",0)</f>
        <v>4631.3245500000003</v>
      </c>
      <c r="M184">
        <f>_xlfn.XLOOKUP($A184,ALGLIB_SSA_XAUUSD!$J$2:$J$1000,ALGLIB_SSA_XAUUSD!$O$2:$O$1000,"",0)</f>
        <v>4634.6620400000002</v>
      </c>
      <c r="N184">
        <f>_xlfn.XLOOKUP($A184,ALGLIB_SSA_XAUUSD!$J$2:$J$1000,ALGLIB_SSA_XAUUSD!$P$2:$P$1000,"",0)</f>
        <v>4637.1715400000003</v>
      </c>
      <c r="O184">
        <f>_xlfn.XLOOKUP($A184,ALGLIB_SSA_XAUUSD!$J$2:$J$1000,ALGLIB_SSA_XAUUSD!$Q$2:$Q$1000,"",0)</f>
        <v>4629.0973199999999</v>
      </c>
      <c r="R184">
        <f t="shared" si="22"/>
        <v>1775445000</v>
      </c>
      <c r="S184" t="str">
        <f t="shared" si="23"/>
        <v>XAUUSD</v>
      </c>
      <c r="T184" t="str">
        <f t="shared" si="24"/>
        <v>M5</v>
      </c>
      <c r="U184">
        <f t="shared" si="25"/>
        <v>4632.38</v>
      </c>
      <c r="V184">
        <v>4642.3604299999997</v>
      </c>
      <c r="W184">
        <v>4638.4802</v>
      </c>
      <c r="X184">
        <v>4631.3245500000003</v>
      </c>
      <c r="Y184">
        <v>4634.6620400000002</v>
      </c>
      <c r="Z184">
        <f t="shared" si="26"/>
        <v>4655.9713366666665</v>
      </c>
      <c r="AA184">
        <f t="shared" si="27"/>
        <v>4637.1715400000003</v>
      </c>
      <c r="AB184">
        <f t="shared" si="28"/>
        <v>4624.5057349999997</v>
      </c>
      <c r="AC184">
        <f t="shared" si="29"/>
        <v>4629.0973199999999</v>
      </c>
      <c r="AF184">
        <f t="shared" si="30"/>
        <v>4631.3245500000003</v>
      </c>
      <c r="AG184">
        <f t="shared" si="31"/>
        <v>4655.9713366666665</v>
      </c>
      <c r="AH184">
        <f t="shared" si="32"/>
        <v>4624.5057349999997</v>
      </c>
    </row>
    <row r="185" spans="1:34" x14ac:dyDescent="0.55000000000000004">
      <c r="A185">
        <f>ALGLIB_SSA_XAUUSD!J185</f>
        <v>1775445300</v>
      </c>
      <c r="B185" t="str">
        <f>_xlfn.XLOOKUP($A185,ALGLIB_SSA_XAUUSD!$A$2:$A$1000,ALGLIB_SSA_XAUUSD!$B$2:$B$1000,"",0)</f>
        <v/>
      </c>
      <c r="C185" t="str">
        <f>_xlfn.XLOOKUP($A185,ALGLIB_SSA_XAUUSD!$A$2:$A$1000,ALGLIB_SSA_XAUUSD!$C$2:$C$1000,"",0)</f>
        <v/>
      </c>
      <c r="D185" s="1">
        <f>D182+(D194-D182)*3/12</f>
        <v>4645.1949999999997</v>
      </c>
      <c r="E185" s="1">
        <f>E182+(E194-E182)*3/12</f>
        <v>4643.1571899999999</v>
      </c>
      <c r="F185" s="1">
        <f>F182+(F194-F182)*3/12</f>
        <v>4639.0187349999997</v>
      </c>
      <c r="G185" s="1">
        <f>G182+(G194-G182)*3/12</f>
        <v>4656.5657099999999</v>
      </c>
      <c r="H185" s="1">
        <f>H182+(H194-H182)*3/12</f>
        <v>4625.2975774999995</v>
      </c>
      <c r="I185" t="str">
        <f>_xlfn.XLOOKUP($A185,ALGLIB_SSA_XAUUSD!$J$2:$J$1000,ALGLIB_SSA_XAUUSD!$K$2:$K$1000,"",0)</f>
        <v>XAUUSD</v>
      </c>
      <c r="J185" t="str">
        <f>_xlfn.XLOOKUP($A185,ALGLIB_SSA_XAUUSD!$J$2:$J$1000,ALGLIB_SSA_XAUUSD!$L$2:$L$1000,"",0)</f>
        <v>M5</v>
      </c>
      <c r="K185">
        <f>_xlfn.XLOOKUP($A185,ALGLIB_SSA_XAUUSD!$J$2:$J$1000,ALGLIB_SSA_XAUUSD!$M$2:$M$1000,"",0)</f>
        <v>4627.22</v>
      </c>
      <c r="L185">
        <f>_xlfn.XLOOKUP($A185,ALGLIB_SSA_XAUUSD!$J$2:$J$1000,ALGLIB_SSA_XAUUSD!$N$2:$N$1000,"",0)</f>
        <v>4629.6078399999997</v>
      </c>
      <c r="M185">
        <f>_xlfn.XLOOKUP($A185,ALGLIB_SSA_XAUUSD!$J$2:$J$1000,ALGLIB_SSA_XAUUSD!$O$2:$O$1000,"",0)</f>
        <v>4632.1349399999999</v>
      </c>
      <c r="N185">
        <f>_xlfn.XLOOKUP($A185,ALGLIB_SSA_XAUUSD!$J$2:$J$1000,ALGLIB_SSA_XAUUSD!$P$2:$P$1000,"",0)</f>
        <v>4634.9827800000003</v>
      </c>
      <c r="O185">
        <f>_xlfn.XLOOKUP($A185,ALGLIB_SSA_XAUUSD!$J$2:$J$1000,ALGLIB_SSA_XAUUSD!$Q$2:$Q$1000,"",0)</f>
        <v>4627.0560699999996</v>
      </c>
      <c r="R185">
        <f t="shared" si="22"/>
        <v>1775445300</v>
      </c>
      <c r="S185" t="str">
        <f t="shared" si="23"/>
        <v>XAUUSD</v>
      </c>
      <c r="T185" t="str">
        <f t="shared" si="24"/>
        <v>M5</v>
      </c>
      <c r="U185">
        <f t="shared" si="25"/>
        <v>4627.22</v>
      </c>
      <c r="V185">
        <v>4643.1571899999999</v>
      </c>
      <c r="W185">
        <v>4639.0187299999998</v>
      </c>
      <c r="X185">
        <v>4629.6078399999997</v>
      </c>
      <c r="Y185">
        <v>4632.1349399999999</v>
      </c>
      <c r="Z185">
        <f t="shared" si="26"/>
        <v>4656.5657099999999</v>
      </c>
      <c r="AA185">
        <f t="shared" si="27"/>
        <v>4634.9827800000003</v>
      </c>
      <c r="AB185">
        <f t="shared" si="28"/>
        <v>4625.2975774999995</v>
      </c>
      <c r="AC185">
        <f t="shared" si="29"/>
        <v>4627.0560699999996</v>
      </c>
      <c r="AF185">
        <f t="shared" si="30"/>
        <v>4629.6078399999997</v>
      </c>
      <c r="AG185">
        <f t="shared" si="31"/>
        <v>4656.5657099999999</v>
      </c>
      <c r="AH185">
        <f t="shared" si="32"/>
        <v>4625.2975774999995</v>
      </c>
    </row>
    <row r="186" spans="1:34" x14ac:dyDescent="0.55000000000000004">
      <c r="A186">
        <f>ALGLIB_SSA_XAUUSD!J186</f>
        <v>1775445600</v>
      </c>
      <c r="B186" t="str">
        <f>_xlfn.XLOOKUP($A186,ALGLIB_SSA_XAUUSD!$A$2:$A$1000,ALGLIB_SSA_XAUUSD!$B$2:$B$1000,"",0)</f>
        <v/>
      </c>
      <c r="C186" t="str">
        <f>_xlfn.XLOOKUP($A186,ALGLIB_SSA_XAUUSD!$A$2:$A$1000,ALGLIB_SSA_XAUUSD!$C$2:$C$1000,"",0)</f>
        <v/>
      </c>
      <c r="D186" s="1">
        <f>D182+(D194-D182)*4/12</f>
        <v>4646.7433333333338</v>
      </c>
      <c r="E186" s="1">
        <f>E182+(E194-E182)*4/12</f>
        <v>4643.9539500000001</v>
      </c>
      <c r="F186" s="1">
        <f>F182+(F194-F182)*4/12</f>
        <v>4639.5572733333329</v>
      </c>
      <c r="G186" s="1">
        <f>G182+(G194-G182)*4/12</f>
        <v>4657.1600833333332</v>
      </c>
      <c r="H186" s="1">
        <f>H182+(H194-H182)*4/12</f>
        <v>4626.0894200000002</v>
      </c>
      <c r="I186" t="str">
        <f>_xlfn.XLOOKUP($A186,ALGLIB_SSA_XAUUSD!$J$2:$J$1000,ALGLIB_SSA_XAUUSD!$K$2:$K$1000,"",0)</f>
        <v>XAUUSD</v>
      </c>
      <c r="J186" t="str">
        <f>_xlfn.XLOOKUP($A186,ALGLIB_SSA_XAUUSD!$J$2:$J$1000,ALGLIB_SSA_XAUUSD!$L$2:$L$1000,"",0)</f>
        <v>M5</v>
      </c>
      <c r="K186">
        <f>_xlfn.XLOOKUP($A186,ALGLIB_SSA_XAUUSD!$J$2:$J$1000,ALGLIB_SSA_XAUUSD!$M$2:$M$1000,"",0)</f>
        <v>4631.2</v>
      </c>
      <c r="L186">
        <f>_xlfn.XLOOKUP($A186,ALGLIB_SSA_XAUUSD!$J$2:$J$1000,ALGLIB_SSA_XAUUSD!$N$2:$N$1000,"",0)</f>
        <v>4628.9139699999996</v>
      </c>
      <c r="M186">
        <f>_xlfn.XLOOKUP($A186,ALGLIB_SSA_XAUUSD!$J$2:$J$1000,ALGLIB_SSA_XAUUSD!$O$2:$O$1000,"",0)</f>
        <v>4630.5244499999999</v>
      </c>
      <c r="N186">
        <f>_xlfn.XLOOKUP($A186,ALGLIB_SSA_XAUUSD!$J$2:$J$1000,ALGLIB_SSA_XAUUSD!$P$2:$P$1000,"",0)</f>
        <v>4633.4727499999999</v>
      </c>
      <c r="O186">
        <f>_xlfn.XLOOKUP($A186,ALGLIB_SSA_XAUUSD!$J$2:$J$1000,ALGLIB_SSA_XAUUSD!$Q$2:$Q$1000,"",0)</f>
        <v>4626.0083599999998</v>
      </c>
      <c r="R186">
        <f t="shared" si="22"/>
        <v>1775445600</v>
      </c>
      <c r="S186" t="str">
        <f t="shared" si="23"/>
        <v>XAUUSD</v>
      </c>
      <c r="T186" t="str">
        <f t="shared" si="24"/>
        <v>M5</v>
      </c>
      <c r="U186">
        <f t="shared" si="25"/>
        <v>4631.2</v>
      </c>
      <c r="V186">
        <v>4643.9539500000001</v>
      </c>
      <c r="W186">
        <v>4639.5572700000002</v>
      </c>
      <c r="X186">
        <v>4628.9139699999996</v>
      </c>
      <c r="Y186">
        <v>4630.5244499999999</v>
      </c>
      <c r="Z186">
        <f t="shared" si="26"/>
        <v>4657.1600833333332</v>
      </c>
      <c r="AA186">
        <f t="shared" si="27"/>
        <v>4633.4727499999999</v>
      </c>
      <c r="AB186">
        <f t="shared" si="28"/>
        <v>4626.0894200000002</v>
      </c>
      <c r="AC186">
        <f t="shared" si="29"/>
        <v>4626.0083599999998</v>
      </c>
      <c r="AF186">
        <f t="shared" si="30"/>
        <v>4628.9139699999996</v>
      </c>
      <c r="AG186">
        <f t="shared" si="31"/>
        <v>4657.1600833333332</v>
      </c>
      <c r="AH186">
        <f t="shared" si="32"/>
        <v>4626.0894200000002</v>
      </c>
    </row>
    <row r="187" spans="1:34" x14ac:dyDescent="0.55000000000000004">
      <c r="A187">
        <f>ALGLIB_SSA_XAUUSD!J187</f>
        <v>1775445900</v>
      </c>
      <c r="B187" t="str">
        <f>_xlfn.XLOOKUP($A187,ALGLIB_SSA_XAUUSD!$A$2:$A$1000,ALGLIB_SSA_XAUUSD!$B$2:$B$1000,"",0)</f>
        <v/>
      </c>
      <c r="C187" t="str">
        <f>_xlfn.XLOOKUP($A187,ALGLIB_SSA_XAUUSD!$A$2:$A$1000,ALGLIB_SSA_XAUUSD!$C$2:$C$1000,"",0)</f>
        <v/>
      </c>
      <c r="D187" s="1">
        <f>D182+(D194-D182)*5/12</f>
        <v>4648.291666666667</v>
      </c>
      <c r="E187" s="1">
        <f>E182+(E194-E182)*5/12</f>
        <v>4644.7507100000003</v>
      </c>
      <c r="F187" s="1">
        <f>F182+(F194-F182)*5/12</f>
        <v>4640.0958116666661</v>
      </c>
      <c r="G187" s="1">
        <f>G182+(G194-G182)*5/12</f>
        <v>4657.7544566666666</v>
      </c>
      <c r="H187" s="1">
        <f>H182+(H194-H182)*5/12</f>
        <v>4626.8812625</v>
      </c>
      <c r="I187" t="str">
        <f>_xlfn.XLOOKUP($A187,ALGLIB_SSA_XAUUSD!$J$2:$J$1000,ALGLIB_SSA_XAUUSD!$K$2:$K$1000,"",0)</f>
        <v>XAUUSD</v>
      </c>
      <c r="J187" t="str">
        <f>_xlfn.XLOOKUP($A187,ALGLIB_SSA_XAUUSD!$J$2:$J$1000,ALGLIB_SSA_XAUUSD!$L$2:$L$1000,"",0)</f>
        <v>M5</v>
      </c>
      <c r="K187">
        <f>_xlfn.XLOOKUP($A187,ALGLIB_SSA_XAUUSD!$J$2:$J$1000,ALGLIB_SSA_XAUUSD!$M$2:$M$1000,"",0)</f>
        <v>4630.59</v>
      </c>
      <c r="L187">
        <f>_xlfn.XLOOKUP($A187,ALGLIB_SSA_XAUUSD!$J$2:$J$1000,ALGLIB_SSA_XAUUSD!$N$2:$N$1000,"",0)</f>
        <v>4629.0318500000003</v>
      </c>
      <c r="M187">
        <f>_xlfn.XLOOKUP($A187,ALGLIB_SSA_XAUUSD!$J$2:$J$1000,ALGLIB_SSA_XAUUSD!$O$2:$O$1000,"",0)</f>
        <v>4629.7781500000001</v>
      </c>
      <c r="N187">
        <f>_xlfn.XLOOKUP($A187,ALGLIB_SSA_XAUUSD!$J$2:$J$1000,ALGLIB_SSA_XAUUSD!$P$2:$P$1000,"",0)</f>
        <v>4632.7016599999997</v>
      </c>
      <c r="O187">
        <f>_xlfn.XLOOKUP($A187,ALGLIB_SSA_XAUUSD!$J$2:$J$1000,ALGLIB_SSA_XAUUSD!$Q$2:$Q$1000,"",0)</f>
        <v>4625.8896800000002</v>
      </c>
      <c r="R187">
        <f t="shared" si="22"/>
        <v>1775445900</v>
      </c>
      <c r="S187" t="str">
        <f t="shared" si="23"/>
        <v>XAUUSD</v>
      </c>
      <c r="T187" t="str">
        <f t="shared" si="24"/>
        <v>M5</v>
      </c>
      <c r="U187">
        <f t="shared" si="25"/>
        <v>4630.59</v>
      </c>
      <c r="V187">
        <v>4644.7507100000003</v>
      </c>
      <c r="W187">
        <v>4640.0958099999998</v>
      </c>
      <c r="X187">
        <v>4629.0318500000003</v>
      </c>
      <c r="Y187">
        <v>4629.7781500000001</v>
      </c>
      <c r="Z187">
        <f t="shared" si="26"/>
        <v>4657.7544566666666</v>
      </c>
      <c r="AA187">
        <f t="shared" si="27"/>
        <v>4632.7016599999997</v>
      </c>
      <c r="AB187">
        <f t="shared" si="28"/>
        <v>4626.8812625</v>
      </c>
      <c r="AC187">
        <f t="shared" si="29"/>
        <v>4625.8896800000002</v>
      </c>
      <c r="AF187">
        <f t="shared" si="30"/>
        <v>4629.0318500000003</v>
      </c>
      <c r="AG187">
        <f t="shared" si="31"/>
        <v>4657.7544566666666</v>
      </c>
      <c r="AH187">
        <f t="shared" si="32"/>
        <v>4626.8812625</v>
      </c>
    </row>
    <row r="188" spans="1:34" x14ac:dyDescent="0.55000000000000004">
      <c r="A188">
        <f>ALGLIB_SSA_XAUUSD!J188</f>
        <v>1775446200</v>
      </c>
      <c r="B188" t="str">
        <f>_xlfn.XLOOKUP($A188,ALGLIB_SSA_XAUUSD!$A$2:$A$1000,ALGLIB_SSA_XAUUSD!$B$2:$B$1000,"",0)</f>
        <v/>
      </c>
      <c r="C188" t="str">
        <f>_xlfn.XLOOKUP($A188,ALGLIB_SSA_XAUUSD!$A$2:$A$1000,ALGLIB_SSA_XAUUSD!$C$2:$C$1000,"",0)</f>
        <v/>
      </c>
      <c r="D188" s="1">
        <f>D182+(D194-D182)*6/12</f>
        <v>4649.84</v>
      </c>
      <c r="E188" s="1">
        <f>E182+(E194-E182)*6/12</f>
        <v>4645.5474699999995</v>
      </c>
      <c r="F188" s="1">
        <f>F182+(F194-F182)*6/12</f>
        <v>4640.6343500000003</v>
      </c>
      <c r="G188" s="1">
        <f>G182+(G194-G182)*6/12</f>
        <v>4658.3488299999999</v>
      </c>
      <c r="H188" s="1">
        <f>H182+(H194-H182)*6/12</f>
        <v>4627.6731049999999</v>
      </c>
      <c r="I188" t="str">
        <f>_xlfn.XLOOKUP($A188,ALGLIB_SSA_XAUUSD!$J$2:$J$1000,ALGLIB_SSA_XAUUSD!$K$2:$K$1000,"",0)</f>
        <v>XAUUSD</v>
      </c>
      <c r="J188" t="str">
        <f>_xlfn.XLOOKUP($A188,ALGLIB_SSA_XAUUSD!$J$2:$J$1000,ALGLIB_SSA_XAUUSD!$L$2:$L$1000,"",0)</f>
        <v>M5</v>
      </c>
      <c r="K188">
        <f>_xlfn.XLOOKUP($A188,ALGLIB_SSA_XAUUSD!$J$2:$J$1000,ALGLIB_SSA_XAUUSD!$M$2:$M$1000,"",0)</f>
        <v>4631.41</v>
      </c>
      <c r="L188">
        <f>_xlfn.XLOOKUP($A188,ALGLIB_SSA_XAUUSD!$J$2:$J$1000,ALGLIB_SSA_XAUUSD!$N$2:$N$1000,"",0)</f>
        <v>4629.9035999999996</v>
      </c>
      <c r="M188">
        <f>_xlfn.XLOOKUP($A188,ALGLIB_SSA_XAUUSD!$J$2:$J$1000,ALGLIB_SSA_XAUUSD!$O$2:$O$1000,"",0)</f>
        <v>4629.8408799999997</v>
      </c>
      <c r="N188">
        <f>_xlfn.XLOOKUP($A188,ALGLIB_SSA_XAUUSD!$J$2:$J$1000,ALGLIB_SSA_XAUUSD!$P$2:$P$1000,"",0)</f>
        <v>4632.6302999999998</v>
      </c>
      <c r="O188">
        <f>_xlfn.XLOOKUP($A188,ALGLIB_SSA_XAUUSD!$J$2:$J$1000,ALGLIB_SSA_XAUUSD!$Q$2:$Q$1000,"",0)</f>
        <v>4626.4681899999996</v>
      </c>
      <c r="R188">
        <f t="shared" si="22"/>
        <v>1775446200</v>
      </c>
      <c r="S188" t="str">
        <f t="shared" si="23"/>
        <v>XAUUSD</v>
      </c>
      <c r="T188" t="str">
        <f t="shared" si="24"/>
        <v>M5</v>
      </c>
      <c r="U188">
        <f t="shared" si="25"/>
        <v>4631.41</v>
      </c>
      <c r="V188">
        <v>4645.5474700000004</v>
      </c>
      <c r="W188">
        <v>4640.6343500000003</v>
      </c>
      <c r="X188">
        <v>4629.9035999999996</v>
      </c>
      <c r="Y188">
        <v>4629.8408799999997</v>
      </c>
      <c r="Z188">
        <f t="shared" si="26"/>
        <v>4658.3488299999999</v>
      </c>
      <c r="AA188">
        <f t="shared" si="27"/>
        <v>4632.6302999999998</v>
      </c>
      <c r="AB188">
        <f t="shared" si="28"/>
        <v>4627.6731049999999</v>
      </c>
      <c r="AC188">
        <f t="shared" si="29"/>
        <v>4626.4681899999996</v>
      </c>
      <c r="AF188">
        <f t="shared" si="30"/>
        <v>4629.9035999999996</v>
      </c>
      <c r="AG188">
        <f t="shared" si="31"/>
        <v>4658.3488299999999</v>
      </c>
      <c r="AH188">
        <f t="shared" si="32"/>
        <v>4627.6731049999999</v>
      </c>
    </row>
    <row r="189" spans="1:34" x14ac:dyDescent="0.55000000000000004">
      <c r="A189">
        <f>ALGLIB_SSA_XAUUSD!J189</f>
        <v>1775446500</v>
      </c>
      <c r="B189" t="str">
        <f>_xlfn.XLOOKUP($A189,ALGLIB_SSA_XAUUSD!$A$2:$A$1000,ALGLIB_SSA_XAUUSD!$B$2:$B$1000,"",0)</f>
        <v/>
      </c>
      <c r="C189" t="str">
        <f>_xlfn.XLOOKUP($A189,ALGLIB_SSA_XAUUSD!$A$2:$A$1000,ALGLIB_SSA_XAUUSD!$C$2:$C$1000,"",0)</f>
        <v/>
      </c>
      <c r="D189" s="1">
        <f>D182+(D194-D182)*7/12</f>
        <v>4651.3883333333333</v>
      </c>
      <c r="E189" s="1">
        <f>E182+(E194-E182)*7/12</f>
        <v>4646.3442299999997</v>
      </c>
      <c r="F189" s="1">
        <f>F182+(F194-F182)*7/12</f>
        <v>4641.1728883333335</v>
      </c>
      <c r="G189" s="1">
        <f>G182+(G194-G182)*7/12</f>
        <v>4658.9432033333333</v>
      </c>
      <c r="H189" s="1">
        <f>H182+(H194-H182)*7/12</f>
        <v>4628.4649474999997</v>
      </c>
      <c r="I189" t="str">
        <f>_xlfn.XLOOKUP($A189,ALGLIB_SSA_XAUUSD!$J$2:$J$1000,ALGLIB_SSA_XAUUSD!$K$2:$K$1000,"",0)</f>
        <v>XAUUSD</v>
      </c>
      <c r="J189" t="str">
        <f>_xlfn.XLOOKUP($A189,ALGLIB_SSA_XAUUSD!$J$2:$J$1000,ALGLIB_SSA_XAUUSD!$L$2:$L$1000,"",0)</f>
        <v>M5</v>
      </c>
      <c r="K189">
        <f>_xlfn.XLOOKUP($A189,ALGLIB_SSA_XAUUSD!$J$2:$J$1000,ALGLIB_SSA_XAUUSD!$M$2:$M$1000,"",0)</f>
        <v>4629.21</v>
      </c>
      <c r="L189">
        <f>_xlfn.XLOOKUP($A189,ALGLIB_SSA_XAUUSD!$J$2:$J$1000,ALGLIB_SSA_XAUUSD!$N$2:$N$1000,"",0)</f>
        <v>4631.4120599999997</v>
      </c>
      <c r="M189">
        <f>_xlfn.XLOOKUP($A189,ALGLIB_SSA_XAUUSD!$J$2:$J$1000,ALGLIB_SSA_XAUUSD!$O$2:$O$1000,"",0)</f>
        <v>4630.6264700000002</v>
      </c>
      <c r="N189">
        <f>_xlfn.XLOOKUP($A189,ALGLIB_SSA_XAUUSD!$J$2:$J$1000,ALGLIB_SSA_XAUUSD!$P$2:$P$1000,"",0)</f>
        <v>4633.3368200000004</v>
      </c>
      <c r="O189">
        <f>_xlfn.XLOOKUP($A189,ALGLIB_SSA_XAUUSD!$J$2:$J$1000,ALGLIB_SSA_XAUUSD!$Q$2:$Q$1000,"",0)</f>
        <v>4627.7370899999996</v>
      </c>
      <c r="R189">
        <f t="shared" si="22"/>
        <v>1775446500</v>
      </c>
      <c r="S189" t="str">
        <f t="shared" si="23"/>
        <v>XAUUSD</v>
      </c>
      <c r="T189" t="str">
        <f t="shared" si="24"/>
        <v>M5</v>
      </c>
      <c r="U189">
        <f t="shared" si="25"/>
        <v>4629.21</v>
      </c>
      <c r="V189">
        <v>4646.3442299999997</v>
      </c>
      <c r="W189">
        <v>4641.1728899999998</v>
      </c>
      <c r="X189">
        <v>4631.4120599999997</v>
      </c>
      <c r="Y189">
        <v>4630.6264700000002</v>
      </c>
      <c r="Z189">
        <f t="shared" si="26"/>
        <v>4658.9432033333333</v>
      </c>
      <c r="AA189">
        <f t="shared" si="27"/>
        <v>4633.3368200000004</v>
      </c>
      <c r="AB189">
        <f t="shared" si="28"/>
        <v>4628.4649474999997</v>
      </c>
      <c r="AC189">
        <f t="shared" si="29"/>
        <v>4627.7370899999996</v>
      </c>
      <c r="AF189">
        <f t="shared" si="30"/>
        <v>4631.4120599999997</v>
      </c>
      <c r="AG189">
        <f t="shared" si="31"/>
        <v>4658.9432033333333</v>
      </c>
      <c r="AH189">
        <f t="shared" si="32"/>
        <v>4628.4649474999997</v>
      </c>
    </row>
    <row r="190" spans="1:34" x14ac:dyDescent="0.55000000000000004">
      <c r="A190">
        <f>ALGLIB_SSA_XAUUSD!J190</f>
        <v>1775446800</v>
      </c>
      <c r="B190" t="str">
        <f>_xlfn.XLOOKUP($A190,ALGLIB_SSA_XAUUSD!$A$2:$A$1000,ALGLIB_SSA_XAUUSD!$B$2:$B$1000,"",0)</f>
        <v/>
      </c>
      <c r="C190" t="str">
        <f>_xlfn.XLOOKUP($A190,ALGLIB_SSA_XAUUSD!$A$2:$A$1000,ALGLIB_SSA_XAUUSD!$C$2:$C$1000,"",0)</f>
        <v/>
      </c>
      <c r="D190" s="1">
        <f>D182+(D194-D182)*8/12</f>
        <v>4652.9366666666665</v>
      </c>
      <c r="E190" s="1">
        <f>E182+(E194-E182)*8/12</f>
        <v>4647.1409899999999</v>
      </c>
      <c r="F190" s="1">
        <f>F182+(F194-F182)*8/12</f>
        <v>4641.7114266666667</v>
      </c>
      <c r="G190" s="1">
        <f>G182+(G194-G182)*8/12</f>
        <v>4659.5375766666666</v>
      </c>
      <c r="H190" s="1">
        <f>H182+(H194-H182)*8/12</f>
        <v>4629.2567899999995</v>
      </c>
      <c r="I190" t="str">
        <f>_xlfn.XLOOKUP($A190,ALGLIB_SSA_XAUUSD!$J$2:$J$1000,ALGLIB_SSA_XAUUSD!$K$2:$K$1000,"",0)</f>
        <v>XAUUSD</v>
      </c>
      <c r="J190" t="str">
        <f>_xlfn.XLOOKUP($A190,ALGLIB_SSA_XAUUSD!$J$2:$J$1000,ALGLIB_SSA_XAUUSD!$L$2:$L$1000,"",0)</f>
        <v>M5</v>
      </c>
      <c r="K190">
        <f>_xlfn.XLOOKUP($A190,ALGLIB_SSA_XAUUSD!$J$2:$J$1000,ALGLIB_SSA_XAUUSD!$M$2:$M$1000,"",0)</f>
        <v>4632.92</v>
      </c>
      <c r="L190">
        <f>_xlfn.XLOOKUP($A190,ALGLIB_SSA_XAUUSD!$J$2:$J$1000,ALGLIB_SSA_XAUUSD!$N$2:$N$1000,"",0)</f>
        <v>4633.491</v>
      </c>
      <c r="M190">
        <f>_xlfn.XLOOKUP($A190,ALGLIB_SSA_XAUUSD!$J$2:$J$1000,ALGLIB_SSA_XAUUSD!$O$2:$O$1000,"",0)</f>
        <v>4632.0587299999997</v>
      </c>
      <c r="N190">
        <f>_xlfn.XLOOKUP($A190,ALGLIB_SSA_XAUUSD!$J$2:$J$1000,ALGLIB_SSA_XAUUSD!$P$2:$P$1000,"",0)</f>
        <v>4634.7715099999996</v>
      </c>
      <c r="O190">
        <f>_xlfn.XLOOKUP($A190,ALGLIB_SSA_XAUUSD!$J$2:$J$1000,ALGLIB_SSA_XAUUSD!$Q$2:$Q$1000,"",0)</f>
        <v>4629.5054499999997</v>
      </c>
      <c r="R190">
        <f t="shared" si="22"/>
        <v>1775446800</v>
      </c>
      <c r="S190" t="str">
        <f t="shared" si="23"/>
        <v>XAUUSD</v>
      </c>
      <c r="T190" t="str">
        <f t="shared" si="24"/>
        <v>M5</v>
      </c>
      <c r="U190">
        <f t="shared" si="25"/>
        <v>4632.92</v>
      </c>
      <c r="V190">
        <v>4647.1409899999999</v>
      </c>
      <c r="W190">
        <v>4641.7114300000003</v>
      </c>
      <c r="X190">
        <v>4633.491</v>
      </c>
      <c r="Y190">
        <v>4632.0587299999997</v>
      </c>
      <c r="Z190">
        <f t="shared" si="26"/>
        <v>4659.5375766666666</v>
      </c>
      <c r="AA190">
        <f t="shared" si="27"/>
        <v>4634.7715099999996</v>
      </c>
      <c r="AB190">
        <f t="shared" si="28"/>
        <v>4629.2567899999995</v>
      </c>
      <c r="AC190">
        <f t="shared" si="29"/>
        <v>4629.5054499999997</v>
      </c>
      <c r="AF190">
        <f t="shared" si="30"/>
        <v>4633.491</v>
      </c>
      <c r="AG190">
        <f t="shared" si="31"/>
        <v>4659.5375766666666</v>
      </c>
      <c r="AH190">
        <f t="shared" si="32"/>
        <v>4629.2567899999995</v>
      </c>
    </row>
    <row r="191" spans="1:34" x14ac:dyDescent="0.55000000000000004">
      <c r="A191">
        <f>ALGLIB_SSA_XAUUSD!J191</f>
        <v>1775447100</v>
      </c>
      <c r="B191" t="str">
        <f>_xlfn.XLOOKUP($A191,ALGLIB_SSA_XAUUSD!$A$2:$A$1000,ALGLIB_SSA_XAUUSD!$B$2:$B$1000,"",0)</f>
        <v/>
      </c>
      <c r="C191" t="str">
        <f>_xlfn.XLOOKUP($A191,ALGLIB_SSA_XAUUSD!$A$2:$A$1000,ALGLIB_SSA_XAUUSD!$C$2:$C$1000,"",0)</f>
        <v/>
      </c>
      <c r="D191" s="1">
        <f>D182+(D194-D182)*9/12</f>
        <v>4654.4850000000006</v>
      </c>
      <c r="E191" s="1">
        <f>E182+(E194-E182)*9/12</f>
        <v>4647.9377500000001</v>
      </c>
      <c r="F191" s="1">
        <f>F182+(F194-F182)*9/12</f>
        <v>4642.249965</v>
      </c>
      <c r="G191" s="1">
        <f>G182+(G194-G182)*9/12</f>
        <v>4660.13195</v>
      </c>
      <c r="H191" s="1">
        <f>H182+(H194-H182)*9/12</f>
        <v>4630.0486325000002</v>
      </c>
      <c r="I191" t="str">
        <f>_xlfn.XLOOKUP($A191,ALGLIB_SSA_XAUUSD!$J$2:$J$1000,ALGLIB_SSA_XAUUSD!$K$2:$K$1000,"",0)</f>
        <v>XAUUSD</v>
      </c>
      <c r="J191" t="str">
        <f>_xlfn.XLOOKUP($A191,ALGLIB_SSA_XAUUSD!$J$2:$J$1000,ALGLIB_SSA_XAUUSD!$L$2:$L$1000,"",0)</f>
        <v>M5</v>
      </c>
      <c r="K191">
        <f>_xlfn.XLOOKUP($A191,ALGLIB_SSA_XAUUSD!$J$2:$J$1000,ALGLIB_SSA_XAUUSD!$M$2:$M$1000,"",0)</f>
        <v>4634.92</v>
      </c>
      <c r="L191">
        <f>_xlfn.XLOOKUP($A191,ALGLIB_SSA_XAUUSD!$J$2:$J$1000,ALGLIB_SSA_XAUUSD!$N$2:$N$1000,"",0)</f>
        <v>4635.9068399999996</v>
      </c>
      <c r="M191">
        <f>_xlfn.XLOOKUP($A191,ALGLIB_SSA_XAUUSD!$J$2:$J$1000,ALGLIB_SSA_XAUUSD!$O$2:$O$1000,"",0)</f>
        <v>4633.98279</v>
      </c>
      <c r="N191">
        <f>_xlfn.XLOOKUP($A191,ALGLIB_SSA_XAUUSD!$J$2:$J$1000,ALGLIB_SSA_XAUUSD!$P$2:$P$1000,"",0)</f>
        <v>4636.8733599999996</v>
      </c>
      <c r="O191">
        <f>_xlfn.XLOOKUP($A191,ALGLIB_SSA_XAUUSD!$J$2:$J$1000,ALGLIB_SSA_XAUUSD!$Q$2:$Q$1000,"",0)</f>
        <v>4631.7407499999999</v>
      </c>
      <c r="R191">
        <f t="shared" si="22"/>
        <v>1775447100</v>
      </c>
      <c r="S191" t="str">
        <f t="shared" si="23"/>
        <v>XAUUSD</v>
      </c>
      <c r="T191" t="str">
        <f t="shared" si="24"/>
        <v>M5</v>
      </c>
      <c r="U191">
        <f t="shared" si="25"/>
        <v>4634.92</v>
      </c>
      <c r="V191">
        <v>4647.9377500000001</v>
      </c>
      <c r="W191">
        <v>4642.2499699999998</v>
      </c>
      <c r="X191">
        <v>4635.9068399999996</v>
      </c>
      <c r="Y191">
        <v>4633.98279</v>
      </c>
      <c r="Z191">
        <f t="shared" si="26"/>
        <v>4660.13195</v>
      </c>
      <c r="AA191">
        <f t="shared" si="27"/>
        <v>4636.8733599999996</v>
      </c>
      <c r="AB191">
        <f t="shared" si="28"/>
        <v>4630.0486325000002</v>
      </c>
      <c r="AC191">
        <f t="shared" si="29"/>
        <v>4631.7407499999999</v>
      </c>
      <c r="AF191">
        <f t="shared" si="30"/>
        <v>4635.9068399999996</v>
      </c>
      <c r="AG191">
        <f t="shared" si="31"/>
        <v>4660.13195</v>
      </c>
      <c r="AH191">
        <f t="shared" si="32"/>
        <v>4630.0486325000002</v>
      </c>
    </row>
    <row r="192" spans="1:34" x14ac:dyDescent="0.55000000000000004">
      <c r="A192">
        <f>ALGLIB_SSA_XAUUSD!J192</f>
        <v>1775447400</v>
      </c>
      <c r="B192" t="str">
        <f>_xlfn.XLOOKUP($A192,ALGLIB_SSA_XAUUSD!$A$2:$A$1000,ALGLIB_SSA_XAUUSD!$B$2:$B$1000,"",0)</f>
        <v/>
      </c>
      <c r="C192" t="str">
        <f>_xlfn.XLOOKUP($A192,ALGLIB_SSA_XAUUSD!$A$2:$A$1000,ALGLIB_SSA_XAUUSD!$C$2:$C$1000,"",0)</f>
        <v/>
      </c>
      <c r="D192" s="1">
        <f>D182+(D194-D182)*10/12</f>
        <v>4656.0333333333338</v>
      </c>
      <c r="E192" s="1">
        <f>E182+(E194-E182)*10/12</f>
        <v>4648.7345100000002</v>
      </c>
      <c r="F192" s="1">
        <f>F182+(F194-F182)*10/12</f>
        <v>4642.7885033333332</v>
      </c>
      <c r="G192" s="1">
        <f>G182+(G194-G182)*10/12</f>
        <v>4660.7263233333333</v>
      </c>
      <c r="H192" s="1">
        <f>H182+(H194-H182)*10/12</f>
        <v>4630.840475</v>
      </c>
      <c r="I192" t="str">
        <f>_xlfn.XLOOKUP($A192,ALGLIB_SSA_XAUUSD!$J$2:$J$1000,ALGLIB_SSA_XAUUSD!$K$2:$K$1000,"",0)</f>
        <v>XAUUSD</v>
      </c>
      <c r="J192" t="str">
        <f>_xlfn.XLOOKUP($A192,ALGLIB_SSA_XAUUSD!$J$2:$J$1000,ALGLIB_SSA_XAUUSD!$L$2:$L$1000,"",0)</f>
        <v>M5</v>
      </c>
      <c r="K192">
        <f>_xlfn.XLOOKUP($A192,ALGLIB_SSA_XAUUSD!$J$2:$J$1000,ALGLIB_SSA_XAUUSD!$M$2:$M$1000,"",0)</f>
        <v>4635.7700000000004</v>
      </c>
      <c r="L192">
        <f>_xlfn.XLOOKUP($A192,ALGLIB_SSA_XAUUSD!$J$2:$J$1000,ALGLIB_SSA_XAUUSD!$N$2:$N$1000,"",0)</f>
        <v>4638.4679800000004</v>
      </c>
      <c r="M192">
        <f>_xlfn.XLOOKUP($A192,ALGLIB_SSA_XAUUSD!$J$2:$J$1000,ALGLIB_SSA_XAUUSD!$O$2:$O$1000,"",0)</f>
        <v>4636.2253799999999</v>
      </c>
      <c r="N192">
        <f>_xlfn.XLOOKUP($A192,ALGLIB_SSA_XAUUSD!$J$2:$J$1000,ALGLIB_SSA_XAUUSD!$P$2:$P$1000,"",0)</f>
        <v>4639.4429099999998</v>
      </c>
      <c r="O192">
        <f>_xlfn.XLOOKUP($A192,ALGLIB_SSA_XAUUSD!$J$2:$J$1000,ALGLIB_SSA_XAUUSD!$Q$2:$Q$1000,"",0)</f>
        <v>4634.2</v>
      </c>
      <c r="R192">
        <f t="shared" si="22"/>
        <v>1775447400</v>
      </c>
      <c r="S192" t="str">
        <f t="shared" si="23"/>
        <v>XAUUSD</v>
      </c>
      <c r="T192" t="str">
        <f t="shared" si="24"/>
        <v>M5</v>
      </c>
      <c r="U192">
        <f t="shared" si="25"/>
        <v>4635.7700000000004</v>
      </c>
      <c r="V192">
        <v>4648.7345100000002</v>
      </c>
      <c r="W192">
        <v>4642.7884999999997</v>
      </c>
      <c r="X192">
        <v>4638.4679800000004</v>
      </c>
      <c r="Y192">
        <v>4636.2253799999999</v>
      </c>
      <c r="Z192">
        <f t="shared" si="26"/>
        <v>4660.7263233333333</v>
      </c>
      <c r="AA192">
        <f t="shared" si="27"/>
        <v>4639.4429099999998</v>
      </c>
      <c r="AB192">
        <f t="shared" si="28"/>
        <v>4630.840475</v>
      </c>
      <c r="AC192">
        <f t="shared" si="29"/>
        <v>4634.2</v>
      </c>
      <c r="AF192">
        <f t="shared" si="30"/>
        <v>4638.4679800000004</v>
      </c>
      <c r="AG192">
        <f t="shared" si="31"/>
        <v>4660.7263233333333</v>
      </c>
      <c r="AH192">
        <f t="shared" si="32"/>
        <v>4630.840475</v>
      </c>
    </row>
    <row r="193" spans="1:34" x14ac:dyDescent="0.55000000000000004">
      <c r="A193">
        <f>ALGLIB_SSA_XAUUSD!J193</f>
        <v>1775447700</v>
      </c>
      <c r="B193" t="str">
        <f>_xlfn.XLOOKUP($A193,ALGLIB_SSA_XAUUSD!$A$2:$A$1000,ALGLIB_SSA_XAUUSD!$B$2:$B$1000,"",0)</f>
        <v/>
      </c>
      <c r="C193" t="str">
        <f>_xlfn.XLOOKUP($A193,ALGLIB_SSA_XAUUSD!$A$2:$A$1000,ALGLIB_SSA_XAUUSD!$C$2:$C$1000,"",0)</f>
        <v/>
      </c>
      <c r="D193" s="1">
        <f>D182+(D194-D182)*11/12</f>
        <v>4657.5816666666669</v>
      </c>
      <c r="E193" s="1">
        <f>E182+(E194-E182)*11/12</f>
        <v>4649.5312699999995</v>
      </c>
      <c r="F193" s="1">
        <f>F182+(F194-F182)*11/12</f>
        <v>4643.3270416666664</v>
      </c>
      <c r="G193" s="1">
        <f>G182+(G194-G182)*11/12</f>
        <v>4661.3206966666667</v>
      </c>
      <c r="H193" s="1">
        <f>H182+(H194-H182)*11/12</f>
        <v>4631.6323174999998</v>
      </c>
      <c r="I193" t="str">
        <f>_xlfn.XLOOKUP($A193,ALGLIB_SSA_XAUUSD!$J$2:$J$1000,ALGLIB_SSA_XAUUSD!$K$2:$K$1000,"",0)</f>
        <v>XAUUSD</v>
      </c>
      <c r="J193" t="str">
        <f>_xlfn.XLOOKUP($A193,ALGLIB_SSA_XAUUSD!$J$2:$J$1000,ALGLIB_SSA_XAUUSD!$L$2:$L$1000,"",0)</f>
        <v>M5</v>
      </c>
      <c r="K193">
        <f>_xlfn.XLOOKUP($A193,ALGLIB_SSA_XAUUSD!$J$2:$J$1000,ALGLIB_SSA_XAUUSD!$M$2:$M$1000,"",0)</f>
        <v>4640.55</v>
      </c>
      <c r="L193">
        <f>_xlfn.XLOOKUP($A193,ALGLIB_SSA_XAUUSD!$J$2:$J$1000,ALGLIB_SSA_XAUUSD!$N$2:$N$1000,"",0)</f>
        <v>4640.9539800000002</v>
      </c>
      <c r="M193">
        <f>_xlfn.XLOOKUP($A193,ALGLIB_SSA_XAUUSD!$J$2:$J$1000,ALGLIB_SSA_XAUUSD!$O$2:$O$1000,"",0)</f>
        <v>4638.58968</v>
      </c>
      <c r="N193">
        <f>_xlfn.XLOOKUP($A193,ALGLIB_SSA_XAUUSD!$J$2:$J$1000,ALGLIB_SSA_XAUUSD!$P$2:$P$1000,"",0)</f>
        <v>4642.1633400000001</v>
      </c>
      <c r="O193">
        <f>_xlfn.XLOOKUP($A193,ALGLIB_SSA_XAUUSD!$J$2:$J$1000,ALGLIB_SSA_XAUUSD!$Q$2:$Q$1000,"",0)</f>
        <v>4636.66518</v>
      </c>
      <c r="R193">
        <f t="shared" si="22"/>
        <v>1775447700</v>
      </c>
      <c r="S193" t="str">
        <f t="shared" si="23"/>
        <v>XAUUSD</v>
      </c>
      <c r="T193" t="str">
        <f t="shared" si="24"/>
        <v>M5</v>
      </c>
      <c r="U193">
        <f t="shared" si="25"/>
        <v>4640.55</v>
      </c>
      <c r="V193">
        <v>4649.5312700000004</v>
      </c>
      <c r="W193">
        <v>4643.3270400000001</v>
      </c>
      <c r="X193">
        <v>4640.9539800000002</v>
      </c>
      <c r="Y193">
        <v>4638.58968</v>
      </c>
      <c r="Z193">
        <f t="shared" si="26"/>
        <v>4661.3206966666667</v>
      </c>
      <c r="AA193">
        <f t="shared" si="27"/>
        <v>4642.1633400000001</v>
      </c>
      <c r="AB193">
        <f t="shared" si="28"/>
        <v>4631.6323174999998</v>
      </c>
      <c r="AC193">
        <f t="shared" si="29"/>
        <v>4636.66518</v>
      </c>
      <c r="AF193">
        <f t="shared" si="30"/>
        <v>4640.9539800000002</v>
      </c>
      <c r="AG193">
        <f t="shared" si="31"/>
        <v>4661.3206966666667</v>
      </c>
      <c r="AH193">
        <f t="shared" si="32"/>
        <v>4631.6323174999998</v>
      </c>
    </row>
    <row r="194" spans="1:34" x14ac:dyDescent="0.55000000000000004">
      <c r="A194">
        <f>ALGLIB_SSA_XAUUSD!J194</f>
        <v>1775448000</v>
      </c>
      <c r="B194" t="str">
        <f>_xlfn.XLOOKUP($A194,ALGLIB_SSA_XAUUSD!$A$2:$A$1000,ALGLIB_SSA_XAUUSD!$B$2:$B$1000,"",0)</f>
        <v>XAUUSD</v>
      </c>
      <c r="C194" t="str">
        <f>_xlfn.XLOOKUP($A194,ALGLIB_SSA_XAUUSD!$A$2:$A$1000,ALGLIB_SSA_XAUUSD!$C$2:$C$1000,"",0)</f>
        <v>H1</v>
      </c>
      <c r="D194" s="2">
        <f>_xlfn.XLOOKUP($A194,ALGLIB_SSA_XAUUSD!$A$2:$A$1000,ALGLIB_SSA_XAUUSD!$D$2:$D$1000,"",0)</f>
        <v>4659.13</v>
      </c>
      <c r="E194" s="2">
        <f>_xlfn.XLOOKUP($A194,ALGLIB_SSA_XAUUSD!$A$2:$A$1000,ALGLIB_SSA_XAUUSD!$E$2:$E$1000,"",0)</f>
        <v>4650.3280299999997</v>
      </c>
      <c r="F194" s="2">
        <f>_xlfn.XLOOKUP($A194,ALGLIB_SSA_XAUUSD!$A$2:$A$1000,ALGLIB_SSA_XAUUSD!$F$2:$F$1000,"",0)</f>
        <v>4643.8655799999997</v>
      </c>
      <c r="G194" s="2">
        <f>_xlfn.XLOOKUP($A194,ALGLIB_SSA_XAUUSD!$A$2:$A$1000,ALGLIB_SSA_XAUUSD!$G$2:$G$1000,"",0)</f>
        <v>4661.91507</v>
      </c>
      <c r="H194" s="2">
        <f>_xlfn.XLOOKUP($A194,ALGLIB_SSA_XAUUSD!$A$2:$A$1000,ALGLIB_SSA_XAUUSD!$H$2:$H$1000,"",0)</f>
        <v>4632.4241599999996</v>
      </c>
      <c r="I194" t="str">
        <f>_xlfn.XLOOKUP($A194,ALGLIB_SSA_XAUUSD!$J$2:$J$1000,ALGLIB_SSA_XAUUSD!$K$2:$K$1000,"",0)</f>
        <v>XAUUSD</v>
      </c>
      <c r="J194" t="str">
        <f>_xlfn.XLOOKUP($A194,ALGLIB_SSA_XAUUSD!$J$2:$J$1000,ALGLIB_SSA_XAUUSD!$L$2:$L$1000,"",0)</f>
        <v>M5</v>
      </c>
      <c r="K194">
        <f>_xlfn.XLOOKUP($A194,ALGLIB_SSA_XAUUSD!$J$2:$J$1000,ALGLIB_SSA_XAUUSD!$M$2:$M$1000,"",0)</f>
        <v>4648.03</v>
      </c>
      <c r="L194">
        <f>_xlfn.XLOOKUP($A194,ALGLIB_SSA_XAUUSD!$J$2:$J$1000,ALGLIB_SSA_XAUUSD!$N$2:$N$1000,"",0)</f>
        <v>4643.0348299999996</v>
      </c>
      <c r="M194">
        <f>_xlfn.XLOOKUP($A194,ALGLIB_SSA_XAUUSD!$J$2:$J$1000,ALGLIB_SSA_XAUUSD!$O$2:$O$1000,"",0)</f>
        <v>4640.8122599999997</v>
      </c>
      <c r="N194">
        <f>_xlfn.XLOOKUP($A194,ALGLIB_SSA_XAUUSD!$J$2:$J$1000,ALGLIB_SSA_XAUUSD!$P$2:$P$1000,"",0)</f>
        <v>4644.6316900000002</v>
      </c>
      <c r="O194">
        <f>_xlfn.XLOOKUP($A194,ALGLIB_SSA_XAUUSD!$J$2:$J$1000,ALGLIB_SSA_XAUUSD!$Q$2:$Q$1000,"",0)</f>
        <v>4638.9351100000003</v>
      </c>
      <c r="R194">
        <f t="shared" si="22"/>
        <v>1775448000</v>
      </c>
      <c r="S194" t="str">
        <f t="shared" si="23"/>
        <v>XAUUSD</v>
      </c>
      <c r="T194" t="str">
        <f t="shared" si="24"/>
        <v>M5</v>
      </c>
      <c r="U194">
        <f t="shared" si="25"/>
        <v>4648.03</v>
      </c>
      <c r="V194">
        <v>4650.3280299999997</v>
      </c>
      <c r="W194">
        <v>4643.8655799999997</v>
      </c>
      <c r="X194">
        <v>4643.0348299999996</v>
      </c>
      <c r="Y194">
        <v>4640.8122599999997</v>
      </c>
      <c r="Z194">
        <f t="shared" si="26"/>
        <v>4661.91507</v>
      </c>
      <c r="AA194">
        <f t="shared" si="27"/>
        <v>4644.6316900000002</v>
      </c>
      <c r="AB194">
        <f t="shared" si="28"/>
        <v>4632.4241599999996</v>
      </c>
      <c r="AC194">
        <f t="shared" si="29"/>
        <v>4638.9351100000003</v>
      </c>
      <c r="AF194">
        <f t="shared" si="30"/>
        <v>4643.0348299999996</v>
      </c>
      <c r="AG194">
        <f t="shared" si="31"/>
        <v>4661.91507</v>
      </c>
      <c r="AH194">
        <f t="shared" si="32"/>
        <v>4632.4241599999996</v>
      </c>
    </row>
    <row r="195" spans="1:34" x14ac:dyDescent="0.55000000000000004">
      <c r="A195">
        <f>ALGLIB_SSA_XAUUSD!J195</f>
        <v>1775448300</v>
      </c>
      <c r="B195" t="str">
        <f>_xlfn.XLOOKUP($A195,ALGLIB_SSA_XAUUSD!$A$2:$A$1000,ALGLIB_SSA_XAUUSD!$B$2:$B$1000,"",0)</f>
        <v/>
      </c>
      <c r="C195" t="str">
        <f>_xlfn.XLOOKUP($A195,ALGLIB_SSA_XAUUSD!$A$2:$A$1000,ALGLIB_SSA_XAUUSD!$C$2:$C$1000,"",0)</f>
        <v/>
      </c>
      <c r="D195" s="1">
        <f>D194+(D206-D194)*1/12</f>
        <v>4658.583333333333</v>
      </c>
      <c r="E195" s="1">
        <f>E194+(E206-E194)*1/12</f>
        <v>4651.2321933333333</v>
      </c>
      <c r="F195" s="1">
        <f>F194+(F206-F194)*1/12</f>
        <v>4644.5869308333331</v>
      </c>
      <c r="G195" s="1">
        <f>G194+(G206-G194)*1/12</f>
        <v>4662.6482575</v>
      </c>
      <c r="H195" s="1">
        <f>H194+(H206-H194)*1/12</f>
        <v>4633.3667816666666</v>
      </c>
      <c r="I195" t="str">
        <f>_xlfn.XLOOKUP($A195,ALGLIB_SSA_XAUUSD!$J$2:$J$1000,ALGLIB_SSA_XAUUSD!$K$2:$K$1000,"",0)</f>
        <v>XAUUSD</v>
      </c>
      <c r="J195" t="str">
        <f>_xlfn.XLOOKUP($A195,ALGLIB_SSA_XAUUSD!$J$2:$J$1000,ALGLIB_SSA_XAUUSD!$L$2:$L$1000,"",0)</f>
        <v>M5</v>
      </c>
      <c r="K195">
        <f>_xlfn.XLOOKUP($A195,ALGLIB_SSA_XAUUSD!$J$2:$J$1000,ALGLIB_SSA_XAUUSD!$M$2:$M$1000,"",0)</f>
        <v>4646.6099999999997</v>
      </c>
      <c r="L195">
        <f>_xlfn.XLOOKUP($A195,ALGLIB_SSA_XAUUSD!$J$2:$J$1000,ALGLIB_SSA_XAUUSD!$N$2:$N$1000,"",0)</f>
        <v>4644.3952799999997</v>
      </c>
      <c r="M195">
        <f>_xlfn.XLOOKUP($A195,ALGLIB_SSA_XAUUSD!$J$2:$J$1000,ALGLIB_SSA_XAUUSD!$O$2:$O$1000,"",0)</f>
        <v>4642.6037699999997</v>
      </c>
      <c r="N195">
        <f>_xlfn.XLOOKUP($A195,ALGLIB_SSA_XAUUSD!$J$2:$J$1000,ALGLIB_SSA_XAUUSD!$P$2:$P$1000,"",0)</f>
        <v>4646.4269999999997</v>
      </c>
      <c r="O195">
        <f>_xlfn.XLOOKUP($A195,ALGLIB_SSA_XAUUSD!$J$2:$J$1000,ALGLIB_SSA_XAUUSD!$Q$2:$Q$1000,"",0)</f>
        <v>4640.7753199999997</v>
      </c>
      <c r="R195">
        <f t="shared" ref="R195:R258" si="33">A195</f>
        <v>1775448300</v>
      </c>
      <c r="S195" t="str">
        <f t="shared" ref="S195:S258" si="34">I195</f>
        <v>XAUUSD</v>
      </c>
      <c r="T195" t="str">
        <f t="shared" ref="T195:T258" si="35">J195</f>
        <v>M5</v>
      </c>
      <c r="U195">
        <f t="shared" ref="U195:U258" si="36">K195</f>
        <v>4646.6099999999997</v>
      </c>
      <c r="V195">
        <v>4651.2321899999997</v>
      </c>
      <c r="W195">
        <v>4644.5869300000004</v>
      </c>
      <c r="X195">
        <v>4644.3952799999997</v>
      </c>
      <c r="Y195">
        <v>4642.6037699999997</v>
      </c>
      <c r="Z195">
        <f t="shared" ref="Z195:Z258" si="37">G195</f>
        <v>4662.6482575</v>
      </c>
      <c r="AA195">
        <f t="shared" ref="AA195:AA258" si="38">N195</f>
        <v>4646.4269999999997</v>
      </c>
      <c r="AB195">
        <f t="shared" ref="AB195:AB258" si="39">H195</f>
        <v>4633.3667816666666</v>
      </c>
      <c r="AC195">
        <f t="shared" ref="AC195:AC258" si="40">O195</f>
        <v>4640.7753199999997</v>
      </c>
      <c r="AF195">
        <f t="shared" ref="AF195:AF258" si="41">X195</f>
        <v>4644.3952799999997</v>
      </c>
      <c r="AG195">
        <f t="shared" ref="AG195:AG258" si="42">Z195</f>
        <v>4662.6482575</v>
      </c>
      <c r="AH195">
        <f t="shared" ref="AH195:AH258" si="43">AB195</f>
        <v>4633.3667816666666</v>
      </c>
    </row>
    <row r="196" spans="1:34" x14ac:dyDescent="0.55000000000000004">
      <c r="A196">
        <f>ALGLIB_SSA_XAUUSD!J196</f>
        <v>1775448600</v>
      </c>
      <c r="B196" t="str">
        <f>_xlfn.XLOOKUP($A196,ALGLIB_SSA_XAUUSD!$A$2:$A$1000,ALGLIB_SSA_XAUUSD!$B$2:$B$1000,"",0)</f>
        <v/>
      </c>
      <c r="C196" t="str">
        <f>_xlfn.XLOOKUP($A196,ALGLIB_SSA_XAUUSD!$A$2:$A$1000,ALGLIB_SSA_XAUUSD!$C$2:$C$1000,"",0)</f>
        <v/>
      </c>
      <c r="D196" s="1">
        <f>D194+(D206-D194)*2/12</f>
        <v>4658.0366666666669</v>
      </c>
      <c r="E196" s="1">
        <f>E194+(E206-E194)*2/12</f>
        <v>4652.136356666666</v>
      </c>
      <c r="F196" s="1">
        <f>F194+(F206-F194)*2/12</f>
        <v>4645.3082816666665</v>
      </c>
      <c r="G196" s="1">
        <f>G194+(G206-G194)*2/12</f>
        <v>4663.381445</v>
      </c>
      <c r="H196" s="1">
        <f>H194+(H206-H194)*2/12</f>
        <v>4634.3094033333327</v>
      </c>
      <c r="I196" t="str">
        <f>_xlfn.XLOOKUP($A196,ALGLIB_SSA_XAUUSD!$J$2:$J$1000,ALGLIB_SSA_XAUUSD!$K$2:$K$1000,"",0)</f>
        <v>XAUUSD</v>
      </c>
      <c r="J196" t="str">
        <f>_xlfn.XLOOKUP($A196,ALGLIB_SSA_XAUUSD!$J$2:$J$1000,ALGLIB_SSA_XAUUSD!$L$2:$L$1000,"",0)</f>
        <v>M5</v>
      </c>
      <c r="K196">
        <f>_xlfn.XLOOKUP($A196,ALGLIB_SSA_XAUUSD!$J$2:$J$1000,ALGLIB_SSA_XAUUSD!$M$2:$M$1000,"",0)</f>
        <v>4643.54</v>
      </c>
      <c r="L196">
        <f>_xlfn.XLOOKUP($A196,ALGLIB_SSA_XAUUSD!$J$2:$J$1000,ALGLIB_SSA_XAUUSD!$N$2:$N$1000,"",0)</f>
        <v>4645.0585899999996</v>
      </c>
      <c r="M196">
        <f>_xlfn.XLOOKUP($A196,ALGLIB_SSA_XAUUSD!$J$2:$J$1000,ALGLIB_SSA_XAUUSD!$O$2:$O$1000,"",0)</f>
        <v>4643.8311800000001</v>
      </c>
      <c r="N196">
        <f>_xlfn.XLOOKUP($A196,ALGLIB_SSA_XAUUSD!$J$2:$J$1000,ALGLIB_SSA_XAUUSD!$P$2:$P$1000,"",0)</f>
        <v>4647.4194799999996</v>
      </c>
      <c r="O196">
        <f>_xlfn.XLOOKUP($A196,ALGLIB_SSA_XAUUSD!$J$2:$J$1000,ALGLIB_SSA_XAUUSD!$Q$2:$Q$1000,"",0)</f>
        <v>4642.0506699999996</v>
      </c>
      <c r="R196">
        <f t="shared" si="33"/>
        <v>1775448600</v>
      </c>
      <c r="S196" t="str">
        <f t="shared" si="34"/>
        <v>XAUUSD</v>
      </c>
      <c r="T196" t="str">
        <f t="shared" si="35"/>
        <v>M5</v>
      </c>
      <c r="U196">
        <f t="shared" si="36"/>
        <v>4643.54</v>
      </c>
      <c r="V196">
        <v>4652.1363600000004</v>
      </c>
      <c r="W196">
        <v>4645.3082800000002</v>
      </c>
      <c r="X196">
        <v>4645.0585899999996</v>
      </c>
      <c r="Y196">
        <v>4643.8311800000001</v>
      </c>
      <c r="Z196">
        <f t="shared" si="37"/>
        <v>4663.381445</v>
      </c>
      <c r="AA196">
        <f t="shared" si="38"/>
        <v>4647.4194799999996</v>
      </c>
      <c r="AB196">
        <f t="shared" si="39"/>
        <v>4634.3094033333327</v>
      </c>
      <c r="AC196">
        <f t="shared" si="40"/>
        <v>4642.0506699999996</v>
      </c>
      <c r="AF196">
        <f t="shared" si="41"/>
        <v>4645.0585899999996</v>
      </c>
      <c r="AG196">
        <f t="shared" si="42"/>
        <v>4663.381445</v>
      </c>
      <c r="AH196">
        <f t="shared" si="43"/>
        <v>4634.3094033333327</v>
      </c>
    </row>
    <row r="197" spans="1:34" x14ac:dyDescent="0.55000000000000004">
      <c r="A197">
        <f>ALGLIB_SSA_XAUUSD!J197</f>
        <v>1775448900</v>
      </c>
      <c r="B197" t="str">
        <f>_xlfn.XLOOKUP($A197,ALGLIB_SSA_XAUUSD!$A$2:$A$1000,ALGLIB_SSA_XAUUSD!$B$2:$B$1000,"",0)</f>
        <v/>
      </c>
      <c r="C197" t="str">
        <f>_xlfn.XLOOKUP($A197,ALGLIB_SSA_XAUUSD!$A$2:$A$1000,ALGLIB_SSA_XAUUSD!$C$2:$C$1000,"",0)</f>
        <v/>
      </c>
      <c r="D197" s="1">
        <f>D194+(D206-D194)*3/12</f>
        <v>4657.49</v>
      </c>
      <c r="E197" s="1">
        <f>E194+(E206-E194)*3/12</f>
        <v>4653.0405199999996</v>
      </c>
      <c r="F197" s="1">
        <f>F194+(F206-F194)*3/12</f>
        <v>4646.0296324999999</v>
      </c>
      <c r="G197" s="1">
        <f>G194+(G206-G194)*3/12</f>
        <v>4664.1146325</v>
      </c>
      <c r="H197" s="1">
        <f>H194+(H206-H194)*3/12</f>
        <v>4635.2520249999998</v>
      </c>
      <c r="I197" t="str">
        <f>_xlfn.XLOOKUP($A197,ALGLIB_SSA_XAUUSD!$J$2:$J$1000,ALGLIB_SSA_XAUUSD!$K$2:$K$1000,"",0)</f>
        <v>XAUUSD</v>
      </c>
      <c r="J197" t="str">
        <f>_xlfn.XLOOKUP($A197,ALGLIB_SSA_XAUUSD!$J$2:$J$1000,ALGLIB_SSA_XAUUSD!$L$2:$L$1000,"",0)</f>
        <v>M5</v>
      </c>
      <c r="K197">
        <f>_xlfn.XLOOKUP($A197,ALGLIB_SSA_XAUUSD!$J$2:$J$1000,ALGLIB_SSA_XAUUSD!$M$2:$M$1000,"",0)</f>
        <v>4643.5600000000004</v>
      </c>
      <c r="L197">
        <f>_xlfn.XLOOKUP($A197,ALGLIB_SSA_XAUUSD!$J$2:$J$1000,ALGLIB_SSA_XAUUSD!$N$2:$N$1000,"",0)</f>
        <v>4645.2500600000003</v>
      </c>
      <c r="M197">
        <f>_xlfn.XLOOKUP($A197,ALGLIB_SSA_XAUUSD!$J$2:$J$1000,ALGLIB_SSA_XAUUSD!$O$2:$O$1000,"",0)</f>
        <v>4644.5406199999998</v>
      </c>
      <c r="N197">
        <f>_xlfn.XLOOKUP($A197,ALGLIB_SSA_XAUUSD!$J$2:$J$1000,ALGLIB_SSA_XAUUSD!$P$2:$P$1000,"",0)</f>
        <v>4647.6498499999998</v>
      </c>
      <c r="O197">
        <f>_xlfn.XLOOKUP($A197,ALGLIB_SSA_XAUUSD!$J$2:$J$1000,ALGLIB_SSA_XAUUSD!$Q$2:$Q$1000,"",0)</f>
        <v>4642.7979500000001</v>
      </c>
      <c r="R197">
        <f t="shared" si="33"/>
        <v>1775448900</v>
      </c>
      <c r="S197" t="str">
        <f t="shared" si="34"/>
        <v>XAUUSD</v>
      </c>
      <c r="T197" t="str">
        <f t="shared" si="35"/>
        <v>M5</v>
      </c>
      <c r="U197">
        <f t="shared" si="36"/>
        <v>4643.5600000000004</v>
      </c>
      <c r="V197">
        <v>4653.0405199999996</v>
      </c>
      <c r="W197">
        <v>4646.02963</v>
      </c>
      <c r="X197">
        <v>4645.2500600000003</v>
      </c>
      <c r="Y197">
        <v>4644.5406199999998</v>
      </c>
      <c r="Z197">
        <f t="shared" si="37"/>
        <v>4664.1146325</v>
      </c>
      <c r="AA197">
        <f t="shared" si="38"/>
        <v>4647.6498499999998</v>
      </c>
      <c r="AB197">
        <f t="shared" si="39"/>
        <v>4635.2520249999998</v>
      </c>
      <c r="AC197">
        <f t="shared" si="40"/>
        <v>4642.7979500000001</v>
      </c>
      <c r="AF197">
        <f t="shared" si="41"/>
        <v>4645.2500600000003</v>
      </c>
      <c r="AG197">
        <f t="shared" si="42"/>
        <v>4664.1146325</v>
      </c>
      <c r="AH197">
        <f t="shared" si="43"/>
        <v>4635.2520249999998</v>
      </c>
    </row>
    <row r="198" spans="1:34" x14ac:dyDescent="0.55000000000000004">
      <c r="A198">
        <f>ALGLIB_SSA_XAUUSD!J198</f>
        <v>1775449200</v>
      </c>
      <c r="B198" t="str">
        <f>_xlfn.XLOOKUP($A198,ALGLIB_SSA_XAUUSD!$A$2:$A$1000,ALGLIB_SSA_XAUUSD!$B$2:$B$1000,"",0)</f>
        <v/>
      </c>
      <c r="C198" t="str">
        <f>_xlfn.XLOOKUP($A198,ALGLIB_SSA_XAUUSD!$A$2:$A$1000,ALGLIB_SSA_XAUUSD!$C$2:$C$1000,"",0)</f>
        <v/>
      </c>
      <c r="D198" s="1">
        <f>D194+(D206-D194)*4/12</f>
        <v>4656.9433333333336</v>
      </c>
      <c r="E198" s="1">
        <f>E194+(E206-E194)*4/12</f>
        <v>4653.9446833333332</v>
      </c>
      <c r="F198" s="1">
        <f>F194+(F206-F194)*4/12</f>
        <v>4646.7509833333334</v>
      </c>
      <c r="G198" s="1">
        <f>G194+(G206-G194)*4/12</f>
        <v>4664.84782</v>
      </c>
      <c r="H198" s="1">
        <f>H194+(H206-H194)*4/12</f>
        <v>4636.1946466666668</v>
      </c>
      <c r="I198" t="str">
        <f>_xlfn.XLOOKUP($A198,ALGLIB_SSA_XAUUSD!$J$2:$J$1000,ALGLIB_SSA_XAUUSD!$K$2:$K$1000,"",0)</f>
        <v>XAUUSD</v>
      </c>
      <c r="J198" t="str">
        <f>_xlfn.XLOOKUP($A198,ALGLIB_SSA_XAUUSD!$J$2:$J$1000,ALGLIB_SSA_XAUUSD!$L$2:$L$1000,"",0)</f>
        <v>M5</v>
      </c>
      <c r="K198">
        <f>_xlfn.XLOOKUP($A198,ALGLIB_SSA_XAUUSD!$J$2:$J$1000,ALGLIB_SSA_XAUUSD!$M$2:$M$1000,"",0)</f>
        <v>4642.1000000000004</v>
      </c>
      <c r="L198">
        <f>_xlfn.XLOOKUP($A198,ALGLIB_SSA_XAUUSD!$J$2:$J$1000,ALGLIB_SSA_XAUUSD!$N$2:$N$1000,"",0)</f>
        <v>4645.2378600000002</v>
      </c>
      <c r="M198">
        <f>_xlfn.XLOOKUP($A198,ALGLIB_SSA_XAUUSD!$J$2:$J$1000,ALGLIB_SSA_XAUUSD!$O$2:$O$1000,"",0)</f>
        <v>4644.8892400000004</v>
      </c>
      <c r="N198">
        <f>_xlfn.XLOOKUP($A198,ALGLIB_SSA_XAUUSD!$J$2:$J$1000,ALGLIB_SSA_XAUUSD!$P$2:$P$1000,"",0)</f>
        <v>4647.4559200000003</v>
      </c>
      <c r="O198">
        <f>_xlfn.XLOOKUP($A198,ALGLIB_SSA_XAUUSD!$J$2:$J$1000,ALGLIB_SSA_XAUUSD!$Q$2:$Q$1000,"",0)</f>
        <v>4643.1626399999996</v>
      </c>
      <c r="R198">
        <f t="shared" si="33"/>
        <v>1775449200</v>
      </c>
      <c r="S198" t="str">
        <f t="shared" si="34"/>
        <v>XAUUSD</v>
      </c>
      <c r="T198" t="str">
        <f t="shared" si="35"/>
        <v>M5</v>
      </c>
      <c r="U198">
        <f t="shared" si="36"/>
        <v>4642.1000000000004</v>
      </c>
      <c r="V198">
        <v>4653.9446799999996</v>
      </c>
      <c r="W198">
        <v>4646.7509799999998</v>
      </c>
      <c r="X198">
        <v>4645.2378600000002</v>
      </c>
      <c r="Y198">
        <v>4644.8892400000004</v>
      </c>
      <c r="Z198">
        <f t="shared" si="37"/>
        <v>4664.84782</v>
      </c>
      <c r="AA198">
        <f t="shared" si="38"/>
        <v>4647.4559200000003</v>
      </c>
      <c r="AB198">
        <f t="shared" si="39"/>
        <v>4636.1946466666668</v>
      </c>
      <c r="AC198">
        <f t="shared" si="40"/>
        <v>4643.1626399999996</v>
      </c>
      <c r="AF198">
        <f t="shared" si="41"/>
        <v>4645.2378600000002</v>
      </c>
      <c r="AG198">
        <f t="shared" si="42"/>
        <v>4664.84782</v>
      </c>
      <c r="AH198">
        <f t="shared" si="43"/>
        <v>4636.1946466666668</v>
      </c>
    </row>
    <row r="199" spans="1:34" x14ac:dyDescent="0.55000000000000004">
      <c r="A199">
        <f>ALGLIB_SSA_XAUUSD!J199</f>
        <v>1775449500</v>
      </c>
      <c r="B199" t="str">
        <f>_xlfn.XLOOKUP($A199,ALGLIB_SSA_XAUUSD!$A$2:$A$1000,ALGLIB_SSA_XAUUSD!$B$2:$B$1000,"",0)</f>
        <v/>
      </c>
      <c r="C199" t="str">
        <f>_xlfn.XLOOKUP($A199,ALGLIB_SSA_XAUUSD!$A$2:$A$1000,ALGLIB_SSA_XAUUSD!$C$2:$C$1000,"",0)</f>
        <v/>
      </c>
      <c r="D199" s="1">
        <f>D194+(D206-D194)*5/12</f>
        <v>4656.3966666666665</v>
      </c>
      <c r="E199" s="1">
        <f>E194+(E206-E194)*5/12</f>
        <v>4654.8488466666668</v>
      </c>
      <c r="F199" s="1">
        <f>F194+(F206-F194)*5/12</f>
        <v>4647.4723341666668</v>
      </c>
      <c r="G199" s="1">
        <f>G194+(G206-G194)*5/12</f>
        <v>4665.5810074999999</v>
      </c>
      <c r="H199" s="1">
        <f>H194+(H206-H194)*5/12</f>
        <v>4637.1372683333329</v>
      </c>
      <c r="I199" t="str">
        <f>_xlfn.XLOOKUP($A199,ALGLIB_SSA_XAUUSD!$J$2:$J$1000,ALGLIB_SSA_XAUUSD!$K$2:$K$1000,"",0)</f>
        <v>XAUUSD</v>
      </c>
      <c r="J199" t="str">
        <f>_xlfn.XLOOKUP($A199,ALGLIB_SSA_XAUUSD!$J$2:$J$1000,ALGLIB_SSA_XAUUSD!$L$2:$L$1000,"",0)</f>
        <v>M5</v>
      </c>
      <c r="K199">
        <f>_xlfn.XLOOKUP($A199,ALGLIB_SSA_XAUUSD!$J$2:$J$1000,ALGLIB_SSA_XAUUSD!$M$2:$M$1000,"",0)</f>
        <v>4646.8</v>
      </c>
      <c r="L199">
        <f>_xlfn.XLOOKUP($A199,ALGLIB_SSA_XAUUSD!$J$2:$J$1000,ALGLIB_SSA_XAUUSD!$N$2:$N$1000,"",0)</f>
        <v>4645.3946699999997</v>
      </c>
      <c r="M199">
        <f>_xlfn.XLOOKUP($A199,ALGLIB_SSA_XAUUSD!$J$2:$J$1000,ALGLIB_SSA_XAUUSD!$O$2:$O$1000,"",0)</f>
        <v>4645.1419599999999</v>
      </c>
      <c r="N199">
        <f>_xlfn.XLOOKUP($A199,ALGLIB_SSA_XAUUSD!$J$2:$J$1000,ALGLIB_SSA_XAUUSD!$P$2:$P$1000,"",0)</f>
        <v>4647.23315</v>
      </c>
      <c r="O199">
        <f>_xlfn.XLOOKUP($A199,ALGLIB_SSA_XAUUSD!$J$2:$J$1000,ALGLIB_SSA_XAUUSD!$Q$2:$Q$1000,"",0)</f>
        <v>4643.42994</v>
      </c>
      <c r="R199">
        <f t="shared" si="33"/>
        <v>1775449500</v>
      </c>
      <c r="S199" t="str">
        <f t="shared" si="34"/>
        <v>XAUUSD</v>
      </c>
      <c r="T199" t="str">
        <f t="shared" si="35"/>
        <v>M5</v>
      </c>
      <c r="U199">
        <f t="shared" si="36"/>
        <v>4646.8</v>
      </c>
      <c r="V199">
        <v>4654.8488500000003</v>
      </c>
      <c r="W199">
        <v>4647.4723299999996</v>
      </c>
      <c r="X199">
        <v>4645.3946699999997</v>
      </c>
      <c r="Y199">
        <v>4645.1419599999999</v>
      </c>
      <c r="Z199">
        <f t="shared" si="37"/>
        <v>4665.5810074999999</v>
      </c>
      <c r="AA199">
        <f t="shared" si="38"/>
        <v>4647.23315</v>
      </c>
      <c r="AB199">
        <f t="shared" si="39"/>
        <v>4637.1372683333329</v>
      </c>
      <c r="AC199">
        <f t="shared" si="40"/>
        <v>4643.42994</v>
      </c>
      <c r="AF199">
        <f t="shared" si="41"/>
        <v>4645.3946699999997</v>
      </c>
      <c r="AG199">
        <f t="shared" si="42"/>
        <v>4665.5810074999999</v>
      </c>
      <c r="AH199">
        <f t="shared" si="43"/>
        <v>4637.1372683333329</v>
      </c>
    </row>
    <row r="200" spans="1:34" x14ac:dyDescent="0.55000000000000004">
      <c r="A200">
        <f>ALGLIB_SSA_XAUUSD!J200</f>
        <v>1775449800</v>
      </c>
      <c r="B200" t="str">
        <f>_xlfn.XLOOKUP($A200,ALGLIB_SSA_XAUUSD!$A$2:$A$1000,ALGLIB_SSA_XAUUSD!$B$2:$B$1000,"",0)</f>
        <v/>
      </c>
      <c r="C200" t="str">
        <f>_xlfn.XLOOKUP($A200,ALGLIB_SSA_XAUUSD!$A$2:$A$1000,ALGLIB_SSA_XAUUSD!$C$2:$C$1000,"",0)</f>
        <v/>
      </c>
      <c r="D200" s="1">
        <f>D194+(D206-D194)*6/12</f>
        <v>4655.8500000000004</v>
      </c>
      <c r="E200" s="1">
        <f>E194+(E206-E194)*6/12</f>
        <v>4655.7530100000004</v>
      </c>
      <c r="F200" s="1">
        <f>F194+(F206-F194)*6/12</f>
        <v>4648.1936850000002</v>
      </c>
      <c r="G200" s="1">
        <f>G194+(G206-G194)*6/12</f>
        <v>4666.3141949999999</v>
      </c>
      <c r="H200" s="1">
        <f>H194+(H206-H194)*6/12</f>
        <v>4638.07989</v>
      </c>
      <c r="I200" t="str">
        <f>_xlfn.XLOOKUP($A200,ALGLIB_SSA_XAUUSD!$J$2:$J$1000,ALGLIB_SSA_XAUUSD!$K$2:$K$1000,"",0)</f>
        <v>XAUUSD</v>
      </c>
      <c r="J200" t="str">
        <f>_xlfn.XLOOKUP($A200,ALGLIB_SSA_XAUUSD!$J$2:$J$1000,ALGLIB_SSA_XAUUSD!$L$2:$L$1000,"",0)</f>
        <v>M5</v>
      </c>
      <c r="K200">
        <f>_xlfn.XLOOKUP($A200,ALGLIB_SSA_XAUUSD!$J$2:$J$1000,ALGLIB_SSA_XAUUSD!$M$2:$M$1000,"",0)</f>
        <v>4648.5200000000004</v>
      </c>
      <c r="L200">
        <f>_xlfn.XLOOKUP($A200,ALGLIB_SSA_XAUUSD!$J$2:$J$1000,ALGLIB_SSA_XAUUSD!$N$2:$N$1000,"",0)</f>
        <v>4645.9677099999999</v>
      </c>
      <c r="M200">
        <f>_xlfn.XLOOKUP($A200,ALGLIB_SSA_XAUUSD!$J$2:$J$1000,ALGLIB_SSA_XAUUSD!$O$2:$O$1000,"",0)</f>
        <v>4645.5548399999998</v>
      </c>
      <c r="N200">
        <f>_xlfn.XLOOKUP($A200,ALGLIB_SSA_XAUUSD!$J$2:$J$1000,ALGLIB_SSA_XAUUSD!$P$2:$P$1000,"",0)</f>
        <v>4647.3774000000003</v>
      </c>
      <c r="O200">
        <f>_xlfn.XLOOKUP($A200,ALGLIB_SSA_XAUUSD!$J$2:$J$1000,ALGLIB_SSA_XAUUSD!$Q$2:$Q$1000,"",0)</f>
        <v>4643.8919100000003</v>
      </c>
      <c r="R200">
        <f t="shared" si="33"/>
        <v>1775449800</v>
      </c>
      <c r="S200" t="str">
        <f t="shared" si="34"/>
        <v>XAUUSD</v>
      </c>
      <c r="T200" t="str">
        <f t="shared" si="35"/>
        <v>M5</v>
      </c>
      <c r="U200">
        <f t="shared" si="36"/>
        <v>4648.5200000000004</v>
      </c>
      <c r="V200">
        <v>4655.7530100000004</v>
      </c>
      <c r="W200">
        <v>4648.1936900000001</v>
      </c>
      <c r="X200">
        <v>4645.9677099999999</v>
      </c>
      <c r="Y200">
        <v>4645.5548399999998</v>
      </c>
      <c r="Z200">
        <f t="shared" si="37"/>
        <v>4666.3141949999999</v>
      </c>
      <c r="AA200">
        <f t="shared" si="38"/>
        <v>4647.3774000000003</v>
      </c>
      <c r="AB200">
        <f t="shared" si="39"/>
        <v>4638.07989</v>
      </c>
      <c r="AC200">
        <f t="shared" si="40"/>
        <v>4643.8919100000003</v>
      </c>
      <c r="AF200">
        <f t="shared" si="41"/>
        <v>4645.9677099999999</v>
      </c>
      <c r="AG200">
        <f t="shared" si="42"/>
        <v>4666.3141949999999</v>
      </c>
      <c r="AH200">
        <f t="shared" si="43"/>
        <v>4638.07989</v>
      </c>
    </row>
    <row r="201" spans="1:34" x14ac:dyDescent="0.55000000000000004">
      <c r="A201">
        <f>ALGLIB_SSA_XAUUSD!J201</f>
        <v>1775450100</v>
      </c>
      <c r="B201" t="str">
        <f>_xlfn.XLOOKUP($A201,ALGLIB_SSA_XAUUSD!$A$2:$A$1000,ALGLIB_SSA_XAUUSD!$B$2:$B$1000,"",0)</f>
        <v/>
      </c>
      <c r="C201" t="str">
        <f>_xlfn.XLOOKUP($A201,ALGLIB_SSA_XAUUSD!$A$2:$A$1000,ALGLIB_SSA_XAUUSD!$C$2:$C$1000,"",0)</f>
        <v/>
      </c>
      <c r="D201" s="1">
        <f>D194+(D206-D194)*7/12</f>
        <v>4655.3033333333333</v>
      </c>
      <c r="E201" s="1">
        <f>E194+(E206-E194)*7/12</f>
        <v>4656.657173333333</v>
      </c>
      <c r="F201" s="1">
        <f>F194+(F206-F194)*7/12</f>
        <v>4648.9150358333327</v>
      </c>
      <c r="G201" s="1">
        <f>G194+(G206-G194)*7/12</f>
        <v>4667.0473824999999</v>
      </c>
      <c r="H201" s="1">
        <f>H194+(H206-H194)*7/12</f>
        <v>4639.022511666667</v>
      </c>
      <c r="I201" t="str">
        <f>_xlfn.XLOOKUP($A201,ALGLIB_SSA_XAUUSD!$J$2:$J$1000,ALGLIB_SSA_XAUUSD!$K$2:$K$1000,"",0)</f>
        <v>XAUUSD</v>
      </c>
      <c r="J201" t="str">
        <f>_xlfn.XLOOKUP($A201,ALGLIB_SSA_XAUUSD!$J$2:$J$1000,ALGLIB_SSA_XAUUSD!$L$2:$L$1000,"",0)</f>
        <v>M5</v>
      </c>
      <c r="K201">
        <f>_xlfn.XLOOKUP($A201,ALGLIB_SSA_XAUUSD!$J$2:$J$1000,ALGLIB_SSA_XAUUSD!$M$2:$M$1000,"",0)</f>
        <v>4648.3900000000003</v>
      </c>
      <c r="L201">
        <f>_xlfn.XLOOKUP($A201,ALGLIB_SSA_XAUUSD!$J$2:$J$1000,ALGLIB_SSA_XAUUSD!$N$2:$N$1000,"",0)</f>
        <v>4647.2563200000004</v>
      </c>
      <c r="M201">
        <f>_xlfn.XLOOKUP($A201,ALGLIB_SSA_XAUUSD!$J$2:$J$1000,ALGLIB_SSA_XAUUSD!$O$2:$O$1000,"",0)</f>
        <v>4646.4055799999996</v>
      </c>
      <c r="N201">
        <f>_xlfn.XLOOKUP($A201,ALGLIB_SSA_XAUUSD!$J$2:$J$1000,ALGLIB_SSA_XAUUSD!$P$2:$P$1000,"",0)</f>
        <v>4648.2711399999998</v>
      </c>
      <c r="O201">
        <f>_xlfn.XLOOKUP($A201,ALGLIB_SSA_XAUUSD!$J$2:$J$1000,ALGLIB_SSA_XAUUSD!$Q$2:$Q$1000,"",0)</f>
        <v>4644.83032</v>
      </c>
      <c r="R201">
        <f t="shared" si="33"/>
        <v>1775450100</v>
      </c>
      <c r="S201" t="str">
        <f t="shared" si="34"/>
        <v>XAUUSD</v>
      </c>
      <c r="T201" t="str">
        <f t="shared" si="35"/>
        <v>M5</v>
      </c>
      <c r="U201">
        <f t="shared" si="36"/>
        <v>4648.3900000000003</v>
      </c>
      <c r="V201">
        <v>4656.6571700000004</v>
      </c>
      <c r="W201">
        <v>4648.9150399999999</v>
      </c>
      <c r="X201">
        <v>4647.2563200000004</v>
      </c>
      <c r="Y201">
        <v>4646.4055799999996</v>
      </c>
      <c r="Z201">
        <f t="shared" si="37"/>
        <v>4667.0473824999999</v>
      </c>
      <c r="AA201">
        <f t="shared" si="38"/>
        <v>4648.2711399999998</v>
      </c>
      <c r="AB201">
        <f t="shared" si="39"/>
        <v>4639.022511666667</v>
      </c>
      <c r="AC201">
        <f t="shared" si="40"/>
        <v>4644.83032</v>
      </c>
      <c r="AF201">
        <f t="shared" si="41"/>
        <v>4647.2563200000004</v>
      </c>
      <c r="AG201">
        <f t="shared" si="42"/>
        <v>4667.0473824999999</v>
      </c>
      <c r="AH201">
        <f t="shared" si="43"/>
        <v>4639.022511666667</v>
      </c>
    </row>
    <row r="202" spans="1:34" x14ac:dyDescent="0.55000000000000004">
      <c r="A202">
        <f>ALGLIB_SSA_XAUUSD!J202</f>
        <v>1775450400</v>
      </c>
      <c r="B202" t="str">
        <f>_xlfn.XLOOKUP($A202,ALGLIB_SSA_XAUUSD!$A$2:$A$1000,ALGLIB_SSA_XAUUSD!$B$2:$B$1000,"",0)</f>
        <v/>
      </c>
      <c r="C202" t="str">
        <f>_xlfn.XLOOKUP($A202,ALGLIB_SSA_XAUUSD!$A$2:$A$1000,ALGLIB_SSA_XAUUSD!$C$2:$C$1000,"",0)</f>
        <v/>
      </c>
      <c r="D202" s="1">
        <f>D194+(D206-D194)*8/12</f>
        <v>4654.7566666666662</v>
      </c>
      <c r="E202" s="1">
        <f>E194+(E206-E194)*8/12</f>
        <v>4657.5613366666666</v>
      </c>
      <c r="F202" s="1">
        <f>F194+(F206-F194)*8/12</f>
        <v>4649.6363866666661</v>
      </c>
      <c r="G202" s="1">
        <f>G194+(G206-G194)*8/12</f>
        <v>4667.7805699999999</v>
      </c>
      <c r="H202" s="1">
        <f>H194+(H206-H194)*8/12</f>
        <v>4639.9651333333331</v>
      </c>
      <c r="I202" t="str">
        <f>_xlfn.XLOOKUP($A202,ALGLIB_SSA_XAUUSD!$J$2:$J$1000,ALGLIB_SSA_XAUUSD!$K$2:$K$1000,"",0)</f>
        <v>XAUUSD</v>
      </c>
      <c r="J202" t="str">
        <f>_xlfn.XLOOKUP($A202,ALGLIB_SSA_XAUUSD!$J$2:$J$1000,ALGLIB_SSA_XAUUSD!$L$2:$L$1000,"",0)</f>
        <v>M5</v>
      </c>
      <c r="K202">
        <f>_xlfn.XLOOKUP($A202,ALGLIB_SSA_XAUUSD!$J$2:$J$1000,ALGLIB_SSA_XAUUSD!$M$2:$M$1000,"",0)</f>
        <v>4649</v>
      </c>
      <c r="L202">
        <f>_xlfn.XLOOKUP($A202,ALGLIB_SSA_XAUUSD!$J$2:$J$1000,ALGLIB_SSA_XAUUSD!$N$2:$N$1000,"",0)</f>
        <v>4649.5038400000003</v>
      </c>
      <c r="M202">
        <f>_xlfn.XLOOKUP($A202,ALGLIB_SSA_XAUUSD!$J$2:$J$1000,ALGLIB_SSA_XAUUSD!$O$2:$O$1000,"",0)</f>
        <v>4647.95471</v>
      </c>
      <c r="N202">
        <f>_xlfn.XLOOKUP($A202,ALGLIB_SSA_XAUUSD!$J$2:$J$1000,ALGLIB_SSA_XAUUSD!$P$2:$P$1000,"",0)</f>
        <v>4650.1799600000004</v>
      </c>
      <c r="O202">
        <f>_xlfn.XLOOKUP($A202,ALGLIB_SSA_XAUUSD!$J$2:$J$1000,ALGLIB_SSA_XAUUSD!$Q$2:$Q$1000,"",0)</f>
        <v>4646.3878800000002</v>
      </c>
      <c r="R202">
        <f t="shared" si="33"/>
        <v>1775450400</v>
      </c>
      <c r="S202" t="str">
        <f t="shared" si="34"/>
        <v>XAUUSD</v>
      </c>
      <c r="T202" t="str">
        <f t="shared" si="35"/>
        <v>M5</v>
      </c>
      <c r="U202">
        <f t="shared" si="36"/>
        <v>4649</v>
      </c>
      <c r="V202">
        <v>4657.5613400000002</v>
      </c>
      <c r="W202">
        <v>4649.6363899999997</v>
      </c>
      <c r="X202">
        <v>4649.5038400000003</v>
      </c>
      <c r="Y202">
        <v>4647.95471</v>
      </c>
      <c r="Z202">
        <f t="shared" si="37"/>
        <v>4667.7805699999999</v>
      </c>
      <c r="AA202">
        <f t="shared" si="38"/>
        <v>4650.1799600000004</v>
      </c>
      <c r="AB202">
        <f t="shared" si="39"/>
        <v>4639.9651333333331</v>
      </c>
      <c r="AC202">
        <f t="shared" si="40"/>
        <v>4646.3878800000002</v>
      </c>
      <c r="AF202">
        <f t="shared" si="41"/>
        <v>4649.5038400000003</v>
      </c>
      <c r="AG202">
        <f t="shared" si="42"/>
        <v>4667.7805699999999</v>
      </c>
      <c r="AH202">
        <f t="shared" si="43"/>
        <v>4639.9651333333331</v>
      </c>
    </row>
    <row r="203" spans="1:34" x14ac:dyDescent="0.55000000000000004">
      <c r="A203">
        <f>ALGLIB_SSA_XAUUSD!J203</f>
        <v>1775450700</v>
      </c>
      <c r="B203" t="str">
        <f>_xlfn.XLOOKUP($A203,ALGLIB_SSA_XAUUSD!$A$2:$A$1000,ALGLIB_SSA_XAUUSD!$B$2:$B$1000,"",0)</f>
        <v/>
      </c>
      <c r="C203" t="str">
        <f>_xlfn.XLOOKUP($A203,ALGLIB_SSA_XAUUSD!$A$2:$A$1000,ALGLIB_SSA_XAUUSD!$C$2:$C$1000,"",0)</f>
        <v/>
      </c>
      <c r="D203" s="1">
        <f>D194+(D206-D194)*9/12</f>
        <v>4654.21</v>
      </c>
      <c r="E203" s="1">
        <f>E194+(E206-E194)*9/12</f>
        <v>4658.4655000000002</v>
      </c>
      <c r="F203" s="1">
        <f>F194+(F206-F194)*9/12</f>
        <v>4650.3577374999995</v>
      </c>
      <c r="G203" s="1">
        <f>G194+(G206-G194)*9/12</f>
        <v>4668.5137574999999</v>
      </c>
      <c r="H203" s="1">
        <f>H194+(H206-H194)*9/12</f>
        <v>4640.9077550000002</v>
      </c>
      <c r="I203" t="str">
        <f>_xlfn.XLOOKUP($A203,ALGLIB_SSA_XAUUSD!$J$2:$J$1000,ALGLIB_SSA_XAUUSD!$K$2:$K$1000,"",0)</f>
        <v>XAUUSD</v>
      </c>
      <c r="J203" t="str">
        <f>_xlfn.XLOOKUP($A203,ALGLIB_SSA_XAUUSD!$J$2:$J$1000,ALGLIB_SSA_XAUUSD!$L$2:$L$1000,"",0)</f>
        <v>M5</v>
      </c>
      <c r="K203">
        <f>_xlfn.XLOOKUP($A203,ALGLIB_SSA_XAUUSD!$J$2:$J$1000,ALGLIB_SSA_XAUUSD!$M$2:$M$1000,"",0)</f>
        <v>4652.01</v>
      </c>
      <c r="L203">
        <f>_xlfn.XLOOKUP($A203,ALGLIB_SSA_XAUUSD!$J$2:$J$1000,ALGLIB_SSA_XAUUSD!$N$2:$N$1000,"",0)</f>
        <v>4652.7633599999999</v>
      </c>
      <c r="M203">
        <f>_xlfn.XLOOKUP($A203,ALGLIB_SSA_XAUUSD!$J$2:$J$1000,ALGLIB_SSA_XAUUSD!$O$2:$O$1000,"",0)</f>
        <v>4650.3590299999996</v>
      </c>
      <c r="N203">
        <f>_xlfn.XLOOKUP($A203,ALGLIB_SSA_XAUUSD!$J$2:$J$1000,ALGLIB_SSA_XAUUSD!$P$2:$P$1000,"",0)</f>
        <v>4653.2498599999999</v>
      </c>
      <c r="O203">
        <f>_xlfn.XLOOKUP($A203,ALGLIB_SSA_XAUUSD!$J$2:$J$1000,ALGLIB_SSA_XAUUSD!$Q$2:$Q$1000,"",0)</f>
        <v>4648.7649199999996</v>
      </c>
      <c r="R203">
        <f t="shared" si="33"/>
        <v>1775450700</v>
      </c>
      <c r="S203" t="str">
        <f t="shared" si="34"/>
        <v>XAUUSD</v>
      </c>
      <c r="T203" t="str">
        <f t="shared" si="35"/>
        <v>M5</v>
      </c>
      <c r="U203">
        <f t="shared" si="36"/>
        <v>4652.01</v>
      </c>
      <c r="V203">
        <v>4658.4655000000002</v>
      </c>
      <c r="W203">
        <v>4650.3577400000004</v>
      </c>
      <c r="X203">
        <v>4652.7633599999999</v>
      </c>
      <c r="Y203">
        <v>4650.3590299999996</v>
      </c>
      <c r="Z203">
        <f t="shared" si="37"/>
        <v>4668.5137574999999</v>
      </c>
      <c r="AA203">
        <f t="shared" si="38"/>
        <v>4653.2498599999999</v>
      </c>
      <c r="AB203">
        <f t="shared" si="39"/>
        <v>4640.9077550000002</v>
      </c>
      <c r="AC203">
        <f t="shared" si="40"/>
        <v>4648.7649199999996</v>
      </c>
      <c r="AF203">
        <f t="shared" si="41"/>
        <v>4652.7633599999999</v>
      </c>
      <c r="AG203">
        <f t="shared" si="42"/>
        <v>4668.5137574999999</v>
      </c>
      <c r="AH203">
        <f t="shared" si="43"/>
        <v>4640.9077550000002</v>
      </c>
    </row>
    <row r="204" spans="1:34" x14ac:dyDescent="0.55000000000000004">
      <c r="A204">
        <f>ALGLIB_SSA_XAUUSD!J204</f>
        <v>1775451000</v>
      </c>
      <c r="B204" t="str">
        <f>_xlfn.XLOOKUP($A204,ALGLIB_SSA_XAUUSD!$A$2:$A$1000,ALGLIB_SSA_XAUUSD!$B$2:$B$1000,"",0)</f>
        <v/>
      </c>
      <c r="C204" t="str">
        <f>_xlfn.XLOOKUP($A204,ALGLIB_SSA_XAUUSD!$A$2:$A$1000,ALGLIB_SSA_XAUUSD!$C$2:$C$1000,"",0)</f>
        <v/>
      </c>
      <c r="D204" s="1">
        <f>D194+(D206-D194)*10/12</f>
        <v>4653.663333333333</v>
      </c>
      <c r="E204" s="1">
        <f>E194+(E206-E194)*10/12</f>
        <v>4659.3696633333329</v>
      </c>
      <c r="F204" s="1">
        <f>F194+(F206-F194)*10/12</f>
        <v>4651.0790883333329</v>
      </c>
      <c r="G204" s="1">
        <f>G194+(G206-G194)*10/12</f>
        <v>4669.2469449999999</v>
      </c>
      <c r="H204" s="1">
        <f>H194+(H206-H194)*10/12</f>
        <v>4641.8503766666672</v>
      </c>
      <c r="I204" t="str">
        <f>_xlfn.XLOOKUP($A204,ALGLIB_SSA_XAUUSD!$J$2:$J$1000,ALGLIB_SSA_XAUUSD!$K$2:$K$1000,"",0)</f>
        <v>XAUUSD</v>
      </c>
      <c r="J204" t="str">
        <f>_xlfn.XLOOKUP($A204,ALGLIB_SSA_XAUUSD!$J$2:$J$1000,ALGLIB_SSA_XAUUSD!$L$2:$L$1000,"",0)</f>
        <v>M5</v>
      </c>
      <c r="K204">
        <f>_xlfn.XLOOKUP($A204,ALGLIB_SSA_XAUUSD!$J$2:$J$1000,ALGLIB_SSA_XAUUSD!$M$2:$M$1000,"",0)</f>
        <v>4656.13</v>
      </c>
      <c r="L204">
        <f>_xlfn.XLOOKUP($A204,ALGLIB_SSA_XAUUSD!$J$2:$J$1000,ALGLIB_SSA_XAUUSD!$N$2:$N$1000,"",0)</f>
        <v>4656.80195</v>
      </c>
      <c r="M204">
        <f>_xlfn.XLOOKUP($A204,ALGLIB_SSA_XAUUSD!$J$2:$J$1000,ALGLIB_SSA_XAUUSD!$O$2:$O$1000,"",0)</f>
        <v>4653.5804900000003</v>
      </c>
      <c r="N204">
        <f>_xlfn.XLOOKUP($A204,ALGLIB_SSA_XAUUSD!$J$2:$J$1000,ALGLIB_SSA_XAUUSD!$P$2:$P$1000,"",0)</f>
        <v>4657.3063300000003</v>
      </c>
      <c r="O204">
        <f>_xlfn.XLOOKUP($A204,ALGLIB_SSA_XAUUSD!$J$2:$J$1000,ALGLIB_SSA_XAUUSD!$Q$2:$Q$1000,"",0)</f>
        <v>4651.9996799999999</v>
      </c>
      <c r="R204">
        <f t="shared" si="33"/>
        <v>1775451000</v>
      </c>
      <c r="S204" t="str">
        <f t="shared" si="34"/>
        <v>XAUUSD</v>
      </c>
      <c r="T204" t="str">
        <f t="shared" si="35"/>
        <v>M5</v>
      </c>
      <c r="U204">
        <f t="shared" si="36"/>
        <v>4656.13</v>
      </c>
      <c r="V204">
        <v>4659.3696600000003</v>
      </c>
      <c r="W204">
        <v>4651.0790900000002</v>
      </c>
      <c r="X204">
        <v>4656.80195</v>
      </c>
      <c r="Y204">
        <v>4653.5804900000003</v>
      </c>
      <c r="Z204">
        <f t="shared" si="37"/>
        <v>4669.2469449999999</v>
      </c>
      <c r="AA204">
        <f t="shared" si="38"/>
        <v>4657.3063300000003</v>
      </c>
      <c r="AB204">
        <f t="shared" si="39"/>
        <v>4641.8503766666672</v>
      </c>
      <c r="AC204">
        <f t="shared" si="40"/>
        <v>4651.9996799999999</v>
      </c>
      <c r="AF204">
        <f t="shared" si="41"/>
        <v>4656.80195</v>
      </c>
      <c r="AG204">
        <f t="shared" si="42"/>
        <v>4669.2469449999999</v>
      </c>
      <c r="AH204">
        <f t="shared" si="43"/>
        <v>4641.8503766666672</v>
      </c>
    </row>
    <row r="205" spans="1:34" x14ac:dyDescent="0.55000000000000004">
      <c r="A205">
        <f>ALGLIB_SSA_XAUUSD!J205</f>
        <v>1775451300</v>
      </c>
      <c r="B205" t="str">
        <f>_xlfn.XLOOKUP($A205,ALGLIB_SSA_XAUUSD!$A$2:$A$1000,ALGLIB_SSA_XAUUSD!$B$2:$B$1000,"",0)</f>
        <v/>
      </c>
      <c r="C205" t="str">
        <f>_xlfn.XLOOKUP($A205,ALGLIB_SSA_XAUUSD!$A$2:$A$1000,ALGLIB_SSA_XAUUSD!$C$2:$C$1000,"",0)</f>
        <v/>
      </c>
      <c r="D205" s="1">
        <f>D194+(D206-D194)*11/12</f>
        <v>4653.1166666666668</v>
      </c>
      <c r="E205" s="1">
        <f>E194+(E206-E194)*11/12</f>
        <v>4660.2738266666665</v>
      </c>
      <c r="F205" s="1">
        <f>F194+(F206-F194)*11/12</f>
        <v>4651.8004391666664</v>
      </c>
      <c r="G205" s="1">
        <f>G194+(G206-G194)*11/12</f>
        <v>4669.9801324999999</v>
      </c>
      <c r="H205" s="1">
        <f>H194+(H206-H194)*11/12</f>
        <v>4642.7929983333333</v>
      </c>
      <c r="I205" t="str">
        <f>_xlfn.XLOOKUP($A205,ALGLIB_SSA_XAUUSD!$J$2:$J$1000,ALGLIB_SSA_XAUUSD!$K$2:$K$1000,"",0)</f>
        <v>XAUUSD</v>
      </c>
      <c r="J205" t="str">
        <f>_xlfn.XLOOKUP($A205,ALGLIB_SSA_XAUUSD!$J$2:$J$1000,ALGLIB_SSA_XAUUSD!$L$2:$L$1000,"",0)</f>
        <v>M5</v>
      </c>
      <c r="K205">
        <f>_xlfn.XLOOKUP($A205,ALGLIB_SSA_XAUUSD!$J$2:$J$1000,ALGLIB_SSA_XAUUSD!$M$2:$M$1000,"",0)</f>
        <v>4659.13</v>
      </c>
      <c r="L205">
        <f>_xlfn.XLOOKUP($A205,ALGLIB_SSA_XAUUSD!$J$2:$J$1000,ALGLIB_SSA_XAUUSD!$N$2:$N$1000,"",0)</f>
        <v>4661.2241800000002</v>
      </c>
      <c r="M205">
        <f>_xlfn.XLOOKUP($A205,ALGLIB_SSA_XAUUSD!$J$2:$J$1000,ALGLIB_SSA_XAUUSD!$O$2:$O$1000,"",0)</f>
        <v>4657.4023399999996</v>
      </c>
      <c r="N205">
        <f>_xlfn.XLOOKUP($A205,ALGLIB_SSA_XAUUSD!$J$2:$J$1000,ALGLIB_SSA_XAUUSD!$P$2:$P$1000,"",0)</f>
        <v>4661.93905</v>
      </c>
      <c r="O205">
        <f>_xlfn.XLOOKUP($A205,ALGLIB_SSA_XAUUSD!$J$2:$J$1000,ALGLIB_SSA_XAUUSD!$Q$2:$Q$1000,"",0)</f>
        <v>4655.8235500000001</v>
      </c>
      <c r="R205">
        <f t="shared" si="33"/>
        <v>1775451300</v>
      </c>
      <c r="S205" t="str">
        <f t="shared" si="34"/>
        <v>XAUUSD</v>
      </c>
      <c r="T205" t="str">
        <f t="shared" si="35"/>
        <v>M5</v>
      </c>
      <c r="U205">
        <f t="shared" si="36"/>
        <v>4659.13</v>
      </c>
      <c r="V205">
        <v>4660.2738300000001</v>
      </c>
      <c r="W205">
        <v>4651.80044</v>
      </c>
      <c r="X205">
        <v>4661.2241800000002</v>
      </c>
      <c r="Y205">
        <v>4657.4023399999996</v>
      </c>
      <c r="Z205">
        <f t="shared" si="37"/>
        <v>4669.9801324999999</v>
      </c>
      <c r="AA205">
        <f t="shared" si="38"/>
        <v>4661.93905</v>
      </c>
      <c r="AB205">
        <f t="shared" si="39"/>
        <v>4642.7929983333333</v>
      </c>
      <c r="AC205">
        <f t="shared" si="40"/>
        <v>4655.8235500000001</v>
      </c>
      <c r="AF205">
        <f t="shared" si="41"/>
        <v>4661.2241800000002</v>
      </c>
      <c r="AG205">
        <f t="shared" si="42"/>
        <v>4669.9801324999999</v>
      </c>
      <c r="AH205">
        <f t="shared" si="43"/>
        <v>4642.7929983333333</v>
      </c>
    </row>
    <row r="206" spans="1:34" x14ac:dyDescent="0.55000000000000004">
      <c r="A206">
        <f>ALGLIB_SSA_XAUUSD!J206</f>
        <v>1775451600</v>
      </c>
      <c r="B206" t="str">
        <f>_xlfn.XLOOKUP($A206,ALGLIB_SSA_XAUUSD!$A$2:$A$1000,ALGLIB_SSA_XAUUSD!$B$2:$B$1000,"",0)</f>
        <v>XAUUSD</v>
      </c>
      <c r="C206" t="str">
        <f>_xlfn.XLOOKUP($A206,ALGLIB_SSA_XAUUSD!$A$2:$A$1000,ALGLIB_SSA_XAUUSD!$C$2:$C$1000,"",0)</f>
        <v>H1</v>
      </c>
      <c r="D206" s="2">
        <f>_xlfn.XLOOKUP($A206,ALGLIB_SSA_XAUUSD!$A$2:$A$1000,ALGLIB_SSA_XAUUSD!$D$2:$D$1000,"",0)</f>
        <v>4652.57</v>
      </c>
      <c r="E206" s="2">
        <f>_xlfn.XLOOKUP($A206,ALGLIB_SSA_XAUUSD!$A$2:$A$1000,ALGLIB_SSA_XAUUSD!$E$2:$E$1000,"",0)</f>
        <v>4661.1779900000001</v>
      </c>
      <c r="F206" s="2">
        <f>_xlfn.XLOOKUP($A206,ALGLIB_SSA_XAUUSD!$A$2:$A$1000,ALGLIB_SSA_XAUUSD!$F$2:$F$1000,"",0)</f>
        <v>4652.5217899999998</v>
      </c>
      <c r="G206" s="2">
        <f>_xlfn.XLOOKUP($A206,ALGLIB_SSA_XAUUSD!$A$2:$A$1000,ALGLIB_SSA_XAUUSD!$G$2:$G$1000,"",0)</f>
        <v>4670.7133199999998</v>
      </c>
      <c r="H206" s="2">
        <f>_xlfn.XLOOKUP($A206,ALGLIB_SSA_XAUUSD!$A$2:$A$1000,ALGLIB_SSA_XAUUSD!$H$2:$H$1000,"",0)</f>
        <v>4643.7356200000004</v>
      </c>
      <c r="I206" t="str">
        <f>_xlfn.XLOOKUP($A206,ALGLIB_SSA_XAUUSD!$J$2:$J$1000,ALGLIB_SSA_XAUUSD!$K$2:$K$1000,"",0)</f>
        <v>XAUUSD</v>
      </c>
      <c r="J206" t="str">
        <f>_xlfn.XLOOKUP($A206,ALGLIB_SSA_XAUUSD!$J$2:$J$1000,ALGLIB_SSA_XAUUSD!$L$2:$L$1000,"",0)</f>
        <v>M5</v>
      </c>
      <c r="K206">
        <f>_xlfn.XLOOKUP($A206,ALGLIB_SSA_XAUUSD!$J$2:$J$1000,ALGLIB_SSA_XAUUSD!$M$2:$M$1000,"",0)</f>
        <v>4663.03</v>
      </c>
      <c r="L206">
        <f>_xlfn.XLOOKUP($A206,ALGLIB_SSA_XAUUSD!$J$2:$J$1000,ALGLIB_SSA_XAUUSD!$N$2:$N$1000,"",0)</f>
        <v>4665.5538399999996</v>
      </c>
      <c r="M206">
        <f>_xlfn.XLOOKUP($A206,ALGLIB_SSA_XAUUSD!$J$2:$J$1000,ALGLIB_SSA_XAUUSD!$O$2:$O$1000,"",0)</f>
        <v>4661.4780899999996</v>
      </c>
      <c r="N206">
        <f>_xlfn.XLOOKUP($A206,ALGLIB_SSA_XAUUSD!$J$2:$J$1000,ALGLIB_SSA_XAUUSD!$P$2:$P$1000,"",0)</f>
        <v>4666.6234700000005</v>
      </c>
      <c r="O206">
        <f>_xlfn.XLOOKUP($A206,ALGLIB_SSA_XAUUSD!$J$2:$J$1000,ALGLIB_SSA_XAUUSD!$Q$2:$Q$1000,"",0)</f>
        <v>4659.8976199999997</v>
      </c>
      <c r="R206">
        <f t="shared" si="33"/>
        <v>1775451600</v>
      </c>
      <c r="S206" t="str">
        <f t="shared" si="34"/>
        <v>XAUUSD</v>
      </c>
      <c r="T206" t="str">
        <f t="shared" si="35"/>
        <v>M5</v>
      </c>
      <c r="U206">
        <f t="shared" si="36"/>
        <v>4663.03</v>
      </c>
      <c r="V206">
        <v>4661.1779900000001</v>
      </c>
      <c r="W206">
        <v>4652.5217899999998</v>
      </c>
      <c r="X206">
        <v>4665.5538399999996</v>
      </c>
      <c r="Y206">
        <v>4661.4780899999996</v>
      </c>
      <c r="Z206">
        <f t="shared" si="37"/>
        <v>4670.7133199999998</v>
      </c>
      <c r="AA206">
        <f t="shared" si="38"/>
        <v>4666.6234700000005</v>
      </c>
      <c r="AB206">
        <f t="shared" si="39"/>
        <v>4643.7356200000004</v>
      </c>
      <c r="AC206">
        <f t="shared" si="40"/>
        <v>4659.8976199999997</v>
      </c>
      <c r="AF206">
        <f t="shared" si="41"/>
        <v>4665.5538399999996</v>
      </c>
      <c r="AG206">
        <f t="shared" si="42"/>
        <v>4670.7133199999998</v>
      </c>
      <c r="AH206">
        <f t="shared" si="43"/>
        <v>4643.7356200000004</v>
      </c>
    </row>
    <row r="207" spans="1:34" x14ac:dyDescent="0.55000000000000004">
      <c r="A207">
        <f>ALGLIB_SSA_XAUUSD!J207</f>
        <v>1775451900</v>
      </c>
      <c r="B207" t="str">
        <f>_xlfn.XLOOKUP($A207,ALGLIB_SSA_XAUUSD!$A$2:$A$1000,ALGLIB_SSA_XAUUSD!$B$2:$B$1000,"",0)</f>
        <v/>
      </c>
      <c r="C207" t="str">
        <f>_xlfn.XLOOKUP($A207,ALGLIB_SSA_XAUUSD!$A$2:$A$1000,ALGLIB_SSA_XAUUSD!$C$2:$C$1000,"",0)</f>
        <v/>
      </c>
      <c r="D207" s="1">
        <f>D206+(D218-D206)*1/12</f>
        <v>4653.684166666666</v>
      </c>
      <c r="E207" s="1">
        <f>E206+(E218-E206)*1/12</f>
        <v>4662.0940225000004</v>
      </c>
      <c r="F207" s="1">
        <f>F206+(F218-F206)*1/12</f>
        <v>4653.3404808333335</v>
      </c>
      <c r="G207" s="1">
        <f>G206+(G218-G206)*1/12</f>
        <v>4671.4651008333331</v>
      </c>
      <c r="H207" s="1">
        <f>H206+(H218-H206)*1/12</f>
        <v>4644.6871816666671</v>
      </c>
      <c r="I207" t="str">
        <f>_xlfn.XLOOKUP($A207,ALGLIB_SSA_XAUUSD!$J$2:$J$1000,ALGLIB_SSA_XAUUSD!$K$2:$K$1000,"",0)</f>
        <v>XAUUSD</v>
      </c>
      <c r="J207" t="str">
        <f>_xlfn.XLOOKUP($A207,ALGLIB_SSA_XAUUSD!$J$2:$J$1000,ALGLIB_SSA_XAUUSD!$L$2:$L$1000,"",0)</f>
        <v>M5</v>
      </c>
      <c r="K207">
        <f>_xlfn.XLOOKUP($A207,ALGLIB_SSA_XAUUSD!$J$2:$J$1000,ALGLIB_SSA_XAUUSD!$M$2:$M$1000,"",0)</f>
        <v>4670.96</v>
      </c>
      <c r="L207">
        <f>_xlfn.XLOOKUP($A207,ALGLIB_SSA_XAUUSD!$J$2:$J$1000,ALGLIB_SSA_XAUUSD!$N$2:$N$1000,"",0)</f>
        <v>4669.2755800000004</v>
      </c>
      <c r="M207">
        <f>_xlfn.XLOOKUP($A207,ALGLIB_SSA_XAUUSD!$J$2:$J$1000,ALGLIB_SSA_XAUUSD!$O$2:$O$1000,"",0)</f>
        <v>4665.3768300000002</v>
      </c>
      <c r="N207">
        <f>_xlfn.XLOOKUP($A207,ALGLIB_SSA_XAUUSD!$J$2:$J$1000,ALGLIB_SSA_XAUUSD!$P$2:$P$1000,"",0)</f>
        <v>4670.7853599999999</v>
      </c>
      <c r="O207">
        <f>_xlfn.XLOOKUP($A207,ALGLIB_SSA_XAUUSD!$J$2:$J$1000,ALGLIB_SSA_XAUUSD!$Q$2:$Q$1000,"",0)</f>
        <v>4663.7814900000003</v>
      </c>
      <c r="R207">
        <f t="shared" si="33"/>
        <v>1775451900</v>
      </c>
      <c r="S207" t="str">
        <f t="shared" si="34"/>
        <v>XAUUSD</v>
      </c>
      <c r="T207" t="str">
        <f t="shared" si="35"/>
        <v>M5</v>
      </c>
      <c r="U207">
        <f t="shared" si="36"/>
        <v>4670.96</v>
      </c>
      <c r="V207">
        <v>4662.0940199999995</v>
      </c>
      <c r="W207">
        <v>4653.3404799999998</v>
      </c>
      <c r="X207">
        <v>4669.2755800000004</v>
      </c>
      <c r="Y207">
        <v>4665.3768300000002</v>
      </c>
      <c r="Z207">
        <f t="shared" si="37"/>
        <v>4671.4651008333331</v>
      </c>
      <c r="AA207">
        <f t="shared" si="38"/>
        <v>4670.7853599999999</v>
      </c>
      <c r="AB207">
        <f t="shared" si="39"/>
        <v>4644.6871816666671</v>
      </c>
      <c r="AC207">
        <f t="shared" si="40"/>
        <v>4663.7814900000003</v>
      </c>
      <c r="AF207">
        <f t="shared" si="41"/>
        <v>4669.2755800000004</v>
      </c>
      <c r="AG207">
        <f t="shared" si="42"/>
        <v>4671.4651008333331</v>
      </c>
      <c r="AH207">
        <f t="shared" si="43"/>
        <v>4644.6871816666671</v>
      </c>
    </row>
    <row r="208" spans="1:34" x14ac:dyDescent="0.55000000000000004">
      <c r="A208">
        <f>ALGLIB_SSA_XAUUSD!J208</f>
        <v>1775452200</v>
      </c>
      <c r="B208" t="str">
        <f>_xlfn.XLOOKUP($A208,ALGLIB_SSA_XAUUSD!$A$2:$A$1000,ALGLIB_SSA_XAUUSD!$B$2:$B$1000,"",0)</f>
        <v/>
      </c>
      <c r="C208" t="str">
        <f>_xlfn.XLOOKUP($A208,ALGLIB_SSA_XAUUSD!$A$2:$A$1000,ALGLIB_SSA_XAUUSD!$C$2:$C$1000,"",0)</f>
        <v/>
      </c>
      <c r="D208" s="1">
        <f>D206+(D218-D206)*2/12</f>
        <v>4654.7983333333332</v>
      </c>
      <c r="E208" s="1">
        <f>E206+(E218-E206)*2/12</f>
        <v>4663.0100549999997</v>
      </c>
      <c r="F208" s="1">
        <f>F206+(F218-F206)*2/12</f>
        <v>4654.1591716666662</v>
      </c>
      <c r="G208" s="1">
        <f>G206+(G218-G206)*2/12</f>
        <v>4672.2168816666663</v>
      </c>
      <c r="H208" s="1">
        <f>H206+(H218-H206)*2/12</f>
        <v>4645.6387433333339</v>
      </c>
      <c r="I208" t="str">
        <f>_xlfn.XLOOKUP($A208,ALGLIB_SSA_XAUUSD!$J$2:$J$1000,ALGLIB_SSA_XAUUSD!$K$2:$K$1000,"",0)</f>
        <v>XAUUSD</v>
      </c>
      <c r="J208" t="str">
        <f>_xlfn.XLOOKUP($A208,ALGLIB_SSA_XAUUSD!$J$2:$J$1000,ALGLIB_SSA_XAUUSD!$L$2:$L$1000,"",0)</f>
        <v>M5</v>
      </c>
      <c r="K208">
        <f>_xlfn.XLOOKUP($A208,ALGLIB_SSA_XAUUSD!$J$2:$J$1000,ALGLIB_SSA_XAUUSD!$M$2:$M$1000,"",0)</f>
        <v>4673.6899999999996</v>
      </c>
      <c r="L208">
        <f>_xlfn.XLOOKUP($A208,ALGLIB_SSA_XAUUSD!$J$2:$J$1000,ALGLIB_SSA_XAUUSD!$N$2:$N$1000,"",0)</f>
        <v>4671.83583</v>
      </c>
      <c r="M208">
        <f>_xlfn.XLOOKUP($A208,ALGLIB_SSA_XAUUSD!$J$2:$J$1000,ALGLIB_SSA_XAUUSD!$O$2:$O$1000,"",0)</f>
        <v>4668.6063299999996</v>
      </c>
      <c r="N208">
        <f>_xlfn.XLOOKUP($A208,ALGLIB_SSA_XAUUSD!$J$2:$J$1000,ALGLIB_SSA_XAUUSD!$P$2:$P$1000,"",0)</f>
        <v>4673.87482</v>
      </c>
      <c r="O208">
        <f>_xlfn.XLOOKUP($A208,ALGLIB_SSA_XAUUSD!$J$2:$J$1000,ALGLIB_SSA_XAUUSD!$Q$2:$Q$1000,"",0)</f>
        <v>4666.9796699999997</v>
      </c>
      <c r="R208">
        <f t="shared" si="33"/>
        <v>1775452200</v>
      </c>
      <c r="S208" t="str">
        <f t="shared" si="34"/>
        <v>XAUUSD</v>
      </c>
      <c r="T208" t="str">
        <f t="shared" si="35"/>
        <v>M5</v>
      </c>
      <c r="U208">
        <f t="shared" si="36"/>
        <v>4673.6899999999996</v>
      </c>
      <c r="V208">
        <v>4663.0100599999996</v>
      </c>
      <c r="W208">
        <v>4654.1591699999999</v>
      </c>
      <c r="X208">
        <v>4671.83583</v>
      </c>
      <c r="Y208">
        <v>4668.6063299999996</v>
      </c>
      <c r="Z208">
        <f t="shared" si="37"/>
        <v>4672.2168816666663</v>
      </c>
      <c r="AA208">
        <f t="shared" si="38"/>
        <v>4673.87482</v>
      </c>
      <c r="AB208">
        <f t="shared" si="39"/>
        <v>4645.6387433333339</v>
      </c>
      <c r="AC208">
        <f t="shared" si="40"/>
        <v>4666.9796699999997</v>
      </c>
      <c r="AF208">
        <f t="shared" si="41"/>
        <v>4671.83583</v>
      </c>
      <c r="AG208">
        <f t="shared" si="42"/>
        <v>4672.2168816666663</v>
      </c>
      <c r="AH208">
        <f t="shared" si="43"/>
        <v>4645.6387433333339</v>
      </c>
    </row>
    <row r="209" spans="1:34" x14ac:dyDescent="0.55000000000000004">
      <c r="A209">
        <f>ALGLIB_SSA_XAUUSD!J209</f>
        <v>1775452500</v>
      </c>
      <c r="B209" t="str">
        <f>_xlfn.XLOOKUP($A209,ALGLIB_SSA_XAUUSD!$A$2:$A$1000,ALGLIB_SSA_XAUUSD!$B$2:$B$1000,"",0)</f>
        <v/>
      </c>
      <c r="C209" t="str">
        <f>_xlfn.XLOOKUP($A209,ALGLIB_SSA_XAUUSD!$A$2:$A$1000,ALGLIB_SSA_XAUUSD!$C$2:$C$1000,"",0)</f>
        <v/>
      </c>
      <c r="D209" s="1">
        <f>D206+(D218-D206)*3/12</f>
        <v>4655.9124999999995</v>
      </c>
      <c r="E209" s="1">
        <f>E206+(E218-E206)*3/12</f>
        <v>4663.9260875</v>
      </c>
      <c r="F209" s="1">
        <f>F206+(F218-F206)*3/12</f>
        <v>4654.9778624999999</v>
      </c>
      <c r="G209" s="1">
        <f>G206+(G218-G206)*3/12</f>
        <v>4672.9686624999995</v>
      </c>
      <c r="H209" s="1">
        <f>H206+(H218-H206)*3/12</f>
        <v>4646.5903050000006</v>
      </c>
      <c r="I209" t="str">
        <f>_xlfn.XLOOKUP($A209,ALGLIB_SSA_XAUUSD!$J$2:$J$1000,ALGLIB_SSA_XAUUSD!$K$2:$K$1000,"",0)</f>
        <v>XAUUSD</v>
      </c>
      <c r="J209" t="str">
        <f>_xlfn.XLOOKUP($A209,ALGLIB_SSA_XAUUSD!$J$2:$J$1000,ALGLIB_SSA_XAUUSD!$L$2:$L$1000,"",0)</f>
        <v>M5</v>
      </c>
      <c r="K209">
        <f>_xlfn.XLOOKUP($A209,ALGLIB_SSA_XAUUSD!$J$2:$J$1000,ALGLIB_SSA_XAUUSD!$M$2:$M$1000,"",0)</f>
        <v>4677.46</v>
      </c>
      <c r="L209">
        <f>_xlfn.XLOOKUP($A209,ALGLIB_SSA_XAUUSD!$J$2:$J$1000,ALGLIB_SSA_XAUUSD!$N$2:$N$1000,"",0)</f>
        <v>4672.9606700000004</v>
      </c>
      <c r="M209">
        <f>_xlfn.XLOOKUP($A209,ALGLIB_SSA_XAUUSD!$J$2:$J$1000,ALGLIB_SSA_XAUUSD!$O$2:$O$1000,"",0)</f>
        <v>4670.7834999999995</v>
      </c>
      <c r="N209">
        <f>_xlfn.XLOOKUP($A209,ALGLIB_SSA_XAUUSD!$J$2:$J$1000,ALGLIB_SSA_XAUUSD!$P$2:$P$1000,"",0)</f>
        <v>4675.5013600000002</v>
      </c>
      <c r="O209">
        <f>_xlfn.XLOOKUP($A209,ALGLIB_SSA_XAUUSD!$J$2:$J$1000,ALGLIB_SSA_XAUUSD!$Q$2:$Q$1000,"",0)</f>
        <v>4668.9796800000004</v>
      </c>
      <c r="R209">
        <f t="shared" si="33"/>
        <v>1775452500</v>
      </c>
      <c r="S209" t="str">
        <f t="shared" si="34"/>
        <v>XAUUSD</v>
      </c>
      <c r="T209" t="str">
        <f t="shared" si="35"/>
        <v>M5</v>
      </c>
      <c r="U209">
        <f t="shared" si="36"/>
        <v>4677.46</v>
      </c>
      <c r="V209">
        <v>4663.9260899999999</v>
      </c>
      <c r="W209">
        <v>4654.97786</v>
      </c>
      <c r="X209">
        <v>4672.9606700000004</v>
      </c>
      <c r="Y209">
        <v>4670.7834999999995</v>
      </c>
      <c r="Z209">
        <f t="shared" si="37"/>
        <v>4672.9686624999995</v>
      </c>
      <c r="AA209">
        <f t="shared" si="38"/>
        <v>4675.5013600000002</v>
      </c>
      <c r="AB209">
        <f t="shared" si="39"/>
        <v>4646.5903050000006</v>
      </c>
      <c r="AC209">
        <f t="shared" si="40"/>
        <v>4668.9796800000004</v>
      </c>
      <c r="AF209">
        <f t="shared" si="41"/>
        <v>4672.9606700000004</v>
      </c>
      <c r="AG209">
        <f t="shared" si="42"/>
        <v>4672.9686624999995</v>
      </c>
      <c r="AH209">
        <f t="shared" si="43"/>
        <v>4646.5903050000006</v>
      </c>
    </row>
    <row r="210" spans="1:34" x14ac:dyDescent="0.55000000000000004">
      <c r="A210">
        <f>ALGLIB_SSA_XAUUSD!J210</f>
        <v>1775452800</v>
      </c>
      <c r="B210" t="str">
        <f>_xlfn.XLOOKUP($A210,ALGLIB_SSA_XAUUSD!$A$2:$A$1000,ALGLIB_SSA_XAUUSD!$B$2:$B$1000,"",0)</f>
        <v/>
      </c>
      <c r="C210" t="str">
        <f>_xlfn.XLOOKUP($A210,ALGLIB_SSA_XAUUSD!$A$2:$A$1000,ALGLIB_SSA_XAUUSD!$C$2:$C$1000,"",0)</f>
        <v/>
      </c>
      <c r="D210" s="1">
        <f>D206+(D218-D206)*4/12</f>
        <v>4657.0266666666666</v>
      </c>
      <c r="E210" s="1">
        <f>E206+(E218-E206)*4/12</f>
        <v>4664.8421200000003</v>
      </c>
      <c r="F210" s="1">
        <f>F206+(F218-F206)*4/12</f>
        <v>4655.7965533333336</v>
      </c>
      <c r="G210" s="1">
        <f>G206+(G218-G206)*4/12</f>
        <v>4673.7204433333336</v>
      </c>
      <c r="H210" s="1">
        <f>H206+(H218-H206)*4/12</f>
        <v>4647.5418666666674</v>
      </c>
      <c r="I210" t="str">
        <f>_xlfn.XLOOKUP($A210,ALGLIB_SSA_XAUUSD!$J$2:$J$1000,ALGLIB_SSA_XAUUSD!$K$2:$K$1000,"",0)</f>
        <v>XAUUSD</v>
      </c>
      <c r="J210" t="str">
        <f>_xlfn.XLOOKUP($A210,ALGLIB_SSA_XAUUSD!$J$2:$J$1000,ALGLIB_SSA_XAUUSD!$L$2:$L$1000,"",0)</f>
        <v>M5</v>
      </c>
      <c r="K210">
        <f>_xlfn.XLOOKUP($A210,ALGLIB_SSA_XAUUSD!$J$2:$J$1000,ALGLIB_SSA_XAUUSD!$M$2:$M$1000,"",0)</f>
        <v>4673.74</v>
      </c>
      <c r="L210">
        <f>_xlfn.XLOOKUP($A210,ALGLIB_SSA_XAUUSD!$J$2:$J$1000,ALGLIB_SSA_XAUUSD!$N$2:$N$1000,"",0)</f>
        <v>4672.5544099999997</v>
      </c>
      <c r="M210">
        <f>_xlfn.XLOOKUP($A210,ALGLIB_SSA_XAUUSD!$J$2:$J$1000,ALGLIB_SSA_XAUUSD!$O$2:$O$1000,"",0)</f>
        <v>4671.6689500000002</v>
      </c>
      <c r="N210">
        <f>_xlfn.XLOOKUP($A210,ALGLIB_SSA_XAUUSD!$J$2:$J$1000,ALGLIB_SSA_XAUUSD!$P$2:$P$1000,"",0)</f>
        <v>4675.6082299999998</v>
      </c>
      <c r="O210">
        <f>_xlfn.XLOOKUP($A210,ALGLIB_SSA_XAUUSD!$J$2:$J$1000,ALGLIB_SSA_XAUUSD!$Q$2:$Q$1000,"",0)</f>
        <v>4669.5083100000002</v>
      </c>
      <c r="R210">
        <f t="shared" si="33"/>
        <v>1775452800</v>
      </c>
      <c r="S210" t="str">
        <f t="shared" si="34"/>
        <v>XAUUSD</v>
      </c>
      <c r="T210" t="str">
        <f t="shared" si="35"/>
        <v>M5</v>
      </c>
      <c r="U210">
        <f t="shared" si="36"/>
        <v>4673.74</v>
      </c>
      <c r="V210">
        <v>4664.8421200000003</v>
      </c>
      <c r="W210">
        <v>4655.79655</v>
      </c>
      <c r="X210">
        <v>4672.5544099999997</v>
      </c>
      <c r="Y210">
        <v>4671.6689500000002</v>
      </c>
      <c r="Z210">
        <f t="shared" si="37"/>
        <v>4673.7204433333336</v>
      </c>
      <c r="AA210">
        <f t="shared" si="38"/>
        <v>4675.6082299999998</v>
      </c>
      <c r="AB210">
        <f t="shared" si="39"/>
        <v>4647.5418666666674</v>
      </c>
      <c r="AC210">
        <f t="shared" si="40"/>
        <v>4669.5083100000002</v>
      </c>
      <c r="AF210">
        <f t="shared" si="41"/>
        <v>4672.5544099999997</v>
      </c>
      <c r="AG210">
        <f t="shared" si="42"/>
        <v>4673.7204433333336</v>
      </c>
      <c r="AH210">
        <f t="shared" si="43"/>
        <v>4647.5418666666674</v>
      </c>
    </row>
    <row r="211" spans="1:34" x14ac:dyDescent="0.55000000000000004">
      <c r="A211">
        <f>ALGLIB_SSA_XAUUSD!J211</f>
        <v>1775453100</v>
      </c>
      <c r="B211" t="str">
        <f>_xlfn.XLOOKUP($A211,ALGLIB_SSA_XAUUSD!$A$2:$A$1000,ALGLIB_SSA_XAUUSD!$B$2:$B$1000,"",0)</f>
        <v/>
      </c>
      <c r="C211" t="str">
        <f>_xlfn.XLOOKUP($A211,ALGLIB_SSA_XAUUSD!$A$2:$A$1000,ALGLIB_SSA_XAUUSD!$C$2:$C$1000,"",0)</f>
        <v/>
      </c>
      <c r="D211" s="1">
        <f>D206+(D218-D206)*5/12</f>
        <v>4658.1408333333329</v>
      </c>
      <c r="E211" s="1">
        <f>E206+(E218-E206)*5/12</f>
        <v>4665.7581524999996</v>
      </c>
      <c r="F211" s="1">
        <f>F206+(F218-F206)*5/12</f>
        <v>4656.6152441666663</v>
      </c>
      <c r="G211" s="1">
        <f>G206+(G218-G206)*5/12</f>
        <v>4674.4722241666668</v>
      </c>
      <c r="H211" s="1">
        <f>H206+(H218-H206)*5/12</f>
        <v>4648.4934283333341</v>
      </c>
      <c r="I211" t="str">
        <f>_xlfn.XLOOKUP($A211,ALGLIB_SSA_XAUUSD!$J$2:$J$1000,ALGLIB_SSA_XAUUSD!$K$2:$K$1000,"",0)</f>
        <v>XAUUSD</v>
      </c>
      <c r="J211" t="str">
        <f>_xlfn.XLOOKUP($A211,ALGLIB_SSA_XAUUSD!$J$2:$J$1000,ALGLIB_SSA_XAUUSD!$L$2:$L$1000,"",0)</f>
        <v>M5</v>
      </c>
      <c r="K211">
        <f>_xlfn.XLOOKUP($A211,ALGLIB_SSA_XAUUSD!$J$2:$J$1000,ALGLIB_SSA_XAUUSD!$M$2:$M$1000,"",0)</f>
        <v>4667.3</v>
      </c>
      <c r="L211">
        <f>_xlfn.XLOOKUP($A211,ALGLIB_SSA_XAUUSD!$J$2:$J$1000,ALGLIB_SSA_XAUUSD!$N$2:$N$1000,"",0)</f>
        <v>4670.9160599999996</v>
      </c>
      <c r="M211">
        <f>_xlfn.XLOOKUP($A211,ALGLIB_SSA_XAUUSD!$J$2:$J$1000,ALGLIB_SSA_XAUUSD!$O$2:$O$1000,"",0)</f>
        <v>4671.2924999999996</v>
      </c>
      <c r="N211">
        <f>_xlfn.XLOOKUP($A211,ALGLIB_SSA_XAUUSD!$J$2:$J$1000,ALGLIB_SSA_XAUUSD!$P$2:$P$1000,"",0)</f>
        <v>4674.3608999999997</v>
      </c>
      <c r="O211">
        <f>_xlfn.XLOOKUP($A211,ALGLIB_SSA_XAUUSD!$J$2:$J$1000,ALGLIB_SSA_XAUUSD!$Q$2:$Q$1000,"",0)</f>
        <v>4668.69985</v>
      </c>
      <c r="R211">
        <f t="shared" si="33"/>
        <v>1775453100</v>
      </c>
      <c r="S211" t="str">
        <f t="shared" si="34"/>
        <v>XAUUSD</v>
      </c>
      <c r="T211" t="str">
        <f t="shared" si="35"/>
        <v>M5</v>
      </c>
      <c r="U211">
        <f t="shared" si="36"/>
        <v>4667.3</v>
      </c>
      <c r="V211">
        <v>4665.7581499999997</v>
      </c>
      <c r="W211">
        <v>4656.6152400000001</v>
      </c>
      <c r="X211">
        <v>4670.9160599999996</v>
      </c>
      <c r="Y211">
        <v>4671.2924999999996</v>
      </c>
      <c r="Z211">
        <f t="shared" si="37"/>
        <v>4674.4722241666668</v>
      </c>
      <c r="AA211">
        <f t="shared" si="38"/>
        <v>4674.3608999999997</v>
      </c>
      <c r="AB211">
        <f t="shared" si="39"/>
        <v>4648.4934283333341</v>
      </c>
      <c r="AC211">
        <f t="shared" si="40"/>
        <v>4668.69985</v>
      </c>
      <c r="AF211">
        <f t="shared" si="41"/>
        <v>4670.9160599999996</v>
      </c>
      <c r="AG211">
        <f t="shared" si="42"/>
        <v>4674.4722241666668</v>
      </c>
      <c r="AH211">
        <f t="shared" si="43"/>
        <v>4648.4934283333341</v>
      </c>
    </row>
    <row r="212" spans="1:34" x14ac:dyDescent="0.55000000000000004">
      <c r="A212">
        <f>ALGLIB_SSA_XAUUSD!J212</f>
        <v>1775453400</v>
      </c>
      <c r="B212" t="str">
        <f>_xlfn.XLOOKUP($A212,ALGLIB_SSA_XAUUSD!$A$2:$A$1000,ALGLIB_SSA_XAUUSD!$B$2:$B$1000,"",0)</f>
        <v/>
      </c>
      <c r="C212" t="str">
        <f>_xlfn.XLOOKUP($A212,ALGLIB_SSA_XAUUSD!$A$2:$A$1000,ALGLIB_SSA_XAUUSD!$C$2:$C$1000,"",0)</f>
        <v/>
      </c>
      <c r="D212" s="1">
        <f>D206+(D218-D206)*6/12</f>
        <v>4659.2549999999992</v>
      </c>
      <c r="E212" s="1">
        <f>E206+(E218-E206)*6/12</f>
        <v>4666.6741849999999</v>
      </c>
      <c r="F212" s="1">
        <f>F206+(F218-F206)*6/12</f>
        <v>4657.433935</v>
      </c>
      <c r="G212" s="1">
        <f>G206+(G218-G206)*6/12</f>
        <v>4675.224005</v>
      </c>
      <c r="H212" s="1">
        <f>H206+(H218-H206)*6/12</f>
        <v>4649.44499</v>
      </c>
      <c r="I212" t="str">
        <f>_xlfn.XLOOKUP($A212,ALGLIB_SSA_XAUUSD!$J$2:$J$1000,ALGLIB_SSA_XAUUSD!$K$2:$K$1000,"",0)</f>
        <v>XAUUSD</v>
      </c>
      <c r="J212" t="str">
        <f>_xlfn.XLOOKUP($A212,ALGLIB_SSA_XAUUSD!$J$2:$J$1000,ALGLIB_SSA_XAUUSD!$L$2:$L$1000,"",0)</f>
        <v>M5</v>
      </c>
      <c r="K212">
        <f>_xlfn.XLOOKUP($A212,ALGLIB_SSA_XAUUSD!$J$2:$J$1000,ALGLIB_SSA_XAUUSD!$M$2:$M$1000,"",0)</f>
        <v>4667.47</v>
      </c>
      <c r="L212">
        <f>_xlfn.XLOOKUP($A212,ALGLIB_SSA_XAUUSD!$J$2:$J$1000,ALGLIB_SSA_XAUUSD!$N$2:$N$1000,"",0)</f>
        <v>4668.5599499999998</v>
      </c>
      <c r="M212">
        <f>_xlfn.XLOOKUP($A212,ALGLIB_SSA_XAUUSD!$J$2:$J$1000,ALGLIB_SSA_XAUUSD!$O$2:$O$1000,"",0)</f>
        <v>4669.92623</v>
      </c>
      <c r="N212">
        <f>_xlfn.XLOOKUP($A212,ALGLIB_SSA_XAUUSD!$J$2:$J$1000,ALGLIB_SSA_XAUUSD!$P$2:$P$1000,"",0)</f>
        <v>4672.2420099999999</v>
      </c>
      <c r="O212">
        <f>_xlfn.XLOOKUP($A212,ALGLIB_SSA_XAUUSD!$J$2:$J$1000,ALGLIB_SSA_XAUUSD!$Q$2:$Q$1000,"",0)</f>
        <v>4666.7853100000002</v>
      </c>
      <c r="R212">
        <f t="shared" si="33"/>
        <v>1775453400</v>
      </c>
      <c r="S212" t="str">
        <f t="shared" si="34"/>
        <v>XAUUSD</v>
      </c>
      <c r="T212" t="str">
        <f t="shared" si="35"/>
        <v>M5</v>
      </c>
      <c r="U212">
        <f t="shared" si="36"/>
        <v>4667.47</v>
      </c>
      <c r="V212">
        <v>4666.6741899999997</v>
      </c>
      <c r="W212">
        <v>4657.4339399999999</v>
      </c>
      <c r="X212">
        <v>4668.5599499999998</v>
      </c>
      <c r="Y212">
        <v>4669.92623</v>
      </c>
      <c r="Z212">
        <f t="shared" si="37"/>
        <v>4675.224005</v>
      </c>
      <c r="AA212">
        <f t="shared" si="38"/>
        <v>4672.2420099999999</v>
      </c>
      <c r="AB212">
        <f t="shared" si="39"/>
        <v>4649.44499</v>
      </c>
      <c r="AC212">
        <f t="shared" si="40"/>
        <v>4666.7853100000002</v>
      </c>
      <c r="AF212">
        <f t="shared" si="41"/>
        <v>4668.5599499999998</v>
      </c>
      <c r="AG212">
        <f t="shared" si="42"/>
        <v>4675.224005</v>
      </c>
      <c r="AH212">
        <f t="shared" si="43"/>
        <v>4649.44499</v>
      </c>
    </row>
    <row r="213" spans="1:34" x14ac:dyDescent="0.55000000000000004">
      <c r="A213">
        <f>ALGLIB_SSA_XAUUSD!J213</f>
        <v>1775453700</v>
      </c>
      <c r="B213" t="str">
        <f>_xlfn.XLOOKUP($A213,ALGLIB_SSA_XAUUSD!$A$2:$A$1000,ALGLIB_SSA_XAUUSD!$B$2:$B$1000,"",0)</f>
        <v/>
      </c>
      <c r="C213" t="str">
        <f>_xlfn.XLOOKUP($A213,ALGLIB_SSA_XAUUSD!$A$2:$A$1000,ALGLIB_SSA_XAUUSD!$C$2:$C$1000,"",0)</f>
        <v/>
      </c>
      <c r="D213" s="1">
        <f>D206+(D218-D206)*7/12</f>
        <v>4660.3691666666664</v>
      </c>
      <c r="E213" s="1">
        <f>E206+(E218-E206)*7/12</f>
        <v>4667.5902175000001</v>
      </c>
      <c r="F213" s="1">
        <f>F206+(F218-F206)*7/12</f>
        <v>4658.2526258333337</v>
      </c>
      <c r="G213" s="1">
        <f>G206+(G218-G206)*7/12</f>
        <v>4675.9757858333332</v>
      </c>
      <c r="H213" s="1">
        <f>H206+(H218-H206)*7/12</f>
        <v>4650.3965516666667</v>
      </c>
      <c r="I213" t="str">
        <f>_xlfn.XLOOKUP($A213,ALGLIB_SSA_XAUUSD!$J$2:$J$1000,ALGLIB_SSA_XAUUSD!$K$2:$K$1000,"",0)</f>
        <v>XAUUSD</v>
      </c>
      <c r="J213" t="str">
        <f>_xlfn.XLOOKUP($A213,ALGLIB_SSA_XAUUSD!$J$2:$J$1000,ALGLIB_SSA_XAUUSD!$L$2:$L$1000,"",0)</f>
        <v>M5</v>
      </c>
      <c r="K213">
        <f>_xlfn.XLOOKUP($A213,ALGLIB_SSA_XAUUSD!$J$2:$J$1000,ALGLIB_SSA_XAUUSD!$M$2:$M$1000,"",0)</f>
        <v>4665.83</v>
      </c>
      <c r="L213">
        <f>_xlfn.XLOOKUP($A213,ALGLIB_SSA_XAUUSD!$J$2:$J$1000,ALGLIB_SSA_XAUUSD!$N$2:$N$1000,"",0)</f>
        <v>4665.8797699999996</v>
      </c>
      <c r="M213">
        <f>_xlfn.XLOOKUP($A213,ALGLIB_SSA_XAUUSD!$J$2:$J$1000,ALGLIB_SSA_XAUUSD!$O$2:$O$1000,"",0)</f>
        <v>4667.9030000000002</v>
      </c>
      <c r="N213">
        <f>_xlfn.XLOOKUP($A213,ALGLIB_SSA_XAUUSD!$J$2:$J$1000,ALGLIB_SSA_XAUUSD!$P$2:$P$1000,"",0)</f>
        <v>4669.7848899999999</v>
      </c>
      <c r="O213">
        <f>_xlfn.XLOOKUP($A213,ALGLIB_SSA_XAUUSD!$J$2:$J$1000,ALGLIB_SSA_XAUUSD!$Q$2:$Q$1000,"",0)</f>
        <v>4664.1510200000002</v>
      </c>
      <c r="R213">
        <f t="shared" si="33"/>
        <v>1775453700</v>
      </c>
      <c r="S213" t="str">
        <f t="shared" si="34"/>
        <v>XAUUSD</v>
      </c>
      <c r="T213" t="str">
        <f t="shared" si="35"/>
        <v>M5</v>
      </c>
      <c r="U213">
        <f t="shared" si="36"/>
        <v>4665.83</v>
      </c>
      <c r="V213">
        <v>4667.59022</v>
      </c>
      <c r="W213">
        <v>4658.25263</v>
      </c>
      <c r="X213">
        <v>4665.8797699999996</v>
      </c>
      <c r="Y213">
        <v>4667.9030000000002</v>
      </c>
      <c r="Z213">
        <f t="shared" si="37"/>
        <v>4675.9757858333332</v>
      </c>
      <c r="AA213">
        <f t="shared" si="38"/>
        <v>4669.7848899999999</v>
      </c>
      <c r="AB213">
        <f t="shared" si="39"/>
        <v>4650.3965516666667</v>
      </c>
      <c r="AC213">
        <f t="shared" si="40"/>
        <v>4664.1510200000002</v>
      </c>
      <c r="AF213">
        <f t="shared" si="41"/>
        <v>4665.8797699999996</v>
      </c>
      <c r="AG213">
        <f t="shared" si="42"/>
        <v>4675.9757858333332</v>
      </c>
      <c r="AH213">
        <f t="shared" si="43"/>
        <v>4650.3965516666667</v>
      </c>
    </row>
    <row r="214" spans="1:34" x14ac:dyDescent="0.55000000000000004">
      <c r="A214">
        <f>ALGLIB_SSA_XAUUSD!J214</f>
        <v>1775454000</v>
      </c>
      <c r="B214" t="str">
        <f>_xlfn.XLOOKUP($A214,ALGLIB_SSA_XAUUSD!$A$2:$A$1000,ALGLIB_SSA_XAUUSD!$B$2:$B$1000,"",0)</f>
        <v/>
      </c>
      <c r="C214" t="str">
        <f>_xlfn.XLOOKUP($A214,ALGLIB_SSA_XAUUSD!$A$2:$A$1000,ALGLIB_SSA_XAUUSD!$C$2:$C$1000,"",0)</f>
        <v/>
      </c>
      <c r="D214" s="1">
        <f>D206+(D218-D206)*8/12</f>
        <v>4661.4833333333327</v>
      </c>
      <c r="E214" s="1">
        <f>E206+(E218-E206)*8/12</f>
        <v>4668.5062499999995</v>
      </c>
      <c r="F214" s="1">
        <f>F206+(F218-F206)*8/12</f>
        <v>4659.0713166666665</v>
      </c>
      <c r="G214" s="1">
        <f>G206+(G218-G206)*8/12</f>
        <v>4676.7275666666665</v>
      </c>
      <c r="H214" s="1">
        <f>H206+(H218-H206)*8/12</f>
        <v>4651.3481133333335</v>
      </c>
      <c r="I214" t="str">
        <f>_xlfn.XLOOKUP($A214,ALGLIB_SSA_XAUUSD!$J$2:$J$1000,ALGLIB_SSA_XAUUSD!$K$2:$K$1000,"",0)</f>
        <v>XAUUSD</v>
      </c>
      <c r="J214" t="str">
        <f>_xlfn.XLOOKUP($A214,ALGLIB_SSA_XAUUSD!$J$2:$J$1000,ALGLIB_SSA_XAUUSD!$L$2:$L$1000,"",0)</f>
        <v>M5</v>
      </c>
      <c r="K214">
        <f>_xlfn.XLOOKUP($A214,ALGLIB_SSA_XAUUSD!$J$2:$J$1000,ALGLIB_SSA_XAUUSD!$M$2:$M$1000,"",0)</f>
        <v>4661.57</v>
      </c>
      <c r="L214">
        <f>_xlfn.XLOOKUP($A214,ALGLIB_SSA_XAUUSD!$J$2:$J$1000,ALGLIB_SSA_XAUUSD!$N$2:$N$1000,"",0)</f>
        <v>4663.2718400000003</v>
      </c>
      <c r="M214">
        <f>_xlfn.XLOOKUP($A214,ALGLIB_SSA_XAUUSD!$J$2:$J$1000,ALGLIB_SSA_XAUUSD!$O$2:$O$1000,"",0)</f>
        <v>4665.5874199999998</v>
      </c>
      <c r="N214">
        <f>_xlfn.XLOOKUP($A214,ALGLIB_SSA_XAUUSD!$J$2:$J$1000,ALGLIB_SSA_XAUUSD!$P$2:$P$1000,"",0)</f>
        <v>4667.3908799999999</v>
      </c>
      <c r="O214">
        <f>_xlfn.XLOOKUP($A214,ALGLIB_SSA_XAUUSD!$J$2:$J$1000,ALGLIB_SSA_XAUUSD!$Q$2:$Q$1000,"",0)</f>
        <v>4661.1457300000002</v>
      </c>
      <c r="R214">
        <f t="shared" si="33"/>
        <v>1775454000</v>
      </c>
      <c r="S214" t="str">
        <f t="shared" si="34"/>
        <v>XAUUSD</v>
      </c>
      <c r="T214" t="str">
        <f t="shared" si="35"/>
        <v>M5</v>
      </c>
      <c r="U214">
        <f t="shared" si="36"/>
        <v>4661.57</v>
      </c>
      <c r="V214">
        <v>4668.5062500000004</v>
      </c>
      <c r="W214">
        <v>4659.07132</v>
      </c>
      <c r="X214">
        <v>4663.2718400000003</v>
      </c>
      <c r="Y214">
        <v>4665.5874199999998</v>
      </c>
      <c r="Z214">
        <f t="shared" si="37"/>
        <v>4676.7275666666665</v>
      </c>
      <c r="AA214">
        <f t="shared" si="38"/>
        <v>4667.3908799999999</v>
      </c>
      <c r="AB214">
        <f t="shared" si="39"/>
        <v>4651.3481133333335</v>
      </c>
      <c r="AC214">
        <f t="shared" si="40"/>
        <v>4661.1457300000002</v>
      </c>
      <c r="AF214">
        <f t="shared" si="41"/>
        <v>4663.2718400000003</v>
      </c>
      <c r="AG214">
        <f t="shared" si="42"/>
        <v>4676.7275666666665</v>
      </c>
      <c r="AH214">
        <f t="shared" si="43"/>
        <v>4651.3481133333335</v>
      </c>
    </row>
    <row r="215" spans="1:34" x14ac:dyDescent="0.55000000000000004">
      <c r="A215">
        <f>ALGLIB_SSA_XAUUSD!J215</f>
        <v>1775454300</v>
      </c>
      <c r="B215" t="str">
        <f>_xlfn.XLOOKUP($A215,ALGLIB_SSA_XAUUSD!$A$2:$A$1000,ALGLIB_SSA_XAUUSD!$B$2:$B$1000,"",0)</f>
        <v/>
      </c>
      <c r="C215" t="str">
        <f>_xlfn.XLOOKUP($A215,ALGLIB_SSA_XAUUSD!$A$2:$A$1000,ALGLIB_SSA_XAUUSD!$C$2:$C$1000,"",0)</f>
        <v/>
      </c>
      <c r="D215" s="1">
        <f>D206+(D218-D206)*9/12</f>
        <v>4662.5974999999999</v>
      </c>
      <c r="E215" s="1">
        <f>E206+(E218-E206)*9/12</f>
        <v>4669.4222824999997</v>
      </c>
      <c r="F215" s="1">
        <f>F206+(F218-F206)*9/12</f>
        <v>4659.8900075000001</v>
      </c>
      <c r="G215" s="1">
        <f>G206+(G218-G206)*9/12</f>
        <v>4677.4793475000006</v>
      </c>
      <c r="H215" s="1">
        <f>H206+(H218-H206)*9/12</f>
        <v>4652.2996750000002</v>
      </c>
      <c r="I215" t="str">
        <f>_xlfn.XLOOKUP($A215,ALGLIB_SSA_XAUUSD!$J$2:$J$1000,ALGLIB_SSA_XAUUSD!$K$2:$K$1000,"",0)</f>
        <v>XAUUSD</v>
      </c>
      <c r="J215" t="str">
        <f>_xlfn.XLOOKUP($A215,ALGLIB_SSA_XAUUSD!$J$2:$J$1000,ALGLIB_SSA_XAUUSD!$L$2:$L$1000,"",0)</f>
        <v>M5</v>
      </c>
      <c r="K215">
        <f>_xlfn.XLOOKUP($A215,ALGLIB_SSA_XAUUSD!$J$2:$J$1000,ALGLIB_SSA_XAUUSD!$M$2:$M$1000,"",0)</f>
        <v>4660.0600000000004</v>
      </c>
      <c r="L215">
        <f>_xlfn.XLOOKUP($A215,ALGLIB_SSA_XAUUSD!$J$2:$J$1000,ALGLIB_SSA_XAUUSD!$N$2:$N$1000,"",0)</f>
        <v>4661.0600400000003</v>
      </c>
      <c r="M215">
        <f>_xlfn.XLOOKUP($A215,ALGLIB_SSA_XAUUSD!$J$2:$J$1000,ALGLIB_SSA_XAUUSD!$O$2:$O$1000,"",0)</f>
        <v>4663.3237300000001</v>
      </c>
      <c r="N215">
        <f>_xlfn.XLOOKUP($A215,ALGLIB_SSA_XAUUSD!$J$2:$J$1000,ALGLIB_SSA_XAUUSD!$P$2:$P$1000,"",0)</f>
        <v>4665.2981099999997</v>
      </c>
      <c r="O215">
        <f>_xlfn.XLOOKUP($A215,ALGLIB_SSA_XAUUSD!$J$2:$J$1000,ALGLIB_SSA_XAUUSD!$Q$2:$Q$1000,"",0)</f>
        <v>4658.2190300000002</v>
      </c>
      <c r="R215">
        <f t="shared" si="33"/>
        <v>1775454300</v>
      </c>
      <c r="S215" t="str">
        <f t="shared" si="34"/>
        <v>XAUUSD</v>
      </c>
      <c r="T215" t="str">
        <f t="shared" si="35"/>
        <v>M5</v>
      </c>
      <c r="U215">
        <f t="shared" si="36"/>
        <v>4660.0600000000004</v>
      </c>
      <c r="V215">
        <v>4669.4222799999998</v>
      </c>
      <c r="W215">
        <v>4659.8900100000001</v>
      </c>
      <c r="X215">
        <v>4661.0600400000003</v>
      </c>
      <c r="Y215">
        <v>4663.3237300000001</v>
      </c>
      <c r="Z215">
        <f t="shared" si="37"/>
        <v>4677.4793475000006</v>
      </c>
      <c r="AA215">
        <f t="shared" si="38"/>
        <v>4665.2981099999997</v>
      </c>
      <c r="AB215">
        <f t="shared" si="39"/>
        <v>4652.2996750000002</v>
      </c>
      <c r="AC215">
        <f t="shared" si="40"/>
        <v>4658.2190300000002</v>
      </c>
      <c r="AF215">
        <f t="shared" si="41"/>
        <v>4661.0600400000003</v>
      </c>
      <c r="AG215">
        <f t="shared" si="42"/>
        <v>4677.4793475000006</v>
      </c>
      <c r="AH215">
        <f t="shared" si="43"/>
        <v>4652.2996750000002</v>
      </c>
    </row>
    <row r="216" spans="1:34" x14ac:dyDescent="0.55000000000000004">
      <c r="A216">
        <f>ALGLIB_SSA_XAUUSD!J216</f>
        <v>1775454600</v>
      </c>
      <c r="B216" t="str">
        <f>_xlfn.XLOOKUP($A216,ALGLIB_SSA_XAUUSD!$A$2:$A$1000,ALGLIB_SSA_XAUUSD!$B$2:$B$1000,"",0)</f>
        <v/>
      </c>
      <c r="C216" t="str">
        <f>_xlfn.XLOOKUP($A216,ALGLIB_SSA_XAUUSD!$A$2:$A$1000,ALGLIB_SSA_XAUUSD!$C$2:$C$1000,"",0)</f>
        <v/>
      </c>
      <c r="D216" s="1">
        <f>D206+(D218-D206)*10/12</f>
        <v>4663.7116666666661</v>
      </c>
      <c r="E216" s="1">
        <f>E206+(E218-E206)*10/12</f>
        <v>4670.338315</v>
      </c>
      <c r="F216" s="1">
        <f>F206+(F218-F206)*10/12</f>
        <v>4660.7086983333338</v>
      </c>
      <c r="G216" s="1">
        <f>G206+(G218-G206)*10/12</f>
        <v>4678.2311283333338</v>
      </c>
      <c r="H216" s="1">
        <f>H206+(H218-H206)*10/12</f>
        <v>4653.251236666667</v>
      </c>
      <c r="I216" t="str">
        <f>_xlfn.XLOOKUP($A216,ALGLIB_SSA_XAUUSD!$J$2:$J$1000,ALGLIB_SSA_XAUUSD!$K$2:$K$1000,"",0)</f>
        <v>XAUUSD</v>
      </c>
      <c r="J216" t="str">
        <f>_xlfn.XLOOKUP($A216,ALGLIB_SSA_XAUUSD!$J$2:$J$1000,ALGLIB_SSA_XAUUSD!$L$2:$L$1000,"",0)</f>
        <v>M5</v>
      </c>
      <c r="K216">
        <f>_xlfn.XLOOKUP($A216,ALGLIB_SSA_XAUUSD!$J$2:$J$1000,ALGLIB_SSA_XAUUSD!$M$2:$M$1000,"",0)</f>
        <v>4667.0200000000004</v>
      </c>
      <c r="L216">
        <f>_xlfn.XLOOKUP($A216,ALGLIB_SSA_XAUUSD!$J$2:$J$1000,ALGLIB_SSA_XAUUSD!$N$2:$N$1000,"",0)</f>
        <v>4659.3645399999996</v>
      </c>
      <c r="M216">
        <f>_xlfn.XLOOKUP($A216,ALGLIB_SSA_XAUUSD!$J$2:$J$1000,ALGLIB_SSA_XAUUSD!$O$2:$O$1000,"",0)</f>
        <v>4661.3441400000002</v>
      </c>
      <c r="N216">
        <f>_xlfn.XLOOKUP($A216,ALGLIB_SSA_XAUUSD!$J$2:$J$1000,ALGLIB_SSA_XAUUSD!$P$2:$P$1000,"",0)</f>
        <v>4663.6478299999999</v>
      </c>
      <c r="O216">
        <f>_xlfn.XLOOKUP($A216,ALGLIB_SSA_XAUUSD!$J$2:$J$1000,ALGLIB_SSA_XAUUSD!$Q$2:$Q$1000,"",0)</f>
        <v>4655.6898700000002</v>
      </c>
      <c r="R216">
        <f t="shared" si="33"/>
        <v>1775454600</v>
      </c>
      <c r="S216" t="str">
        <f t="shared" si="34"/>
        <v>XAUUSD</v>
      </c>
      <c r="T216" t="str">
        <f t="shared" si="35"/>
        <v>M5</v>
      </c>
      <c r="U216">
        <f t="shared" si="36"/>
        <v>4667.0200000000004</v>
      </c>
      <c r="V216">
        <v>4670.3383199999998</v>
      </c>
      <c r="W216">
        <v>4660.7087000000001</v>
      </c>
      <c r="X216">
        <v>4659.3645399999996</v>
      </c>
      <c r="Y216">
        <v>4661.3441400000002</v>
      </c>
      <c r="Z216">
        <f t="shared" si="37"/>
        <v>4678.2311283333338</v>
      </c>
      <c r="AA216">
        <f t="shared" si="38"/>
        <v>4663.6478299999999</v>
      </c>
      <c r="AB216">
        <f t="shared" si="39"/>
        <v>4653.251236666667</v>
      </c>
      <c r="AC216">
        <f t="shared" si="40"/>
        <v>4655.6898700000002</v>
      </c>
      <c r="AF216">
        <f t="shared" si="41"/>
        <v>4659.3645399999996</v>
      </c>
      <c r="AG216">
        <f t="shared" si="42"/>
        <v>4678.2311283333338</v>
      </c>
      <c r="AH216">
        <f t="shared" si="43"/>
        <v>4653.251236666667</v>
      </c>
    </row>
    <row r="217" spans="1:34" x14ac:dyDescent="0.55000000000000004">
      <c r="A217">
        <f>ALGLIB_SSA_XAUUSD!J217</f>
        <v>1775454900</v>
      </c>
      <c r="B217" t="str">
        <f>_xlfn.XLOOKUP($A217,ALGLIB_SSA_XAUUSD!$A$2:$A$1000,ALGLIB_SSA_XAUUSD!$B$2:$B$1000,"",0)</f>
        <v/>
      </c>
      <c r="C217" t="str">
        <f>_xlfn.XLOOKUP($A217,ALGLIB_SSA_XAUUSD!$A$2:$A$1000,ALGLIB_SSA_XAUUSD!$C$2:$C$1000,"",0)</f>
        <v/>
      </c>
      <c r="D217" s="1">
        <f>D206+(D218-D206)*11/12</f>
        <v>4664.8258333333333</v>
      </c>
      <c r="E217" s="1">
        <f>E206+(E218-E206)*11/12</f>
        <v>4671.2543474999993</v>
      </c>
      <c r="F217" s="1">
        <f>F206+(F218-F206)*11/12</f>
        <v>4661.5273891666666</v>
      </c>
      <c r="G217" s="1">
        <f>G206+(G218-G206)*11/12</f>
        <v>4678.982909166667</v>
      </c>
      <c r="H217" s="1">
        <f>H206+(H218-H206)*11/12</f>
        <v>4654.2027983333337</v>
      </c>
      <c r="I217" t="str">
        <f>_xlfn.XLOOKUP($A217,ALGLIB_SSA_XAUUSD!$J$2:$J$1000,ALGLIB_SSA_XAUUSD!$K$2:$K$1000,"",0)</f>
        <v>XAUUSD</v>
      </c>
      <c r="J217" t="str">
        <f>_xlfn.XLOOKUP($A217,ALGLIB_SSA_XAUUSD!$J$2:$J$1000,ALGLIB_SSA_XAUUSD!$L$2:$L$1000,"",0)</f>
        <v>M5</v>
      </c>
      <c r="K217">
        <f>_xlfn.XLOOKUP($A217,ALGLIB_SSA_XAUUSD!$J$2:$J$1000,ALGLIB_SSA_XAUUSD!$M$2:$M$1000,"",0)</f>
        <v>4652.57</v>
      </c>
      <c r="L217">
        <f>_xlfn.XLOOKUP($A217,ALGLIB_SSA_XAUUSD!$J$2:$J$1000,ALGLIB_SSA_XAUUSD!$N$2:$N$1000,"",0)</f>
        <v>4657.9566500000001</v>
      </c>
      <c r="M217">
        <f>_xlfn.XLOOKUP($A217,ALGLIB_SSA_XAUUSD!$J$2:$J$1000,ALGLIB_SSA_XAUUSD!$O$2:$O$1000,"",0)</f>
        <v>4659.6503899999998</v>
      </c>
      <c r="N217">
        <f>_xlfn.XLOOKUP($A217,ALGLIB_SSA_XAUUSD!$J$2:$J$1000,ALGLIB_SSA_XAUUSD!$P$2:$P$1000,"",0)</f>
        <v>4662.2749700000004</v>
      </c>
      <c r="O217">
        <f>_xlfn.XLOOKUP($A217,ALGLIB_SSA_XAUUSD!$J$2:$J$1000,ALGLIB_SSA_XAUUSD!$Q$2:$Q$1000,"",0)</f>
        <v>4653.7267599999996</v>
      </c>
      <c r="R217">
        <f t="shared" si="33"/>
        <v>1775454900</v>
      </c>
      <c r="S217" t="str">
        <f t="shared" si="34"/>
        <v>XAUUSD</v>
      </c>
      <c r="T217" t="str">
        <f t="shared" si="35"/>
        <v>M5</v>
      </c>
      <c r="U217">
        <f t="shared" si="36"/>
        <v>4652.57</v>
      </c>
      <c r="V217">
        <v>4671.2543500000002</v>
      </c>
      <c r="W217">
        <v>4661.5273900000002</v>
      </c>
      <c r="X217">
        <v>4657.9566500000001</v>
      </c>
      <c r="Y217">
        <v>4659.6503899999998</v>
      </c>
      <c r="Z217">
        <f t="shared" si="37"/>
        <v>4678.982909166667</v>
      </c>
      <c r="AA217">
        <f t="shared" si="38"/>
        <v>4662.2749700000004</v>
      </c>
      <c r="AB217">
        <f t="shared" si="39"/>
        <v>4654.2027983333337</v>
      </c>
      <c r="AC217">
        <f t="shared" si="40"/>
        <v>4653.7267599999996</v>
      </c>
      <c r="AF217">
        <f t="shared" si="41"/>
        <v>4657.9566500000001</v>
      </c>
      <c r="AG217">
        <f t="shared" si="42"/>
        <v>4678.982909166667</v>
      </c>
      <c r="AH217">
        <f t="shared" si="43"/>
        <v>4654.2027983333337</v>
      </c>
    </row>
    <row r="218" spans="1:34" x14ac:dyDescent="0.55000000000000004">
      <c r="A218">
        <f>ALGLIB_SSA_XAUUSD!J218</f>
        <v>1775455200</v>
      </c>
      <c r="B218" t="str">
        <f>_xlfn.XLOOKUP($A218,ALGLIB_SSA_XAUUSD!$A$2:$A$1000,ALGLIB_SSA_XAUUSD!$B$2:$B$1000,"",0)</f>
        <v>XAUUSD</v>
      </c>
      <c r="C218" t="str">
        <f>_xlfn.XLOOKUP($A218,ALGLIB_SSA_XAUUSD!$A$2:$A$1000,ALGLIB_SSA_XAUUSD!$C$2:$C$1000,"",0)</f>
        <v>H1</v>
      </c>
      <c r="D218" s="2">
        <f>_xlfn.XLOOKUP($A218,ALGLIB_SSA_XAUUSD!$A$2:$A$1000,ALGLIB_SSA_XAUUSD!$D$2:$D$1000,"",0)</f>
        <v>4665.9399999999996</v>
      </c>
      <c r="E218" s="2">
        <f>_xlfn.XLOOKUP($A218,ALGLIB_SSA_XAUUSD!$A$2:$A$1000,ALGLIB_SSA_XAUUSD!$E$2:$E$1000,"",0)</f>
        <v>4672.1703799999996</v>
      </c>
      <c r="F218" s="2">
        <f>_xlfn.XLOOKUP($A218,ALGLIB_SSA_XAUUSD!$A$2:$A$1000,ALGLIB_SSA_XAUUSD!$F$2:$F$1000,"",0)</f>
        <v>4662.3460800000003</v>
      </c>
      <c r="G218" s="2">
        <f>_xlfn.XLOOKUP($A218,ALGLIB_SSA_XAUUSD!$A$2:$A$1000,ALGLIB_SSA_XAUUSD!$G$2:$G$1000,"",0)</f>
        <v>4679.7346900000002</v>
      </c>
      <c r="H218" s="2">
        <f>_xlfn.XLOOKUP($A218,ALGLIB_SSA_XAUUSD!$A$2:$A$1000,ALGLIB_SSA_XAUUSD!$H$2:$H$1000,"",0)</f>
        <v>4655.1543600000005</v>
      </c>
      <c r="I218" t="str">
        <f>_xlfn.XLOOKUP($A218,ALGLIB_SSA_XAUUSD!$J$2:$J$1000,ALGLIB_SSA_XAUUSD!$K$2:$K$1000,"",0)</f>
        <v>XAUUSD</v>
      </c>
      <c r="J218" t="str">
        <f>_xlfn.XLOOKUP($A218,ALGLIB_SSA_XAUUSD!$J$2:$J$1000,ALGLIB_SSA_XAUUSD!$L$2:$L$1000,"",0)</f>
        <v>M5</v>
      </c>
      <c r="K218">
        <f>_xlfn.XLOOKUP($A218,ALGLIB_SSA_XAUUSD!$J$2:$J$1000,ALGLIB_SSA_XAUUSD!$M$2:$M$1000,"",0)</f>
        <v>4652.78</v>
      </c>
      <c r="L218">
        <f>_xlfn.XLOOKUP($A218,ALGLIB_SSA_XAUUSD!$J$2:$J$1000,ALGLIB_SSA_XAUUSD!$N$2:$N$1000,"",0)</f>
        <v>4657.1085499999999</v>
      </c>
      <c r="M218">
        <f>_xlfn.XLOOKUP($A218,ALGLIB_SSA_XAUUSD!$J$2:$J$1000,ALGLIB_SSA_XAUUSD!$O$2:$O$1000,"",0)</f>
        <v>4658.3794699999999</v>
      </c>
      <c r="N218">
        <f>_xlfn.XLOOKUP($A218,ALGLIB_SSA_XAUUSD!$J$2:$J$1000,ALGLIB_SSA_XAUUSD!$P$2:$P$1000,"",0)</f>
        <v>4661.0401000000002</v>
      </c>
      <c r="O218">
        <f>_xlfn.XLOOKUP($A218,ALGLIB_SSA_XAUUSD!$J$2:$J$1000,ALGLIB_SSA_XAUUSD!$Q$2:$Q$1000,"",0)</f>
        <v>4652.5349900000001</v>
      </c>
      <c r="R218">
        <f t="shared" si="33"/>
        <v>1775455200</v>
      </c>
      <c r="S218" t="str">
        <f t="shared" si="34"/>
        <v>XAUUSD</v>
      </c>
      <c r="T218" t="str">
        <f t="shared" si="35"/>
        <v>M5</v>
      </c>
      <c r="U218">
        <f t="shared" si="36"/>
        <v>4652.78</v>
      </c>
      <c r="V218">
        <v>4672.1703799999996</v>
      </c>
      <c r="W218">
        <v>4662.3460800000003</v>
      </c>
      <c r="X218">
        <v>4657.1085499999999</v>
      </c>
      <c r="Y218">
        <v>4658.3794699999999</v>
      </c>
      <c r="Z218">
        <f t="shared" si="37"/>
        <v>4679.7346900000002</v>
      </c>
      <c r="AA218">
        <f t="shared" si="38"/>
        <v>4661.0401000000002</v>
      </c>
      <c r="AB218">
        <f t="shared" si="39"/>
        <v>4655.1543600000005</v>
      </c>
      <c r="AC218">
        <f t="shared" si="40"/>
        <v>4652.5349900000001</v>
      </c>
      <c r="AF218">
        <f t="shared" si="41"/>
        <v>4657.1085499999999</v>
      </c>
      <c r="AG218">
        <f t="shared" si="42"/>
        <v>4679.7346900000002</v>
      </c>
      <c r="AH218">
        <f t="shared" si="43"/>
        <v>4655.1543600000005</v>
      </c>
    </row>
    <row r="219" spans="1:34" x14ac:dyDescent="0.55000000000000004">
      <c r="A219">
        <f>ALGLIB_SSA_XAUUSD!J219</f>
        <v>1775455500</v>
      </c>
      <c r="B219" t="str">
        <f>_xlfn.XLOOKUP($A219,ALGLIB_SSA_XAUUSD!$A$2:$A$1000,ALGLIB_SSA_XAUUSD!$B$2:$B$1000,"",0)</f>
        <v/>
      </c>
      <c r="C219" t="str">
        <f>_xlfn.XLOOKUP($A219,ALGLIB_SSA_XAUUSD!$A$2:$A$1000,ALGLIB_SSA_XAUUSD!$C$2:$C$1000,"",0)</f>
        <v/>
      </c>
      <c r="D219" s="1">
        <f>D218+(D230-D218)*1/12</f>
        <v>4667.5141666666659</v>
      </c>
      <c r="E219" s="1">
        <f>E218+(E230-E218)*1/12</f>
        <v>4672.959773333333</v>
      </c>
      <c r="F219" s="1">
        <f>F218+(F230-F218)*1/12</f>
        <v>4663.1501225000002</v>
      </c>
      <c r="G219" s="1">
        <f>G218+(G230-G218)*1/12</f>
        <v>4680.4441658333335</v>
      </c>
      <c r="H219" s="1">
        <f>H218+(H230-H218)*1/12</f>
        <v>4656.0189191666668</v>
      </c>
      <c r="I219" t="str">
        <f>_xlfn.XLOOKUP($A219,ALGLIB_SSA_XAUUSD!$J$2:$J$1000,ALGLIB_SSA_XAUUSD!$K$2:$K$1000,"",0)</f>
        <v>XAUUSD</v>
      </c>
      <c r="J219" t="str">
        <f>_xlfn.XLOOKUP($A219,ALGLIB_SSA_XAUUSD!$J$2:$J$1000,ALGLIB_SSA_XAUUSD!$L$2:$L$1000,"",0)</f>
        <v>M5</v>
      </c>
      <c r="K219">
        <f>_xlfn.XLOOKUP($A219,ALGLIB_SSA_XAUUSD!$J$2:$J$1000,ALGLIB_SSA_XAUUSD!$M$2:$M$1000,"",0)</f>
        <v>4658.09</v>
      </c>
      <c r="L219">
        <f>_xlfn.XLOOKUP($A219,ALGLIB_SSA_XAUUSD!$J$2:$J$1000,ALGLIB_SSA_XAUUSD!$N$2:$N$1000,"",0)</f>
        <v>4656.6921899999998</v>
      </c>
      <c r="M219">
        <f>_xlfn.XLOOKUP($A219,ALGLIB_SSA_XAUUSD!$J$2:$J$1000,ALGLIB_SSA_XAUUSD!$O$2:$O$1000,"",0)</f>
        <v>4657.5358299999998</v>
      </c>
      <c r="N219">
        <f>_xlfn.XLOOKUP($A219,ALGLIB_SSA_XAUUSD!$J$2:$J$1000,ALGLIB_SSA_XAUUSD!$P$2:$P$1000,"",0)</f>
        <v>4660.19661</v>
      </c>
      <c r="O219">
        <f>_xlfn.XLOOKUP($A219,ALGLIB_SSA_XAUUSD!$J$2:$J$1000,ALGLIB_SSA_XAUUSD!$Q$2:$Q$1000,"",0)</f>
        <v>4652.2267300000003</v>
      </c>
      <c r="R219">
        <f t="shared" si="33"/>
        <v>1775455500</v>
      </c>
      <c r="S219" t="str">
        <f t="shared" si="34"/>
        <v>XAUUSD</v>
      </c>
      <c r="T219" t="str">
        <f t="shared" si="35"/>
        <v>M5</v>
      </c>
      <c r="U219">
        <f t="shared" si="36"/>
        <v>4658.09</v>
      </c>
      <c r="V219">
        <v>4672.9597700000004</v>
      </c>
      <c r="W219">
        <v>4663.1501200000002</v>
      </c>
      <c r="X219">
        <v>4656.6921899999998</v>
      </c>
      <c r="Y219">
        <v>4657.5358299999998</v>
      </c>
      <c r="Z219">
        <f t="shared" si="37"/>
        <v>4680.4441658333335</v>
      </c>
      <c r="AA219">
        <f t="shared" si="38"/>
        <v>4660.19661</v>
      </c>
      <c r="AB219">
        <f t="shared" si="39"/>
        <v>4656.0189191666668</v>
      </c>
      <c r="AC219">
        <f t="shared" si="40"/>
        <v>4652.2267300000003</v>
      </c>
      <c r="AF219">
        <f t="shared" si="41"/>
        <v>4656.6921899999998</v>
      </c>
      <c r="AG219">
        <f t="shared" si="42"/>
        <v>4680.4441658333335</v>
      </c>
      <c r="AH219">
        <f t="shared" si="43"/>
        <v>4656.0189191666668</v>
      </c>
    </row>
    <row r="220" spans="1:34" x14ac:dyDescent="0.55000000000000004">
      <c r="A220">
        <f>ALGLIB_SSA_XAUUSD!J220</f>
        <v>1775455800</v>
      </c>
      <c r="B220" t="str">
        <f>_xlfn.XLOOKUP($A220,ALGLIB_SSA_XAUUSD!$A$2:$A$1000,ALGLIB_SSA_XAUUSD!$B$2:$B$1000,"",0)</f>
        <v/>
      </c>
      <c r="C220" t="str">
        <f>_xlfn.XLOOKUP($A220,ALGLIB_SSA_XAUUSD!$A$2:$A$1000,ALGLIB_SSA_XAUUSD!$C$2:$C$1000,"",0)</f>
        <v/>
      </c>
      <c r="D220" s="1">
        <f>D218+(D230-D218)*2/12</f>
        <v>4669.0883333333331</v>
      </c>
      <c r="E220" s="1">
        <f>E218+(E230-E218)*2/12</f>
        <v>4673.7491666666665</v>
      </c>
      <c r="F220" s="1">
        <f>F218+(F230-F218)*2/12</f>
        <v>4663.9541650000001</v>
      </c>
      <c r="G220" s="1">
        <f>G218+(G230-G218)*2/12</f>
        <v>4681.1536416666668</v>
      </c>
      <c r="H220" s="1">
        <f>H218+(H230-H218)*2/12</f>
        <v>4656.8834783333332</v>
      </c>
      <c r="I220" t="str">
        <f>_xlfn.XLOOKUP($A220,ALGLIB_SSA_XAUUSD!$J$2:$J$1000,ALGLIB_SSA_XAUUSD!$K$2:$K$1000,"",0)</f>
        <v>XAUUSD</v>
      </c>
      <c r="J220" t="str">
        <f>_xlfn.XLOOKUP($A220,ALGLIB_SSA_XAUUSD!$J$2:$J$1000,ALGLIB_SSA_XAUUSD!$L$2:$L$1000,"",0)</f>
        <v>M5</v>
      </c>
      <c r="K220">
        <f>_xlfn.XLOOKUP($A220,ALGLIB_SSA_XAUUSD!$J$2:$J$1000,ALGLIB_SSA_XAUUSD!$M$2:$M$1000,"",0)</f>
        <v>4660.93</v>
      </c>
      <c r="L220">
        <f>_xlfn.XLOOKUP($A220,ALGLIB_SSA_XAUUSD!$J$2:$J$1000,ALGLIB_SSA_XAUUSD!$N$2:$N$1000,"",0)</f>
        <v>4656.4790400000002</v>
      </c>
      <c r="M220">
        <f>_xlfn.XLOOKUP($A220,ALGLIB_SSA_XAUUSD!$J$2:$J$1000,ALGLIB_SSA_XAUUSD!$O$2:$O$1000,"",0)</f>
        <v>4657.0074299999997</v>
      </c>
      <c r="N220">
        <f>_xlfn.XLOOKUP($A220,ALGLIB_SSA_XAUUSD!$J$2:$J$1000,ALGLIB_SSA_XAUUSD!$P$2:$P$1000,"",0)</f>
        <v>4659.5277900000001</v>
      </c>
      <c r="O220">
        <f>_xlfn.XLOOKUP($A220,ALGLIB_SSA_XAUUSD!$J$2:$J$1000,ALGLIB_SSA_XAUUSD!$Q$2:$Q$1000,"",0)</f>
        <v>4652.4116700000004</v>
      </c>
      <c r="R220">
        <f t="shared" si="33"/>
        <v>1775455800</v>
      </c>
      <c r="S220" t="str">
        <f t="shared" si="34"/>
        <v>XAUUSD</v>
      </c>
      <c r="T220" t="str">
        <f t="shared" si="35"/>
        <v>M5</v>
      </c>
      <c r="U220">
        <f t="shared" si="36"/>
        <v>4660.93</v>
      </c>
      <c r="V220">
        <v>4673.74917</v>
      </c>
      <c r="W220">
        <v>4663.95417</v>
      </c>
      <c r="X220">
        <v>4656.4790400000002</v>
      </c>
      <c r="Y220">
        <v>4657.0074299999997</v>
      </c>
      <c r="Z220">
        <f t="shared" si="37"/>
        <v>4681.1536416666668</v>
      </c>
      <c r="AA220">
        <f t="shared" si="38"/>
        <v>4659.5277900000001</v>
      </c>
      <c r="AB220">
        <f t="shared" si="39"/>
        <v>4656.8834783333332</v>
      </c>
      <c r="AC220">
        <f t="shared" si="40"/>
        <v>4652.4116700000004</v>
      </c>
      <c r="AF220">
        <f t="shared" si="41"/>
        <v>4656.4790400000002</v>
      </c>
      <c r="AG220">
        <f t="shared" si="42"/>
        <v>4681.1536416666668</v>
      </c>
      <c r="AH220">
        <f t="shared" si="43"/>
        <v>4656.8834783333332</v>
      </c>
    </row>
    <row r="221" spans="1:34" x14ac:dyDescent="0.55000000000000004">
      <c r="A221">
        <f>ALGLIB_SSA_XAUUSD!J221</f>
        <v>1775456100</v>
      </c>
      <c r="B221" t="str">
        <f>_xlfn.XLOOKUP($A221,ALGLIB_SSA_XAUUSD!$A$2:$A$1000,ALGLIB_SSA_XAUUSD!$B$2:$B$1000,"",0)</f>
        <v/>
      </c>
      <c r="C221" t="str">
        <f>_xlfn.XLOOKUP($A221,ALGLIB_SSA_XAUUSD!$A$2:$A$1000,ALGLIB_SSA_XAUUSD!$C$2:$C$1000,"",0)</f>
        <v/>
      </c>
      <c r="D221" s="1">
        <f>D218+(D230-D218)*3/12</f>
        <v>4670.6624999999995</v>
      </c>
      <c r="E221" s="1">
        <f>E218+(E230-E218)*3/12</f>
        <v>4674.53856</v>
      </c>
      <c r="F221" s="1">
        <f>F218+(F230-F218)*3/12</f>
        <v>4664.7582075</v>
      </c>
      <c r="G221" s="1">
        <f>G218+(G230-G218)*3/12</f>
        <v>4681.8631175</v>
      </c>
      <c r="H221" s="1">
        <f>H218+(H230-H218)*3/12</f>
        <v>4657.7480375000005</v>
      </c>
      <c r="I221" t="str">
        <f>_xlfn.XLOOKUP($A221,ALGLIB_SSA_XAUUSD!$J$2:$J$1000,ALGLIB_SSA_XAUUSD!$K$2:$K$1000,"",0)</f>
        <v>XAUUSD</v>
      </c>
      <c r="J221" t="str">
        <f>_xlfn.XLOOKUP($A221,ALGLIB_SSA_XAUUSD!$J$2:$J$1000,ALGLIB_SSA_XAUUSD!$L$2:$L$1000,"",0)</f>
        <v>M5</v>
      </c>
      <c r="K221">
        <f>_xlfn.XLOOKUP($A221,ALGLIB_SSA_XAUUSD!$J$2:$J$1000,ALGLIB_SSA_XAUUSD!$M$2:$M$1000,"",0)</f>
        <v>4658.91</v>
      </c>
      <c r="L221">
        <f>_xlfn.XLOOKUP($A221,ALGLIB_SSA_XAUUSD!$J$2:$J$1000,ALGLIB_SSA_XAUUSD!$N$2:$N$1000,"",0)</f>
        <v>4656.3561799999998</v>
      </c>
      <c r="M221">
        <f>_xlfn.XLOOKUP($A221,ALGLIB_SSA_XAUUSD!$J$2:$J$1000,ALGLIB_SSA_XAUUSD!$O$2:$O$1000,"",0)</f>
        <v>4656.68181</v>
      </c>
      <c r="N221">
        <f>_xlfn.XLOOKUP($A221,ALGLIB_SSA_XAUUSD!$J$2:$J$1000,ALGLIB_SSA_XAUUSD!$P$2:$P$1000,"",0)</f>
        <v>4659.0005000000001</v>
      </c>
      <c r="O221">
        <f>_xlfn.XLOOKUP($A221,ALGLIB_SSA_XAUUSD!$J$2:$J$1000,ALGLIB_SSA_XAUUSD!$Q$2:$Q$1000,"",0)</f>
        <v>4652.8207400000001</v>
      </c>
      <c r="R221">
        <f t="shared" si="33"/>
        <v>1775456100</v>
      </c>
      <c r="S221" t="str">
        <f t="shared" si="34"/>
        <v>XAUUSD</v>
      </c>
      <c r="T221" t="str">
        <f t="shared" si="35"/>
        <v>M5</v>
      </c>
      <c r="U221">
        <f t="shared" si="36"/>
        <v>4658.91</v>
      </c>
      <c r="V221">
        <v>4674.53856</v>
      </c>
      <c r="W221">
        <v>4664.75821</v>
      </c>
      <c r="X221">
        <v>4656.3561799999998</v>
      </c>
      <c r="Y221">
        <v>4656.68181</v>
      </c>
      <c r="Z221">
        <f t="shared" si="37"/>
        <v>4681.8631175</v>
      </c>
      <c r="AA221">
        <f t="shared" si="38"/>
        <v>4659.0005000000001</v>
      </c>
      <c r="AB221">
        <f t="shared" si="39"/>
        <v>4657.7480375000005</v>
      </c>
      <c r="AC221">
        <f t="shared" si="40"/>
        <v>4652.8207400000001</v>
      </c>
      <c r="AF221">
        <f t="shared" si="41"/>
        <v>4656.3561799999998</v>
      </c>
      <c r="AG221">
        <f t="shared" si="42"/>
        <v>4681.8631175</v>
      </c>
      <c r="AH221">
        <f t="shared" si="43"/>
        <v>4657.7480375000005</v>
      </c>
    </row>
    <row r="222" spans="1:34" x14ac:dyDescent="0.55000000000000004">
      <c r="A222">
        <f>ALGLIB_SSA_XAUUSD!J222</f>
        <v>1775456400</v>
      </c>
      <c r="B222" t="str">
        <f>_xlfn.XLOOKUP($A222,ALGLIB_SSA_XAUUSD!$A$2:$A$1000,ALGLIB_SSA_XAUUSD!$B$2:$B$1000,"",0)</f>
        <v/>
      </c>
      <c r="C222" t="str">
        <f>_xlfn.XLOOKUP($A222,ALGLIB_SSA_XAUUSD!$A$2:$A$1000,ALGLIB_SSA_XAUUSD!$C$2:$C$1000,"",0)</f>
        <v/>
      </c>
      <c r="D222" s="1">
        <f>D218+(D230-D218)*4/12</f>
        <v>4672.2366666666667</v>
      </c>
      <c r="E222" s="1">
        <f>E218+(E230-E218)*4/12</f>
        <v>4675.3279533333334</v>
      </c>
      <c r="F222" s="1">
        <f>F218+(F230-F218)*4/12</f>
        <v>4665.5622499999999</v>
      </c>
      <c r="G222" s="1">
        <f>G218+(G230-G218)*4/12</f>
        <v>4682.5725933333333</v>
      </c>
      <c r="H222" s="1">
        <f>H218+(H230-H218)*4/12</f>
        <v>4658.6125966666668</v>
      </c>
      <c r="I222" t="str">
        <f>_xlfn.XLOOKUP($A222,ALGLIB_SSA_XAUUSD!$J$2:$J$1000,ALGLIB_SSA_XAUUSD!$K$2:$K$1000,"",0)</f>
        <v>XAUUSD</v>
      </c>
      <c r="J222" t="str">
        <f>_xlfn.XLOOKUP($A222,ALGLIB_SSA_XAUUSD!$J$2:$J$1000,ALGLIB_SSA_XAUUSD!$L$2:$L$1000,"",0)</f>
        <v>M5</v>
      </c>
      <c r="K222">
        <f>_xlfn.XLOOKUP($A222,ALGLIB_SSA_XAUUSD!$J$2:$J$1000,ALGLIB_SSA_XAUUSD!$M$2:$M$1000,"",0)</f>
        <v>4655.17</v>
      </c>
      <c r="L222">
        <f>_xlfn.XLOOKUP($A222,ALGLIB_SSA_XAUUSD!$J$2:$J$1000,ALGLIB_SSA_XAUUSD!$N$2:$N$1000,"",0)</f>
        <v>4656.4112100000002</v>
      </c>
      <c r="M222">
        <f>_xlfn.XLOOKUP($A222,ALGLIB_SSA_XAUUSD!$J$2:$J$1000,ALGLIB_SSA_XAUUSD!$O$2:$O$1000,"",0)</f>
        <v>4656.5465100000001</v>
      </c>
      <c r="N222">
        <f>_xlfn.XLOOKUP($A222,ALGLIB_SSA_XAUUSD!$J$2:$J$1000,ALGLIB_SSA_XAUUSD!$P$2:$P$1000,"",0)</f>
        <v>4658.7014600000002</v>
      </c>
      <c r="O222">
        <f>_xlfn.XLOOKUP($A222,ALGLIB_SSA_XAUUSD!$J$2:$J$1000,ALGLIB_SSA_XAUUSD!$Q$2:$Q$1000,"",0)</f>
        <v>4653.2994099999996</v>
      </c>
      <c r="R222">
        <f t="shared" si="33"/>
        <v>1775456400</v>
      </c>
      <c r="S222" t="str">
        <f t="shared" si="34"/>
        <v>XAUUSD</v>
      </c>
      <c r="T222" t="str">
        <f t="shared" si="35"/>
        <v>M5</v>
      </c>
      <c r="U222">
        <f t="shared" si="36"/>
        <v>4655.17</v>
      </c>
      <c r="V222">
        <v>4675.3279499999999</v>
      </c>
      <c r="W222">
        <v>4665.5622499999999</v>
      </c>
      <c r="X222">
        <v>4656.4112100000002</v>
      </c>
      <c r="Y222">
        <v>4656.5465100000001</v>
      </c>
      <c r="Z222">
        <f t="shared" si="37"/>
        <v>4682.5725933333333</v>
      </c>
      <c r="AA222">
        <f t="shared" si="38"/>
        <v>4658.7014600000002</v>
      </c>
      <c r="AB222">
        <f t="shared" si="39"/>
        <v>4658.6125966666668</v>
      </c>
      <c r="AC222">
        <f t="shared" si="40"/>
        <v>4653.2994099999996</v>
      </c>
      <c r="AF222">
        <f t="shared" si="41"/>
        <v>4656.4112100000002</v>
      </c>
      <c r="AG222">
        <f t="shared" si="42"/>
        <v>4682.5725933333333</v>
      </c>
      <c r="AH222">
        <f t="shared" si="43"/>
        <v>4658.6125966666668</v>
      </c>
    </row>
    <row r="223" spans="1:34" x14ac:dyDescent="0.55000000000000004">
      <c r="A223">
        <f>ALGLIB_SSA_XAUUSD!J223</f>
        <v>1775456700</v>
      </c>
      <c r="B223" t="str">
        <f>_xlfn.XLOOKUP($A223,ALGLIB_SSA_XAUUSD!$A$2:$A$1000,ALGLIB_SSA_XAUUSD!$B$2:$B$1000,"",0)</f>
        <v/>
      </c>
      <c r="C223" t="str">
        <f>_xlfn.XLOOKUP($A223,ALGLIB_SSA_XAUUSD!$A$2:$A$1000,ALGLIB_SSA_XAUUSD!$C$2:$C$1000,"",0)</f>
        <v/>
      </c>
      <c r="D223" s="1">
        <f>D218+(D230-D218)*5/12</f>
        <v>4673.810833333333</v>
      </c>
      <c r="E223" s="1">
        <f>E218+(E230-E218)*5/12</f>
        <v>4676.1173466666669</v>
      </c>
      <c r="F223" s="1">
        <f>F218+(F230-F218)*5/12</f>
        <v>4666.3662924999999</v>
      </c>
      <c r="G223" s="1">
        <f>G218+(G230-G218)*5/12</f>
        <v>4683.2820691666666</v>
      </c>
      <c r="H223" s="1">
        <f>H218+(H230-H218)*5/12</f>
        <v>4659.4771558333332</v>
      </c>
      <c r="I223" t="str">
        <f>_xlfn.XLOOKUP($A223,ALGLIB_SSA_XAUUSD!$J$2:$J$1000,ALGLIB_SSA_XAUUSD!$K$2:$K$1000,"",0)</f>
        <v>XAUUSD</v>
      </c>
      <c r="J223" t="str">
        <f>_xlfn.XLOOKUP($A223,ALGLIB_SSA_XAUUSD!$J$2:$J$1000,ALGLIB_SSA_XAUUSD!$L$2:$L$1000,"",0)</f>
        <v>M5</v>
      </c>
      <c r="K223">
        <f>_xlfn.XLOOKUP($A223,ALGLIB_SSA_XAUUSD!$J$2:$J$1000,ALGLIB_SSA_XAUUSD!$M$2:$M$1000,"",0)</f>
        <v>4657.25</v>
      </c>
      <c r="L223">
        <f>_xlfn.XLOOKUP($A223,ALGLIB_SSA_XAUUSD!$J$2:$J$1000,ALGLIB_SSA_XAUUSD!$N$2:$N$1000,"",0)</f>
        <v>4656.8074699999997</v>
      </c>
      <c r="M223">
        <f>_xlfn.XLOOKUP($A223,ALGLIB_SSA_XAUUSD!$J$2:$J$1000,ALGLIB_SSA_XAUUSD!$O$2:$O$1000,"",0)</f>
        <v>4656.6769899999999</v>
      </c>
      <c r="N223">
        <f>_xlfn.XLOOKUP($A223,ALGLIB_SSA_XAUUSD!$J$2:$J$1000,ALGLIB_SSA_XAUUSD!$P$2:$P$1000,"",0)</f>
        <v>4658.7958799999997</v>
      </c>
      <c r="O223">
        <f>_xlfn.XLOOKUP($A223,ALGLIB_SSA_XAUUSD!$J$2:$J$1000,ALGLIB_SSA_XAUUSD!$Q$2:$Q$1000,"",0)</f>
        <v>4653.9017299999996</v>
      </c>
      <c r="R223">
        <f t="shared" si="33"/>
        <v>1775456700</v>
      </c>
      <c r="S223" t="str">
        <f t="shared" si="34"/>
        <v>XAUUSD</v>
      </c>
      <c r="T223" t="str">
        <f t="shared" si="35"/>
        <v>M5</v>
      </c>
      <c r="U223">
        <f t="shared" si="36"/>
        <v>4657.25</v>
      </c>
      <c r="V223">
        <v>4676.1173500000004</v>
      </c>
      <c r="W223">
        <v>4666.3662899999999</v>
      </c>
      <c r="X223">
        <v>4656.8074699999997</v>
      </c>
      <c r="Y223">
        <v>4656.6769899999999</v>
      </c>
      <c r="Z223">
        <f t="shared" si="37"/>
        <v>4683.2820691666666</v>
      </c>
      <c r="AA223">
        <f t="shared" si="38"/>
        <v>4658.7958799999997</v>
      </c>
      <c r="AB223">
        <f t="shared" si="39"/>
        <v>4659.4771558333332</v>
      </c>
      <c r="AC223">
        <f t="shared" si="40"/>
        <v>4653.9017299999996</v>
      </c>
      <c r="AF223">
        <f t="shared" si="41"/>
        <v>4656.8074699999997</v>
      </c>
      <c r="AG223">
        <f t="shared" si="42"/>
        <v>4683.2820691666666</v>
      </c>
      <c r="AH223">
        <f t="shared" si="43"/>
        <v>4659.4771558333332</v>
      </c>
    </row>
    <row r="224" spans="1:34" x14ac:dyDescent="0.55000000000000004">
      <c r="A224">
        <f>ALGLIB_SSA_XAUUSD!J224</f>
        <v>1775457000</v>
      </c>
      <c r="B224" t="str">
        <f>_xlfn.XLOOKUP($A224,ALGLIB_SSA_XAUUSD!$A$2:$A$1000,ALGLIB_SSA_XAUUSD!$B$2:$B$1000,"",0)</f>
        <v/>
      </c>
      <c r="C224" t="str">
        <f>_xlfn.XLOOKUP($A224,ALGLIB_SSA_XAUUSD!$A$2:$A$1000,ALGLIB_SSA_XAUUSD!$C$2:$C$1000,"",0)</f>
        <v/>
      </c>
      <c r="D224" s="1">
        <f>D218+(D230-D218)*6/12</f>
        <v>4675.3850000000002</v>
      </c>
      <c r="E224" s="1">
        <f>E218+(E230-E218)*6/12</f>
        <v>4676.9067400000004</v>
      </c>
      <c r="F224" s="1">
        <f>F218+(F230-F218)*6/12</f>
        <v>4667.1703350000007</v>
      </c>
      <c r="G224" s="1">
        <f>G218+(G230-G218)*6/12</f>
        <v>4683.9915450000008</v>
      </c>
      <c r="H224" s="1">
        <f>H218+(H230-H218)*6/12</f>
        <v>4660.3417150000005</v>
      </c>
      <c r="I224" t="str">
        <f>_xlfn.XLOOKUP($A224,ALGLIB_SSA_XAUUSD!$J$2:$J$1000,ALGLIB_SSA_XAUUSD!$K$2:$K$1000,"",0)</f>
        <v>XAUUSD</v>
      </c>
      <c r="J224" t="str">
        <f>_xlfn.XLOOKUP($A224,ALGLIB_SSA_XAUUSD!$J$2:$J$1000,ALGLIB_SSA_XAUUSD!$L$2:$L$1000,"",0)</f>
        <v>M5</v>
      </c>
      <c r="K224">
        <f>_xlfn.XLOOKUP($A224,ALGLIB_SSA_XAUUSD!$J$2:$J$1000,ALGLIB_SSA_XAUUSD!$M$2:$M$1000,"",0)</f>
        <v>4658.1400000000003</v>
      </c>
      <c r="L224">
        <f>_xlfn.XLOOKUP($A224,ALGLIB_SSA_XAUUSD!$J$2:$J$1000,ALGLIB_SSA_XAUUSD!$N$2:$N$1000,"",0)</f>
        <v>4657.4952800000001</v>
      </c>
      <c r="M224">
        <f>_xlfn.XLOOKUP($A224,ALGLIB_SSA_XAUUSD!$J$2:$J$1000,ALGLIB_SSA_XAUUSD!$O$2:$O$1000,"",0)</f>
        <v>4657.0861299999997</v>
      </c>
      <c r="N224">
        <f>_xlfn.XLOOKUP($A224,ALGLIB_SSA_XAUUSD!$J$2:$J$1000,ALGLIB_SSA_XAUUSD!$P$2:$P$1000,"",0)</f>
        <v>4659.4143999999997</v>
      </c>
      <c r="O224">
        <f>_xlfn.XLOOKUP($A224,ALGLIB_SSA_XAUUSD!$J$2:$J$1000,ALGLIB_SSA_XAUUSD!$Q$2:$Q$1000,"",0)</f>
        <v>4654.6052799999998</v>
      </c>
      <c r="R224">
        <f t="shared" si="33"/>
        <v>1775457000</v>
      </c>
      <c r="S224" t="str">
        <f t="shared" si="34"/>
        <v>XAUUSD</v>
      </c>
      <c r="T224" t="str">
        <f t="shared" si="35"/>
        <v>M5</v>
      </c>
      <c r="U224">
        <f t="shared" si="36"/>
        <v>4658.1400000000003</v>
      </c>
      <c r="V224">
        <v>4676.9067400000004</v>
      </c>
      <c r="W224">
        <v>4667.1703399999997</v>
      </c>
      <c r="X224">
        <v>4657.4952800000001</v>
      </c>
      <c r="Y224">
        <v>4657.0861299999997</v>
      </c>
      <c r="Z224">
        <f t="shared" si="37"/>
        <v>4683.9915450000008</v>
      </c>
      <c r="AA224">
        <f t="shared" si="38"/>
        <v>4659.4143999999997</v>
      </c>
      <c r="AB224">
        <f t="shared" si="39"/>
        <v>4660.3417150000005</v>
      </c>
      <c r="AC224">
        <f t="shared" si="40"/>
        <v>4654.6052799999998</v>
      </c>
      <c r="AF224">
        <f t="shared" si="41"/>
        <v>4657.4952800000001</v>
      </c>
      <c r="AG224">
        <f t="shared" si="42"/>
        <v>4683.9915450000008</v>
      </c>
      <c r="AH224">
        <f t="shared" si="43"/>
        <v>4660.3417150000005</v>
      </c>
    </row>
    <row r="225" spans="1:34" x14ac:dyDescent="0.55000000000000004">
      <c r="A225">
        <f>ALGLIB_SSA_XAUUSD!J225</f>
        <v>1775457300</v>
      </c>
      <c r="B225" t="str">
        <f>_xlfn.XLOOKUP($A225,ALGLIB_SSA_XAUUSD!$A$2:$A$1000,ALGLIB_SSA_XAUUSD!$B$2:$B$1000,"",0)</f>
        <v/>
      </c>
      <c r="C225" t="str">
        <f>_xlfn.XLOOKUP($A225,ALGLIB_SSA_XAUUSD!$A$2:$A$1000,ALGLIB_SSA_XAUUSD!$C$2:$C$1000,"",0)</f>
        <v/>
      </c>
      <c r="D225" s="1">
        <f>D218+(D230-D218)*7/12</f>
        <v>4676.9591666666665</v>
      </c>
      <c r="E225" s="1">
        <f>E218+(E230-E218)*7/12</f>
        <v>4677.6961333333329</v>
      </c>
      <c r="F225" s="1">
        <f>F218+(F230-F218)*7/12</f>
        <v>4667.9743775000006</v>
      </c>
      <c r="G225" s="1">
        <f>G218+(G230-G218)*7/12</f>
        <v>4684.701020833334</v>
      </c>
      <c r="H225" s="1">
        <f>H218+(H230-H218)*7/12</f>
        <v>4661.2062741666668</v>
      </c>
      <c r="I225" t="str">
        <f>_xlfn.XLOOKUP($A225,ALGLIB_SSA_XAUUSD!$J$2:$J$1000,ALGLIB_SSA_XAUUSD!$K$2:$K$1000,"",0)</f>
        <v>XAUUSD</v>
      </c>
      <c r="J225" t="str">
        <f>_xlfn.XLOOKUP($A225,ALGLIB_SSA_XAUUSD!$J$2:$J$1000,ALGLIB_SSA_XAUUSD!$L$2:$L$1000,"",0)</f>
        <v>M5</v>
      </c>
      <c r="K225">
        <f>_xlfn.XLOOKUP($A225,ALGLIB_SSA_XAUUSD!$J$2:$J$1000,ALGLIB_SSA_XAUUSD!$M$2:$M$1000,"",0)</f>
        <v>4654.8999999999996</v>
      </c>
      <c r="L225">
        <f>_xlfn.XLOOKUP($A225,ALGLIB_SSA_XAUUSD!$J$2:$J$1000,ALGLIB_SSA_XAUUSD!$N$2:$N$1000,"",0)</f>
        <v>4658.3523100000002</v>
      </c>
      <c r="M225">
        <f>_xlfn.XLOOKUP($A225,ALGLIB_SSA_XAUUSD!$J$2:$J$1000,ALGLIB_SSA_XAUUSD!$O$2:$O$1000,"",0)</f>
        <v>4657.71922</v>
      </c>
      <c r="N225">
        <f>_xlfn.XLOOKUP($A225,ALGLIB_SSA_XAUUSD!$J$2:$J$1000,ALGLIB_SSA_XAUUSD!$P$2:$P$1000,"",0)</f>
        <v>4660.4477900000002</v>
      </c>
      <c r="O225">
        <f>_xlfn.XLOOKUP($A225,ALGLIB_SSA_XAUUSD!$J$2:$J$1000,ALGLIB_SSA_XAUUSD!$Q$2:$Q$1000,"",0)</f>
        <v>4655.2854299999999</v>
      </c>
      <c r="R225">
        <f t="shared" si="33"/>
        <v>1775457300</v>
      </c>
      <c r="S225" t="str">
        <f t="shared" si="34"/>
        <v>XAUUSD</v>
      </c>
      <c r="T225" t="str">
        <f t="shared" si="35"/>
        <v>M5</v>
      </c>
      <c r="U225">
        <f t="shared" si="36"/>
        <v>4654.8999999999996</v>
      </c>
      <c r="V225">
        <v>4677.6961300000003</v>
      </c>
      <c r="W225">
        <v>4667.9743799999997</v>
      </c>
      <c r="X225">
        <v>4658.3523100000002</v>
      </c>
      <c r="Y225">
        <v>4657.71922</v>
      </c>
      <c r="Z225">
        <f t="shared" si="37"/>
        <v>4684.701020833334</v>
      </c>
      <c r="AA225">
        <f t="shared" si="38"/>
        <v>4660.4477900000002</v>
      </c>
      <c r="AB225">
        <f t="shared" si="39"/>
        <v>4661.2062741666668</v>
      </c>
      <c r="AC225">
        <f t="shared" si="40"/>
        <v>4655.2854299999999</v>
      </c>
      <c r="AF225">
        <f t="shared" si="41"/>
        <v>4658.3523100000002</v>
      </c>
      <c r="AG225">
        <f t="shared" si="42"/>
        <v>4684.701020833334</v>
      </c>
      <c r="AH225">
        <f t="shared" si="43"/>
        <v>4661.2062741666668</v>
      </c>
    </row>
    <row r="226" spans="1:34" x14ac:dyDescent="0.55000000000000004">
      <c r="A226">
        <f>ALGLIB_SSA_XAUUSD!J226</f>
        <v>1775457600</v>
      </c>
      <c r="B226" t="str">
        <f>_xlfn.XLOOKUP($A226,ALGLIB_SSA_XAUUSD!$A$2:$A$1000,ALGLIB_SSA_XAUUSD!$B$2:$B$1000,"",0)</f>
        <v/>
      </c>
      <c r="C226" t="str">
        <f>_xlfn.XLOOKUP($A226,ALGLIB_SSA_XAUUSD!$A$2:$A$1000,ALGLIB_SSA_XAUUSD!$C$2:$C$1000,"",0)</f>
        <v/>
      </c>
      <c r="D226" s="1">
        <f>D218+(D230-D218)*8/12</f>
        <v>4678.5333333333328</v>
      </c>
      <c r="E226" s="1">
        <f>E218+(E230-E218)*8/12</f>
        <v>4678.4855266666664</v>
      </c>
      <c r="F226" s="1">
        <f>F218+(F230-F218)*8/12</f>
        <v>4668.7784200000006</v>
      </c>
      <c r="G226" s="1">
        <f>G218+(G230-G218)*8/12</f>
        <v>4685.4104966666673</v>
      </c>
      <c r="H226" s="1">
        <f>H218+(H230-H218)*8/12</f>
        <v>4662.0708333333332</v>
      </c>
      <c r="I226" t="str">
        <f>_xlfn.XLOOKUP($A226,ALGLIB_SSA_XAUUSD!$J$2:$J$1000,ALGLIB_SSA_XAUUSD!$K$2:$K$1000,"",0)</f>
        <v>XAUUSD</v>
      </c>
      <c r="J226" t="str">
        <f>_xlfn.XLOOKUP($A226,ALGLIB_SSA_XAUUSD!$J$2:$J$1000,ALGLIB_SSA_XAUUSD!$L$2:$L$1000,"",0)</f>
        <v>M5</v>
      </c>
      <c r="K226">
        <f>_xlfn.XLOOKUP($A226,ALGLIB_SSA_XAUUSD!$J$2:$J$1000,ALGLIB_SSA_XAUUSD!$M$2:$M$1000,"",0)</f>
        <v>4655.58</v>
      </c>
      <c r="L226">
        <f>_xlfn.XLOOKUP($A226,ALGLIB_SSA_XAUUSD!$J$2:$J$1000,ALGLIB_SSA_XAUUSD!$N$2:$N$1000,"",0)</f>
        <v>4659.268</v>
      </c>
      <c r="M226">
        <f>_xlfn.XLOOKUP($A226,ALGLIB_SSA_XAUUSD!$J$2:$J$1000,ALGLIB_SSA_XAUUSD!$O$2:$O$1000,"",0)</f>
        <v>4658.4936100000004</v>
      </c>
      <c r="N226">
        <f>_xlfn.XLOOKUP($A226,ALGLIB_SSA_XAUUSD!$J$2:$J$1000,ALGLIB_SSA_XAUUSD!$P$2:$P$1000,"",0)</f>
        <v>4661.7290999999996</v>
      </c>
      <c r="O226">
        <f>_xlfn.XLOOKUP($A226,ALGLIB_SSA_XAUUSD!$J$2:$J$1000,ALGLIB_SSA_XAUUSD!$Q$2:$Q$1000,"",0)</f>
        <v>4655.9269199999999</v>
      </c>
      <c r="R226">
        <f t="shared" si="33"/>
        <v>1775457600</v>
      </c>
      <c r="S226" t="str">
        <f t="shared" si="34"/>
        <v>XAUUSD</v>
      </c>
      <c r="T226" t="str">
        <f t="shared" si="35"/>
        <v>M5</v>
      </c>
      <c r="U226">
        <f t="shared" si="36"/>
        <v>4655.58</v>
      </c>
      <c r="V226">
        <v>4678.4855299999999</v>
      </c>
      <c r="W226">
        <v>4668.7784199999996</v>
      </c>
      <c r="X226">
        <v>4659.268</v>
      </c>
      <c r="Y226">
        <v>4658.4936100000004</v>
      </c>
      <c r="Z226">
        <f t="shared" si="37"/>
        <v>4685.4104966666673</v>
      </c>
      <c r="AA226">
        <f t="shared" si="38"/>
        <v>4661.7290999999996</v>
      </c>
      <c r="AB226">
        <f t="shared" si="39"/>
        <v>4662.0708333333332</v>
      </c>
      <c r="AC226">
        <f t="shared" si="40"/>
        <v>4655.9269199999999</v>
      </c>
      <c r="AF226">
        <f t="shared" si="41"/>
        <v>4659.268</v>
      </c>
      <c r="AG226">
        <f t="shared" si="42"/>
        <v>4685.4104966666673</v>
      </c>
      <c r="AH226">
        <f t="shared" si="43"/>
        <v>4662.0708333333332</v>
      </c>
    </row>
    <row r="227" spans="1:34" x14ac:dyDescent="0.55000000000000004">
      <c r="A227">
        <f>ALGLIB_SSA_XAUUSD!J227</f>
        <v>1775457900</v>
      </c>
      <c r="B227" t="str">
        <f>_xlfn.XLOOKUP($A227,ALGLIB_SSA_XAUUSD!$A$2:$A$1000,ALGLIB_SSA_XAUUSD!$B$2:$B$1000,"",0)</f>
        <v/>
      </c>
      <c r="C227" t="str">
        <f>_xlfn.XLOOKUP($A227,ALGLIB_SSA_XAUUSD!$A$2:$A$1000,ALGLIB_SSA_XAUUSD!$C$2:$C$1000,"",0)</f>
        <v/>
      </c>
      <c r="D227" s="1">
        <f>D218+(D230-D218)*9/12</f>
        <v>4680.1075000000001</v>
      </c>
      <c r="E227" s="1">
        <f>E218+(E230-E218)*9/12</f>
        <v>4679.2749199999998</v>
      </c>
      <c r="F227" s="1">
        <f>F218+(F230-F218)*9/12</f>
        <v>4669.5824625000005</v>
      </c>
      <c r="G227" s="1">
        <f>G218+(G230-G218)*9/12</f>
        <v>4686.1199725000006</v>
      </c>
      <c r="H227" s="1">
        <f>H218+(H230-H218)*9/12</f>
        <v>4662.9353924999996</v>
      </c>
      <c r="I227" t="str">
        <f>_xlfn.XLOOKUP($A227,ALGLIB_SSA_XAUUSD!$J$2:$J$1000,ALGLIB_SSA_XAUUSD!$K$2:$K$1000,"",0)</f>
        <v>XAUUSD</v>
      </c>
      <c r="J227" t="str">
        <f>_xlfn.XLOOKUP($A227,ALGLIB_SSA_XAUUSD!$J$2:$J$1000,ALGLIB_SSA_XAUUSD!$L$2:$L$1000,"",0)</f>
        <v>M5</v>
      </c>
      <c r="K227">
        <f>_xlfn.XLOOKUP($A227,ALGLIB_SSA_XAUUSD!$J$2:$J$1000,ALGLIB_SSA_XAUUSD!$M$2:$M$1000,"",0)</f>
        <v>4656.3599999999997</v>
      </c>
      <c r="L227">
        <f>_xlfn.XLOOKUP($A227,ALGLIB_SSA_XAUUSD!$J$2:$J$1000,ALGLIB_SSA_XAUUSD!$N$2:$N$1000,"",0)</f>
        <v>4659.9482699999999</v>
      </c>
      <c r="M227">
        <f>_xlfn.XLOOKUP($A227,ALGLIB_SSA_XAUUSD!$J$2:$J$1000,ALGLIB_SSA_XAUUSD!$O$2:$O$1000,"",0)</f>
        <v>4659.2209400000002</v>
      </c>
      <c r="N227">
        <f>_xlfn.XLOOKUP($A227,ALGLIB_SSA_XAUUSD!$J$2:$J$1000,ALGLIB_SSA_XAUUSD!$P$2:$P$1000,"",0)</f>
        <v>4662.9503100000002</v>
      </c>
      <c r="O227">
        <f>_xlfn.XLOOKUP($A227,ALGLIB_SSA_XAUUSD!$J$2:$J$1000,ALGLIB_SSA_XAUUSD!$Q$2:$Q$1000,"",0)</f>
        <v>4656.3350700000001</v>
      </c>
      <c r="R227">
        <f t="shared" si="33"/>
        <v>1775457900</v>
      </c>
      <c r="S227" t="str">
        <f t="shared" si="34"/>
        <v>XAUUSD</v>
      </c>
      <c r="T227" t="str">
        <f t="shared" si="35"/>
        <v>M5</v>
      </c>
      <c r="U227">
        <f t="shared" si="36"/>
        <v>4656.3599999999997</v>
      </c>
      <c r="V227">
        <v>4679.2749199999998</v>
      </c>
      <c r="W227">
        <v>4669.5824599999996</v>
      </c>
      <c r="X227">
        <v>4659.9482699999999</v>
      </c>
      <c r="Y227">
        <v>4659.2209400000002</v>
      </c>
      <c r="Z227">
        <f t="shared" si="37"/>
        <v>4686.1199725000006</v>
      </c>
      <c r="AA227">
        <f t="shared" si="38"/>
        <v>4662.9503100000002</v>
      </c>
      <c r="AB227">
        <f t="shared" si="39"/>
        <v>4662.9353924999996</v>
      </c>
      <c r="AC227">
        <f t="shared" si="40"/>
        <v>4656.3350700000001</v>
      </c>
      <c r="AF227">
        <f t="shared" si="41"/>
        <v>4659.9482699999999</v>
      </c>
      <c r="AG227">
        <f t="shared" si="42"/>
        <v>4686.1199725000006</v>
      </c>
      <c r="AH227">
        <f t="shared" si="43"/>
        <v>4662.9353924999996</v>
      </c>
    </row>
    <row r="228" spans="1:34" x14ac:dyDescent="0.55000000000000004">
      <c r="A228">
        <f>ALGLIB_SSA_XAUUSD!J228</f>
        <v>1775458200</v>
      </c>
      <c r="B228" t="str">
        <f>_xlfn.XLOOKUP($A228,ALGLIB_SSA_XAUUSD!$A$2:$A$1000,ALGLIB_SSA_XAUUSD!$B$2:$B$1000,"",0)</f>
        <v/>
      </c>
      <c r="C228" t="str">
        <f>_xlfn.XLOOKUP($A228,ALGLIB_SSA_XAUUSD!$A$2:$A$1000,ALGLIB_SSA_XAUUSD!$C$2:$C$1000,"",0)</f>
        <v/>
      </c>
      <c r="D228" s="1">
        <f>D218+(D230-D218)*10/12</f>
        <v>4681.6816666666664</v>
      </c>
      <c r="E228" s="1">
        <f>E218+(E230-E218)*10/12</f>
        <v>4680.0643133333333</v>
      </c>
      <c r="F228" s="1">
        <f>F218+(F230-F218)*10/12</f>
        <v>4670.3865050000004</v>
      </c>
      <c r="G228" s="1">
        <f>G218+(G230-G218)*10/12</f>
        <v>4686.8294483333339</v>
      </c>
      <c r="H228" s="1">
        <f>H218+(H230-H218)*10/12</f>
        <v>4663.7999516666659</v>
      </c>
      <c r="I228" t="str">
        <f>_xlfn.XLOOKUP($A228,ALGLIB_SSA_XAUUSD!$J$2:$J$1000,ALGLIB_SSA_XAUUSD!$K$2:$K$1000,"",0)</f>
        <v>XAUUSD</v>
      </c>
      <c r="J228" t="str">
        <f>_xlfn.XLOOKUP($A228,ALGLIB_SSA_XAUUSD!$J$2:$J$1000,ALGLIB_SSA_XAUUSD!$L$2:$L$1000,"",0)</f>
        <v>M5</v>
      </c>
      <c r="K228">
        <f>_xlfn.XLOOKUP($A228,ALGLIB_SSA_XAUUSD!$J$2:$J$1000,ALGLIB_SSA_XAUUSD!$M$2:$M$1000,"",0)</f>
        <v>4662.24</v>
      </c>
      <c r="L228">
        <f>_xlfn.XLOOKUP($A228,ALGLIB_SSA_XAUUSD!$J$2:$J$1000,ALGLIB_SSA_XAUUSD!$N$2:$N$1000,"",0)</f>
        <v>4660.0743899999998</v>
      </c>
      <c r="M228">
        <f>_xlfn.XLOOKUP($A228,ALGLIB_SSA_XAUUSD!$J$2:$J$1000,ALGLIB_SSA_XAUUSD!$O$2:$O$1000,"",0)</f>
        <v>4659.6476700000003</v>
      </c>
      <c r="N228">
        <f>_xlfn.XLOOKUP($A228,ALGLIB_SSA_XAUUSD!$J$2:$J$1000,ALGLIB_SSA_XAUUSD!$P$2:$P$1000,"",0)</f>
        <v>4663.7543400000004</v>
      </c>
      <c r="O228">
        <f>_xlfn.XLOOKUP($A228,ALGLIB_SSA_XAUUSD!$J$2:$J$1000,ALGLIB_SSA_XAUUSD!$Q$2:$Q$1000,"",0)</f>
        <v>4656.30962</v>
      </c>
      <c r="R228">
        <f t="shared" si="33"/>
        <v>1775458200</v>
      </c>
      <c r="S228" t="str">
        <f t="shared" si="34"/>
        <v>XAUUSD</v>
      </c>
      <c r="T228" t="str">
        <f t="shared" si="35"/>
        <v>M5</v>
      </c>
      <c r="U228">
        <f t="shared" si="36"/>
        <v>4662.24</v>
      </c>
      <c r="V228">
        <v>4680.0643099999998</v>
      </c>
      <c r="W228">
        <v>4670.3865100000003</v>
      </c>
      <c r="X228">
        <v>4660.0743899999998</v>
      </c>
      <c r="Y228">
        <v>4659.6476700000003</v>
      </c>
      <c r="Z228">
        <f t="shared" si="37"/>
        <v>4686.8294483333339</v>
      </c>
      <c r="AA228">
        <f t="shared" si="38"/>
        <v>4663.7543400000004</v>
      </c>
      <c r="AB228">
        <f t="shared" si="39"/>
        <v>4663.7999516666659</v>
      </c>
      <c r="AC228">
        <f t="shared" si="40"/>
        <v>4656.30962</v>
      </c>
      <c r="AF228">
        <f t="shared" si="41"/>
        <v>4660.0743899999998</v>
      </c>
      <c r="AG228">
        <f t="shared" si="42"/>
        <v>4686.8294483333339</v>
      </c>
      <c r="AH228">
        <f t="shared" si="43"/>
        <v>4663.7999516666659</v>
      </c>
    </row>
    <row r="229" spans="1:34" x14ac:dyDescent="0.55000000000000004">
      <c r="A229">
        <f>ALGLIB_SSA_XAUUSD!J229</f>
        <v>1775458500</v>
      </c>
      <c r="B229" t="str">
        <f>_xlfn.XLOOKUP($A229,ALGLIB_SSA_XAUUSD!$A$2:$A$1000,ALGLIB_SSA_XAUUSD!$B$2:$B$1000,"",0)</f>
        <v/>
      </c>
      <c r="C229" t="str">
        <f>_xlfn.XLOOKUP($A229,ALGLIB_SSA_XAUUSD!$A$2:$A$1000,ALGLIB_SSA_XAUUSD!$C$2:$C$1000,"",0)</f>
        <v/>
      </c>
      <c r="D229" s="1">
        <f>D218+(D230-D218)*11/12</f>
        <v>4683.2558333333336</v>
      </c>
      <c r="E229" s="1">
        <f>E218+(E230-E218)*11/12</f>
        <v>4680.8537066666668</v>
      </c>
      <c r="F229" s="1">
        <f>F218+(F230-F218)*11/12</f>
        <v>4671.1905475000003</v>
      </c>
      <c r="G229" s="1">
        <f>G218+(G230-G218)*11/12</f>
        <v>4687.5389241666671</v>
      </c>
      <c r="H229" s="1">
        <f>H218+(H230-H218)*11/12</f>
        <v>4664.6645108333332</v>
      </c>
      <c r="I229" t="str">
        <f>_xlfn.XLOOKUP($A229,ALGLIB_SSA_XAUUSD!$J$2:$J$1000,ALGLIB_SSA_XAUUSD!$K$2:$K$1000,"",0)</f>
        <v>XAUUSD</v>
      </c>
      <c r="J229" t="str">
        <f>_xlfn.XLOOKUP($A229,ALGLIB_SSA_XAUUSD!$J$2:$J$1000,ALGLIB_SSA_XAUUSD!$L$2:$L$1000,"",0)</f>
        <v>M5</v>
      </c>
      <c r="K229">
        <f>_xlfn.XLOOKUP($A229,ALGLIB_SSA_XAUUSD!$J$2:$J$1000,ALGLIB_SSA_XAUUSD!$M$2:$M$1000,"",0)</f>
        <v>4665.9399999999996</v>
      </c>
      <c r="L229">
        <f>_xlfn.XLOOKUP($A229,ALGLIB_SSA_XAUUSD!$J$2:$J$1000,ALGLIB_SSA_XAUUSD!$N$2:$N$1000,"",0)</f>
        <v>4659.2762700000003</v>
      </c>
      <c r="M229">
        <f>_xlfn.XLOOKUP($A229,ALGLIB_SSA_XAUUSD!$J$2:$J$1000,ALGLIB_SSA_XAUUSD!$O$2:$O$1000,"",0)</f>
        <v>4659.4619700000003</v>
      </c>
      <c r="N229">
        <f>_xlfn.XLOOKUP($A229,ALGLIB_SSA_XAUUSD!$J$2:$J$1000,ALGLIB_SSA_XAUUSD!$P$2:$P$1000,"",0)</f>
        <v>4663.5457900000001</v>
      </c>
      <c r="O229">
        <f>_xlfn.XLOOKUP($A229,ALGLIB_SSA_XAUUSD!$J$2:$J$1000,ALGLIB_SSA_XAUUSD!$Q$2:$Q$1000,"",0)</f>
        <v>4655.64779</v>
      </c>
      <c r="R229">
        <f t="shared" si="33"/>
        <v>1775458500</v>
      </c>
      <c r="S229" t="str">
        <f t="shared" si="34"/>
        <v>XAUUSD</v>
      </c>
      <c r="T229" t="str">
        <f t="shared" si="35"/>
        <v>M5</v>
      </c>
      <c r="U229">
        <f t="shared" si="36"/>
        <v>4665.9399999999996</v>
      </c>
      <c r="V229">
        <v>4680.8537100000003</v>
      </c>
      <c r="W229">
        <v>4671.1905500000003</v>
      </c>
      <c r="X229">
        <v>4659.2762700000003</v>
      </c>
      <c r="Y229">
        <v>4659.4619700000003</v>
      </c>
      <c r="Z229">
        <f t="shared" si="37"/>
        <v>4687.5389241666671</v>
      </c>
      <c r="AA229">
        <f t="shared" si="38"/>
        <v>4663.5457900000001</v>
      </c>
      <c r="AB229">
        <f t="shared" si="39"/>
        <v>4664.6645108333332</v>
      </c>
      <c r="AC229">
        <f t="shared" si="40"/>
        <v>4655.64779</v>
      </c>
      <c r="AF229">
        <f t="shared" si="41"/>
        <v>4659.2762700000003</v>
      </c>
      <c r="AG229">
        <f t="shared" si="42"/>
        <v>4687.5389241666671</v>
      </c>
      <c r="AH229">
        <f t="shared" si="43"/>
        <v>4664.6645108333332</v>
      </c>
    </row>
    <row r="230" spans="1:34" x14ac:dyDescent="0.55000000000000004">
      <c r="A230">
        <f>ALGLIB_SSA_XAUUSD!J230</f>
        <v>1775458800</v>
      </c>
      <c r="B230" t="str">
        <f>_xlfn.XLOOKUP($A230,ALGLIB_SSA_XAUUSD!$A$2:$A$1000,ALGLIB_SSA_XAUUSD!$B$2:$B$1000,"",0)</f>
        <v>XAUUSD</v>
      </c>
      <c r="C230" t="str">
        <f>_xlfn.XLOOKUP($A230,ALGLIB_SSA_XAUUSD!$A$2:$A$1000,ALGLIB_SSA_XAUUSD!$C$2:$C$1000,"",0)</f>
        <v>H1</v>
      </c>
      <c r="D230" s="2">
        <f>_xlfn.XLOOKUP($A230,ALGLIB_SSA_XAUUSD!$A$2:$A$1000,ALGLIB_SSA_XAUUSD!$D$2:$D$1000,"",0)</f>
        <v>4684.83</v>
      </c>
      <c r="E230" s="2">
        <f>_xlfn.XLOOKUP($A230,ALGLIB_SSA_XAUUSD!$A$2:$A$1000,ALGLIB_SSA_XAUUSD!$E$2:$E$1000,"",0)</f>
        <v>4681.6431000000002</v>
      </c>
      <c r="F230" s="2">
        <f>_xlfn.XLOOKUP($A230,ALGLIB_SSA_XAUUSD!$A$2:$A$1000,ALGLIB_SSA_XAUUSD!$F$2:$F$1000,"",0)</f>
        <v>4671.9945900000002</v>
      </c>
      <c r="G230" s="2">
        <f>_xlfn.XLOOKUP($A230,ALGLIB_SSA_XAUUSD!$A$2:$A$1000,ALGLIB_SSA_XAUUSD!$G$2:$G$1000,"",0)</f>
        <v>4688.2484000000004</v>
      </c>
      <c r="H230" s="2">
        <f>_xlfn.XLOOKUP($A230,ALGLIB_SSA_XAUUSD!$A$2:$A$1000,ALGLIB_SSA_XAUUSD!$H$2:$H$1000,"",0)</f>
        <v>4665.5290699999996</v>
      </c>
      <c r="I230" t="str">
        <f>_xlfn.XLOOKUP($A230,ALGLIB_SSA_XAUUSD!$J$2:$J$1000,ALGLIB_SSA_XAUUSD!$K$2:$K$1000,"",0)</f>
        <v>XAUUSD</v>
      </c>
      <c r="J230" t="str">
        <f>_xlfn.XLOOKUP($A230,ALGLIB_SSA_XAUUSD!$J$2:$J$1000,ALGLIB_SSA_XAUUSD!$L$2:$L$1000,"",0)</f>
        <v>M5</v>
      </c>
      <c r="K230">
        <f>_xlfn.XLOOKUP($A230,ALGLIB_SSA_XAUUSD!$J$2:$J$1000,ALGLIB_SSA_XAUUSD!$M$2:$M$1000,"",0)</f>
        <v>4658.8999999999996</v>
      </c>
      <c r="L230">
        <f>_xlfn.XLOOKUP($A230,ALGLIB_SSA_XAUUSD!$J$2:$J$1000,ALGLIB_SSA_XAUUSD!$N$2:$N$1000,"",0)</f>
        <v>4657.4237199999998</v>
      </c>
      <c r="M230">
        <f>_xlfn.XLOOKUP($A230,ALGLIB_SSA_XAUUSD!$J$2:$J$1000,ALGLIB_SSA_XAUUSD!$O$2:$O$1000,"",0)</f>
        <v>4658.4428500000004</v>
      </c>
      <c r="N230">
        <f>_xlfn.XLOOKUP($A230,ALGLIB_SSA_XAUUSD!$J$2:$J$1000,ALGLIB_SSA_XAUUSD!$P$2:$P$1000,"",0)</f>
        <v>4662.1893899999995</v>
      </c>
      <c r="O230">
        <f>_xlfn.XLOOKUP($A230,ALGLIB_SSA_XAUUSD!$J$2:$J$1000,ALGLIB_SSA_XAUUSD!$Q$2:$Q$1000,"",0)</f>
        <v>4654.21958</v>
      </c>
      <c r="R230">
        <f t="shared" si="33"/>
        <v>1775458800</v>
      </c>
      <c r="S230" t="str">
        <f t="shared" si="34"/>
        <v>XAUUSD</v>
      </c>
      <c r="T230" t="str">
        <f t="shared" si="35"/>
        <v>M5</v>
      </c>
      <c r="U230">
        <f t="shared" si="36"/>
        <v>4658.8999999999996</v>
      </c>
      <c r="V230">
        <v>4681.6431000000002</v>
      </c>
      <c r="W230">
        <v>4671.9945900000002</v>
      </c>
      <c r="X230">
        <v>4657.4237199999998</v>
      </c>
      <c r="Y230">
        <v>4658.4428500000004</v>
      </c>
      <c r="Z230">
        <f t="shared" si="37"/>
        <v>4688.2484000000004</v>
      </c>
      <c r="AA230">
        <f t="shared" si="38"/>
        <v>4662.1893899999995</v>
      </c>
      <c r="AB230">
        <f t="shared" si="39"/>
        <v>4665.5290699999996</v>
      </c>
      <c r="AC230">
        <f t="shared" si="40"/>
        <v>4654.21958</v>
      </c>
      <c r="AF230">
        <f t="shared" si="41"/>
        <v>4657.4237199999998</v>
      </c>
      <c r="AG230">
        <f t="shared" si="42"/>
        <v>4688.2484000000004</v>
      </c>
      <c r="AH230">
        <f t="shared" si="43"/>
        <v>4665.5290699999996</v>
      </c>
    </row>
    <row r="231" spans="1:34" x14ac:dyDescent="0.55000000000000004">
      <c r="A231">
        <f>ALGLIB_SSA_XAUUSD!J231</f>
        <v>1775459100</v>
      </c>
      <c r="B231" t="str">
        <f>_xlfn.XLOOKUP($A231,ALGLIB_SSA_XAUUSD!$A$2:$A$1000,ALGLIB_SSA_XAUUSD!$B$2:$B$1000,"",0)</f>
        <v/>
      </c>
      <c r="C231" t="str">
        <f>_xlfn.XLOOKUP($A231,ALGLIB_SSA_XAUUSD!$A$2:$A$1000,ALGLIB_SSA_XAUUSD!$C$2:$C$1000,"",0)</f>
        <v/>
      </c>
      <c r="D231" s="1">
        <f>D230+(D242-D230)*1/12</f>
        <v>4685.7474999999995</v>
      </c>
      <c r="E231" s="1">
        <f>E230+(E242-E230)*1/12</f>
        <v>4682.18084</v>
      </c>
      <c r="F231" s="1">
        <f>F230+(F242-F230)*1/12</f>
        <v>4672.6654808333333</v>
      </c>
      <c r="G231" s="1">
        <f>G230+(G242-G230)*1/12</f>
        <v>4688.7969075000001</v>
      </c>
      <c r="H231" s="1">
        <f>H230+(H242-H230)*1/12</f>
        <v>4666.2121549999993</v>
      </c>
      <c r="I231" t="str">
        <f>_xlfn.XLOOKUP($A231,ALGLIB_SSA_XAUUSD!$J$2:$J$1000,ALGLIB_SSA_XAUUSD!$K$2:$K$1000,"",0)</f>
        <v>XAUUSD</v>
      </c>
      <c r="J231" t="str">
        <f>_xlfn.XLOOKUP($A231,ALGLIB_SSA_XAUUSD!$J$2:$J$1000,ALGLIB_SSA_XAUUSD!$L$2:$L$1000,"",0)</f>
        <v>M5</v>
      </c>
      <c r="K231">
        <f>_xlfn.XLOOKUP($A231,ALGLIB_SSA_XAUUSD!$J$2:$J$1000,ALGLIB_SSA_XAUUSD!$M$2:$M$1000,"",0)</f>
        <v>4656.21</v>
      </c>
      <c r="L231">
        <f>_xlfn.XLOOKUP($A231,ALGLIB_SSA_XAUUSD!$J$2:$J$1000,ALGLIB_SSA_XAUUSD!$N$2:$N$1000,"",0)</f>
        <v>4654.92598</v>
      </c>
      <c r="M231">
        <f>_xlfn.XLOOKUP($A231,ALGLIB_SSA_XAUUSD!$J$2:$J$1000,ALGLIB_SSA_XAUUSD!$O$2:$O$1000,"",0)</f>
        <v>4656.6844099999998</v>
      </c>
      <c r="N231">
        <f>_xlfn.XLOOKUP($A231,ALGLIB_SSA_XAUUSD!$J$2:$J$1000,ALGLIB_SSA_XAUUSD!$P$2:$P$1000,"",0)</f>
        <v>4659.7890500000003</v>
      </c>
      <c r="O231">
        <f>_xlfn.XLOOKUP($A231,ALGLIB_SSA_XAUUSD!$J$2:$J$1000,ALGLIB_SSA_XAUUSD!$Q$2:$Q$1000,"",0)</f>
        <v>4652.15272</v>
      </c>
      <c r="R231">
        <f t="shared" si="33"/>
        <v>1775459100</v>
      </c>
      <c r="S231" t="str">
        <f t="shared" si="34"/>
        <v>XAUUSD</v>
      </c>
      <c r="T231" t="str">
        <f t="shared" si="35"/>
        <v>M5</v>
      </c>
      <c r="U231">
        <f t="shared" si="36"/>
        <v>4656.21</v>
      </c>
      <c r="V231">
        <v>4682.18084</v>
      </c>
      <c r="W231">
        <v>4672.6654799999997</v>
      </c>
      <c r="X231">
        <v>4654.92598</v>
      </c>
      <c r="Y231">
        <v>4656.6844099999998</v>
      </c>
      <c r="Z231">
        <f t="shared" si="37"/>
        <v>4688.7969075000001</v>
      </c>
      <c r="AA231">
        <f t="shared" si="38"/>
        <v>4659.7890500000003</v>
      </c>
      <c r="AB231">
        <f t="shared" si="39"/>
        <v>4666.2121549999993</v>
      </c>
      <c r="AC231">
        <f t="shared" si="40"/>
        <v>4652.15272</v>
      </c>
      <c r="AF231">
        <f t="shared" si="41"/>
        <v>4654.92598</v>
      </c>
      <c r="AG231">
        <f t="shared" si="42"/>
        <v>4688.7969075000001</v>
      </c>
      <c r="AH231">
        <f t="shared" si="43"/>
        <v>4666.2121549999993</v>
      </c>
    </row>
    <row r="232" spans="1:34" x14ac:dyDescent="0.55000000000000004">
      <c r="A232">
        <f>ALGLIB_SSA_XAUUSD!J232</f>
        <v>1775459400</v>
      </c>
      <c r="B232" t="str">
        <f>_xlfn.XLOOKUP($A232,ALGLIB_SSA_XAUUSD!$A$2:$A$1000,ALGLIB_SSA_XAUUSD!$B$2:$B$1000,"",0)</f>
        <v/>
      </c>
      <c r="C232" t="str">
        <f>_xlfn.XLOOKUP($A232,ALGLIB_SSA_XAUUSD!$A$2:$A$1000,ALGLIB_SSA_XAUUSD!$C$2:$C$1000,"",0)</f>
        <v/>
      </c>
      <c r="D232" s="1">
        <f>D230+(D242-D230)*2/12</f>
        <v>4686.665</v>
      </c>
      <c r="E232" s="1">
        <f>E230+(E242-E230)*2/12</f>
        <v>4682.7185800000007</v>
      </c>
      <c r="F232" s="1">
        <f>F230+(F242-F230)*2/12</f>
        <v>4673.3363716666672</v>
      </c>
      <c r="G232" s="1">
        <f>G230+(G242-G230)*2/12</f>
        <v>4689.3454150000007</v>
      </c>
      <c r="H232" s="1">
        <f>H230+(H242-H230)*2/12</f>
        <v>4666.8952399999998</v>
      </c>
      <c r="I232" t="str">
        <f>_xlfn.XLOOKUP($A232,ALGLIB_SSA_XAUUSD!$J$2:$J$1000,ALGLIB_SSA_XAUUSD!$K$2:$K$1000,"",0)</f>
        <v>XAUUSD</v>
      </c>
      <c r="J232" t="str">
        <f>_xlfn.XLOOKUP($A232,ALGLIB_SSA_XAUUSD!$J$2:$J$1000,ALGLIB_SSA_XAUUSD!$L$2:$L$1000,"",0)</f>
        <v>M5</v>
      </c>
      <c r="K232">
        <f>_xlfn.XLOOKUP($A232,ALGLIB_SSA_XAUUSD!$J$2:$J$1000,ALGLIB_SSA_XAUUSD!$M$2:$M$1000,"",0)</f>
        <v>4651.91</v>
      </c>
      <c r="L232">
        <f>_xlfn.XLOOKUP($A232,ALGLIB_SSA_XAUUSD!$J$2:$J$1000,ALGLIB_SSA_XAUUSD!$N$2:$N$1000,"",0)</f>
        <v>4652.32143</v>
      </c>
      <c r="M232">
        <f>_xlfn.XLOOKUP($A232,ALGLIB_SSA_XAUUSD!$J$2:$J$1000,ALGLIB_SSA_XAUUSD!$O$2:$O$1000,"",0)</f>
        <v>4654.5029199999999</v>
      </c>
      <c r="N232">
        <f>_xlfn.XLOOKUP($A232,ALGLIB_SSA_XAUUSD!$J$2:$J$1000,ALGLIB_SSA_XAUUSD!$P$2:$P$1000,"",0)</f>
        <v>4656.9256999999998</v>
      </c>
      <c r="O232">
        <f>_xlfn.XLOOKUP($A232,ALGLIB_SSA_XAUUSD!$J$2:$J$1000,ALGLIB_SSA_XAUUSD!$Q$2:$Q$1000,"",0)</f>
        <v>4649.8316199999999</v>
      </c>
      <c r="R232">
        <f t="shared" si="33"/>
        <v>1775459400</v>
      </c>
      <c r="S232" t="str">
        <f t="shared" si="34"/>
        <v>XAUUSD</v>
      </c>
      <c r="T232" t="str">
        <f t="shared" si="35"/>
        <v>M5</v>
      </c>
      <c r="U232">
        <f t="shared" si="36"/>
        <v>4651.91</v>
      </c>
      <c r="V232">
        <v>4682.7185799999997</v>
      </c>
      <c r="W232">
        <v>4673.33637</v>
      </c>
      <c r="X232">
        <v>4652.32143</v>
      </c>
      <c r="Y232">
        <v>4654.5029199999999</v>
      </c>
      <c r="Z232">
        <f t="shared" si="37"/>
        <v>4689.3454150000007</v>
      </c>
      <c r="AA232">
        <f t="shared" si="38"/>
        <v>4656.9256999999998</v>
      </c>
      <c r="AB232">
        <f t="shared" si="39"/>
        <v>4666.8952399999998</v>
      </c>
      <c r="AC232">
        <f t="shared" si="40"/>
        <v>4649.8316199999999</v>
      </c>
      <c r="AF232">
        <f t="shared" si="41"/>
        <v>4652.32143</v>
      </c>
      <c r="AG232">
        <f t="shared" si="42"/>
        <v>4689.3454150000007</v>
      </c>
      <c r="AH232">
        <f t="shared" si="43"/>
        <v>4666.8952399999998</v>
      </c>
    </row>
    <row r="233" spans="1:34" x14ac:dyDescent="0.55000000000000004">
      <c r="A233">
        <f>ALGLIB_SSA_XAUUSD!J233</f>
        <v>1775459700</v>
      </c>
      <c r="B233" t="str">
        <f>_xlfn.XLOOKUP($A233,ALGLIB_SSA_XAUUSD!$A$2:$A$1000,ALGLIB_SSA_XAUUSD!$B$2:$B$1000,"",0)</f>
        <v/>
      </c>
      <c r="C233" t="str">
        <f>_xlfn.XLOOKUP($A233,ALGLIB_SSA_XAUUSD!$A$2:$A$1000,ALGLIB_SSA_XAUUSD!$C$2:$C$1000,"",0)</f>
        <v/>
      </c>
      <c r="D233" s="1">
        <f>D230+(D242-D230)*3/12</f>
        <v>4687.5825000000004</v>
      </c>
      <c r="E233" s="1">
        <f>E230+(E242-E230)*3/12</f>
        <v>4683.2563200000004</v>
      </c>
      <c r="F233" s="1">
        <f>F230+(F242-F230)*3/12</f>
        <v>4674.0072625000003</v>
      </c>
      <c r="G233" s="1">
        <f>G230+(G242-G230)*3/12</f>
        <v>4689.8939225000004</v>
      </c>
      <c r="H233" s="1">
        <f>H230+(H242-H230)*3/12</f>
        <v>4667.5783249999995</v>
      </c>
      <c r="I233" t="str">
        <f>_xlfn.XLOOKUP($A233,ALGLIB_SSA_XAUUSD!$J$2:$J$1000,ALGLIB_SSA_XAUUSD!$K$2:$K$1000,"",0)</f>
        <v>XAUUSD</v>
      </c>
      <c r="J233" t="str">
        <f>_xlfn.XLOOKUP($A233,ALGLIB_SSA_XAUUSD!$J$2:$J$1000,ALGLIB_SSA_XAUUSD!$L$2:$L$1000,"",0)</f>
        <v>M5</v>
      </c>
      <c r="K233">
        <f>_xlfn.XLOOKUP($A233,ALGLIB_SSA_XAUUSD!$J$2:$J$1000,ALGLIB_SSA_XAUUSD!$M$2:$M$1000,"",0)</f>
        <v>4649.54</v>
      </c>
      <c r="L233">
        <f>_xlfn.XLOOKUP($A233,ALGLIB_SSA_XAUUSD!$J$2:$J$1000,ALGLIB_SSA_XAUUSD!$N$2:$N$1000,"",0)</f>
        <v>4650.32557</v>
      </c>
      <c r="M233">
        <f>_xlfn.XLOOKUP($A233,ALGLIB_SSA_XAUUSD!$J$2:$J$1000,ALGLIB_SSA_XAUUSD!$O$2:$O$1000,"",0)</f>
        <v>4652.4142400000001</v>
      </c>
      <c r="N233">
        <f>_xlfn.XLOOKUP($A233,ALGLIB_SSA_XAUUSD!$J$2:$J$1000,ALGLIB_SSA_XAUUSD!$P$2:$P$1000,"",0)</f>
        <v>4654.3227699999998</v>
      </c>
      <c r="O233">
        <f>_xlfn.XLOOKUP($A233,ALGLIB_SSA_XAUUSD!$J$2:$J$1000,ALGLIB_SSA_XAUUSD!$Q$2:$Q$1000,"",0)</f>
        <v>4647.90355</v>
      </c>
      <c r="R233">
        <f t="shared" si="33"/>
        <v>1775459700</v>
      </c>
      <c r="S233" t="str">
        <f t="shared" si="34"/>
        <v>XAUUSD</v>
      </c>
      <c r="T233" t="str">
        <f t="shared" si="35"/>
        <v>M5</v>
      </c>
      <c r="U233">
        <f t="shared" si="36"/>
        <v>4649.54</v>
      </c>
      <c r="V233">
        <v>4683.2563200000004</v>
      </c>
      <c r="W233">
        <v>4674.0072600000003</v>
      </c>
      <c r="X233">
        <v>4650.32557</v>
      </c>
      <c r="Y233">
        <v>4652.4142400000001</v>
      </c>
      <c r="Z233">
        <f t="shared" si="37"/>
        <v>4689.8939225000004</v>
      </c>
      <c r="AA233">
        <f t="shared" si="38"/>
        <v>4654.3227699999998</v>
      </c>
      <c r="AB233">
        <f t="shared" si="39"/>
        <v>4667.5783249999995</v>
      </c>
      <c r="AC233">
        <f t="shared" si="40"/>
        <v>4647.90355</v>
      </c>
      <c r="AF233">
        <f t="shared" si="41"/>
        <v>4650.32557</v>
      </c>
      <c r="AG233">
        <f t="shared" si="42"/>
        <v>4689.8939225000004</v>
      </c>
      <c r="AH233">
        <f t="shared" si="43"/>
        <v>4667.5783249999995</v>
      </c>
    </row>
    <row r="234" spans="1:34" x14ac:dyDescent="0.55000000000000004">
      <c r="A234">
        <f>ALGLIB_SSA_XAUUSD!J234</f>
        <v>1775460000</v>
      </c>
      <c r="B234" t="str">
        <f>_xlfn.XLOOKUP($A234,ALGLIB_SSA_XAUUSD!$A$2:$A$1000,ALGLIB_SSA_XAUUSD!$B$2:$B$1000,"",0)</f>
        <v/>
      </c>
      <c r="C234" t="str">
        <f>_xlfn.XLOOKUP($A234,ALGLIB_SSA_XAUUSD!$A$2:$A$1000,ALGLIB_SSA_XAUUSD!$C$2:$C$1000,"",0)</f>
        <v/>
      </c>
      <c r="D234" s="1">
        <f>D230+(D242-D230)*4/12</f>
        <v>4688.5</v>
      </c>
      <c r="E234" s="1">
        <f>E230+(E242-E230)*4/12</f>
        <v>4683.7940600000002</v>
      </c>
      <c r="F234" s="1">
        <f>F230+(F242-F230)*4/12</f>
        <v>4674.6781533333333</v>
      </c>
      <c r="G234" s="1">
        <f>G230+(G242-G230)*4/12</f>
        <v>4690.4424300000001</v>
      </c>
      <c r="H234" s="1">
        <f>H230+(H242-H230)*4/12</f>
        <v>4668.2614100000001</v>
      </c>
      <c r="I234" t="str">
        <f>_xlfn.XLOOKUP($A234,ALGLIB_SSA_XAUUSD!$J$2:$J$1000,ALGLIB_SSA_XAUUSD!$K$2:$K$1000,"",0)</f>
        <v>XAUUSD</v>
      </c>
      <c r="J234" t="str">
        <f>_xlfn.XLOOKUP($A234,ALGLIB_SSA_XAUUSD!$J$2:$J$1000,ALGLIB_SSA_XAUUSD!$L$2:$L$1000,"",0)</f>
        <v>M5</v>
      </c>
      <c r="K234">
        <f>_xlfn.XLOOKUP($A234,ALGLIB_SSA_XAUUSD!$J$2:$J$1000,ALGLIB_SSA_XAUUSD!$M$2:$M$1000,"",0)</f>
        <v>4645.37</v>
      </c>
      <c r="L234">
        <f>_xlfn.XLOOKUP($A234,ALGLIB_SSA_XAUUSD!$J$2:$J$1000,ALGLIB_SSA_XAUUSD!$N$2:$N$1000,"",0)</f>
        <v>4649.6109999999999</v>
      </c>
      <c r="M234">
        <f>_xlfn.XLOOKUP($A234,ALGLIB_SSA_XAUUSD!$J$2:$J$1000,ALGLIB_SSA_XAUUSD!$O$2:$O$1000,"",0)</f>
        <v>4651.0126200000004</v>
      </c>
      <c r="N234">
        <f>_xlfn.XLOOKUP($A234,ALGLIB_SSA_XAUUSD!$J$2:$J$1000,ALGLIB_SSA_XAUUSD!$P$2:$P$1000,"",0)</f>
        <v>4652.7426100000002</v>
      </c>
      <c r="O234">
        <f>_xlfn.XLOOKUP($A234,ALGLIB_SSA_XAUUSD!$J$2:$J$1000,ALGLIB_SSA_XAUUSD!$Q$2:$Q$1000,"",0)</f>
        <v>4646.9277599999996</v>
      </c>
      <c r="R234">
        <f t="shared" si="33"/>
        <v>1775460000</v>
      </c>
      <c r="S234" t="str">
        <f t="shared" si="34"/>
        <v>XAUUSD</v>
      </c>
      <c r="T234" t="str">
        <f t="shared" si="35"/>
        <v>M5</v>
      </c>
      <c r="U234">
        <f t="shared" si="36"/>
        <v>4645.37</v>
      </c>
      <c r="V234">
        <v>4683.7940600000002</v>
      </c>
      <c r="W234">
        <v>4674.6781499999997</v>
      </c>
      <c r="X234">
        <v>4649.6109999999999</v>
      </c>
      <c r="Y234">
        <v>4651.0126200000004</v>
      </c>
      <c r="Z234">
        <f t="shared" si="37"/>
        <v>4690.4424300000001</v>
      </c>
      <c r="AA234">
        <f t="shared" si="38"/>
        <v>4652.7426100000002</v>
      </c>
      <c r="AB234">
        <f t="shared" si="39"/>
        <v>4668.2614100000001</v>
      </c>
      <c r="AC234">
        <f t="shared" si="40"/>
        <v>4646.9277599999996</v>
      </c>
      <c r="AF234">
        <f t="shared" si="41"/>
        <v>4649.6109999999999</v>
      </c>
      <c r="AG234">
        <f t="shared" si="42"/>
        <v>4690.4424300000001</v>
      </c>
      <c r="AH234">
        <f t="shared" si="43"/>
        <v>4668.2614100000001</v>
      </c>
    </row>
    <row r="235" spans="1:34" x14ac:dyDescent="0.55000000000000004">
      <c r="A235">
        <f>ALGLIB_SSA_XAUUSD!J235</f>
        <v>1775460300</v>
      </c>
      <c r="B235" t="str">
        <f>_xlfn.XLOOKUP($A235,ALGLIB_SSA_XAUUSD!$A$2:$A$1000,ALGLIB_SSA_XAUUSD!$B$2:$B$1000,"",0)</f>
        <v/>
      </c>
      <c r="C235" t="str">
        <f>_xlfn.XLOOKUP($A235,ALGLIB_SSA_XAUUSD!$A$2:$A$1000,ALGLIB_SSA_XAUUSD!$C$2:$C$1000,"",0)</f>
        <v/>
      </c>
      <c r="D235" s="1">
        <f>D230+(D242-D230)*5/12</f>
        <v>4689.4174999999996</v>
      </c>
      <c r="E235" s="1">
        <f>E230+(E242-E230)*5/12</f>
        <v>4684.3317999999999</v>
      </c>
      <c r="F235" s="1">
        <f>F230+(F242-F230)*5/12</f>
        <v>4675.3490441666672</v>
      </c>
      <c r="G235" s="1">
        <f>G230+(G242-G230)*5/12</f>
        <v>4690.9909375000007</v>
      </c>
      <c r="H235" s="1">
        <f>H230+(H242-H230)*5/12</f>
        <v>4668.9444949999997</v>
      </c>
      <c r="I235" t="str">
        <f>_xlfn.XLOOKUP($A235,ALGLIB_SSA_XAUUSD!$J$2:$J$1000,ALGLIB_SSA_XAUUSD!$K$2:$K$1000,"",0)</f>
        <v>XAUUSD</v>
      </c>
      <c r="J235" t="str">
        <f>_xlfn.XLOOKUP($A235,ALGLIB_SSA_XAUUSD!$J$2:$J$1000,ALGLIB_SSA_XAUUSD!$L$2:$L$1000,"",0)</f>
        <v>M5</v>
      </c>
      <c r="K235">
        <f>_xlfn.XLOOKUP($A235,ALGLIB_SSA_XAUUSD!$J$2:$J$1000,ALGLIB_SSA_XAUUSD!$M$2:$M$1000,"",0)</f>
        <v>4650.79</v>
      </c>
      <c r="L235">
        <f>_xlfn.XLOOKUP($A235,ALGLIB_SSA_XAUUSD!$J$2:$J$1000,ALGLIB_SSA_XAUUSD!$N$2:$N$1000,"",0)</f>
        <v>4650.7550899999997</v>
      </c>
      <c r="M235">
        <f>_xlfn.XLOOKUP($A235,ALGLIB_SSA_XAUUSD!$J$2:$J$1000,ALGLIB_SSA_XAUUSD!$O$2:$O$1000,"",0)</f>
        <v>4650.8838599999999</v>
      </c>
      <c r="N235">
        <f>_xlfn.XLOOKUP($A235,ALGLIB_SSA_XAUUSD!$J$2:$J$1000,ALGLIB_SSA_XAUUSD!$P$2:$P$1000,"",0)</f>
        <v>4652.9596600000004</v>
      </c>
      <c r="O235">
        <f>_xlfn.XLOOKUP($A235,ALGLIB_SSA_XAUUSD!$J$2:$J$1000,ALGLIB_SSA_XAUUSD!$Q$2:$Q$1000,"",0)</f>
        <v>4647.3822099999998</v>
      </c>
      <c r="R235">
        <f t="shared" si="33"/>
        <v>1775460300</v>
      </c>
      <c r="S235" t="str">
        <f t="shared" si="34"/>
        <v>XAUUSD</v>
      </c>
      <c r="T235" t="str">
        <f t="shared" si="35"/>
        <v>M5</v>
      </c>
      <c r="U235">
        <f t="shared" si="36"/>
        <v>4650.79</v>
      </c>
      <c r="V235">
        <v>4684.3317999999999</v>
      </c>
      <c r="W235">
        <v>4675.3490400000001</v>
      </c>
      <c r="X235">
        <v>4650.7550899999997</v>
      </c>
      <c r="Y235">
        <v>4650.8838599999999</v>
      </c>
      <c r="Z235">
        <f t="shared" si="37"/>
        <v>4690.9909375000007</v>
      </c>
      <c r="AA235">
        <f t="shared" si="38"/>
        <v>4652.9596600000004</v>
      </c>
      <c r="AB235">
        <f t="shared" si="39"/>
        <v>4668.9444949999997</v>
      </c>
      <c r="AC235">
        <f t="shared" si="40"/>
        <v>4647.3822099999998</v>
      </c>
      <c r="AF235">
        <f t="shared" si="41"/>
        <v>4650.7550899999997</v>
      </c>
      <c r="AG235">
        <f t="shared" si="42"/>
        <v>4690.9909375000007</v>
      </c>
      <c r="AH235">
        <f t="shared" si="43"/>
        <v>4668.9444949999997</v>
      </c>
    </row>
    <row r="236" spans="1:34" x14ac:dyDescent="0.55000000000000004">
      <c r="A236">
        <f>ALGLIB_SSA_XAUUSD!J236</f>
        <v>1775460600</v>
      </c>
      <c r="B236" t="str">
        <f>_xlfn.XLOOKUP($A236,ALGLIB_SSA_XAUUSD!$A$2:$A$1000,ALGLIB_SSA_XAUUSD!$B$2:$B$1000,"",0)</f>
        <v/>
      </c>
      <c r="C236" t="str">
        <f>_xlfn.XLOOKUP($A236,ALGLIB_SSA_XAUUSD!$A$2:$A$1000,ALGLIB_SSA_XAUUSD!$C$2:$C$1000,"",0)</f>
        <v/>
      </c>
      <c r="D236" s="1">
        <f>D230+(D242-D230)*6/12</f>
        <v>4690.335</v>
      </c>
      <c r="E236" s="1">
        <f>E230+(E242-E230)*6/12</f>
        <v>4684.8695399999997</v>
      </c>
      <c r="F236" s="1">
        <f>F230+(F242-F230)*6/12</f>
        <v>4676.0199350000003</v>
      </c>
      <c r="G236" s="1">
        <f>G230+(G242-G230)*6/12</f>
        <v>4691.5394450000003</v>
      </c>
      <c r="H236" s="1">
        <f>H230+(H242-H230)*6/12</f>
        <v>4669.6275800000003</v>
      </c>
      <c r="I236" t="str">
        <f>_xlfn.XLOOKUP($A236,ALGLIB_SSA_XAUUSD!$J$2:$J$1000,ALGLIB_SSA_XAUUSD!$K$2:$K$1000,"",0)</f>
        <v>XAUUSD</v>
      </c>
      <c r="J236" t="str">
        <f>_xlfn.XLOOKUP($A236,ALGLIB_SSA_XAUUSD!$J$2:$J$1000,ALGLIB_SSA_XAUUSD!$L$2:$L$1000,"",0)</f>
        <v>M5</v>
      </c>
      <c r="K236">
        <f>_xlfn.XLOOKUP($A236,ALGLIB_SSA_XAUUSD!$J$2:$J$1000,ALGLIB_SSA_XAUUSD!$M$2:$M$1000,"",0)</f>
        <v>4653.1899999999996</v>
      </c>
      <c r="L236">
        <f>_xlfn.XLOOKUP($A236,ALGLIB_SSA_XAUUSD!$J$2:$J$1000,ALGLIB_SSA_XAUUSD!$N$2:$N$1000,"",0)</f>
        <v>4653.8248599999997</v>
      </c>
      <c r="M236">
        <f>_xlfn.XLOOKUP($A236,ALGLIB_SSA_XAUUSD!$J$2:$J$1000,ALGLIB_SSA_XAUUSD!$O$2:$O$1000,"",0)</f>
        <v>4652.3543600000003</v>
      </c>
      <c r="N236">
        <f>_xlfn.XLOOKUP($A236,ALGLIB_SSA_XAUUSD!$J$2:$J$1000,ALGLIB_SSA_XAUUSD!$P$2:$P$1000,"",0)</f>
        <v>4655.35401</v>
      </c>
      <c r="O236">
        <f>_xlfn.XLOOKUP($A236,ALGLIB_SSA_XAUUSD!$J$2:$J$1000,ALGLIB_SSA_XAUUSD!$Q$2:$Q$1000,"",0)</f>
        <v>4649.5322900000001</v>
      </c>
      <c r="R236">
        <f t="shared" si="33"/>
        <v>1775460600</v>
      </c>
      <c r="S236" t="str">
        <f t="shared" si="34"/>
        <v>XAUUSD</v>
      </c>
      <c r="T236" t="str">
        <f t="shared" si="35"/>
        <v>M5</v>
      </c>
      <c r="U236">
        <f t="shared" si="36"/>
        <v>4653.1899999999996</v>
      </c>
      <c r="V236">
        <v>4684.8695399999997</v>
      </c>
      <c r="W236">
        <v>4676.0199400000001</v>
      </c>
      <c r="X236">
        <v>4653.8248599999997</v>
      </c>
      <c r="Y236">
        <v>4652.3543600000003</v>
      </c>
      <c r="Z236">
        <f t="shared" si="37"/>
        <v>4691.5394450000003</v>
      </c>
      <c r="AA236">
        <f t="shared" si="38"/>
        <v>4655.35401</v>
      </c>
      <c r="AB236">
        <f t="shared" si="39"/>
        <v>4669.6275800000003</v>
      </c>
      <c r="AC236">
        <f t="shared" si="40"/>
        <v>4649.5322900000001</v>
      </c>
      <c r="AF236">
        <f t="shared" si="41"/>
        <v>4653.8248599999997</v>
      </c>
      <c r="AG236">
        <f t="shared" si="42"/>
        <v>4691.5394450000003</v>
      </c>
      <c r="AH236">
        <f t="shared" si="43"/>
        <v>4669.6275800000003</v>
      </c>
    </row>
    <row r="237" spans="1:34" x14ac:dyDescent="0.55000000000000004">
      <c r="A237">
        <f>ALGLIB_SSA_XAUUSD!J237</f>
        <v>1775460900</v>
      </c>
      <c r="B237" t="str">
        <f>_xlfn.XLOOKUP($A237,ALGLIB_SSA_XAUUSD!$A$2:$A$1000,ALGLIB_SSA_XAUUSD!$B$2:$B$1000,"",0)</f>
        <v/>
      </c>
      <c r="C237" t="str">
        <f>_xlfn.XLOOKUP($A237,ALGLIB_SSA_XAUUSD!$A$2:$A$1000,ALGLIB_SSA_XAUUSD!$C$2:$C$1000,"",0)</f>
        <v/>
      </c>
      <c r="D237" s="1">
        <f>D230+(D242-D230)*7/12</f>
        <v>4691.2525000000005</v>
      </c>
      <c r="E237" s="1">
        <f>E230+(E242-E230)*7/12</f>
        <v>4685.4072800000004</v>
      </c>
      <c r="F237" s="1">
        <f>F230+(F242-F230)*7/12</f>
        <v>4676.6908258333333</v>
      </c>
      <c r="G237" s="1">
        <f>G230+(G242-G230)*7/12</f>
        <v>4692.0879525</v>
      </c>
      <c r="H237" s="1">
        <f>H230+(H242-H230)*7/12</f>
        <v>4670.310665</v>
      </c>
      <c r="I237" t="str">
        <f>_xlfn.XLOOKUP($A237,ALGLIB_SSA_XAUUSD!$J$2:$J$1000,ALGLIB_SSA_XAUUSD!$K$2:$K$1000,"",0)</f>
        <v>XAUUSD</v>
      </c>
      <c r="J237" t="str">
        <f>_xlfn.XLOOKUP($A237,ALGLIB_SSA_XAUUSD!$J$2:$J$1000,ALGLIB_SSA_XAUUSD!$L$2:$L$1000,"",0)</f>
        <v>M5</v>
      </c>
      <c r="K237">
        <f>_xlfn.XLOOKUP($A237,ALGLIB_SSA_XAUUSD!$J$2:$J$1000,ALGLIB_SSA_XAUUSD!$M$2:$M$1000,"",0)</f>
        <v>4656.8999999999996</v>
      </c>
      <c r="L237">
        <f>_xlfn.XLOOKUP($A237,ALGLIB_SSA_XAUUSD!$J$2:$J$1000,ALGLIB_SSA_XAUUSD!$N$2:$N$1000,"",0)</f>
        <v>4658.6531999999997</v>
      </c>
      <c r="M237">
        <f>_xlfn.XLOOKUP($A237,ALGLIB_SSA_XAUUSD!$J$2:$J$1000,ALGLIB_SSA_XAUUSD!$O$2:$O$1000,"",0)</f>
        <v>4655.50378</v>
      </c>
      <c r="N237">
        <f>_xlfn.XLOOKUP($A237,ALGLIB_SSA_XAUUSD!$J$2:$J$1000,ALGLIB_SSA_XAUUSD!$P$2:$P$1000,"",0)</f>
        <v>4659.8811500000002</v>
      </c>
      <c r="O237">
        <f>_xlfn.XLOOKUP($A237,ALGLIB_SSA_XAUUSD!$J$2:$J$1000,ALGLIB_SSA_XAUUSD!$Q$2:$Q$1000,"",0)</f>
        <v>4653.2668199999998</v>
      </c>
      <c r="R237">
        <f t="shared" si="33"/>
        <v>1775460900</v>
      </c>
      <c r="S237" t="str">
        <f t="shared" si="34"/>
        <v>XAUUSD</v>
      </c>
      <c r="T237" t="str">
        <f t="shared" si="35"/>
        <v>M5</v>
      </c>
      <c r="U237">
        <f t="shared" si="36"/>
        <v>4656.8999999999996</v>
      </c>
      <c r="V237">
        <v>4685.4072800000004</v>
      </c>
      <c r="W237">
        <v>4676.6908299999996</v>
      </c>
      <c r="X237">
        <v>4658.6531999999997</v>
      </c>
      <c r="Y237">
        <v>4655.50378</v>
      </c>
      <c r="Z237">
        <f t="shared" si="37"/>
        <v>4692.0879525</v>
      </c>
      <c r="AA237">
        <f t="shared" si="38"/>
        <v>4659.8811500000002</v>
      </c>
      <c r="AB237">
        <f t="shared" si="39"/>
        <v>4670.310665</v>
      </c>
      <c r="AC237">
        <f t="shared" si="40"/>
        <v>4653.2668199999998</v>
      </c>
      <c r="AF237">
        <f t="shared" si="41"/>
        <v>4658.6531999999997</v>
      </c>
      <c r="AG237">
        <f t="shared" si="42"/>
        <v>4692.0879525</v>
      </c>
      <c r="AH237">
        <f t="shared" si="43"/>
        <v>4670.310665</v>
      </c>
    </row>
    <row r="238" spans="1:34" x14ac:dyDescent="0.55000000000000004">
      <c r="A238">
        <f>ALGLIB_SSA_XAUUSD!J238</f>
        <v>1775461200</v>
      </c>
      <c r="B238" t="str">
        <f>_xlfn.XLOOKUP($A238,ALGLIB_SSA_XAUUSD!$A$2:$A$1000,ALGLIB_SSA_XAUUSD!$B$2:$B$1000,"",0)</f>
        <v/>
      </c>
      <c r="C238" t="str">
        <f>_xlfn.XLOOKUP($A238,ALGLIB_SSA_XAUUSD!$A$2:$A$1000,ALGLIB_SSA_XAUUSD!$C$2:$C$1000,"",0)</f>
        <v/>
      </c>
      <c r="D238" s="1">
        <f>D230+(D242-D230)*8/12</f>
        <v>4692.17</v>
      </c>
      <c r="E238" s="1">
        <f>E230+(E242-E230)*8/12</f>
        <v>4685.9450200000001</v>
      </c>
      <c r="F238" s="1">
        <f>F230+(F242-F230)*8/12</f>
        <v>4677.3617166666672</v>
      </c>
      <c r="G238" s="1">
        <f>G230+(G242-G230)*8/12</f>
        <v>4692.6364600000006</v>
      </c>
      <c r="H238" s="1">
        <f>H230+(H242-H230)*8/12</f>
        <v>4670.9937499999996</v>
      </c>
      <c r="I238" t="str">
        <f>_xlfn.XLOOKUP($A238,ALGLIB_SSA_XAUUSD!$J$2:$J$1000,ALGLIB_SSA_XAUUSD!$K$2:$K$1000,"",0)</f>
        <v>XAUUSD</v>
      </c>
      <c r="J238" t="str">
        <f>_xlfn.XLOOKUP($A238,ALGLIB_SSA_XAUUSD!$J$2:$J$1000,ALGLIB_SSA_XAUUSD!$L$2:$L$1000,"",0)</f>
        <v>M5</v>
      </c>
      <c r="K238">
        <f>_xlfn.XLOOKUP($A238,ALGLIB_SSA_XAUUSD!$J$2:$J$1000,ALGLIB_SSA_XAUUSD!$M$2:$M$1000,"",0)</f>
        <v>4664.4399999999996</v>
      </c>
      <c r="L238">
        <f>_xlfn.XLOOKUP($A238,ALGLIB_SSA_XAUUSD!$J$2:$J$1000,ALGLIB_SSA_XAUUSD!$N$2:$N$1000,"",0)</f>
        <v>4664.7699199999997</v>
      </c>
      <c r="M238">
        <f>_xlfn.XLOOKUP($A238,ALGLIB_SSA_XAUUSD!$J$2:$J$1000,ALGLIB_SSA_XAUUSD!$O$2:$O$1000,"",0)</f>
        <v>4660.1368499999999</v>
      </c>
      <c r="N238">
        <f>_xlfn.XLOOKUP($A238,ALGLIB_SSA_XAUUSD!$J$2:$J$1000,ALGLIB_SSA_XAUUSD!$P$2:$P$1000,"",0)</f>
        <v>4666.1100800000004</v>
      </c>
      <c r="O238">
        <f>_xlfn.XLOOKUP($A238,ALGLIB_SSA_XAUUSD!$J$2:$J$1000,ALGLIB_SSA_XAUUSD!$Q$2:$Q$1000,"",0)</f>
        <v>4658.2961800000003</v>
      </c>
      <c r="R238">
        <f t="shared" si="33"/>
        <v>1775461200</v>
      </c>
      <c r="S238" t="str">
        <f t="shared" si="34"/>
        <v>XAUUSD</v>
      </c>
      <c r="T238" t="str">
        <f t="shared" si="35"/>
        <v>M5</v>
      </c>
      <c r="U238">
        <f t="shared" si="36"/>
        <v>4664.4399999999996</v>
      </c>
      <c r="V238">
        <v>4685.9450200000001</v>
      </c>
      <c r="W238">
        <v>4677.3617199999999</v>
      </c>
      <c r="X238">
        <v>4664.7699199999997</v>
      </c>
      <c r="Y238">
        <v>4660.1368499999999</v>
      </c>
      <c r="Z238">
        <f t="shared" si="37"/>
        <v>4692.6364600000006</v>
      </c>
      <c r="AA238">
        <f t="shared" si="38"/>
        <v>4666.1100800000004</v>
      </c>
      <c r="AB238">
        <f t="shared" si="39"/>
        <v>4670.9937499999996</v>
      </c>
      <c r="AC238">
        <f t="shared" si="40"/>
        <v>4658.2961800000003</v>
      </c>
      <c r="AF238">
        <f t="shared" si="41"/>
        <v>4664.7699199999997</v>
      </c>
      <c r="AG238">
        <f t="shared" si="42"/>
        <v>4692.6364600000006</v>
      </c>
      <c r="AH238">
        <f t="shared" si="43"/>
        <v>4670.9937499999996</v>
      </c>
    </row>
    <row r="239" spans="1:34" x14ac:dyDescent="0.55000000000000004">
      <c r="A239">
        <f>ALGLIB_SSA_XAUUSD!J239</f>
        <v>1775461500</v>
      </c>
      <c r="B239" t="str">
        <f>_xlfn.XLOOKUP($A239,ALGLIB_SSA_XAUUSD!$A$2:$A$1000,ALGLIB_SSA_XAUUSD!$B$2:$B$1000,"",0)</f>
        <v/>
      </c>
      <c r="C239" t="str">
        <f>_xlfn.XLOOKUP($A239,ALGLIB_SSA_XAUUSD!$A$2:$A$1000,ALGLIB_SSA_XAUUSD!$C$2:$C$1000,"",0)</f>
        <v/>
      </c>
      <c r="D239" s="1">
        <f>D230+(D242-D230)*9/12</f>
        <v>4693.0874999999996</v>
      </c>
      <c r="E239" s="1">
        <f>E230+(E242-E230)*9/12</f>
        <v>4686.4827599999999</v>
      </c>
      <c r="F239" s="1">
        <f>F230+(F242-F230)*9/12</f>
        <v>4678.0326075000003</v>
      </c>
      <c r="G239" s="1">
        <f>G230+(G242-G230)*9/12</f>
        <v>4693.1849675000003</v>
      </c>
      <c r="H239" s="1">
        <f>H230+(H242-H230)*9/12</f>
        <v>4671.6768350000002</v>
      </c>
      <c r="I239" t="str">
        <f>_xlfn.XLOOKUP($A239,ALGLIB_SSA_XAUUSD!$J$2:$J$1000,ALGLIB_SSA_XAUUSD!$K$2:$K$1000,"",0)</f>
        <v>XAUUSD</v>
      </c>
      <c r="J239" t="str">
        <f>_xlfn.XLOOKUP($A239,ALGLIB_SSA_XAUUSD!$J$2:$J$1000,ALGLIB_SSA_XAUUSD!$L$2:$L$1000,"",0)</f>
        <v>M5</v>
      </c>
      <c r="K239">
        <f>_xlfn.XLOOKUP($A239,ALGLIB_SSA_XAUUSD!$J$2:$J$1000,ALGLIB_SSA_XAUUSD!$M$2:$M$1000,"",0)</f>
        <v>4672.1000000000004</v>
      </c>
      <c r="L239">
        <f>_xlfn.XLOOKUP($A239,ALGLIB_SSA_XAUUSD!$J$2:$J$1000,ALGLIB_SSA_XAUUSD!$N$2:$N$1000,"",0)</f>
        <v>4671.4318000000003</v>
      </c>
      <c r="M239">
        <f>_xlfn.XLOOKUP($A239,ALGLIB_SSA_XAUUSD!$J$2:$J$1000,ALGLIB_SSA_XAUUSD!$O$2:$O$1000,"",0)</f>
        <v>4665.7843199999998</v>
      </c>
      <c r="N239">
        <f>_xlfn.XLOOKUP($A239,ALGLIB_SSA_XAUUSD!$J$2:$J$1000,ALGLIB_SSA_XAUUSD!$P$2:$P$1000,"",0)</f>
        <v>4673.2360900000003</v>
      </c>
      <c r="O239">
        <f>_xlfn.XLOOKUP($A239,ALGLIB_SSA_XAUUSD!$J$2:$J$1000,ALGLIB_SSA_XAUUSD!$Q$2:$Q$1000,"",0)</f>
        <v>4664.1387999999997</v>
      </c>
      <c r="R239">
        <f t="shared" si="33"/>
        <v>1775461500</v>
      </c>
      <c r="S239" t="str">
        <f t="shared" si="34"/>
        <v>XAUUSD</v>
      </c>
      <c r="T239" t="str">
        <f t="shared" si="35"/>
        <v>M5</v>
      </c>
      <c r="U239">
        <f t="shared" si="36"/>
        <v>4672.1000000000004</v>
      </c>
      <c r="V239">
        <v>4686.4827599999999</v>
      </c>
      <c r="W239">
        <v>4678.0326100000002</v>
      </c>
      <c r="X239">
        <v>4671.4318000000003</v>
      </c>
      <c r="Y239">
        <v>4665.7843199999998</v>
      </c>
      <c r="Z239">
        <f t="shared" si="37"/>
        <v>4693.1849675000003</v>
      </c>
      <c r="AA239">
        <f t="shared" si="38"/>
        <v>4673.2360900000003</v>
      </c>
      <c r="AB239">
        <f t="shared" si="39"/>
        <v>4671.6768350000002</v>
      </c>
      <c r="AC239">
        <f t="shared" si="40"/>
        <v>4664.1387999999997</v>
      </c>
      <c r="AF239">
        <f t="shared" si="41"/>
        <v>4671.4318000000003</v>
      </c>
      <c r="AG239">
        <f t="shared" si="42"/>
        <v>4693.1849675000003</v>
      </c>
      <c r="AH239">
        <f t="shared" si="43"/>
        <v>4671.6768350000002</v>
      </c>
    </row>
    <row r="240" spans="1:34" x14ac:dyDescent="0.55000000000000004">
      <c r="A240">
        <f>ALGLIB_SSA_XAUUSD!J240</f>
        <v>1775461800</v>
      </c>
      <c r="B240" t="str">
        <f>_xlfn.XLOOKUP($A240,ALGLIB_SSA_XAUUSD!$A$2:$A$1000,ALGLIB_SSA_XAUUSD!$B$2:$B$1000,"",0)</f>
        <v/>
      </c>
      <c r="C240" t="str">
        <f>_xlfn.XLOOKUP($A240,ALGLIB_SSA_XAUUSD!$A$2:$A$1000,ALGLIB_SSA_XAUUSD!$C$2:$C$1000,"",0)</f>
        <v/>
      </c>
      <c r="D240" s="1">
        <f>D230+(D242-D230)*10/12</f>
        <v>4694.0050000000001</v>
      </c>
      <c r="E240" s="1">
        <f>E230+(E242-E230)*10/12</f>
        <v>4687.0205000000005</v>
      </c>
      <c r="F240" s="1">
        <f>F230+(F242-F230)*10/12</f>
        <v>4678.7034983333333</v>
      </c>
      <c r="G240" s="1">
        <f>G230+(G242-G230)*10/12</f>
        <v>4693.733475</v>
      </c>
      <c r="H240" s="1">
        <f>H230+(H242-H230)*10/12</f>
        <v>4672.3599199999999</v>
      </c>
      <c r="I240" t="str">
        <f>_xlfn.XLOOKUP($A240,ALGLIB_SSA_XAUUSD!$J$2:$J$1000,ALGLIB_SSA_XAUUSD!$K$2:$K$1000,"",0)</f>
        <v>XAUUSD</v>
      </c>
      <c r="J240" t="str">
        <f>_xlfn.XLOOKUP($A240,ALGLIB_SSA_XAUUSD!$J$2:$J$1000,ALGLIB_SSA_XAUUSD!$L$2:$L$1000,"",0)</f>
        <v>M5</v>
      </c>
      <c r="K240">
        <f>_xlfn.XLOOKUP($A240,ALGLIB_SSA_XAUUSD!$J$2:$J$1000,ALGLIB_SSA_XAUUSD!$M$2:$M$1000,"",0)</f>
        <v>4680.5</v>
      </c>
      <c r="L240">
        <f>_xlfn.XLOOKUP($A240,ALGLIB_SSA_XAUUSD!$J$2:$J$1000,ALGLIB_SSA_XAUUSD!$N$2:$N$1000,"",0)</f>
        <v>4677.8278200000004</v>
      </c>
      <c r="M240">
        <f>_xlfn.XLOOKUP($A240,ALGLIB_SSA_XAUUSD!$J$2:$J$1000,ALGLIB_SSA_XAUUSD!$O$2:$O$1000,"",0)</f>
        <v>4671.8060699999996</v>
      </c>
      <c r="N240">
        <f>_xlfn.XLOOKUP($A240,ALGLIB_SSA_XAUUSD!$J$2:$J$1000,ALGLIB_SSA_XAUUSD!$P$2:$P$1000,"",0)</f>
        <v>4680.38177</v>
      </c>
      <c r="O240">
        <f>_xlfn.XLOOKUP($A240,ALGLIB_SSA_XAUUSD!$J$2:$J$1000,ALGLIB_SSA_XAUUSD!$Q$2:$Q$1000,"",0)</f>
        <v>4670.1545800000004</v>
      </c>
      <c r="R240">
        <f t="shared" si="33"/>
        <v>1775461800</v>
      </c>
      <c r="S240" t="str">
        <f t="shared" si="34"/>
        <v>XAUUSD</v>
      </c>
      <c r="T240" t="str">
        <f t="shared" si="35"/>
        <v>M5</v>
      </c>
      <c r="U240">
        <f t="shared" si="36"/>
        <v>4680.5</v>
      </c>
      <c r="V240">
        <v>4687.0204999999996</v>
      </c>
      <c r="W240">
        <v>4678.7034999999996</v>
      </c>
      <c r="X240">
        <v>4677.8278200000004</v>
      </c>
      <c r="Y240">
        <v>4671.8060699999996</v>
      </c>
      <c r="Z240">
        <f t="shared" si="37"/>
        <v>4693.733475</v>
      </c>
      <c r="AA240">
        <f t="shared" si="38"/>
        <v>4680.38177</v>
      </c>
      <c r="AB240">
        <f t="shared" si="39"/>
        <v>4672.3599199999999</v>
      </c>
      <c r="AC240">
        <f t="shared" si="40"/>
        <v>4670.1545800000004</v>
      </c>
      <c r="AF240">
        <f t="shared" si="41"/>
        <v>4677.8278200000004</v>
      </c>
      <c r="AG240">
        <f t="shared" si="42"/>
        <v>4693.733475</v>
      </c>
      <c r="AH240">
        <f t="shared" si="43"/>
        <v>4672.3599199999999</v>
      </c>
    </row>
    <row r="241" spans="1:34" x14ac:dyDescent="0.55000000000000004">
      <c r="A241">
        <f>ALGLIB_SSA_XAUUSD!J241</f>
        <v>1775462100</v>
      </c>
      <c r="B241" t="str">
        <f>_xlfn.XLOOKUP($A241,ALGLIB_SSA_XAUUSD!$A$2:$A$1000,ALGLIB_SSA_XAUUSD!$B$2:$B$1000,"",0)</f>
        <v/>
      </c>
      <c r="C241" t="str">
        <f>_xlfn.XLOOKUP($A241,ALGLIB_SSA_XAUUSD!$A$2:$A$1000,ALGLIB_SSA_XAUUSD!$C$2:$C$1000,"",0)</f>
        <v/>
      </c>
      <c r="D241" s="1">
        <f>D230+(D242-D230)*11/12</f>
        <v>4694.9225000000006</v>
      </c>
      <c r="E241" s="1">
        <f>E230+(E242-E230)*11/12</f>
        <v>4687.5582400000003</v>
      </c>
      <c r="F241" s="1">
        <f>F230+(F242-F230)*11/12</f>
        <v>4679.3743891666672</v>
      </c>
      <c r="G241" s="1">
        <f>G230+(G242-G230)*11/12</f>
        <v>4694.2819825000006</v>
      </c>
      <c r="H241" s="1">
        <f>H230+(H242-H230)*11/12</f>
        <v>4673.0430050000004</v>
      </c>
      <c r="I241" t="str">
        <f>_xlfn.XLOOKUP($A241,ALGLIB_SSA_XAUUSD!$J$2:$J$1000,ALGLIB_SSA_XAUUSD!$K$2:$K$1000,"",0)</f>
        <v>XAUUSD</v>
      </c>
      <c r="J241" t="str">
        <f>_xlfn.XLOOKUP($A241,ALGLIB_SSA_XAUUSD!$J$2:$J$1000,ALGLIB_SSA_XAUUSD!$L$2:$L$1000,"",0)</f>
        <v>M5</v>
      </c>
      <c r="K241">
        <f>_xlfn.XLOOKUP($A241,ALGLIB_SSA_XAUUSD!$J$2:$J$1000,ALGLIB_SSA_XAUUSD!$M$2:$M$1000,"",0)</f>
        <v>4684.83</v>
      </c>
      <c r="L241">
        <f>_xlfn.XLOOKUP($A241,ALGLIB_SSA_XAUUSD!$J$2:$J$1000,ALGLIB_SSA_XAUUSD!$N$2:$N$1000,"",0)</f>
        <v>4683.2451199999996</v>
      </c>
      <c r="M241">
        <f>_xlfn.XLOOKUP($A241,ALGLIB_SSA_XAUUSD!$J$2:$J$1000,ALGLIB_SSA_XAUUSD!$O$2:$O$1000,"",0)</f>
        <v>4677.5255999999999</v>
      </c>
      <c r="N241">
        <f>_xlfn.XLOOKUP($A241,ALGLIB_SSA_XAUUSD!$J$2:$J$1000,ALGLIB_SSA_XAUUSD!$P$2:$P$1000,"",0)</f>
        <v>4686.5291699999998</v>
      </c>
      <c r="O241">
        <f>_xlfn.XLOOKUP($A241,ALGLIB_SSA_XAUUSD!$J$2:$J$1000,ALGLIB_SSA_XAUUSD!$Q$2:$Q$1000,"",0)</f>
        <v>4675.6479300000001</v>
      </c>
      <c r="R241">
        <f t="shared" si="33"/>
        <v>1775462100</v>
      </c>
      <c r="S241" t="str">
        <f t="shared" si="34"/>
        <v>XAUUSD</v>
      </c>
      <c r="T241" t="str">
        <f t="shared" si="35"/>
        <v>M5</v>
      </c>
      <c r="U241">
        <f t="shared" si="36"/>
        <v>4684.83</v>
      </c>
      <c r="V241">
        <v>4687.5582400000003</v>
      </c>
      <c r="W241">
        <v>4679.3743899999999</v>
      </c>
      <c r="X241">
        <v>4683.2451199999996</v>
      </c>
      <c r="Y241">
        <v>4677.5255999999999</v>
      </c>
      <c r="Z241">
        <f t="shared" si="37"/>
        <v>4694.2819825000006</v>
      </c>
      <c r="AA241">
        <f t="shared" si="38"/>
        <v>4686.5291699999998</v>
      </c>
      <c r="AB241">
        <f t="shared" si="39"/>
        <v>4673.0430050000004</v>
      </c>
      <c r="AC241">
        <f t="shared" si="40"/>
        <v>4675.6479300000001</v>
      </c>
      <c r="AF241">
        <f t="shared" si="41"/>
        <v>4683.2451199999996</v>
      </c>
      <c r="AG241">
        <f t="shared" si="42"/>
        <v>4694.2819825000006</v>
      </c>
      <c r="AH241">
        <f t="shared" si="43"/>
        <v>4673.0430050000004</v>
      </c>
    </row>
    <row r="242" spans="1:34" x14ac:dyDescent="0.55000000000000004">
      <c r="A242">
        <f>ALGLIB_SSA_XAUUSD!J242</f>
        <v>1775462400</v>
      </c>
      <c r="B242" t="str">
        <f>_xlfn.XLOOKUP($A242,ALGLIB_SSA_XAUUSD!$A$2:$A$1000,ALGLIB_SSA_XAUUSD!$B$2:$B$1000,"",0)</f>
        <v>XAUUSD</v>
      </c>
      <c r="C242" t="str">
        <f>_xlfn.XLOOKUP($A242,ALGLIB_SSA_XAUUSD!$A$2:$A$1000,ALGLIB_SSA_XAUUSD!$C$2:$C$1000,"",0)</f>
        <v>H1</v>
      </c>
      <c r="D242" s="2">
        <f>_xlfn.XLOOKUP($A242,ALGLIB_SSA_XAUUSD!$A$2:$A$1000,ALGLIB_SSA_XAUUSD!$D$2:$D$1000,"",0)</f>
        <v>4695.84</v>
      </c>
      <c r="E242" s="2">
        <f>_xlfn.XLOOKUP($A242,ALGLIB_SSA_XAUUSD!$A$2:$A$1000,ALGLIB_SSA_XAUUSD!$E$2:$E$1000,"",0)</f>
        <v>4688.0959800000001</v>
      </c>
      <c r="F242" s="2">
        <f>_xlfn.XLOOKUP($A242,ALGLIB_SSA_XAUUSD!$A$2:$A$1000,ALGLIB_SSA_XAUUSD!$F$2:$F$1000,"",0)</f>
        <v>4680.0452800000003</v>
      </c>
      <c r="G242" s="2">
        <f>_xlfn.XLOOKUP($A242,ALGLIB_SSA_XAUUSD!$A$2:$A$1000,ALGLIB_SSA_XAUUSD!$G$2:$G$1000,"",0)</f>
        <v>4694.8304900000003</v>
      </c>
      <c r="H242" s="2">
        <f>_xlfn.XLOOKUP($A242,ALGLIB_SSA_XAUUSD!$A$2:$A$1000,ALGLIB_SSA_XAUUSD!$H$2:$H$1000,"",0)</f>
        <v>4673.7260900000001</v>
      </c>
      <c r="I242" t="str">
        <f>_xlfn.XLOOKUP($A242,ALGLIB_SSA_XAUUSD!$J$2:$J$1000,ALGLIB_SSA_XAUUSD!$K$2:$K$1000,"",0)</f>
        <v>XAUUSD</v>
      </c>
      <c r="J242" t="str">
        <f>_xlfn.XLOOKUP($A242,ALGLIB_SSA_XAUUSD!$J$2:$J$1000,ALGLIB_SSA_XAUUSD!$L$2:$L$1000,"",0)</f>
        <v>M5</v>
      </c>
      <c r="K242">
        <f>_xlfn.XLOOKUP($A242,ALGLIB_SSA_XAUUSD!$J$2:$J$1000,ALGLIB_SSA_XAUUSD!$M$2:$M$1000,"",0)</f>
        <v>4693.57</v>
      </c>
      <c r="L242">
        <f>_xlfn.XLOOKUP($A242,ALGLIB_SSA_XAUUSD!$J$2:$J$1000,ALGLIB_SSA_XAUUSD!$N$2:$N$1000,"",0)</f>
        <v>4687.2897899999998</v>
      </c>
      <c r="M242">
        <f>_xlfn.XLOOKUP($A242,ALGLIB_SSA_XAUUSD!$J$2:$J$1000,ALGLIB_SSA_XAUUSD!$O$2:$O$1000,"",0)</f>
        <v>4682.4076999999997</v>
      </c>
      <c r="N242">
        <f>_xlfn.XLOOKUP($A242,ALGLIB_SSA_XAUUSD!$J$2:$J$1000,ALGLIB_SSA_XAUUSD!$P$2:$P$1000,"",0)</f>
        <v>4691.1693800000003</v>
      </c>
      <c r="O242">
        <f>_xlfn.XLOOKUP($A242,ALGLIB_SSA_XAUUSD!$J$2:$J$1000,ALGLIB_SSA_XAUUSD!$Q$2:$Q$1000,"",0)</f>
        <v>4680.0949700000001</v>
      </c>
      <c r="R242">
        <f t="shared" si="33"/>
        <v>1775462400</v>
      </c>
      <c r="S242" t="str">
        <f t="shared" si="34"/>
        <v>XAUUSD</v>
      </c>
      <c r="T242" t="str">
        <f t="shared" si="35"/>
        <v>M5</v>
      </c>
      <c r="U242">
        <f t="shared" si="36"/>
        <v>4693.57</v>
      </c>
      <c r="V242">
        <v>4688.0959800000001</v>
      </c>
      <c r="W242">
        <v>4680.0452800000003</v>
      </c>
      <c r="X242">
        <v>4687.2897899999998</v>
      </c>
      <c r="Y242">
        <v>4682.4076999999997</v>
      </c>
      <c r="Z242">
        <f t="shared" si="37"/>
        <v>4694.8304900000003</v>
      </c>
      <c r="AA242">
        <f t="shared" si="38"/>
        <v>4691.1693800000003</v>
      </c>
      <c r="AB242">
        <f t="shared" si="39"/>
        <v>4673.7260900000001</v>
      </c>
      <c r="AC242">
        <f t="shared" si="40"/>
        <v>4680.0949700000001</v>
      </c>
      <c r="AF242">
        <f t="shared" si="41"/>
        <v>4687.2897899999998</v>
      </c>
      <c r="AG242">
        <f t="shared" si="42"/>
        <v>4694.8304900000003</v>
      </c>
      <c r="AH242">
        <f t="shared" si="43"/>
        <v>4673.7260900000001</v>
      </c>
    </row>
    <row r="243" spans="1:34" x14ac:dyDescent="0.55000000000000004">
      <c r="A243">
        <f>ALGLIB_SSA_XAUUSD!J243</f>
        <v>1775462700</v>
      </c>
      <c r="B243" t="str">
        <f>_xlfn.XLOOKUP($A243,ALGLIB_SSA_XAUUSD!$A$2:$A$1000,ALGLIB_SSA_XAUUSD!$B$2:$B$1000,"",0)</f>
        <v/>
      </c>
      <c r="C243" t="str">
        <f>_xlfn.XLOOKUP($A243,ALGLIB_SSA_XAUUSD!$A$2:$A$1000,ALGLIB_SSA_XAUUSD!$C$2:$C$1000,"",0)</f>
        <v/>
      </c>
      <c r="D243" s="1">
        <f>D242+(D254-D242)*1/12</f>
        <v>4695.6625000000004</v>
      </c>
      <c r="E243" s="1">
        <f>E242+(E254-E242)*1/12</f>
        <v>4688.3290916666665</v>
      </c>
      <c r="F243" s="1">
        <f>F242+(F254-F242)*1/12</f>
        <v>4680.4972816666668</v>
      </c>
      <c r="G243" s="1">
        <f>G242+(G254-G242)*1/12</f>
        <v>4695.1484133333333</v>
      </c>
      <c r="H243" s="1">
        <f>H242+(H254-H242)*1/12</f>
        <v>4674.0948591666665</v>
      </c>
      <c r="I243" t="str">
        <f>_xlfn.XLOOKUP($A243,ALGLIB_SSA_XAUUSD!$J$2:$J$1000,ALGLIB_SSA_XAUUSD!$K$2:$K$1000,"",0)</f>
        <v>XAUUSD</v>
      </c>
      <c r="J243" t="str">
        <f>_xlfn.XLOOKUP($A243,ALGLIB_SSA_XAUUSD!$J$2:$J$1000,ALGLIB_SSA_XAUUSD!$L$2:$L$1000,"",0)</f>
        <v>M5</v>
      </c>
      <c r="K243">
        <f>_xlfn.XLOOKUP($A243,ALGLIB_SSA_XAUUSD!$J$2:$J$1000,ALGLIB_SSA_XAUUSD!$M$2:$M$1000,"",0)</f>
        <v>4684.6000000000004</v>
      </c>
      <c r="L243">
        <f>_xlfn.XLOOKUP($A243,ALGLIB_SSA_XAUUSD!$J$2:$J$1000,ALGLIB_SSA_XAUUSD!$N$2:$N$1000,"",0)</f>
        <v>4689.7232199999999</v>
      </c>
      <c r="M243">
        <f>_xlfn.XLOOKUP($A243,ALGLIB_SSA_XAUUSD!$J$2:$J$1000,ALGLIB_SSA_XAUUSD!$O$2:$O$1000,"",0)</f>
        <v>4686.0654599999998</v>
      </c>
      <c r="N243">
        <f>_xlfn.XLOOKUP($A243,ALGLIB_SSA_XAUUSD!$J$2:$J$1000,ALGLIB_SSA_XAUUSD!$P$2:$P$1000,"",0)</f>
        <v>4694.0077499999998</v>
      </c>
      <c r="O243">
        <f>_xlfn.XLOOKUP($A243,ALGLIB_SSA_XAUUSD!$J$2:$J$1000,ALGLIB_SSA_XAUUSD!$Q$2:$Q$1000,"",0)</f>
        <v>4683.3793299999998</v>
      </c>
      <c r="R243">
        <f t="shared" si="33"/>
        <v>1775462700</v>
      </c>
      <c r="S243" t="str">
        <f t="shared" si="34"/>
        <v>XAUUSD</v>
      </c>
      <c r="T243" t="str">
        <f t="shared" si="35"/>
        <v>M5</v>
      </c>
      <c r="U243">
        <f t="shared" si="36"/>
        <v>4684.6000000000004</v>
      </c>
      <c r="V243">
        <v>4688.3290900000002</v>
      </c>
      <c r="W243">
        <v>4680.4972799999996</v>
      </c>
      <c r="X243">
        <v>4689.7232199999999</v>
      </c>
      <c r="Y243">
        <v>4686.0654599999998</v>
      </c>
      <c r="Z243">
        <f t="shared" si="37"/>
        <v>4695.1484133333333</v>
      </c>
      <c r="AA243">
        <f t="shared" si="38"/>
        <v>4694.0077499999998</v>
      </c>
      <c r="AB243">
        <f t="shared" si="39"/>
        <v>4674.0948591666665</v>
      </c>
      <c r="AC243">
        <f t="shared" si="40"/>
        <v>4683.3793299999998</v>
      </c>
      <c r="AF243">
        <f t="shared" si="41"/>
        <v>4689.7232199999999</v>
      </c>
      <c r="AG243">
        <f t="shared" si="42"/>
        <v>4695.1484133333333</v>
      </c>
      <c r="AH243">
        <f t="shared" si="43"/>
        <v>4674.0948591666665</v>
      </c>
    </row>
    <row r="244" spans="1:34" x14ac:dyDescent="0.55000000000000004">
      <c r="A244">
        <f>ALGLIB_SSA_XAUUSD!J244</f>
        <v>1775463000</v>
      </c>
      <c r="B244" t="str">
        <f>_xlfn.XLOOKUP($A244,ALGLIB_SSA_XAUUSD!$A$2:$A$1000,ALGLIB_SSA_XAUUSD!$B$2:$B$1000,"",0)</f>
        <v/>
      </c>
      <c r="C244" t="str">
        <f>_xlfn.XLOOKUP($A244,ALGLIB_SSA_XAUUSD!$A$2:$A$1000,ALGLIB_SSA_XAUUSD!$C$2:$C$1000,"",0)</f>
        <v/>
      </c>
      <c r="D244" s="1">
        <f>D242+(D254-D242)*2/12</f>
        <v>4695.4850000000006</v>
      </c>
      <c r="E244" s="1">
        <f>E242+(E254-E242)*2/12</f>
        <v>4688.5622033333329</v>
      </c>
      <c r="F244" s="1">
        <f>F242+(F254-F242)*2/12</f>
        <v>4680.9492833333334</v>
      </c>
      <c r="G244" s="1">
        <f>G242+(G254-G242)*2/12</f>
        <v>4695.4663366666664</v>
      </c>
      <c r="H244" s="1">
        <f>H242+(H254-H242)*2/12</f>
        <v>4674.463628333333</v>
      </c>
      <c r="I244" t="str">
        <f>_xlfn.XLOOKUP($A244,ALGLIB_SSA_XAUUSD!$J$2:$J$1000,ALGLIB_SSA_XAUUSD!$K$2:$K$1000,"",0)</f>
        <v>XAUUSD</v>
      </c>
      <c r="J244" t="str">
        <f>_xlfn.XLOOKUP($A244,ALGLIB_SSA_XAUUSD!$J$2:$J$1000,ALGLIB_SSA_XAUUSD!$L$2:$L$1000,"",0)</f>
        <v>M5</v>
      </c>
      <c r="K244">
        <f>_xlfn.XLOOKUP($A244,ALGLIB_SSA_XAUUSD!$J$2:$J$1000,ALGLIB_SSA_XAUUSD!$M$2:$M$1000,"",0)</f>
        <v>4689.7</v>
      </c>
      <c r="L244">
        <f>_xlfn.XLOOKUP($A244,ALGLIB_SSA_XAUUSD!$J$2:$J$1000,ALGLIB_SSA_XAUUSD!$N$2:$N$1000,"",0)</f>
        <v>4691.0088100000003</v>
      </c>
      <c r="M244">
        <f>_xlfn.XLOOKUP($A244,ALGLIB_SSA_XAUUSD!$J$2:$J$1000,ALGLIB_SSA_XAUUSD!$O$2:$O$1000,"",0)</f>
        <v>4688.5371299999997</v>
      </c>
      <c r="N244">
        <f>_xlfn.XLOOKUP($A244,ALGLIB_SSA_XAUUSD!$J$2:$J$1000,ALGLIB_SSA_XAUUSD!$P$2:$P$1000,"",0)</f>
        <v>4695.2472500000003</v>
      </c>
      <c r="O244">
        <f>_xlfn.XLOOKUP($A244,ALGLIB_SSA_XAUUSD!$J$2:$J$1000,ALGLIB_SSA_XAUUSD!$Q$2:$Q$1000,"",0)</f>
        <v>4685.56862</v>
      </c>
      <c r="R244">
        <f t="shared" si="33"/>
        <v>1775463000</v>
      </c>
      <c r="S244" t="str">
        <f t="shared" si="34"/>
        <v>XAUUSD</v>
      </c>
      <c r="T244" t="str">
        <f t="shared" si="35"/>
        <v>M5</v>
      </c>
      <c r="U244">
        <f t="shared" si="36"/>
        <v>4689.7</v>
      </c>
      <c r="V244">
        <v>4688.5622000000003</v>
      </c>
      <c r="W244">
        <v>4680.9492799999998</v>
      </c>
      <c r="X244">
        <v>4691.0088100000003</v>
      </c>
      <c r="Y244">
        <v>4688.5371299999997</v>
      </c>
      <c r="Z244">
        <f t="shared" si="37"/>
        <v>4695.4663366666664</v>
      </c>
      <c r="AA244">
        <f t="shared" si="38"/>
        <v>4695.2472500000003</v>
      </c>
      <c r="AB244">
        <f t="shared" si="39"/>
        <v>4674.463628333333</v>
      </c>
      <c r="AC244">
        <f t="shared" si="40"/>
        <v>4685.56862</v>
      </c>
      <c r="AF244">
        <f t="shared" si="41"/>
        <v>4691.0088100000003</v>
      </c>
      <c r="AG244">
        <f t="shared" si="42"/>
        <v>4695.4663366666664</v>
      </c>
      <c r="AH244">
        <f t="shared" si="43"/>
        <v>4674.463628333333</v>
      </c>
    </row>
    <row r="245" spans="1:34" x14ac:dyDescent="0.55000000000000004">
      <c r="A245">
        <f>ALGLIB_SSA_XAUUSD!J245</f>
        <v>1775463300</v>
      </c>
      <c r="B245" t="str">
        <f>_xlfn.XLOOKUP($A245,ALGLIB_SSA_XAUUSD!$A$2:$A$1000,ALGLIB_SSA_XAUUSD!$B$2:$B$1000,"",0)</f>
        <v/>
      </c>
      <c r="C245" t="str">
        <f>_xlfn.XLOOKUP($A245,ALGLIB_SSA_XAUUSD!$A$2:$A$1000,ALGLIB_SSA_XAUUSD!$C$2:$C$1000,"",0)</f>
        <v/>
      </c>
      <c r="D245" s="1">
        <f>D242+(D254-D242)*3/12</f>
        <v>4695.3074999999999</v>
      </c>
      <c r="E245" s="1">
        <f>E242+(E254-E242)*3/12</f>
        <v>4688.7953150000003</v>
      </c>
      <c r="F245" s="1">
        <f>F242+(F254-F242)*3/12</f>
        <v>4681.4012849999999</v>
      </c>
      <c r="G245" s="1">
        <f>G242+(G254-G242)*3/12</f>
        <v>4695.7842600000004</v>
      </c>
      <c r="H245" s="1">
        <f>H242+(H254-H242)*3/12</f>
        <v>4674.8323975000003</v>
      </c>
      <c r="I245" t="str">
        <f>_xlfn.XLOOKUP($A245,ALGLIB_SSA_XAUUSD!$J$2:$J$1000,ALGLIB_SSA_XAUUSD!$K$2:$K$1000,"",0)</f>
        <v>XAUUSD</v>
      </c>
      <c r="J245" t="str">
        <f>_xlfn.XLOOKUP($A245,ALGLIB_SSA_XAUUSD!$J$2:$J$1000,ALGLIB_SSA_XAUUSD!$L$2:$L$1000,"",0)</f>
        <v>M5</v>
      </c>
      <c r="K245">
        <f>_xlfn.XLOOKUP($A245,ALGLIB_SSA_XAUUSD!$J$2:$J$1000,ALGLIB_SSA_XAUUSD!$M$2:$M$1000,"",0)</f>
        <v>4686.7299999999996</v>
      </c>
      <c r="L245">
        <f>_xlfn.XLOOKUP($A245,ALGLIB_SSA_XAUUSD!$J$2:$J$1000,ALGLIB_SSA_XAUUSD!$N$2:$N$1000,"",0)</f>
        <v>4691.4169899999997</v>
      </c>
      <c r="M245">
        <f>_xlfn.XLOOKUP($A245,ALGLIB_SSA_XAUUSD!$J$2:$J$1000,ALGLIB_SSA_XAUUSD!$O$2:$O$1000,"",0)</f>
        <v>4689.9770600000002</v>
      </c>
      <c r="N245">
        <f>_xlfn.XLOOKUP($A245,ALGLIB_SSA_XAUUSD!$J$2:$J$1000,ALGLIB_SSA_XAUUSD!$P$2:$P$1000,"",0)</f>
        <v>4695.3322500000004</v>
      </c>
      <c r="O245">
        <f>_xlfn.XLOOKUP($A245,ALGLIB_SSA_XAUUSD!$J$2:$J$1000,ALGLIB_SSA_XAUUSD!$Q$2:$Q$1000,"",0)</f>
        <v>4686.90571</v>
      </c>
      <c r="R245">
        <f t="shared" si="33"/>
        <v>1775463300</v>
      </c>
      <c r="S245" t="str">
        <f t="shared" si="34"/>
        <v>XAUUSD</v>
      </c>
      <c r="T245" t="str">
        <f t="shared" si="35"/>
        <v>M5</v>
      </c>
      <c r="U245">
        <f t="shared" si="36"/>
        <v>4686.7299999999996</v>
      </c>
      <c r="V245">
        <v>4688.7953200000002</v>
      </c>
      <c r="W245">
        <v>4681.4012899999998</v>
      </c>
      <c r="X245">
        <v>4691.4169899999997</v>
      </c>
      <c r="Y245">
        <v>4689.9770600000002</v>
      </c>
      <c r="Z245">
        <f t="shared" si="37"/>
        <v>4695.7842600000004</v>
      </c>
      <c r="AA245">
        <f t="shared" si="38"/>
        <v>4695.3322500000004</v>
      </c>
      <c r="AB245">
        <f t="shared" si="39"/>
        <v>4674.8323975000003</v>
      </c>
      <c r="AC245">
        <f t="shared" si="40"/>
        <v>4686.90571</v>
      </c>
      <c r="AF245">
        <f t="shared" si="41"/>
        <v>4691.4169899999997</v>
      </c>
      <c r="AG245">
        <f t="shared" si="42"/>
        <v>4695.7842600000004</v>
      </c>
      <c r="AH245">
        <f t="shared" si="43"/>
        <v>4674.8323975000003</v>
      </c>
    </row>
    <row r="246" spans="1:34" x14ac:dyDescent="0.55000000000000004">
      <c r="A246">
        <f>ALGLIB_SSA_XAUUSD!J246</f>
        <v>1775463600</v>
      </c>
      <c r="B246" t="str">
        <f>_xlfn.XLOOKUP($A246,ALGLIB_SSA_XAUUSD!$A$2:$A$1000,ALGLIB_SSA_XAUUSD!$B$2:$B$1000,"",0)</f>
        <v/>
      </c>
      <c r="C246" t="str">
        <f>_xlfn.XLOOKUP($A246,ALGLIB_SSA_XAUUSD!$A$2:$A$1000,ALGLIB_SSA_XAUUSD!$C$2:$C$1000,"",0)</f>
        <v/>
      </c>
      <c r="D246" s="1">
        <f>D242+(D254-D242)*4/12</f>
        <v>4695.13</v>
      </c>
      <c r="E246" s="1">
        <f>E242+(E254-E242)*4/12</f>
        <v>4689.0284266666667</v>
      </c>
      <c r="F246" s="1">
        <f>F242+(F254-F242)*4/12</f>
        <v>4681.8532866666665</v>
      </c>
      <c r="G246" s="1">
        <f>G242+(G254-G242)*4/12</f>
        <v>4696.1021833333334</v>
      </c>
      <c r="H246" s="1">
        <f>H242+(H254-H242)*4/12</f>
        <v>4675.2011666666667</v>
      </c>
      <c r="I246" t="str">
        <f>_xlfn.XLOOKUP($A246,ALGLIB_SSA_XAUUSD!$J$2:$J$1000,ALGLIB_SSA_XAUUSD!$K$2:$K$1000,"",0)</f>
        <v>XAUUSD</v>
      </c>
      <c r="J246" t="str">
        <f>_xlfn.XLOOKUP($A246,ALGLIB_SSA_XAUUSD!$J$2:$J$1000,ALGLIB_SSA_XAUUSD!$L$2:$L$1000,"",0)</f>
        <v>M5</v>
      </c>
      <c r="K246">
        <f>_xlfn.XLOOKUP($A246,ALGLIB_SSA_XAUUSD!$J$2:$J$1000,ALGLIB_SSA_XAUUSD!$M$2:$M$1000,"",0)</f>
        <v>4692.9799999999996</v>
      </c>
      <c r="L246">
        <f>_xlfn.XLOOKUP($A246,ALGLIB_SSA_XAUUSD!$J$2:$J$1000,ALGLIB_SSA_XAUUSD!$N$2:$N$1000,"",0)</f>
        <v>4691.4688999999998</v>
      </c>
      <c r="M246">
        <f>_xlfn.XLOOKUP($A246,ALGLIB_SSA_XAUUSD!$J$2:$J$1000,ALGLIB_SSA_XAUUSD!$O$2:$O$1000,"",0)</f>
        <v>4690.7229799999996</v>
      </c>
      <c r="N246">
        <f>_xlfn.XLOOKUP($A246,ALGLIB_SSA_XAUUSD!$J$2:$J$1000,ALGLIB_SSA_XAUUSD!$P$2:$P$1000,"",0)</f>
        <v>4694.8019899999999</v>
      </c>
      <c r="O246">
        <f>_xlfn.XLOOKUP($A246,ALGLIB_SSA_XAUUSD!$J$2:$J$1000,ALGLIB_SSA_XAUUSD!$Q$2:$Q$1000,"",0)</f>
        <v>4687.6960399999998</v>
      </c>
      <c r="R246">
        <f t="shared" si="33"/>
        <v>1775463600</v>
      </c>
      <c r="S246" t="str">
        <f t="shared" si="34"/>
        <v>XAUUSD</v>
      </c>
      <c r="T246" t="str">
        <f t="shared" si="35"/>
        <v>M5</v>
      </c>
      <c r="U246">
        <f t="shared" si="36"/>
        <v>4692.9799999999996</v>
      </c>
      <c r="V246">
        <v>4689.0284300000003</v>
      </c>
      <c r="W246">
        <v>4681.85329</v>
      </c>
      <c r="X246">
        <v>4691.4688999999998</v>
      </c>
      <c r="Y246">
        <v>4690.7229799999996</v>
      </c>
      <c r="Z246">
        <f t="shared" si="37"/>
        <v>4696.1021833333334</v>
      </c>
      <c r="AA246">
        <f t="shared" si="38"/>
        <v>4694.8019899999999</v>
      </c>
      <c r="AB246">
        <f t="shared" si="39"/>
        <v>4675.2011666666667</v>
      </c>
      <c r="AC246">
        <f t="shared" si="40"/>
        <v>4687.6960399999998</v>
      </c>
      <c r="AF246">
        <f t="shared" si="41"/>
        <v>4691.4688999999998</v>
      </c>
      <c r="AG246">
        <f t="shared" si="42"/>
        <v>4696.1021833333334</v>
      </c>
      <c r="AH246">
        <f t="shared" si="43"/>
        <v>4675.2011666666667</v>
      </c>
    </row>
    <row r="247" spans="1:34" x14ac:dyDescent="0.55000000000000004">
      <c r="A247">
        <f>ALGLIB_SSA_XAUUSD!J247</f>
        <v>1775463900</v>
      </c>
      <c r="B247" t="str">
        <f>_xlfn.XLOOKUP($A247,ALGLIB_SSA_XAUUSD!$A$2:$A$1000,ALGLIB_SSA_XAUUSD!$B$2:$B$1000,"",0)</f>
        <v/>
      </c>
      <c r="C247" t="str">
        <f>_xlfn.XLOOKUP($A247,ALGLIB_SSA_XAUUSD!$A$2:$A$1000,ALGLIB_SSA_XAUUSD!$C$2:$C$1000,"",0)</f>
        <v/>
      </c>
      <c r="D247" s="1">
        <f>D242+(D254-D242)*5/12</f>
        <v>4694.9525000000003</v>
      </c>
      <c r="E247" s="1">
        <f>E242+(E254-E242)*5/12</f>
        <v>4689.2615383333332</v>
      </c>
      <c r="F247" s="1">
        <f>F242+(F254-F242)*5/12</f>
        <v>4682.305288333333</v>
      </c>
      <c r="G247" s="1">
        <f>G242+(G254-G242)*5/12</f>
        <v>4696.4201066666665</v>
      </c>
      <c r="H247" s="1">
        <f>H242+(H254-H242)*5/12</f>
        <v>4675.5699358333331</v>
      </c>
      <c r="I247" t="str">
        <f>_xlfn.XLOOKUP($A247,ALGLIB_SSA_XAUUSD!$J$2:$J$1000,ALGLIB_SSA_XAUUSD!$K$2:$K$1000,"",0)</f>
        <v>XAUUSD</v>
      </c>
      <c r="J247" t="str">
        <f>_xlfn.XLOOKUP($A247,ALGLIB_SSA_XAUUSD!$J$2:$J$1000,ALGLIB_SSA_XAUUSD!$L$2:$L$1000,"",0)</f>
        <v>M5</v>
      </c>
      <c r="K247">
        <f>_xlfn.XLOOKUP($A247,ALGLIB_SSA_XAUUSD!$J$2:$J$1000,ALGLIB_SSA_XAUUSD!$M$2:$M$1000,"",0)</f>
        <v>4691.3599999999997</v>
      </c>
      <c r="L247">
        <f>_xlfn.XLOOKUP($A247,ALGLIB_SSA_XAUUSD!$J$2:$J$1000,ALGLIB_SSA_XAUUSD!$N$2:$N$1000,"",0)</f>
        <v>4691.3987800000004</v>
      </c>
      <c r="M247">
        <f>_xlfn.XLOOKUP($A247,ALGLIB_SSA_XAUUSD!$J$2:$J$1000,ALGLIB_SSA_XAUUSD!$O$2:$O$1000,"",0)</f>
        <v>4691.06088</v>
      </c>
      <c r="N247">
        <f>_xlfn.XLOOKUP($A247,ALGLIB_SSA_XAUUSD!$J$2:$J$1000,ALGLIB_SSA_XAUUSD!$P$2:$P$1000,"",0)</f>
        <v>4694.1731499999996</v>
      </c>
      <c r="O247">
        <f>_xlfn.XLOOKUP($A247,ALGLIB_SSA_XAUUSD!$J$2:$J$1000,ALGLIB_SSA_XAUUSD!$Q$2:$Q$1000,"",0)</f>
        <v>4688.2948800000004</v>
      </c>
      <c r="R247">
        <f t="shared" si="33"/>
        <v>1775463900</v>
      </c>
      <c r="S247" t="str">
        <f t="shared" si="34"/>
        <v>XAUUSD</v>
      </c>
      <c r="T247" t="str">
        <f t="shared" si="35"/>
        <v>M5</v>
      </c>
      <c r="U247">
        <f t="shared" si="36"/>
        <v>4691.3599999999997</v>
      </c>
      <c r="V247">
        <v>4689.2615400000004</v>
      </c>
      <c r="W247">
        <v>4682.3052900000002</v>
      </c>
      <c r="X247">
        <v>4691.3987800000004</v>
      </c>
      <c r="Y247">
        <v>4691.06088</v>
      </c>
      <c r="Z247">
        <f t="shared" si="37"/>
        <v>4696.4201066666665</v>
      </c>
      <c r="AA247">
        <f t="shared" si="38"/>
        <v>4694.1731499999996</v>
      </c>
      <c r="AB247">
        <f t="shared" si="39"/>
        <v>4675.5699358333331</v>
      </c>
      <c r="AC247">
        <f t="shared" si="40"/>
        <v>4688.2948800000004</v>
      </c>
      <c r="AF247">
        <f t="shared" si="41"/>
        <v>4691.3987800000004</v>
      </c>
      <c r="AG247">
        <f t="shared" si="42"/>
        <v>4696.4201066666665</v>
      </c>
      <c r="AH247">
        <f t="shared" si="43"/>
        <v>4675.5699358333331</v>
      </c>
    </row>
    <row r="248" spans="1:34" x14ac:dyDescent="0.55000000000000004">
      <c r="A248">
        <f>ALGLIB_SSA_XAUUSD!J248</f>
        <v>1775464200</v>
      </c>
      <c r="B248" t="str">
        <f>_xlfn.XLOOKUP($A248,ALGLIB_SSA_XAUUSD!$A$2:$A$1000,ALGLIB_SSA_XAUUSD!$B$2:$B$1000,"",0)</f>
        <v/>
      </c>
      <c r="C248" t="str">
        <f>_xlfn.XLOOKUP($A248,ALGLIB_SSA_XAUUSD!$A$2:$A$1000,ALGLIB_SSA_XAUUSD!$C$2:$C$1000,"",0)</f>
        <v/>
      </c>
      <c r="D248" s="1">
        <f>D242+(D254-D242)*6/12</f>
        <v>4694.7749999999996</v>
      </c>
      <c r="E248" s="1">
        <f>E242+(E254-E242)*6/12</f>
        <v>4689.4946500000005</v>
      </c>
      <c r="F248" s="1">
        <f>F242+(F254-F242)*6/12</f>
        <v>4682.7572899999996</v>
      </c>
      <c r="G248" s="1">
        <f>G242+(G254-G242)*6/12</f>
        <v>4696.7380300000004</v>
      </c>
      <c r="H248" s="1">
        <f>H242+(H254-H242)*6/12</f>
        <v>4675.9387050000005</v>
      </c>
      <c r="I248" t="str">
        <f>_xlfn.XLOOKUP($A248,ALGLIB_SSA_XAUUSD!$J$2:$J$1000,ALGLIB_SSA_XAUUSD!$K$2:$K$1000,"",0)</f>
        <v>XAUUSD</v>
      </c>
      <c r="J248" t="str">
        <f>_xlfn.XLOOKUP($A248,ALGLIB_SSA_XAUUSD!$J$2:$J$1000,ALGLIB_SSA_XAUUSD!$L$2:$L$1000,"",0)</f>
        <v>M5</v>
      </c>
      <c r="K248">
        <f>_xlfn.XLOOKUP($A248,ALGLIB_SSA_XAUUSD!$J$2:$J$1000,ALGLIB_SSA_XAUUSD!$M$2:$M$1000,"",0)</f>
        <v>4694.6400000000003</v>
      </c>
      <c r="L248">
        <f>_xlfn.XLOOKUP($A248,ALGLIB_SSA_XAUUSD!$J$2:$J$1000,ALGLIB_SSA_XAUUSD!$N$2:$N$1000,"",0)</f>
        <v>4691.55789</v>
      </c>
      <c r="M248">
        <f>_xlfn.XLOOKUP($A248,ALGLIB_SSA_XAUUSD!$J$2:$J$1000,ALGLIB_SSA_XAUUSD!$O$2:$O$1000,"",0)</f>
        <v>4691.3093900000003</v>
      </c>
      <c r="N248">
        <f>_xlfn.XLOOKUP($A248,ALGLIB_SSA_XAUUSD!$J$2:$J$1000,ALGLIB_SSA_XAUUSD!$P$2:$P$1000,"",0)</f>
        <v>4693.80591</v>
      </c>
      <c r="O248">
        <f>_xlfn.XLOOKUP($A248,ALGLIB_SSA_XAUUSD!$J$2:$J$1000,ALGLIB_SSA_XAUUSD!$Q$2:$Q$1000,"",0)</f>
        <v>4688.8432400000002</v>
      </c>
      <c r="R248">
        <f t="shared" si="33"/>
        <v>1775464200</v>
      </c>
      <c r="S248" t="str">
        <f t="shared" si="34"/>
        <v>XAUUSD</v>
      </c>
      <c r="T248" t="str">
        <f t="shared" si="35"/>
        <v>M5</v>
      </c>
      <c r="U248">
        <f t="shared" si="36"/>
        <v>4694.6400000000003</v>
      </c>
      <c r="V248">
        <v>4689.4946499999996</v>
      </c>
      <c r="W248">
        <v>4682.7572899999996</v>
      </c>
      <c r="X248">
        <v>4691.55789</v>
      </c>
      <c r="Y248">
        <v>4691.3093900000003</v>
      </c>
      <c r="Z248">
        <f t="shared" si="37"/>
        <v>4696.7380300000004</v>
      </c>
      <c r="AA248">
        <f t="shared" si="38"/>
        <v>4693.80591</v>
      </c>
      <c r="AB248">
        <f t="shared" si="39"/>
        <v>4675.9387050000005</v>
      </c>
      <c r="AC248">
        <f t="shared" si="40"/>
        <v>4688.8432400000002</v>
      </c>
      <c r="AF248">
        <f t="shared" si="41"/>
        <v>4691.55789</v>
      </c>
      <c r="AG248">
        <f t="shared" si="42"/>
        <v>4696.7380300000004</v>
      </c>
      <c r="AH248">
        <f t="shared" si="43"/>
        <v>4675.9387050000005</v>
      </c>
    </row>
    <row r="249" spans="1:34" x14ac:dyDescent="0.55000000000000004">
      <c r="A249">
        <f>ALGLIB_SSA_XAUUSD!J249</f>
        <v>1775464500</v>
      </c>
      <c r="B249" t="str">
        <f>_xlfn.XLOOKUP($A249,ALGLIB_SSA_XAUUSD!$A$2:$A$1000,ALGLIB_SSA_XAUUSD!$B$2:$B$1000,"",0)</f>
        <v/>
      </c>
      <c r="C249" t="str">
        <f>_xlfn.XLOOKUP($A249,ALGLIB_SSA_XAUUSD!$A$2:$A$1000,ALGLIB_SSA_XAUUSD!$C$2:$C$1000,"",0)</f>
        <v/>
      </c>
      <c r="D249" s="1">
        <f>D242+(D254-D242)*7/12</f>
        <v>4694.5974999999999</v>
      </c>
      <c r="E249" s="1">
        <f>E242+(E254-E242)*7/12</f>
        <v>4689.727761666667</v>
      </c>
      <c r="F249" s="1">
        <f>F242+(F254-F242)*7/12</f>
        <v>4683.209291666667</v>
      </c>
      <c r="G249" s="1">
        <f>G242+(G254-G242)*7/12</f>
        <v>4697.0559533333335</v>
      </c>
      <c r="H249" s="1">
        <f>H242+(H254-H242)*7/12</f>
        <v>4676.3074741666669</v>
      </c>
      <c r="I249" t="str">
        <f>_xlfn.XLOOKUP($A249,ALGLIB_SSA_XAUUSD!$J$2:$J$1000,ALGLIB_SSA_XAUUSD!$K$2:$K$1000,"",0)</f>
        <v>XAUUSD</v>
      </c>
      <c r="J249" t="str">
        <f>_xlfn.XLOOKUP($A249,ALGLIB_SSA_XAUUSD!$J$2:$J$1000,ALGLIB_SSA_XAUUSD!$L$2:$L$1000,"",0)</f>
        <v>M5</v>
      </c>
      <c r="K249">
        <f>_xlfn.XLOOKUP($A249,ALGLIB_SSA_XAUUSD!$J$2:$J$1000,ALGLIB_SSA_XAUUSD!$M$2:$M$1000,"",0)</f>
        <v>4690.3500000000004</v>
      </c>
      <c r="L249">
        <f>_xlfn.XLOOKUP($A249,ALGLIB_SSA_XAUUSD!$J$2:$J$1000,ALGLIB_SSA_XAUUSD!$N$2:$N$1000,"",0)</f>
        <v>4692.0177100000001</v>
      </c>
      <c r="M249">
        <f>_xlfn.XLOOKUP($A249,ALGLIB_SSA_XAUUSD!$J$2:$J$1000,ALGLIB_SSA_XAUUSD!$O$2:$O$1000,"",0)</f>
        <v>4691.6635500000002</v>
      </c>
      <c r="N249">
        <f>_xlfn.XLOOKUP($A249,ALGLIB_SSA_XAUUSD!$J$2:$J$1000,ALGLIB_SSA_XAUUSD!$P$2:$P$1000,"",0)</f>
        <v>4693.9978499999997</v>
      </c>
      <c r="O249">
        <f>_xlfn.XLOOKUP($A249,ALGLIB_SSA_XAUUSD!$J$2:$J$1000,ALGLIB_SSA_XAUUSD!$Q$2:$Q$1000,"",0)</f>
        <v>4689.5149099999999</v>
      </c>
      <c r="R249">
        <f t="shared" si="33"/>
        <v>1775464500</v>
      </c>
      <c r="S249" t="str">
        <f t="shared" si="34"/>
        <v>XAUUSD</v>
      </c>
      <c r="T249" t="str">
        <f t="shared" si="35"/>
        <v>M5</v>
      </c>
      <c r="U249">
        <f t="shared" si="36"/>
        <v>4690.3500000000004</v>
      </c>
      <c r="V249">
        <v>4689.7277599999998</v>
      </c>
      <c r="W249">
        <v>4683.2092899999998</v>
      </c>
      <c r="X249">
        <v>4692.0177100000001</v>
      </c>
      <c r="Y249">
        <v>4691.6635500000002</v>
      </c>
      <c r="Z249">
        <f t="shared" si="37"/>
        <v>4697.0559533333335</v>
      </c>
      <c r="AA249">
        <f t="shared" si="38"/>
        <v>4693.9978499999997</v>
      </c>
      <c r="AB249">
        <f t="shared" si="39"/>
        <v>4676.3074741666669</v>
      </c>
      <c r="AC249">
        <f t="shared" si="40"/>
        <v>4689.5149099999999</v>
      </c>
      <c r="AF249">
        <f t="shared" si="41"/>
        <v>4692.0177100000001</v>
      </c>
      <c r="AG249">
        <f t="shared" si="42"/>
        <v>4697.0559533333335</v>
      </c>
      <c r="AH249">
        <f t="shared" si="43"/>
        <v>4676.3074741666669</v>
      </c>
    </row>
    <row r="250" spans="1:34" x14ac:dyDescent="0.55000000000000004">
      <c r="A250">
        <f>ALGLIB_SSA_XAUUSD!J250</f>
        <v>1775464800</v>
      </c>
      <c r="B250" t="str">
        <f>_xlfn.XLOOKUP($A250,ALGLIB_SSA_XAUUSD!$A$2:$A$1000,ALGLIB_SSA_XAUUSD!$B$2:$B$1000,"",0)</f>
        <v/>
      </c>
      <c r="C250" t="str">
        <f>_xlfn.XLOOKUP($A250,ALGLIB_SSA_XAUUSD!$A$2:$A$1000,ALGLIB_SSA_XAUUSD!$C$2:$C$1000,"",0)</f>
        <v/>
      </c>
      <c r="D250" s="1">
        <f>D242+(D254-D242)*8/12</f>
        <v>4694.42</v>
      </c>
      <c r="E250" s="1">
        <f>E242+(E254-E242)*8/12</f>
        <v>4689.9608733333334</v>
      </c>
      <c r="F250" s="1">
        <f>F242+(F254-F242)*8/12</f>
        <v>4683.6612933333336</v>
      </c>
      <c r="G250" s="1">
        <f>G242+(G254-G242)*8/12</f>
        <v>4697.3738766666665</v>
      </c>
      <c r="H250" s="1">
        <f>H242+(H254-H242)*8/12</f>
        <v>4676.6762433333333</v>
      </c>
      <c r="I250" t="str">
        <f>_xlfn.XLOOKUP($A250,ALGLIB_SSA_XAUUSD!$J$2:$J$1000,ALGLIB_SSA_XAUUSD!$K$2:$K$1000,"",0)</f>
        <v>XAUUSD</v>
      </c>
      <c r="J250" t="str">
        <f>_xlfn.XLOOKUP($A250,ALGLIB_SSA_XAUUSD!$J$2:$J$1000,ALGLIB_SSA_XAUUSD!$L$2:$L$1000,"",0)</f>
        <v>M5</v>
      </c>
      <c r="K250">
        <f>_xlfn.XLOOKUP($A250,ALGLIB_SSA_XAUUSD!$J$2:$J$1000,ALGLIB_SSA_XAUUSD!$M$2:$M$1000,"",0)</f>
        <v>4693.1499999999996</v>
      </c>
      <c r="L250">
        <f>_xlfn.XLOOKUP($A250,ALGLIB_SSA_XAUUSD!$J$2:$J$1000,ALGLIB_SSA_XAUUSD!$N$2:$N$1000,"",0)</f>
        <v>4692.9095699999998</v>
      </c>
      <c r="M250">
        <f>_xlfn.XLOOKUP($A250,ALGLIB_SSA_XAUUSD!$J$2:$J$1000,ALGLIB_SSA_XAUUSD!$O$2:$O$1000,"",0)</f>
        <v>4692.2865599999996</v>
      </c>
      <c r="N250">
        <f>_xlfn.XLOOKUP($A250,ALGLIB_SSA_XAUUSD!$J$2:$J$1000,ALGLIB_SSA_XAUUSD!$P$2:$P$1000,"",0)</f>
        <v>4694.7760900000003</v>
      </c>
      <c r="O250">
        <f>_xlfn.XLOOKUP($A250,ALGLIB_SSA_XAUUSD!$J$2:$J$1000,ALGLIB_SSA_XAUUSD!$Q$2:$Q$1000,"",0)</f>
        <v>4690.3755300000003</v>
      </c>
      <c r="R250">
        <f t="shared" si="33"/>
        <v>1775464800</v>
      </c>
      <c r="S250" t="str">
        <f t="shared" si="34"/>
        <v>XAUUSD</v>
      </c>
      <c r="T250" t="str">
        <f t="shared" si="35"/>
        <v>M5</v>
      </c>
      <c r="U250">
        <f t="shared" si="36"/>
        <v>4693.1499999999996</v>
      </c>
      <c r="V250">
        <v>4689.9608699999999</v>
      </c>
      <c r="W250">
        <v>4683.66129</v>
      </c>
      <c r="X250">
        <v>4692.9095699999998</v>
      </c>
      <c r="Y250">
        <v>4692.2865599999996</v>
      </c>
      <c r="Z250">
        <f t="shared" si="37"/>
        <v>4697.3738766666665</v>
      </c>
      <c r="AA250">
        <f t="shared" si="38"/>
        <v>4694.7760900000003</v>
      </c>
      <c r="AB250">
        <f t="shared" si="39"/>
        <v>4676.6762433333333</v>
      </c>
      <c r="AC250">
        <f t="shared" si="40"/>
        <v>4690.3755300000003</v>
      </c>
      <c r="AF250">
        <f t="shared" si="41"/>
        <v>4692.9095699999998</v>
      </c>
      <c r="AG250">
        <f t="shared" si="42"/>
        <v>4697.3738766666665</v>
      </c>
      <c r="AH250">
        <f t="shared" si="43"/>
        <v>4676.6762433333333</v>
      </c>
    </row>
    <row r="251" spans="1:34" x14ac:dyDescent="0.55000000000000004">
      <c r="A251">
        <f>ALGLIB_SSA_XAUUSD!J251</f>
        <v>1775465100</v>
      </c>
      <c r="B251" t="str">
        <f>_xlfn.XLOOKUP($A251,ALGLIB_SSA_XAUUSD!$A$2:$A$1000,ALGLIB_SSA_XAUUSD!$B$2:$B$1000,"",0)</f>
        <v/>
      </c>
      <c r="C251" t="str">
        <f>_xlfn.XLOOKUP($A251,ALGLIB_SSA_XAUUSD!$A$2:$A$1000,ALGLIB_SSA_XAUUSD!$C$2:$C$1000,"",0)</f>
        <v/>
      </c>
      <c r="D251" s="1">
        <f>D242+(D254-D242)*9/12</f>
        <v>4694.2425000000003</v>
      </c>
      <c r="E251" s="1">
        <f>E242+(E254-E242)*9/12</f>
        <v>4690.1939849999999</v>
      </c>
      <c r="F251" s="1">
        <f>F242+(F254-F242)*9/12</f>
        <v>4684.1132950000001</v>
      </c>
      <c r="G251" s="1">
        <f>G242+(G254-G242)*9/12</f>
        <v>4697.6917999999996</v>
      </c>
      <c r="H251" s="1">
        <f>H242+(H254-H242)*9/12</f>
        <v>4677.0450124999998</v>
      </c>
      <c r="I251" t="str">
        <f>_xlfn.XLOOKUP($A251,ALGLIB_SSA_XAUUSD!$J$2:$J$1000,ALGLIB_SSA_XAUUSD!$K$2:$K$1000,"",0)</f>
        <v>XAUUSD</v>
      </c>
      <c r="J251" t="str">
        <f>_xlfn.XLOOKUP($A251,ALGLIB_SSA_XAUUSD!$J$2:$J$1000,ALGLIB_SSA_XAUUSD!$L$2:$L$1000,"",0)</f>
        <v>M5</v>
      </c>
      <c r="K251">
        <f>_xlfn.XLOOKUP($A251,ALGLIB_SSA_XAUUSD!$J$2:$J$1000,ALGLIB_SSA_XAUUSD!$M$2:$M$1000,"",0)</f>
        <v>4696.75</v>
      </c>
      <c r="L251">
        <f>_xlfn.XLOOKUP($A251,ALGLIB_SSA_XAUUSD!$J$2:$J$1000,ALGLIB_SSA_XAUUSD!$N$2:$N$1000,"",0)</f>
        <v>4694.0968300000004</v>
      </c>
      <c r="M251">
        <f>_xlfn.XLOOKUP($A251,ALGLIB_SSA_XAUUSD!$J$2:$J$1000,ALGLIB_SSA_XAUUSD!$O$2:$O$1000,"",0)</f>
        <v>4693.1916899999997</v>
      </c>
      <c r="N251">
        <f>_xlfn.XLOOKUP($A251,ALGLIB_SSA_XAUUSD!$J$2:$J$1000,ALGLIB_SSA_XAUUSD!$P$2:$P$1000,"",0)</f>
        <v>4696.0895200000004</v>
      </c>
      <c r="O251">
        <f>_xlfn.XLOOKUP($A251,ALGLIB_SSA_XAUUSD!$J$2:$J$1000,ALGLIB_SSA_XAUUSD!$Q$2:$Q$1000,"",0)</f>
        <v>4691.4384399999999</v>
      </c>
      <c r="R251">
        <f t="shared" si="33"/>
        <v>1775465100</v>
      </c>
      <c r="S251" t="str">
        <f t="shared" si="34"/>
        <v>XAUUSD</v>
      </c>
      <c r="T251" t="str">
        <f t="shared" si="35"/>
        <v>M5</v>
      </c>
      <c r="U251">
        <f t="shared" si="36"/>
        <v>4696.75</v>
      </c>
      <c r="V251">
        <v>4690.1939899999998</v>
      </c>
      <c r="W251">
        <v>4684.1133</v>
      </c>
      <c r="X251">
        <v>4694.0968300000004</v>
      </c>
      <c r="Y251">
        <v>4693.1916899999997</v>
      </c>
      <c r="Z251">
        <f t="shared" si="37"/>
        <v>4697.6917999999996</v>
      </c>
      <c r="AA251">
        <f t="shared" si="38"/>
        <v>4696.0895200000004</v>
      </c>
      <c r="AB251">
        <f t="shared" si="39"/>
        <v>4677.0450124999998</v>
      </c>
      <c r="AC251">
        <f t="shared" si="40"/>
        <v>4691.4384399999999</v>
      </c>
      <c r="AF251">
        <f t="shared" si="41"/>
        <v>4694.0968300000004</v>
      </c>
      <c r="AG251">
        <f t="shared" si="42"/>
        <v>4697.6917999999996</v>
      </c>
      <c r="AH251">
        <f t="shared" si="43"/>
        <v>4677.0450124999998</v>
      </c>
    </row>
    <row r="252" spans="1:34" x14ac:dyDescent="0.55000000000000004">
      <c r="A252">
        <f>ALGLIB_SSA_XAUUSD!J252</f>
        <v>1775465400</v>
      </c>
      <c r="B252" t="str">
        <f>_xlfn.XLOOKUP($A252,ALGLIB_SSA_XAUUSD!$A$2:$A$1000,ALGLIB_SSA_XAUUSD!$B$2:$B$1000,"",0)</f>
        <v/>
      </c>
      <c r="C252" t="str">
        <f>_xlfn.XLOOKUP($A252,ALGLIB_SSA_XAUUSD!$A$2:$A$1000,ALGLIB_SSA_XAUUSD!$C$2:$C$1000,"",0)</f>
        <v/>
      </c>
      <c r="D252" s="1">
        <f>D242+(D254-D242)*10/12</f>
        <v>4694.0650000000005</v>
      </c>
      <c r="E252" s="1">
        <f>E242+(E254-E242)*10/12</f>
        <v>4690.4270966666663</v>
      </c>
      <c r="F252" s="1">
        <f>F242+(F254-F242)*10/12</f>
        <v>4684.5652966666667</v>
      </c>
      <c r="G252" s="1">
        <f>G242+(G254-G242)*10/12</f>
        <v>4698.0097233333327</v>
      </c>
      <c r="H252" s="1">
        <f>H242+(H254-H242)*10/12</f>
        <v>4677.4137816666662</v>
      </c>
      <c r="I252" t="str">
        <f>_xlfn.XLOOKUP($A252,ALGLIB_SSA_XAUUSD!$J$2:$J$1000,ALGLIB_SSA_XAUUSD!$K$2:$K$1000,"",0)</f>
        <v>XAUUSD</v>
      </c>
      <c r="J252" t="str">
        <f>_xlfn.XLOOKUP($A252,ALGLIB_SSA_XAUUSD!$J$2:$J$1000,ALGLIB_SSA_XAUUSD!$L$2:$L$1000,"",0)</f>
        <v>M5</v>
      </c>
      <c r="K252">
        <f>_xlfn.XLOOKUP($A252,ALGLIB_SSA_XAUUSD!$J$2:$J$1000,ALGLIB_SSA_XAUUSD!$M$2:$M$1000,"",0)</f>
        <v>4694.03</v>
      </c>
      <c r="L252">
        <f>_xlfn.XLOOKUP($A252,ALGLIB_SSA_XAUUSD!$J$2:$J$1000,ALGLIB_SSA_XAUUSD!$N$2:$N$1000,"",0)</f>
        <v>4695.3877300000004</v>
      </c>
      <c r="M252">
        <f>_xlfn.XLOOKUP($A252,ALGLIB_SSA_XAUUSD!$J$2:$J$1000,ALGLIB_SSA_XAUUSD!$O$2:$O$1000,"",0)</f>
        <v>4694.28971</v>
      </c>
      <c r="N252">
        <f>_xlfn.XLOOKUP($A252,ALGLIB_SSA_XAUUSD!$J$2:$J$1000,ALGLIB_SSA_XAUUSD!$P$2:$P$1000,"",0)</f>
        <v>4697.6624899999997</v>
      </c>
      <c r="O252">
        <f>_xlfn.XLOOKUP($A252,ALGLIB_SSA_XAUUSD!$J$2:$J$1000,ALGLIB_SSA_XAUUSD!$Q$2:$Q$1000,"",0)</f>
        <v>4692.6085700000003</v>
      </c>
      <c r="R252">
        <f t="shared" si="33"/>
        <v>1775465400</v>
      </c>
      <c r="S252" t="str">
        <f t="shared" si="34"/>
        <v>XAUUSD</v>
      </c>
      <c r="T252" t="str">
        <f t="shared" si="35"/>
        <v>M5</v>
      </c>
      <c r="U252">
        <f t="shared" si="36"/>
        <v>4694.03</v>
      </c>
      <c r="V252">
        <v>4690.4270999999999</v>
      </c>
      <c r="W252">
        <v>4684.5653000000002</v>
      </c>
      <c r="X252">
        <v>4695.3877300000004</v>
      </c>
      <c r="Y252">
        <v>4694.28971</v>
      </c>
      <c r="Z252">
        <f t="shared" si="37"/>
        <v>4698.0097233333327</v>
      </c>
      <c r="AA252">
        <f t="shared" si="38"/>
        <v>4697.6624899999997</v>
      </c>
      <c r="AB252">
        <f t="shared" si="39"/>
        <v>4677.4137816666662</v>
      </c>
      <c r="AC252">
        <f t="shared" si="40"/>
        <v>4692.6085700000003</v>
      </c>
      <c r="AF252">
        <f t="shared" si="41"/>
        <v>4695.3877300000004</v>
      </c>
      <c r="AG252">
        <f t="shared" si="42"/>
        <v>4698.0097233333327</v>
      </c>
      <c r="AH252">
        <f t="shared" si="43"/>
        <v>4677.4137816666662</v>
      </c>
    </row>
    <row r="253" spans="1:34" x14ac:dyDescent="0.55000000000000004">
      <c r="A253">
        <f>ALGLIB_SSA_XAUUSD!J253</f>
        <v>1775465700</v>
      </c>
      <c r="B253" t="str">
        <f>_xlfn.XLOOKUP($A253,ALGLIB_SSA_XAUUSD!$A$2:$A$1000,ALGLIB_SSA_XAUUSD!$B$2:$B$1000,"",0)</f>
        <v/>
      </c>
      <c r="C253" t="str">
        <f>_xlfn.XLOOKUP($A253,ALGLIB_SSA_XAUUSD!$A$2:$A$1000,ALGLIB_SSA_XAUUSD!$C$2:$C$1000,"",0)</f>
        <v/>
      </c>
      <c r="D253" s="1">
        <f>D242+(D254-D242)*11/12</f>
        <v>4693.8874999999998</v>
      </c>
      <c r="E253" s="1">
        <f>E242+(E254-E242)*11/12</f>
        <v>4690.6602083333337</v>
      </c>
      <c r="F253" s="1">
        <f>F242+(F254-F242)*11/12</f>
        <v>4685.0172983333332</v>
      </c>
      <c r="G253" s="1">
        <f>G242+(G254-G242)*11/12</f>
        <v>4698.3276466666666</v>
      </c>
      <c r="H253" s="1">
        <f>H242+(H254-H242)*11/12</f>
        <v>4677.7825508333335</v>
      </c>
      <c r="I253" t="str">
        <f>_xlfn.XLOOKUP($A253,ALGLIB_SSA_XAUUSD!$J$2:$J$1000,ALGLIB_SSA_XAUUSD!$K$2:$K$1000,"",0)</f>
        <v>XAUUSD</v>
      </c>
      <c r="J253" t="str">
        <f>_xlfn.XLOOKUP($A253,ALGLIB_SSA_XAUUSD!$J$2:$J$1000,ALGLIB_SSA_XAUUSD!$L$2:$L$1000,"",0)</f>
        <v>M5</v>
      </c>
      <c r="K253">
        <f>_xlfn.XLOOKUP($A253,ALGLIB_SSA_XAUUSD!$J$2:$J$1000,ALGLIB_SSA_XAUUSD!$M$2:$M$1000,"",0)</f>
        <v>4695.84</v>
      </c>
      <c r="L253">
        <f>_xlfn.XLOOKUP($A253,ALGLIB_SSA_XAUUSD!$J$2:$J$1000,ALGLIB_SSA_XAUUSD!$N$2:$N$1000,"",0)</f>
        <v>4696.7752499999997</v>
      </c>
      <c r="M253">
        <f>_xlfn.XLOOKUP($A253,ALGLIB_SSA_XAUUSD!$J$2:$J$1000,ALGLIB_SSA_XAUUSD!$O$2:$O$1000,"",0)</f>
        <v>4695.5324799999999</v>
      </c>
      <c r="N253">
        <f>_xlfn.XLOOKUP($A253,ALGLIB_SSA_XAUUSD!$J$2:$J$1000,ALGLIB_SSA_XAUUSD!$P$2:$P$1000,"",0)</f>
        <v>4699.2794100000001</v>
      </c>
      <c r="O253">
        <f>_xlfn.XLOOKUP($A253,ALGLIB_SSA_XAUUSD!$J$2:$J$1000,ALGLIB_SSA_XAUUSD!$Q$2:$Q$1000,"",0)</f>
        <v>4693.89437</v>
      </c>
      <c r="R253">
        <f t="shared" si="33"/>
        <v>1775465700</v>
      </c>
      <c r="S253" t="str">
        <f t="shared" si="34"/>
        <v>XAUUSD</v>
      </c>
      <c r="T253" t="str">
        <f t="shared" si="35"/>
        <v>M5</v>
      </c>
      <c r="U253">
        <f t="shared" si="36"/>
        <v>4695.84</v>
      </c>
      <c r="V253">
        <v>4690.66021</v>
      </c>
      <c r="W253">
        <v>4685.0173000000004</v>
      </c>
      <c r="X253">
        <v>4696.7752499999997</v>
      </c>
      <c r="Y253">
        <v>4695.5324799999999</v>
      </c>
      <c r="Z253">
        <f t="shared" si="37"/>
        <v>4698.3276466666666</v>
      </c>
      <c r="AA253">
        <f t="shared" si="38"/>
        <v>4699.2794100000001</v>
      </c>
      <c r="AB253">
        <f t="shared" si="39"/>
        <v>4677.7825508333335</v>
      </c>
      <c r="AC253">
        <f t="shared" si="40"/>
        <v>4693.89437</v>
      </c>
      <c r="AF253">
        <f t="shared" si="41"/>
        <v>4696.7752499999997</v>
      </c>
      <c r="AG253">
        <f t="shared" si="42"/>
        <v>4698.3276466666666</v>
      </c>
      <c r="AH253">
        <f t="shared" si="43"/>
        <v>4677.7825508333335</v>
      </c>
    </row>
    <row r="254" spans="1:34" x14ac:dyDescent="0.55000000000000004">
      <c r="A254">
        <f>ALGLIB_SSA_XAUUSD!J254</f>
        <v>1775466000</v>
      </c>
      <c r="B254" t="str">
        <f>_xlfn.XLOOKUP($A254,ALGLIB_SSA_XAUUSD!$A$2:$A$1000,ALGLIB_SSA_XAUUSD!$B$2:$B$1000,"",0)</f>
        <v>XAUUSD</v>
      </c>
      <c r="C254" t="str">
        <f>_xlfn.XLOOKUP($A254,ALGLIB_SSA_XAUUSD!$A$2:$A$1000,ALGLIB_SSA_XAUUSD!$C$2:$C$1000,"",0)</f>
        <v>H1</v>
      </c>
      <c r="D254" s="2">
        <f>_xlfn.XLOOKUP($A254,ALGLIB_SSA_XAUUSD!$A$2:$A$1000,ALGLIB_SSA_XAUUSD!$D$2:$D$1000,"",0)</f>
        <v>4693.71</v>
      </c>
      <c r="E254" s="2">
        <f>_xlfn.XLOOKUP($A254,ALGLIB_SSA_XAUUSD!$A$2:$A$1000,ALGLIB_SSA_XAUUSD!$E$2:$E$1000,"",0)</f>
        <v>4690.8933200000001</v>
      </c>
      <c r="F254" s="2">
        <f>_xlfn.XLOOKUP($A254,ALGLIB_SSA_XAUUSD!$A$2:$A$1000,ALGLIB_SSA_XAUUSD!$F$2:$F$1000,"",0)</f>
        <v>4685.4692999999997</v>
      </c>
      <c r="G254" s="2">
        <f>_xlfn.XLOOKUP($A254,ALGLIB_SSA_XAUUSD!$A$2:$A$1000,ALGLIB_SSA_XAUUSD!$G$2:$G$1000,"",0)</f>
        <v>4698.6455699999997</v>
      </c>
      <c r="H254" s="2">
        <f>_xlfn.XLOOKUP($A254,ALGLIB_SSA_XAUUSD!$A$2:$A$1000,ALGLIB_SSA_XAUUSD!$H$2:$H$1000,"",0)</f>
        <v>4678.1513199999999</v>
      </c>
      <c r="I254" t="str">
        <f>_xlfn.XLOOKUP($A254,ALGLIB_SSA_XAUUSD!$J$2:$J$1000,ALGLIB_SSA_XAUUSD!$K$2:$K$1000,"",0)</f>
        <v>XAUUSD</v>
      </c>
      <c r="J254" t="str">
        <f>_xlfn.XLOOKUP($A254,ALGLIB_SSA_XAUUSD!$J$2:$J$1000,ALGLIB_SSA_XAUUSD!$L$2:$L$1000,"",0)</f>
        <v>M5</v>
      </c>
      <c r="K254">
        <f>_xlfn.XLOOKUP($A254,ALGLIB_SSA_XAUUSD!$J$2:$J$1000,ALGLIB_SSA_XAUUSD!$M$2:$M$1000,"",0)</f>
        <v>4698.93</v>
      </c>
      <c r="L254">
        <f>_xlfn.XLOOKUP($A254,ALGLIB_SSA_XAUUSD!$J$2:$J$1000,ALGLIB_SSA_XAUUSD!$N$2:$N$1000,"",0)</f>
        <v>4698.1577200000002</v>
      </c>
      <c r="M254">
        <f>_xlfn.XLOOKUP($A254,ALGLIB_SSA_XAUUSD!$J$2:$J$1000,ALGLIB_SSA_XAUUSD!$O$2:$O$1000,"",0)</f>
        <v>4696.8450999999995</v>
      </c>
      <c r="N254">
        <f>_xlfn.XLOOKUP($A254,ALGLIB_SSA_XAUUSD!$J$2:$J$1000,ALGLIB_SSA_XAUUSD!$P$2:$P$1000,"",0)</f>
        <v>4700.7673100000002</v>
      </c>
      <c r="O254">
        <f>_xlfn.XLOOKUP($A254,ALGLIB_SSA_XAUUSD!$J$2:$J$1000,ALGLIB_SSA_XAUUSD!$Q$2:$Q$1000,"",0)</f>
        <v>4695.23434</v>
      </c>
      <c r="R254">
        <f t="shared" si="33"/>
        <v>1775466000</v>
      </c>
      <c r="S254" t="str">
        <f t="shared" si="34"/>
        <v>XAUUSD</v>
      </c>
      <c r="T254" t="str">
        <f t="shared" si="35"/>
        <v>M5</v>
      </c>
      <c r="U254">
        <f t="shared" si="36"/>
        <v>4698.93</v>
      </c>
      <c r="V254">
        <v>4690.8933200000001</v>
      </c>
      <c r="W254">
        <v>4685.4692999999997</v>
      </c>
      <c r="X254">
        <v>4698.1577200000002</v>
      </c>
      <c r="Y254">
        <v>4696.8450999999995</v>
      </c>
      <c r="Z254">
        <f t="shared" si="37"/>
        <v>4698.6455699999997</v>
      </c>
      <c r="AA254">
        <f t="shared" si="38"/>
        <v>4700.7673100000002</v>
      </c>
      <c r="AB254">
        <f t="shared" si="39"/>
        <v>4678.1513199999999</v>
      </c>
      <c r="AC254">
        <f t="shared" si="40"/>
        <v>4695.23434</v>
      </c>
      <c r="AF254">
        <f t="shared" si="41"/>
        <v>4698.1577200000002</v>
      </c>
      <c r="AG254">
        <f t="shared" si="42"/>
        <v>4698.6455699999997</v>
      </c>
      <c r="AH254">
        <f t="shared" si="43"/>
        <v>4678.1513199999999</v>
      </c>
    </row>
    <row r="255" spans="1:34" x14ac:dyDescent="0.55000000000000004">
      <c r="A255">
        <f>ALGLIB_SSA_XAUUSD!J255</f>
        <v>1775466300</v>
      </c>
      <c r="B255" t="str">
        <f>_xlfn.XLOOKUP($A255,ALGLIB_SSA_XAUUSD!$A$2:$A$1000,ALGLIB_SSA_XAUUSD!$B$2:$B$1000,"",0)</f>
        <v/>
      </c>
      <c r="C255" t="str">
        <f>_xlfn.XLOOKUP($A255,ALGLIB_SSA_XAUUSD!$A$2:$A$1000,ALGLIB_SSA_XAUUSD!$C$2:$C$1000,"",0)</f>
        <v/>
      </c>
      <c r="D255" s="1">
        <f>D254+(D266-D254)*1/12</f>
        <v>4693.3858333333337</v>
      </c>
      <c r="E255" s="1">
        <f>E254+(E266-E254)*1/12</f>
        <v>4690.8399508333332</v>
      </c>
      <c r="F255" s="1">
        <f>F254+(F266-F254)*1/12</f>
        <v>4685.6686166666668</v>
      </c>
      <c r="G255" s="1">
        <f>G254+(G266-G254)*1/12</f>
        <v>4698.7102758333331</v>
      </c>
      <c r="H255" s="1">
        <f>H254+(H266-H254)*1/12</f>
        <v>4678.1641083333334</v>
      </c>
      <c r="I255" t="str">
        <f>_xlfn.XLOOKUP($A255,ALGLIB_SSA_XAUUSD!$J$2:$J$1000,ALGLIB_SSA_XAUUSD!$K$2:$K$1000,"",0)</f>
        <v>XAUUSD</v>
      </c>
      <c r="J255" t="str">
        <f>_xlfn.XLOOKUP($A255,ALGLIB_SSA_XAUUSD!$J$2:$J$1000,ALGLIB_SSA_XAUUSD!$L$2:$L$1000,"",0)</f>
        <v>M5</v>
      </c>
      <c r="K255">
        <f>_xlfn.XLOOKUP($A255,ALGLIB_SSA_XAUUSD!$J$2:$J$1000,ALGLIB_SSA_XAUUSD!$M$2:$M$1000,"",0)</f>
        <v>4699.1099999999997</v>
      </c>
      <c r="L255">
        <f>_xlfn.XLOOKUP($A255,ALGLIB_SSA_XAUUSD!$J$2:$J$1000,ALGLIB_SSA_XAUUSD!$N$2:$N$1000,"",0)</f>
        <v>4699.4322700000002</v>
      </c>
      <c r="M255">
        <f>_xlfn.XLOOKUP($A255,ALGLIB_SSA_XAUUSD!$J$2:$J$1000,ALGLIB_SSA_XAUUSD!$O$2:$O$1000,"",0)</f>
        <v>4698.1386899999998</v>
      </c>
      <c r="N255">
        <f>_xlfn.XLOOKUP($A255,ALGLIB_SSA_XAUUSD!$J$2:$J$1000,ALGLIB_SSA_XAUUSD!$P$2:$P$1000,"",0)</f>
        <v>4701.9471299999996</v>
      </c>
      <c r="O255">
        <f>_xlfn.XLOOKUP($A255,ALGLIB_SSA_XAUUSD!$J$2:$J$1000,ALGLIB_SSA_XAUUSD!$Q$2:$Q$1000,"",0)</f>
        <v>4696.5545499999998</v>
      </c>
      <c r="R255">
        <f t="shared" si="33"/>
        <v>1775466300</v>
      </c>
      <c r="S255" t="str">
        <f t="shared" si="34"/>
        <v>XAUUSD</v>
      </c>
      <c r="T255" t="str">
        <f t="shared" si="35"/>
        <v>M5</v>
      </c>
      <c r="U255">
        <f t="shared" si="36"/>
        <v>4699.1099999999997</v>
      </c>
      <c r="V255">
        <v>4690.8399499999996</v>
      </c>
      <c r="W255">
        <v>4685.6686200000004</v>
      </c>
      <c r="X255">
        <v>4699.4322700000002</v>
      </c>
      <c r="Y255">
        <v>4698.1386899999998</v>
      </c>
      <c r="Z255">
        <f t="shared" si="37"/>
        <v>4698.7102758333331</v>
      </c>
      <c r="AA255">
        <f t="shared" si="38"/>
        <v>4701.9471299999996</v>
      </c>
      <c r="AB255">
        <f t="shared" si="39"/>
        <v>4678.1641083333334</v>
      </c>
      <c r="AC255">
        <f t="shared" si="40"/>
        <v>4696.5545499999998</v>
      </c>
      <c r="AF255">
        <f t="shared" si="41"/>
        <v>4699.4322700000002</v>
      </c>
      <c r="AG255">
        <f t="shared" si="42"/>
        <v>4698.7102758333331</v>
      </c>
      <c r="AH255">
        <f t="shared" si="43"/>
        <v>4678.1641083333334</v>
      </c>
    </row>
    <row r="256" spans="1:34" x14ac:dyDescent="0.55000000000000004">
      <c r="A256">
        <f>ALGLIB_SSA_XAUUSD!J256</f>
        <v>1775466600</v>
      </c>
      <c r="B256" t="str">
        <f>_xlfn.XLOOKUP($A256,ALGLIB_SSA_XAUUSD!$A$2:$A$1000,ALGLIB_SSA_XAUUSD!$B$2:$B$1000,"",0)</f>
        <v/>
      </c>
      <c r="C256" t="str">
        <f>_xlfn.XLOOKUP($A256,ALGLIB_SSA_XAUUSD!$A$2:$A$1000,ALGLIB_SSA_XAUUSD!$C$2:$C$1000,"",0)</f>
        <v/>
      </c>
      <c r="D256" s="1">
        <f>D254+(D266-D254)*2/12</f>
        <v>4693.0616666666665</v>
      </c>
      <c r="E256" s="1">
        <f>E254+(E266-E254)*2/12</f>
        <v>4690.7865816666672</v>
      </c>
      <c r="F256" s="1">
        <f>F254+(F266-F254)*2/12</f>
        <v>4685.867933333333</v>
      </c>
      <c r="G256" s="1">
        <f>G254+(G266-G254)*2/12</f>
        <v>4698.7749816666665</v>
      </c>
      <c r="H256" s="1">
        <f>H254+(H266-H254)*2/12</f>
        <v>4678.1768966666668</v>
      </c>
      <c r="I256" t="str">
        <f>_xlfn.XLOOKUP($A256,ALGLIB_SSA_XAUUSD!$J$2:$J$1000,ALGLIB_SSA_XAUUSD!$K$2:$K$1000,"",0)</f>
        <v>XAUUSD</v>
      </c>
      <c r="J256" t="str">
        <f>_xlfn.XLOOKUP($A256,ALGLIB_SSA_XAUUSD!$J$2:$J$1000,ALGLIB_SSA_XAUUSD!$L$2:$L$1000,"",0)</f>
        <v>M5</v>
      </c>
      <c r="K256">
        <f>_xlfn.XLOOKUP($A256,ALGLIB_SSA_XAUUSD!$J$2:$J$1000,ALGLIB_SSA_XAUUSD!$M$2:$M$1000,"",0)</f>
        <v>4701.22</v>
      </c>
      <c r="L256">
        <f>_xlfn.XLOOKUP($A256,ALGLIB_SSA_XAUUSD!$J$2:$J$1000,ALGLIB_SSA_XAUUSD!$N$2:$N$1000,"",0)</f>
        <v>4700.5935300000001</v>
      </c>
      <c r="M256">
        <f>_xlfn.XLOOKUP($A256,ALGLIB_SSA_XAUUSD!$J$2:$J$1000,ALGLIB_SSA_XAUUSD!$O$2:$O$1000,"",0)</f>
        <v>4699.3661099999999</v>
      </c>
      <c r="N256">
        <f>_xlfn.XLOOKUP($A256,ALGLIB_SSA_XAUUSD!$J$2:$J$1000,ALGLIB_SSA_XAUUSD!$P$2:$P$1000,"",0)</f>
        <v>4702.80789</v>
      </c>
      <c r="O256">
        <f>_xlfn.XLOOKUP($A256,ALGLIB_SSA_XAUUSD!$J$2:$J$1000,ALGLIB_SSA_XAUUSD!$Q$2:$Q$1000,"",0)</f>
        <v>4697.7913900000003</v>
      </c>
      <c r="R256">
        <f t="shared" si="33"/>
        <v>1775466600</v>
      </c>
      <c r="S256" t="str">
        <f t="shared" si="34"/>
        <v>XAUUSD</v>
      </c>
      <c r="T256" t="str">
        <f t="shared" si="35"/>
        <v>M5</v>
      </c>
      <c r="U256">
        <f t="shared" si="36"/>
        <v>4701.22</v>
      </c>
      <c r="V256">
        <v>4690.78658</v>
      </c>
      <c r="W256">
        <v>4685.8679300000003</v>
      </c>
      <c r="X256">
        <v>4700.5935300000001</v>
      </c>
      <c r="Y256">
        <v>4699.3661099999999</v>
      </c>
      <c r="Z256">
        <f t="shared" si="37"/>
        <v>4698.7749816666665</v>
      </c>
      <c r="AA256">
        <f t="shared" si="38"/>
        <v>4702.80789</v>
      </c>
      <c r="AB256">
        <f t="shared" si="39"/>
        <v>4678.1768966666668</v>
      </c>
      <c r="AC256">
        <f t="shared" si="40"/>
        <v>4697.7913900000003</v>
      </c>
      <c r="AF256">
        <f t="shared" si="41"/>
        <v>4700.5935300000001</v>
      </c>
      <c r="AG256">
        <f t="shared" si="42"/>
        <v>4698.7749816666665</v>
      </c>
      <c r="AH256">
        <f t="shared" si="43"/>
        <v>4678.1768966666668</v>
      </c>
    </row>
    <row r="257" spans="1:34" x14ac:dyDescent="0.55000000000000004">
      <c r="A257">
        <f>ALGLIB_SSA_XAUUSD!J257</f>
        <v>1775466900</v>
      </c>
      <c r="B257" t="str">
        <f>_xlfn.XLOOKUP($A257,ALGLIB_SSA_XAUUSD!$A$2:$A$1000,ALGLIB_SSA_XAUUSD!$B$2:$B$1000,"",0)</f>
        <v/>
      </c>
      <c r="C257" t="str">
        <f>_xlfn.XLOOKUP($A257,ALGLIB_SSA_XAUUSD!$A$2:$A$1000,ALGLIB_SSA_XAUUSD!$C$2:$C$1000,"",0)</f>
        <v/>
      </c>
      <c r="D257" s="1">
        <f>D254+(D266-D254)*3/12</f>
        <v>4692.7375000000002</v>
      </c>
      <c r="E257" s="1">
        <f>E254+(E266-E254)*3/12</f>
        <v>4690.7332125000003</v>
      </c>
      <c r="F257" s="1">
        <f>F254+(F266-F254)*3/12</f>
        <v>4686.0672500000001</v>
      </c>
      <c r="G257" s="1">
        <f>G254+(G266-G254)*3/12</f>
        <v>4698.8396874999999</v>
      </c>
      <c r="H257" s="1">
        <f>H254+(H266-H254)*3/12</f>
        <v>4678.1896850000003</v>
      </c>
      <c r="I257" t="str">
        <f>_xlfn.XLOOKUP($A257,ALGLIB_SSA_XAUUSD!$J$2:$J$1000,ALGLIB_SSA_XAUUSD!$K$2:$K$1000,"",0)</f>
        <v>XAUUSD</v>
      </c>
      <c r="J257" t="str">
        <f>_xlfn.XLOOKUP($A257,ALGLIB_SSA_XAUUSD!$J$2:$J$1000,ALGLIB_SSA_XAUUSD!$L$2:$L$1000,"",0)</f>
        <v>M5</v>
      </c>
      <c r="K257">
        <f>_xlfn.XLOOKUP($A257,ALGLIB_SSA_XAUUSD!$J$2:$J$1000,ALGLIB_SSA_XAUUSD!$M$2:$M$1000,"",0)</f>
        <v>4700.28</v>
      </c>
      <c r="L257">
        <f>_xlfn.XLOOKUP($A257,ALGLIB_SSA_XAUUSD!$J$2:$J$1000,ALGLIB_SSA_XAUUSD!$N$2:$N$1000,"",0)</f>
        <v>4701.5826100000004</v>
      </c>
      <c r="M257">
        <f>_xlfn.XLOOKUP($A257,ALGLIB_SSA_XAUUSD!$J$2:$J$1000,ALGLIB_SSA_XAUUSD!$O$2:$O$1000,"",0)</f>
        <v>4700.4743600000002</v>
      </c>
      <c r="N257">
        <f>_xlfn.XLOOKUP($A257,ALGLIB_SSA_XAUUSD!$J$2:$J$1000,ALGLIB_SSA_XAUUSD!$P$2:$P$1000,"",0)</f>
        <v>4703.4660999999996</v>
      </c>
      <c r="O257">
        <f>_xlfn.XLOOKUP($A257,ALGLIB_SSA_XAUUSD!$J$2:$J$1000,ALGLIB_SSA_XAUUSD!$Q$2:$Q$1000,"",0)</f>
        <v>4698.9319500000001</v>
      </c>
      <c r="R257">
        <f t="shared" si="33"/>
        <v>1775466900</v>
      </c>
      <c r="S257" t="str">
        <f t="shared" si="34"/>
        <v>XAUUSD</v>
      </c>
      <c r="T257" t="str">
        <f t="shared" si="35"/>
        <v>M5</v>
      </c>
      <c r="U257">
        <f t="shared" si="36"/>
        <v>4700.28</v>
      </c>
      <c r="V257">
        <v>4690.7332100000003</v>
      </c>
      <c r="W257">
        <v>4686.0672500000001</v>
      </c>
      <c r="X257">
        <v>4701.5826100000004</v>
      </c>
      <c r="Y257">
        <v>4700.4743600000002</v>
      </c>
      <c r="Z257">
        <f t="shared" si="37"/>
        <v>4698.8396874999999</v>
      </c>
      <c r="AA257">
        <f t="shared" si="38"/>
        <v>4703.4660999999996</v>
      </c>
      <c r="AB257">
        <f t="shared" si="39"/>
        <v>4678.1896850000003</v>
      </c>
      <c r="AC257">
        <f t="shared" si="40"/>
        <v>4698.9319500000001</v>
      </c>
      <c r="AF257">
        <f t="shared" si="41"/>
        <v>4701.5826100000004</v>
      </c>
      <c r="AG257">
        <f t="shared" si="42"/>
        <v>4698.8396874999999</v>
      </c>
      <c r="AH257">
        <f t="shared" si="43"/>
        <v>4678.1896850000003</v>
      </c>
    </row>
    <row r="258" spans="1:34" x14ac:dyDescent="0.55000000000000004">
      <c r="A258">
        <f>ALGLIB_SSA_XAUUSD!J258</f>
        <v>1775467200</v>
      </c>
      <c r="B258" t="str">
        <f>_xlfn.XLOOKUP($A258,ALGLIB_SSA_XAUUSD!$A$2:$A$1000,ALGLIB_SSA_XAUUSD!$B$2:$B$1000,"",0)</f>
        <v/>
      </c>
      <c r="C258" t="str">
        <f>_xlfn.XLOOKUP($A258,ALGLIB_SSA_XAUUSD!$A$2:$A$1000,ALGLIB_SSA_XAUUSD!$C$2:$C$1000,"",0)</f>
        <v/>
      </c>
      <c r="D258" s="1">
        <f>D254+(D266-D254)*4/12</f>
        <v>4692.413333333333</v>
      </c>
      <c r="E258" s="1">
        <f>E254+(E266-E254)*4/12</f>
        <v>4690.6798433333333</v>
      </c>
      <c r="F258" s="1">
        <f>F254+(F266-F254)*4/12</f>
        <v>4686.2665666666662</v>
      </c>
      <c r="G258" s="1">
        <f>G254+(G266-G254)*4/12</f>
        <v>4698.9043933333332</v>
      </c>
      <c r="H258" s="1">
        <f>H254+(H266-H254)*4/12</f>
        <v>4678.2024733333337</v>
      </c>
      <c r="I258" t="str">
        <f>_xlfn.XLOOKUP($A258,ALGLIB_SSA_XAUUSD!$J$2:$J$1000,ALGLIB_SSA_XAUUSD!$K$2:$K$1000,"",0)</f>
        <v>XAUUSD</v>
      </c>
      <c r="J258" t="str">
        <f>_xlfn.XLOOKUP($A258,ALGLIB_SSA_XAUUSD!$J$2:$J$1000,ALGLIB_SSA_XAUUSD!$L$2:$L$1000,"",0)</f>
        <v>M5</v>
      </c>
      <c r="K258">
        <f>_xlfn.XLOOKUP($A258,ALGLIB_SSA_XAUUSD!$J$2:$J$1000,ALGLIB_SSA_XAUUSD!$M$2:$M$1000,"",0)</f>
        <v>4701.45</v>
      </c>
      <c r="L258">
        <f>_xlfn.XLOOKUP($A258,ALGLIB_SSA_XAUUSD!$J$2:$J$1000,ALGLIB_SSA_XAUUSD!$N$2:$N$1000,"",0)</f>
        <v>4702.3832499999999</v>
      </c>
      <c r="M258">
        <f>_xlfn.XLOOKUP($A258,ALGLIB_SSA_XAUUSD!$J$2:$J$1000,ALGLIB_SSA_XAUUSD!$O$2:$O$1000,"",0)</f>
        <v>4701.4287999999997</v>
      </c>
      <c r="N258">
        <f>_xlfn.XLOOKUP($A258,ALGLIB_SSA_XAUUSD!$J$2:$J$1000,ALGLIB_SSA_XAUUSD!$P$2:$P$1000,"",0)</f>
        <v>4703.9592899999998</v>
      </c>
      <c r="O258">
        <f>_xlfn.XLOOKUP($A258,ALGLIB_SSA_XAUUSD!$J$2:$J$1000,ALGLIB_SSA_XAUUSD!$Q$2:$Q$1000,"",0)</f>
        <v>4699.8869500000001</v>
      </c>
      <c r="R258">
        <f t="shared" si="33"/>
        <v>1775467200</v>
      </c>
      <c r="S258" t="str">
        <f t="shared" si="34"/>
        <v>XAUUSD</v>
      </c>
      <c r="T258" t="str">
        <f t="shared" si="35"/>
        <v>M5</v>
      </c>
      <c r="U258">
        <f t="shared" si="36"/>
        <v>4701.45</v>
      </c>
      <c r="V258">
        <v>4690.6798399999998</v>
      </c>
      <c r="W258">
        <v>4686.2665699999998</v>
      </c>
      <c r="X258">
        <v>4702.3832499999999</v>
      </c>
      <c r="Y258">
        <v>4701.4287999999997</v>
      </c>
      <c r="Z258">
        <f t="shared" si="37"/>
        <v>4698.9043933333332</v>
      </c>
      <c r="AA258">
        <f t="shared" si="38"/>
        <v>4703.9592899999998</v>
      </c>
      <c r="AB258">
        <f t="shared" si="39"/>
        <v>4678.2024733333337</v>
      </c>
      <c r="AC258">
        <f t="shared" si="40"/>
        <v>4699.8869500000001</v>
      </c>
      <c r="AF258">
        <f t="shared" si="41"/>
        <v>4702.3832499999999</v>
      </c>
      <c r="AG258">
        <f t="shared" si="42"/>
        <v>4698.9043933333332</v>
      </c>
      <c r="AH258">
        <f t="shared" si="43"/>
        <v>4678.2024733333337</v>
      </c>
    </row>
    <row r="259" spans="1:34" x14ac:dyDescent="0.55000000000000004">
      <c r="A259">
        <f>ALGLIB_SSA_XAUUSD!J259</f>
        <v>1775467500</v>
      </c>
      <c r="B259" t="str">
        <f>_xlfn.XLOOKUP($A259,ALGLIB_SSA_XAUUSD!$A$2:$A$1000,ALGLIB_SSA_XAUUSD!$B$2:$B$1000,"",0)</f>
        <v/>
      </c>
      <c r="C259" t="str">
        <f>_xlfn.XLOOKUP($A259,ALGLIB_SSA_XAUUSD!$A$2:$A$1000,ALGLIB_SSA_XAUUSD!$C$2:$C$1000,"",0)</f>
        <v/>
      </c>
      <c r="D259" s="1">
        <f>D254+(D266-D254)*5/12</f>
        <v>4692.0891666666666</v>
      </c>
      <c r="E259" s="1">
        <f>E254+(E266-E254)*5/12</f>
        <v>4690.6264741666664</v>
      </c>
      <c r="F259" s="1">
        <f>F254+(F266-F254)*5/12</f>
        <v>4686.4658833333333</v>
      </c>
      <c r="G259" s="1">
        <f>G254+(G266-G254)*5/12</f>
        <v>4698.9690991666666</v>
      </c>
      <c r="H259" s="1">
        <f>H254+(H266-H254)*5/12</f>
        <v>4678.2152616666672</v>
      </c>
      <c r="I259" t="str">
        <f>_xlfn.XLOOKUP($A259,ALGLIB_SSA_XAUUSD!$J$2:$J$1000,ALGLIB_SSA_XAUUSD!$K$2:$K$1000,"",0)</f>
        <v>XAUUSD</v>
      </c>
      <c r="J259" t="str">
        <f>_xlfn.XLOOKUP($A259,ALGLIB_SSA_XAUUSD!$J$2:$J$1000,ALGLIB_SSA_XAUUSD!$L$2:$L$1000,"",0)</f>
        <v>M5</v>
      </c>
      <c r="K259">
        <f>_xlfn.XLOOKUP($A259,ALGLIB_SSA_XAUUSD!$J$2:$J$1000,ALGLIB_SSA_XAUUSD!$M$2:$M$1000,"",0)</f>
        <v>4702.7</v>
      </c>
      <c r="L259">
        <f>_xlfn.XLOOKUP($A259,ALGLIB_SSA_XAUUSD!$J$2:$J$1000,ALGLIB_SSA_XAUUSD!$N$2:$N$1000,"",0)</f>
        <v>4702.8756899999998</v>
      </c>
      <c r="M259">
        <f>_xlfn.XLOOKUP($A259,ALGLIB_SSA_XAUUSD!$J$2:$J$1000,ALGLIB_SSA_XAUUSD!$O$2:$O$1000,"",0)</f>
        <v>4702.1522500000001</v>
      </c>
      <c r="N259">
        <f>_xlfn.XLOOKUP($A259,ALGLIB_SSA_XAUUSD!$J$2:$J$1000,ALGLIB_SSA_XAUUSD!$P$2:$P$1000,"",0)</f>
        <v>4704.3212599999997</v>
      </c>
      <c r="O259">
        <f>_xlfn.XLOOKUP($A259,ALGLIB_SSA_XAUUSD!$J$2:$J$1000,ALGLIB_SSA_XAUUSD!$Q$2:$Q$1000,"",0)</f>
        <v>4700.5789699999996</v>
      </c>
      <c r="R259">
        <f t="shared" ref="R259:R322" si="44">A259</f>
        <v>1775467500</v>
      </c>
      <c r="S259" t="str">
        <f t="shared" ref="S259:S322" si="45">I259</f>
        <v>XAUUSD</v>
      </c>
      <c r="T259" t="str">
        <f t="shared" ref="T259:T322" si="46">J259</f>
        <v>M5</v>
      </c>
      <c r="U259">
        <f t="shared" ref="U259:U322" si="47">K259</f>
        <v>4702.7</v>
      </c>
      <c r="V259">
        <v>4690.6264700000002</v>
      </c>
      <c r="W259">
        <v>4686.4658799999997</v>
      </c>
      <c r="X259">
        <v>4702.8756899999998</v>
      </c>
      <c r="Y259">
        <v>4702.1522500000001</v>
      </c>
      <c r="Z259">
        <f t="shared" ref="Z259:Z322" si="48">G259</f>
        <v>4698.9690991666666</v>
      </c>
      <c r="AA259">
        <f t="shared" ref="AA259:AA322" si="49">N259</f>
        <v>4704.3212599999997</v>
      </c>
      <c r="AB259">
        <f t="shared" ref="AB259:AB322" si="50">H259</f>
        <v>4678.2152616666672</v>
      </c>
      <c r="AC259">
        <f t="shared" ref="AC259:AC322" si="51">O259</f>
        <v>4700.5789699999996</v>
      </c>
      <c r="AF259">
        <f t="shared" ref="AF259:AF322" si="52">X259</f>
        <v>4702.8756899999998</v>
      </c>
      <c r="AG259">
        <f t="shared" ref="AG259:AG322" si="53">Z259</f>
        <v>4698.9690991666666</v>
      </c>
      <c r="AH259">
        <f t="shared" ref="AH259:AH322" si="54">AB259</f>
        <v>4678.2152616666672</v>
      </c>
    </row>
    <row r="260" spans="1:34" x14ac:dyDescent="0.55000000000000004">
      <c r="A260">
        <f>ALGLIB_SSA_XAUUSD!J260</f>
        <v>1775467800</v>
      </c>
      <c r="B260" t="str">
        <f>_xlfn.XLOOKUP($A260,ALGLIB_SSA_XAUUSD!$A$2:$A$1000,ALGLIB_SSA_XAUUSD!$B$2:$B$1000,"",0)</f>
        <v/>
      </c>
      <c r="C260" t="str">
        <f>_xlfn.XLOOKUP($A260,ALGLIB_SSA_XAUUSD!$A$2:$A$1000,ALGLIB_SSA_XAUUSD!$C$2:$C$1000,"",0)</f>
        <v/>
      </c>
      <c r="D260" s="1">
        <f>D254+(D266-D254)*6/12</f>
        <v>4691.7649999999994</v>
      </c>
      <c r="E260" s="1">
        <f>E254+(E266-E254)*6/12</f>
        <v>4690.5731049999995</v>
      </c>
      <c r="F260" s="1">
        <f>F254+(F266-F254)*6/12</f>
        <v>4686.6651999999995</v>
      </c>
      <c r="G260" s="1">
        <f>G254+(G266-G254)*6/12</f>
        <v>4699.033805</v>
      </c>
      <c r="H260" s="1">
        <f>H254+(H266-H254)*6/12</f>
        <v>4678.2280499999997</v>
      </c>
      <c r="I260" t="str">
        <f>_xlfn.XLOOKUP($A260,ALGLIB_SSA_XAUUSD!$J$2:$J$1000,ALGLIB_SSA_XAUUSD!$K$2:$K$1000,"",0)</f>
        <v>XAUUSD</v>
      </c>
      <c r="J260" t="str">
        <f>_xlfn.XLOOKUP($A260,ALGLIB_SSA_XAUUSD!$J$2:$J$1000,ALGLIB_SSA_XAUUSD!$L$2:$L$1000,"",0)</f>
        <v>M5</v>
      </c>
      <c r="K260">
        <f>_xlfn.XLOOKUP($A260,ALGLIB_SSA_XAUUSD!$J$2:$J$1000,ALGLIB_SSA_XAUUSD!$M$2:$M$1000,"",0)</f>
        <v>4703.76</v>
      </c>
      <c r="L260">
        <f>_xlfn.XLOOKUP($A260,ALGLIB_SSA_XAUUSD!$J$2:$J$1000,ALGLIB_SSA_XAUUSD!$N$2:$N$1000,"",0)</f>
        <v>4702.9218099999998</v>
      </c>
      <c r="M260">
        <f>_xlfn.XLOOKUP($A260,ALGLIB_SSA_XAUUSD!$J$2:$J$1000,ALGLIB_SSA_XAUUSD!$O$2:$O$1000,"",0)</f>
        <v>4702.5370300000004</v>
      </c>
      <c r="N260">
        <f>_xlfn.XLOOKUP($A260,ALGLIB_SSA_XAUUSD!$J$2:$J$1000,ALGLIB_SSA_XAUUSD!$P$2:$P$1000,"",0)</f>
        <v>4704.5103900000004</v>
      </c>
      <c r="O260">
        <f>_xlfn.XLOOKUP($A260,ALGLIB_SSA_XAUUSD!$J$2:$J$1000,ALGLIB_SSA_XAUUSD!$Q$2:$Q$1000,"",0)</f>
        <v>4700.8155699999998</v>
      </c>
      <c r="R260">
        <f t="shared" si="44"/>
        <v>1775467800</v>
      </c>
      <c r="S260" t="str">
        <f t="shared" si="45"/>
        <v>XAUUSD</v>
      </c>
      <c r="T260" t="str">
        <f t="shared" si="46"/>
        <v>M5</v>
      </c>
      <c r="U260">
        <f t="shared" si="47"/>
        <v>4703.76</v>
      </c>
      <c r="V260">
        <v>4690.5730999999996</v>
      </c>
      <c r="W260">
        <v>4686.6652000000004</v>
      </c>
      <c r="X260">
        <v>4702.9218099999998</v>
      </c>
      <c r="Y260">
        <v>4702.5370300000004</v>
      </c>
      <c r="Z260">
        <f t="shared" si="48"/>
        <v>4699.033805</v>
      </c>
      <c r="AA260">
        <f t="shared" si="49"/>
        <v>4704.5103900000004</v>
      </c>
      <c r="AB260">
        <f t="shared" si="50"/>
        <v>4678.2280499999997</v>
      </c>
      <c r="AC260">
        <f t="shared" si="51"/>
        <v>4700.8155699999998</v>
      </c>
      <c r="AF260">
        <f t="shared" si="52"/>
        <v>4702.9218099999998</v>
      </c>
      <c r="AG260">
        <f t="shared" si="53"/>
        <v>4699.033805</v>
      </c>
      <c r="AH260">
        <f t="shared" si="54"/>
        <v>4678.2280499999997</v>
      </c>
    </row>
    <row r="261" spans="1:34" x14ac:dyDescent="0.55000000000000004">
      <c r="A261">
        <f>ALGLIB_SSA_XAUUSD!J261</f>
        <v>1775468100</v>
      </c>
      <c r="B261" t="str">
        <f>_xlfn.XLOOKUP($A261,ALGLIB_SSA_XAUUSD!$A$2:$A$1000,ALGLIB_SSA_XAUUSD!$B$2:$B$1000,"",0)</f>
        <v/>
      </c>
      <c r="C261" t="str">
        <f>_xlfn.XLOOKUP($A261,ALGLIB_SSA_XAUUSD!$A$2:$A$1000,ALGLIB_SSA_XAUUSD!$C$2:$C$1000,"",0)</f>
        <v/>
      </c>
      <c r="D261" s="1">
        <f>D254+(D266-D254)*7/12</f>
        <v>4691.4408333333331</v>
      </c>
      <c r="E261" s="1">
        <f>E254+(E266-E254)*7/12</f>
        <v>4690.5197358333335</v>
      </c>
      <c r="F261" s="1">
        <f>F254+(F266-F254)*7/12</f>
        <v>4686.8645166666665</v>
      </c>
      <c r="G261" s="1">
        <f>G254+(G266-G254)*7/12</f>
        <v>4699.0985108333334</v>
      </c>
      <c r="H261" s="1">
        <f>H254+(H266-H254)*7/12</f>
        <v>4678.2408383333332</v>
      </c>
      <c r="I261" t="str">
        <f>_xlfn.XLOOKUP($A261,ALGLIB_SSA_XAUUSD!$J$2:$J$1000,ALGLIB_SSA_XAUUSD!$K$2:$K$1000,"",0)</f>
        <v>XAUUSD</v>
      </c>
      <c r="J261" t="str">
        <f>_xlfn.XLOOKUP($A261,ALGLIB_SSA_XAUUSD!$J$2:$J$1000,ALGLIB_SSA_XAUUSD!$L$2:$L$1000,"",0)</f>
        <v>M5</v>
      </c>
      <c r="K261">
        <f>_xlfn.XLOOKUP($A261,ALGLIB_SSA_XAUUSD!$J$2:$J$1000,ALGLIB_SSA_XAUUSD!$M$2:$M$1000,"",0)</f>
        <v>4702.76</v>
      </c>
      <c r="L261">
        <f>_xlfn.XLOOKUP($A261,ALGLIB_SSA_XAUUSD!$J$2:$J$1000,ALGLIB_SSA_XAUUSD!$N$2:$N$1000,"",0)</f>
        <v>4702.4012199999997</v>
      </c>
      <c r="M261">
        <f>_xlfn.XLOOKUP($A261,ALGLIB_SSA_XAUUSD!$J$2:$J$1000,ALGLIB_SSA_XAUUSD!$O$2:$O$1000,"",0)</f>
        <v>4702.4691199999997</v>
      </c>
      <c r="N261">
        <f>_xlfn.XLOOKUP($A261,ALGLIB_SSA_XAUUSD!$J$2:$J$1000,ALGLIB_SSA_XAUUSD!$P$2:$P$1000,"",0)</f>
        <v>4704.3961399999998</v>
      </c>
      <c r="O261">
        <f>_xlfn.XLOOKUP($A261,ALGLIB_SSA_XAUUSD!$J$2:$J$1000,ALGLIB_SSA_XAUUSD!$Q$2:$Q$1000,"",0)</f>
        <v>4700.46108</v>
      </c>
      <c r="R261">
        <f t="shared" si="44"/>
        <v>1775468100</v>
      </c>
      <c r="S261" t="str">
        <f t="shared" si="45"/>
        <v>XAUUSD</v>
      </c>
      <c r="T261" t="str">
        <f t="shared" si="46"/>
        <v>M5</v>
      </c>
      <c r="U261">
        <f t="shared" si="47"/>
        <v>4702.76</v>
      </c>
      <c r="V261">
        <v>4690.5197399999997</v>
      </c>
      <c r="W261">
        <v>4686.8645200000001</v>
      </c>
      <c r="X261">
        <v>4702.4012199999997</v>
      </c>
      <c r="Y261">
        <v>4702.4691199999997</v>
      </c>
      <c r="Z261">
        <f t="shared" si="48"/>
        <v>4699.0985108333334</v>
      </c>
      <c r="AA261">
        <f t="shared" si="49"/>
        <v>4704.3961399999998</v>
      </c>
      <c r="AB261">
        <f t="shared" si="50"/>
        <v>4678.2408383333332</v>
      </c>
      <c r="AC261">
        <f t="shared" si="51"/>
        <v>4700.46108</v>
      </c>
      <c r="AF261">
        <f t="shared" si="52"/>
        <v>4702.4012199999997</v>
      </c>
      <c r="AG261">
        <f t="shared" si="53"/>
        <v>4699.0985108333334</v>
      </c>
      <c r="AH261">
        <f t="shared" si="54"/>
        <v>4678.2408383333332</v>
      </c>
    </row>
    <row r="262" spans="1:34" x14ac:dyDescent="0.55000000000000004">
      <c r="A262">
        <f>ALGLIB_SSA_XAUUSD!J262</f>
        <v>1775468400</v>
      </c>
      <c r="B262" t="str">
        <f>_xlfn.XLOOKUP($A262,ALGLIB_SSA_XAUUSD!$A$2:$A$1000,ALGLIB_SSA_XAUUSD!$B$2:$B$1000,"",0)</f>
        <v/>
      </c>
      <c r="C262" t="str">
        <f>_xlfn.XLOOKUP($A262,ALGLIB_SSA_XAUUSD!$A$2:$A$1000,ALGLIB_SSA_XAUUSD!$C$2:$C$1000,"",0)</f>
        <v/>
      </c>
      <c r="D262" s="1">
        <f>D254+(D266-D254)*8/12</f>
        <v>4691.1166666666668</v>
      </c>
      <c r="E262" s="1">
        <f>E254+(E266-E254)*8/12</f>
        <v>4690.4663666666665</v>
      </c>
      <c r="F262" s="1">
        <f>F254+(F266-F254)*8/12</f>
        <v>4687.0638333333336</v>
      </c>
      <c r="G262" s="1">
        <f>G254+(G266-G254)*8/12</f>
        <v>4699.1632166666668</v>
      </c>
      <c r="H262" s="1">
        <f>H254+(H266-H254)*8/12</f>
        <v>4678.2536266666666</v>
      </c>
      <c r="I262" t="str">
        <f>_xlfn.XLOOKUP($A262,ALGLIB_SSA_XAUUSD!$J$2:$J$1000,ALGLIB_SSA_XAUUSD!$K$2:$K$1000,"",0)</f>
        <v>XAUUSD</v>
      </c>
      <c r="J262" t="str">
        <f>_xlfn.XLOOKUP($A262,ALGLIB_SSA_XAUUSD!$J$2:$J$1000,ALGLIB_SSA_XAUUSD!$L$2:$L$1000,"",0)</f>
        <v>M5</v>
      </c>
      <c r="K262">
        <f>_xlfn.XLOOKUP($A262,ALGLIB_SSA_XAUUSD!$J$2:$J$1000,ALGLIB_SSA_XAUUSD!$M$2:$M$1000,"",0)</f>
        <v>4703.45</v>
      </c>
      <c r="L262">
        <f>_xlfn.XLOOKUP($A262,ALGLIB_SSA_XAUUSD!$J$2:$J$1000,ALGLIB_SSA_XAUUSD!$N$2:$N$1000,"",0)</f>
        <v>4701.2940399999998</v>
      </c>
      <c r="M262">
        <f>_xlfn.XLOOKUP($A262,ALGLIB_SSA_XAUUSD!$J$2:$J$1000,ALGLIB_SSA_XAUUSD!$O$2:$O$1000,"",0)</f>
        <v>4701.8815800000002</v>
      </c>
      <c r="N262">
        <f>_xlfn.XLOOKUP($A262,ALGLIB_SSA_XAUUSD!$J$2:$J$1000,ALGLIB_SSA_XAUUSD!$P$2:$P$1000,"",0)</f>
        <v>4703.8823700000003</v>
      </c>
      <c r="O262">
        <f>_xlfn.XLOOKUP($A262,ALGLIB_SSA_XAUUSD!$J$2:$J$1000,ALGLIB_SSA_XAUUSD!$Q$2:$Q$1000,"",0)</f>
        <v>4699.4340199999997</v>
      </c>
      <c r="R262">
        <f t="shared" si="44"/>
        <v>1775468400</v>
      </c>
      <c r="S262" t="str">
        <f t="shared" si="45"/>
        <v>XAUUSD</v>
      </c>
      <c r="T262" t="str">
        <f t="shared" si="46"/>
        <v>M5</v>
      </c>
      <c r="U262">
        <f t="shared" si="47"/>
        <v>4703.45</v>
      </c>
      <c r="V262">
        <v>4690.4663700000001</v>
      </c>
      <c r="W262">
        <v>4687.0638300000001</v>
      </c>
      <c r="X262">
        <v>4701.2940399999998</v>
      </c>
      <c r="Y262">
        <v>4701.8815800000002</v>
      </c>
      <c r="Z262">
        <f t="shared" si="48"/>
        <v>4699.1632166666668</v>
      </c>
      <c r="AA262">
        <f t="shared" si="49"/>
        <v>4703.8823700000003</v>
      </c>
      <c r="AB262">
        <f t="shared" si="50"/>
        <v>4678.2536266666666</v>
      </c>
      <c r="AC262">
        <f t="shared" si="51"/>
        <v>4699.4340199999997</v>
      </c>
      <c r="AF262">
        <f t="shared" si="52"/>
        <v>4701.2940399999998</v>
      </c>
      <c r="AG262">
        <f t="shared" si="53"/>
        <v>4699.1632166666668</v>
      </c>
      <c r="AH262">
        <f t="shared" si="54"/>
        <v>4678.2536266666666</v>
      </c>
    </row>
    <row r="263" spans="1:34" x14ac:dyDescent="0.55000000000000004">
      <c r="A263">
        <f>ALGLIB_SSA_XAUUSD!J263</f>
        <v>1775468700</v>
      </c>
      <c r="B263" t="str">
        <f>_xlfn.XLOOKUP($A263,ALGLIB_SSA_XAUUSD!$A$2:$A$1000,ALGLIB_SSA_XAUUSD!$B$2:$B$1000,"",0)</f>
        <v/>
      </c>
      <c r="C263" t="str">
        <f>_xlfn.XLOOKUP($A263,ALGLIB_SSA_XAUUSD!$A$2:$A$1000,ALGLIB_SSA_XAUUSD!$C$2:$C$1000,"",0)</f>
        <v/>
      </c>
      <c r="D263" s="1">
        <f>D254+(D266-D254)*9/12</f>
        <v>4690.7924999999996</v>
      </c>
      <c r="E263" s="1">
        <f>E254+(E266-E254)*9/12</f>
        <v>4690.4129974999996</v>
      </c>
      <c r="F263" s="1">
        <f>F254+(F266-F254)*9/12</f>
        <v>4687.2631499999998</v>
      </c>
      <c r="G263" s="1">
        <f>G254+(G266-G254)*9/12</f>
        <v>4699.2279225000002</v>
      </c>
      <c r="H263" s="1">
        <f>H254+(H266-H254)*9/12</f>
        <v>4678.2664150000001</v>
      </c>
      <c r="I263" t="str">
        <f>_xlfn.XLOOKUP($A263,ALGLIB_SSA_XAUUSD!$J$2:$J$1000,ALGLIB_SSA_XAUUSD!$K$2:$K$1000,"",0)</f>
        <v>XAUUSD</v>
      </c>
      <c r="J263" t="str">
        <f>_xlfn.XLOOKUP($A263,ALGLIB_SSA_XAUUSD!$J$2:$J$1000,ALGLIB_SSA_XAUUSD!$L$2:$L$1000,"",0)</f>
        <v>M5</v>
      </c>
      <c r="K263">
        <f>_xlfn.XLOOKUP($A263,ALGLIB_SSA_XAUUSD!$J$2:$J$1000,ALGLIB_SSA_XAUUSD!$M$2:$M$1000,"",0)</f>
        <v>4700.6400000000003</v>
      </c>
      <c r="L263">
        <f>_xlfn.XLOOKUP($A263,ALGLIB_SSA_XAUUSD!$J$2:$J$1000,ALGLIB_SSA_XAUUSD!$N$2:$N$1000,"",0)</f>
        <v>4699.6202300000004</v>
      </c>
      <c r="M263">
        <f>_xlfn.XLOOKUP($A263,ALGLIB_SSA_XAUUSD!$J$2:$J$1000,ALGLIB_SSA_XAUUSD!$O$2:$O$1000,"",0)</f>
        <v>4700.7509099999997</v>
      </c>
      <c r="N263">
        <f>_xlfn.XLOOKUP($A263,ALGLIB_SSA_XAUUSD!$J$2:$J$1000,ALGLIB_SSA_XAUUSD!$P$2:$P$1000,"",0)</f>
        <v>4702.8536800000002</v>
      </c>
      <c r="O263">
        <f>_xlfn.XLOOKUP($A263,ALGLIB_SSA_XAUUSD!$J$2:$J$1000,ALGLIB_SSA_XAUUSD!$Q$2:$Q$1000,"",0)</f>
        <v>4697.7693900000004</v>
      </c>
      <c r="R263">
        <f t="shared" si="44"/>
        <v>1775468700</v>
      </c>
      <c r="S263" t="str">
        <f t="shared" si="45"/>
        <v>XAUUSD</v>
      </c>
      <c r="T263" t="str">
        <f t="shared" si="46"/>
        <v>M5</v>
      </c>
      <c r="U263">
        <f t="shared" si="47"/>
        <v>4700.6400000000003</v>
      </c>
      <c r="V263">
        <v>4690.4129999999996</v>
      </c>
      <c r="W263">
        <v>4687.2631499999998</v>
      </c>
      <c r="X263">
        <v>4699.6202300000004</v>
      </c>
      <c r="Y263">
        <v>4700.7509099999997</v>
      </c>
      <c r="Z263">
        <f t="shared" si="48"/>
        <v>4699.2279225000002</v>
      </c>
      <c r="AA263">
        <f t="shared" si="49"/>
        <v>4702.8536800000002</v>
      </c>
      <c r="AB263">
        <f t="shared" si="50"/>
        <v>4678.2664150000001</v>
      </c>
      <c r="AC263">
        <f t="shared" si="51"/>
        <v>4697.7693900000004</v>
      </c>
      <c r="AF263">
        <f t="shared" si="52"/>
        <v>4699.6202300000004</v>
      </c>
      <c r="AG263">
        <f t="shared" si="53"/>
        <v>4699.2279225000002</v>
      </c>
      <c r="AH263">
        <f t="shared" si="54"/>
        <v>4678.2664150000001</v>
      </c>
    </row>
    <row r="264" spans="1:34" x14ac:dyDescent="0.55000000000000004">
      <c r="A264">
        <f>ALGLIB_SSA_XAUUSD!J264</f>
        <v>1775469000</v>
      </c>
      <c r="B264" t="str">
        <f>_xlfn.XLOOKUP($A264,ALGLIB_SSA_XAUUSD!$A$2:$A$1000,ALGLIB_SSA_XAUUSD!$B$2:$B$1000,"",0)</f>
        <v/>
      </c>
      <c r="C264" t="str">
        <f>_xlfn.XLOOKUP($A264,ALGLIB_SSA_XAUUSD!$A$2:$A$1000,ALGLIB_SSA_XAUUSD!$C$2:$C$1000,"",0)</f>
        <v/>
      </c>
      <c r="D264" s="1">
        <f>D254+(D266-D254)*10/12</f>
        <v>4690.4683333333332</v>
      </c>
      <c r="E264" s="1">
        <f>E254+(E266-E254)*10/12</f>
        <v>4690.3596283333336</v>
      </c>
      <c r="F264" s="1">
        <f>F254+(F266-F254)*10/12</f>
        <v>4687.4624666666668</v>
      </c>
      <c r="G264" s="1">
        <f>G254+(G266-G254)*10/12</f>
        <v>4699.2926283333336</v>
      </c>
      <c r="H264" s="1">
        <f>H254+(H266-H254)*10/12</f>
        <v>4678.2792033333335</v>
      </c>
      <c r="I264" t="str">
        <f>_xlfn.XLOOKUP($A264,ALGLIB_SSA_XAUUSD!$J$2:$J$1000,ALGLIB_SSA_XAUUSD!$K$2:$K$1000,"",0)</f>
        <v>XAUUSD</v>
      </c>
      <c r="J264" t="str">
        <f>_xlfn.XLOOKUP($A264,ALGLIB_SSA_XAUUSD!$J$2:$J$1000,ALGLIB_SSA_XAUUSD!$L$2:$L$1000,"",0)</f>
        <v>M5</v>
      </c>
      <c r="K264">
        <f>_xlfn.XLOOKUP($A264,ALGLIB_SSA_XAUUSD!$J$2:$J$1000,ALGLIB_SSA_XAUUSD!$M$2:$M$1000,"",0)</f>
        <v>4693.8100000000004</v>
      </c>
      <c r="L264">
        <f>_xlfn.XLOOKUP($A264,ALGLIB_SSA_XAUUSD!$J$2:$J$1000,ALGLIB_SSA_XAUUSD!$N$2:$N$1000,"",0)</f>
        <v>4697.5598900000005</v>
      </c>
      <c r="M264">
        <f>_xlfn.XLOOKUP($A264,ALGLIB_SSA_XAUUSD!$J$2:$J$1000,ALGLIB_SSA_XAUUSD!$O$2:$O$1000,"",0)</f>
        <v>4699.1553999999996</v>
      </c>
      <c r="N264">
        <f>_xlfn.XLOOKUP($A264,ALGLIB_SSA_XAUUSD!$J$2:$J$1000,ALGLIB_SSA_XAUUSD!$P$2:$P$1000,"",0)</f>
        <v>4701.3393299999998</v>
      </c>
      <c r="O264">
        <f>_xlfn.XLOOKUP($A264,ALGLIB_SSA_XAUUSD!$J$2:$J$1000,ALGLIB_SSA_XAUUSD!$Q$2:$Q$1000,"",0)</f>
        <v>4695.6418400000002</v>
      </c>
      <c r="R264">
        <f t="shared" si="44"/>
        <v>1775469000</v>
      </c>
      <c r="S264" t="str">
        <f t="shared" si="45"/>
        <v>XAUUSD</v>
      </c>
      <c r="T264" t="str">
        <f t="shared" si="46"/>
        <v>M5</v>
      </c>
      <c r="U264">
        <f t="shared" si="47"/>
        <v>4693.8100000000004</v>
      </c>
      <c r="V264">
        <v>4690.3596299999999</v>
      </c>
      <c r="W264">
        <v>4687.4624700000004</v>
      </c>
      <c r="X264">
        <v>4697.5598900000005</v>
      </c>
      <c r="Y264">
        <v>4699.1553999999996</v>
      </c>
      <c r="Z264">
        <f t="shared" si="48"/>
        <v>4699.2926283333336</v>
      </c>
      <c r="AA264">
        <f t="shared" si="49"/>
        <v>4701.3393299999998</v>
      </c>
      <c r="AB264">
        <f t="shared" si="50"/>
        <v>4678.2792033333335</v>
      </c>
      <c r="AC264">
        <f t="shared" si="51"/>
        <v>4695.6418400000002</v>
      </c>
      <c r="AF264">
        <f t="shared" si="52"/>
        <v>4697.5598900000005</v>
      </c>
      <c r="AG264">
        <f t="shared" si="53"/>
        <v>4699.2926283333336</v>
      </c>
      <c r="AH264">
        <f t="shared" si="54"/>
        <v>4678.2792033333335</v>
      </c>
    </row>
    <row r="265" spans="1:34" x14ac:dyDescent="0.55000000000000004">
      <c r="A265">
        <f>ALGLIB_SSA_XAUUSD!J265</f>
        <v>1775469300</v>
      </c>
      <c r="B265" t="str">
        <f>_xlfn.XLOOKUP($A265,ALGLIB_SSA_XAUUSD!$A$2:$A$1000,ALGLIB_SSA_XAUUSD!$B$2:$B$1000,"",0)</f>
        <v/>
      </c>
      <c r="C265" t="str">
        <f>_xlfn.XLOOKUP($A265,ALGLIB_SSA_XAUUSD!$A$2:$A$1000,ALGLIB_SSA_XAUUSD!$C$2:$C$1000,"",0)</f>
        <v/>
      </c>
      <c r="D265" s="1">
        <f>D254+(D266-D254)*11/12</f>
        <v>4690.144166666666</v>
      </c>
      <c r="E265" s="1">
        <f>E254+(E266-E254)*11/12</f>
        <v>4690.3062591666667</v>
      </c>
      <c r="F265" s="1">
        <f>F254+(F266-F254)*11/12</f>
        <v>4687.661783333333</v>
      </c>
      <c r="G265" s="1">
        <f>G254+(G266-G254)*11/12</f>
        <v>4699.357334166667</v>
      </c>
      <c r="H265" s="1">
        <f>H254+(H266-H254)*11/12</f>
        <v>4678.2919916666669</v>
      </c>
      <c r="I265" t="str">
        <f>_xlfn.XLOOKUP($A265,ALGLIB_SSA_XAUUSD!$J$2:$J$1000,ALGLIB_SSA_XAUUSD!$K$2:$K$1000,"",0)</f>
        <v>XAUUSD</v>
      </c>
      <c r="J265" t="str">
        <f>_xlfn.XLOOKUP($A265,ALGLIB_SSA_XAUUSD!$J$2:$J$1000,ALGLIB_SSA_XAUUSD!$L$2:$L$1000,"",0)</f>
        <v>M5</v>
      </c>
      <c r="K265">
        <f>_xlfn.XLOOKUP($A265,ALGLIB_SSA_XAUUSD!$J$2:$J$1000,ALGLIB_SSA_XAUUSD!$M$2:$M$1000,"",0)</f>
        <v>4693.71</v>
      </c>
      <c r="L265">
        <f>_xlfn.XLOOKUP($A265,ALGLIB_SSA_XAUUSD!$J$2:$J$1000,ALGLIB_SSA_XAUUSD!$N$2:$N$1000,"",0)</f>
        <v>4695.4690799999998</v>
      </c>
      <c r="M265">
        <f>_xlfn.XLOOKUP($A265,ALGLIB_SSA_XAUUSD!$J$2:$J$1000,ALGLIB_SSA_XAUUSD!$O$2:$O$1000,"",0)</f>
        <v>4697.3122400000002</v>
      </c>
      <c r="N265">
        <f>_xlfn.XLOOKUP($A265,ALGLIB_SSA_XAUUSD!$J$2:$J$1000,ALGLIB_SSA_XAUUSD!$P$2:$P$1000,"",0)</f>
        <v>4699.5245100000002</v>
      </c>
      <c r="O265">
        <f>_xlfn.XLOOKUP($A265,ALGLIB_SSA_XAUUSD!$J$2:$J$1000,ALGLIB_SSA_XAUUSD!$Q$2:$Q$1000,"",0)</f>
        <v>4693.4555499999997</v>
      </c>
      <c r="R265">
        <f t="shared" si="44"/>
        <v>1775469300</v>
      </c>
      <c r="S265" t="str">
        <f t="shared" si="45"/>
        <v>XAUUSD</v>
      </c>
      <c r="T265" t="str">
        <f t="shared" si="46"/>
        <v>M5</v>
      </c>
      <c r="U265">
        <f t="shared" si="47"/>
        <v>4693.71</v>
      </c>
      <c r="V265">
        <v>4690.3062600000003</v>
      </c>
      <c r="W265">
        <v>4687.6617800000004</v>
      </c>
      <c r="X265">
        <v>4695.4690799999998</v>
      </c>
      <c r="Y265">
        <v>4697.3122400000002</v>
      </c>
      <c r="Z265">
        <f t="shared" si="48"/>
        <v>4699.357334166667</v>
      </c>
      <c r="AA265">
        <f t="shared" si="49"/>
        <v>4699.5245100000002</v>
      </c>
      <c r="AB265">
        <f t="shared" si="50"/>
        <v>4678.2919916666669</v>
      </c>
      <c r="AC265">
        <f t="shared" si="51"/>
        <v>4693.4555499999997</v>
      </c>
      <c r="AF265">
        <f t="shared" si="52"/>
        <v>4695.4690799999998</v>
      </c>
      <c r="AG265">
        <f t="shared" si="53"/>
        <v>4699.357334166667</v>
      </c>
      <c r="AH265">
        <f t="shared" si="54"/>
        <v>4678.2919916666669</v>
      </c>
    </row>
    <row r="266" spans="1:34" x14ac:dyDescent="0.55000000000000004">
      <c r="A266">
        <f>ALGLIB_SSA_XAUUSD!J266</f>
        <v>1775469600</v>
      </c>
      <c r="B266" t="str">
        <f>_xlfn.XLOOKUP($A266,ALGLIB_SSA_XAUUSD!$A$2:$A$1000,ALGLIB_SSA_XAUUSD!$B$2:$B$1000,"",0)</f>
        <v>XAUUSD</v>
      </c>
      <c r="C266" t="str">
        <f>_xlfn.XLOOKUP($A266,ALGLIB_SSA_XAUUSD!$A$2:$A$1000,ALGLIB_SSA_XAUUSD!$C$2:$C$1000,"",0)</f>
        <v>H1</v>
      </c>
      <c r="D266" s="2">
        <f>_xlfn.XLOOKUP($A266,ALGLIB_SSA_XAUUSD!$A$2:$A$1000,ALGLIB_SSA_XAUUSD!$D$2:$D$1000,"",0)</f>
        <v>4689.82</v>
      </c>
      <c r="E266" s="2">
        <f>_xlfn.XLOOKUP($A266,ALGLIB_SSA_XAUUSD!$A$2:$A$1000,ALGLIB_SSA_XAUUSD!$E$2:$E$1000,"",0)</f>
        <v>4690.2528899999998</v>
      </c>
      <c r="F266" s="2">
        <f>_xlfn.XLOOKUP($A266,ALGLIB_SSA_XAUUSD!$A$2:$A$1000,ALGLIB_SSA_XAUUSD!$F$2:$F$1000,"",0)</f>
        <v>4687.8611000000001</v>
      </c>
      <c r="G266" s="2">
        <f>_xlfn.XLOOKUP($A266,ALGLIB_SSA_XAUUSD!$A$2:$A$1000,ALGLIB_SSA_XAUUSD!$G$2:$G$1000,"",0)</f>
        <v>4699.4220400000004</v>
      </c>
      <c r="H266" s="2">
        <f>_xlfn.XLOOKUP($A266,ALGLIB_SSA_XAUUSD!$A$2:$A$1000,ALGLIB_SSA_XAUUSD!$H$2:$H$1000,"",0)</f>
        <v>4678.3047800000004</v>
      </c>
      <c r="I266" t="str">
        <f>_xlfn.XLOOKUP($A266,ALGLIB_SSA_XAUUSD!$J$2:$J$1000,ALGLIB_SSA_XAUUSD!$K$2:$K$1000,"",0)</f>
        <v>XAUUSD</v>
      </c>
      <c r="J266" t="str">
        <f>_xlfn.XLOOKUP($A266,ALGLIB_SSA_XAUUSD!$J$2:$J$1000,ALGLIB_SSA_XAUUSD!$L$2:$L$1000,"",0)</f>
        <v>M5</v>
      </c>
      <c r="K266">
        <f>_xlfn.XLOOKUP($A266,ALGLIB_SSA_XAUUSD!$J$2:$J$1000,ALGLIB_SSA_XAUUSD!$M$2:$M$1000,"",0)</f>
        <v>4697.55</v>
      </c>
      <c r="L266">
        <f>_xlfn.XLOOKUP($A266,ALGLIB_SSA_XAUUSD!$J$2:$J$1000,ALGLIB_SSA_XAUUSD!$N$2:$N$1000,"",0)</f>
        <v>4693.5226499999999</v>
      </c>
      <c r="M266">
        <f>_xlfn.XLOOKUP($A266,ALGLIB_SSA_XAUUSD!$J$2:$J$1000,ALGLIB_SSA_XAUUSD!$O$2:$O$1000,"",0)</f>
        <v>4695.4174400000002</v>
      </c>
      <c r="N266">
        <f>_xlfn.XLOOKUP($A266,ALGLIB_SSA_XAUUSD!$J$2:$J$1000,ALGLIB_SSA_XAUUSD!$P$2:$P$1000,"",0)</f>
        <v>4697.6794399999999</v>
      </c>
      <c r="O266">
        <f>_xlfn.XLOOKUP($A266,ALGLIB_SSA_XAUUSD!$J$2:$J$1000,ALGLIB_SSA_XAUUSD!$Q$2:$Q$1000,"",0)</f>
        <v>4691.4215000000004</v>
      </c>
      <c r="R266">
        <f t="shared" si="44"/>
        <v>1775469600</v>
      </c>
      <c r="S266" t="str">
        <f t="shared" si="45"/>
        <v>XAUUSD</v>
      </c>
      <c r="T266" t="str">
        <f t="shared" si="46"/>
        <v>M5</v>
      </c>
      <c r="U266">
        <f t="shared" si="47"/>
        <v>4697.55</v>
      </c>
      <c r="V266">
        <v>4690.2528899999998</v>
      </c>
      <c r="W266">
        <v>4687.8611000000001</v>
      </c>
      <c r="X266">
        <v>4693.5226499999999</v>
      </c>
      <c r="Y266">
        <v>4695.4174400000002</v>
      </c>
      <c r="Z266">
        <f t="shared" si="48"/>
        <v>4699.4220400000004</v>
      </c>
      <c r="AA266">
        <f t="shared" si="49"/>
        <v>4697.6794399999999</v>
      </c>
      <c r="AB266">
        <f t="shared" si="50"/>
        <v>4678.3047800000004</v>
      </c>
      <c r="AC266">
        <f t="shared" si="51"/>
        <v>4691.4215000000004</v>
      </c>
      <c r="AF266">
        <f t="shared" si="52"/>
        <v>4693.5226499999999</v>
      </c>
      <c r="AG266">
        <f t="shared" si="53"/>
        <v>4699.4220400000004</v>
      </c>
      <c r="AH266">
        <f t="shared" si="54"/>
        <v>4678.3047800000004</v>
      </c>
    </row>
    <row r="267" spans="1:34" x14ac:dyDescent="0.55000000000000004">
      <c r="A267">
        <f>ALGLIB_SSA_XAUUSD!J267</f>
        <v>1775469900</v>
      </c>
      <c r="B267" t="str">
        <f>_xlfn.XLOOKUP($A267,ALGLIB_SSA_XAUUSD!$A$2:$A$1000,ALGLIB_SSA_XAUUSD!$B$2:$B$1000,"",0)</f>
        <v/>
      </c>
      <c r="C267" t="str">
        <f>_xlfn.XLOOKUP($A267,ALGLIB_SSA_XAUUSD!$A$2:$A$1000,ALGLIB_SSA_XAUUSD!$C$2:$C$1000,"",0)</f>
        <v/>
      </c>
      <c r="D267" s="1">
        <f>D266+(D278-D266)*1/12</f>
        <v>4688.8424999999997</v>
      </c>
      <c r="E267" s="1">
        <f>E266+(E278-E266)*1/12</f>
        <v>4689.9717841666661</v>
      </c>
      <c r="F267" s="1">
        <f>F266+(F278-F266)*1/12</f>
        <v>4687.820205</v>
      </c>
      <c r="G267" s="1">
        <f>G266+(G278-G266)*1/12</f>
        <v>4699.26865</v>
      </c>
      <c r="H267" s="1">
        <f>H266+(H278-H266)*1/12</f>
        <v>4678.0197191666666</v>
      </c>
      <c r="I267" t="str">
        <f>_xlfn.XLOOKUP($A267,ALGLIB_SSA_XAUUSD!$J$2:$J$1000,ALGLIB_SSA_XAUUSD!$K$2:$K$1000,"",0)</f>
        <v>XAUUSD</v>
      </c>
      <c r="J267" t="str">
        <f>_xlfn.XLOOKUP($A267,ALGLIB_SSA_XAUUSD!$J$2:$J$1000,ALGLIB_SSA_XAUUSD!$L$2:$L$1000,"",0)</f>
        <v>M5</v>
      </c>
      <c r="K267">
        <f>_xlfn.XLOOKUP($A267,ALGLIB_SSA_XAUUSD!$J$2:$J$1000,ALGLIB_SSA_XAUUSD!$M$2:$M$1000,"",0)</f>
        <v>4693.43</v>
      </c>
      <c r="L267">
        <f>_xlfn.XLOOKUP($A267,ALGLIB_SSA_XAUUSD!$J$2:$J$1000,ALGLIB_SSA_XAUUSD!$N$2:$N$1000,"",0)</f>
        <v>4691.77819</v>
      </c>
      <c r="M267">
        <f>_xlfn.XLOOKUP($A267,ALGLIB_SSA_XAUUSD!$J$2:$J$1000,ALGLIB_SSA_XAUUSD!$O$2:$O$1000,"",0)</f>
        <v>4693.59782</v>
      </c>
      <c r="N267">
        <f>_xlfn.XLOOKUP($A267,ALGLIB_SSA_XAUUSD!$J$2:$J$1000,ALGLIB_SSA_XAUUSD!$P$2:$P$1000,"",0)</f>
        <v>4695.8874900000001</v>
      </c>
      <c r="O267">
        <f>_xlfn.XLOOKUP($A267,ALGLIB_SSA_XAUUSD!$J$2:$J$1000,ALGLIB_SSA_XAUUSD!$Q$2:$Q$1000,"",0)</f>
        <v>4689.6421600000003</v>
      </c>
      <c r="R267">
        <f t="shared" si="44"/>
        <v>1775469900</v>
      </c>
      <c r="S267" t="str">
        <f t="shared" si="45"/>
        <v>XAUUSD</v>
      </c>
      <c r="T267" t="str">
        <f t="shared" si="46"/>
        <v>M5</v>
      </c>
      <c r="U267">
        <f t="shared" si="47"/>
        <v>4693.43</v>
      </c>
      <c r="V267">
        <v>4689.9717799999999</v>
      </c>
      <c r="W267">
        <v>4687.8202099999999</v>
      </c>
      <c r="X267">
        <v>4691.77819</v>
      </c>
      <c r="Y267">
        <v>4693.59782</v>
      </c>
      <c r="Z267">
        <f t="shared" si="48"/>
        <v>4699.26865</v>
      </c>
      <c r="AA267">
        <f t="shared" si="49"/>
        <v>4695.8874900000001</v>
      </c>
      <c r="AB267">
        <f t="shared" si="50"/>
        <v>4678.0197191666666</v>
      </c>
      <c r="AC267">
        <f t="shared" si="51"/>
        <v>4689.6421600000003</v>
      </c>
      <c r="AF267">
        <f t="shared" si="52"/>
        <v>4691.77819</v>
      </c>
      <c r="AG267">
        <f t="shared" si="53"/>
        <v>4699.26865</v>
      </c>
      <c r="AH267">
        <f t="shared" si="54"/>
        <v>4678.0197191666666</v>
      </c>
    </row>
    <row r="268" spans="1:34" x14ac:dyDescent="0.55000000000000004">
      <c r="A268">
        <f>ALGLIB_SSA_XAUUSD!J268</f>
        <v>1775470200</v>
      </c>
      <c r="B268" t="str">
        <f>_xlfn.XLOOKUP($A268,ALGLIB_SSA_XAUUSD!$A$2:$A$1000,ALGLIB_SSA_XAUUSD!$B$2:$B$1000,"",0)</f>
        <v/>
      </c>
      <c r="C268" t="str">
        <f>_xlfn.XLOOKUP($A268,ALGLIB_SSA_XAUUSD!$A$2:$A$1000,ALGLIB_SSA_XAUUSD!$C$2:$C$1000,"",0)</f>
        <v/>
      </c>
      <c r="D268" s="1">
        <f>D266+(D278-D266)*2/12</f>
        <v>4687.8649999999998</v>
      </c>
      <c r="E268" s="1">
        <f>E266+(E278-E266)*2/12</f>
        <v>4689.6906783333334</v>
      </c>
      <c r="F268" s="1">
        <f>F266+(F278-F266)*2/12</f>
        <v>4687.7793099999999</v>
      </c>
      <c r="G268" s="1">
        <f>G266+(G278-G266)*2/12</f>
        <v>4699.1152600000005</v>
      </c>
      <c r="H268" s="1">
        <f>H266+(H278-H266)*2/12</f>
        <v>4677.7346583333338</v>
      </c>
      <c r="I268" t="str">
        <f>_xlfn.XLOOKUP($A268,ALGLIB_SSA_XAUUSD!$J$2:$J$1000,ALGLIB_SSA_XAUUSD!$K$2:$K$1000,"",0)</f>
        <v>XAUUSD</v>
      </c>
      <c r="J268" t="str">
        <f>_xlfn.XLOOKUP($A268,ALGLIB_SSA_XAUUSD!$J$2:$J$1000,ALGLIB_SSA_XAUUSD!$L$2:$L$1000,"",0)</f>
        <v>M5</v>
      </c>
      <c r="K268">
        <f>_xlfn.XLOOKUP($A268,ALGLIB_SSA_XAUUSD!$J$2:$J$1000,ALGLIB_SSA_XAUUSD!$M$2:$M$1000,"",0)</f>
        <v>4686.83</v>
      </c>
      <c r="L268">
        <f>_xlfn.XLOOKUP($A268,ALGLIB_SSA_XAUUSD!$J$2:$J$1000,ALGLIB_SSA_XAUUSD!$N$2:$N$1000,"",0)</f>
        <v>4690.4735499999997</v>
      </c>
      <c r="M268">
        <f>_xlfn.XLOOKUP($A268,ALGLIB_SSA_XAUUSD!$J$2:$J$1000,ALGLIB_SSA_XAUUSD!$O$2:$O$1000,"",0)</f>
        <v>4692.03568</v>
      </c>
      <c r="N268">
        <f>_xlfn.XLOOKUP($A268,ALGLIB_SSA_XAUUSD!$J$2:$J$1000,ALGLIB_SSA_XAUUSD!$P$2:$P$1000,"",0)</f>
        <v>4694.3056699999997</v>
      </c>
      <c r="O268">
        <f>_xlfn.XLOOKUP($A268,ALGLIB_SSA_XAUUSD!$J$2:$J$1000,ALGLIB_SSA_XAUUSD!$Q$2:$Q$1000,"",0)</f>
        <v>4688.2656800000004</v>
      </c>
      <c r="R268">
        <f t="shared" si="44"/>
        <v>1775470200</v>
      </c>
      <c r="S268" t="str">
        <f t="shared" si="45"/>
        <v>XAUUSD</v>
      </c>
      <c r="T268" t="str">
        <f t="shared" si="46"/>
        <v>M5</v>
      </c>
      <c r="U268">
        <f t="shared" si="47"/>
        <v>4686.83</v>
      </c>
      <c r="V268">
        <v>4689.6906799999997</v>
      </c>
      <c r="W268">
        <v>4687.7793099999999</v>
      </c>
      <c r="X268">
        <v>4690.4735499999997</v>
      </c>
      <c r="Y268">
        <v>4692.03568</v>
      </c>
      <c r="Z268">
        <f t="shared" si="48"/>
        <v>4699.1152600000005</v>
      </c>
      <c r="AA268">
        <f t="shared" si="49"/>
        <v>4694.3056699999997</v>
      </c>
      <c r="AB268">
        <f t="shared" si="50"/>
        <v>4677.7346583333338</v>
      </c>
      <c r="AC268">
        <f t="shared" si="51"/>
        <v>4688.2656800000004</v>
      </c>
      <c r="AF268">
        <f t="shared" si="52"/>
        <v>4690.4735499999997</v>
      </c>
      <c r="AG268">
        <f t="shared" si="53"/>
        <v>4699.1152600000005</v>
      </c>
      <c r="AH268">
        <f t="shared" si="54"/>
        <v>4677.7346583333338</v>
      </c>
    </row>
    <row r="269" spans="1:34" x14ac:dyDescent="0.55000000000000004">
      <c r="A269">
        <f>ALGLIB_SSA_XAUUSD!J269</f>
        <v>1775470500</v>
      </c>
      <c r="B269" t="str">
        <f>_xlfn.XLOOKUP($A269,ALGLIB_SSA_XAUUSD!$A$2:$A$1000,ALGLIB_SSA_XAUUSD!$B$2:$B$1000,"",0)</f>
        <v/>
      </c>
      <c r="C269" t="str">
        <f>_xlfn.XLOOKUP($A269,ALGLIB_SSA_XAUUSD!$A$2:$A$1000,ALGLIB_SSA_XAUUSD!$C$2:$C$1000,"",0)</f>
        <v/>
      </c>
      <c r="D269" s="1">
        <f>D266+(D278-D266)*3/12</f>
        <v>4686.8874999999998</v>
      </c>
      <c r="E269" s="1">
        <f>E266+(E278-E266)*3/12</f>
        <v>4689.4095724999997</v>
      </c>
      <c r="F269" s="1">
        <f>F266+(F278-F266)*3/12</f>
        <v>4687.7384149999998</v>
      </c>
      <c r="G269" s="1">
        <f>G266+(G278-G266)*3/12</f>
        <v>4698.9618700000001</v>
      </c>
      <c r="H269" s="1">
        <f>H266+(H278-H266)*3/12</f>
        <v>4677.4495975</v>
      </c>
      <c r="I269" t="str">
        <f>_xlfn.XLOOKUP($A269,ALGLIB_SSA_XAUUSD!$J$2:$J$1000,ALGLIB_SSA_XAUUSD!$K$2:$K$1000,"",0)</f>
        <v>XAUUSD</v>
      </c>
      <c r="J269" t="str">
        <f>_xlfn.XLOOKUP($A269,ALGLIB_SSA_XAUUSD!$J$2:$J$1000,ALGLIB_SSA_XAUUSD!$L$2:$L$1000,"",0)</f>
        <v>M5</v>
      </c>
      <c r="K269">
        <f>_xlfn.XLOOKUP($A269,ALGLIB_SSA_XAUUSD!$J$2:$J$1000,ALGLIB_SSA_XAUUSD!$M$2:$M$1000,"",0)</f>
        <v>4690.57</v>
      </c>
      <c r="L269">
        <f>_xlfn.XLOOKUP($A269,ALGLIB_SSA_XAUUSD!$J$2:$J$1000,ALGLIB_SSA_XAUUSD!$N$2:$N$1000,"",0)</f>
        <v>4689.8444</v>
      </c>
      <c r="M269">
        <f>_xlfn.XLOOKUP($A269,ALGLIB_SSA_XAUUSD!$J$2:$J$1000,ALGLIB_SSA_XAUUSD!$O$2:$O$1000,"",0)</f>
        <v>4690.9400400000004</v>
      </c>
      <c r="N269">
        <f>_xlfn.XLOOKUP($A269,ALGLIB_SSA_XAUUSD!$J$2:$J$1000,ALGLIB_SSA_XAUUSD!$P$2:$P$1000,"",0)</f>
        <v>4693.09141</v>
      </c>
      <c r="O269">
        <f>_xlfn.XLOOKUP($A269,ALGLIB_SSA_XAUUSD!$J$2:$J$1000,ALGLIB_SSA_XAUUSD!$Q$2:$Q$1000,"",0)</f>
        <v>4687.47451</v>
      </c>
      <c r="R269">
        <f t="shared" si="44"/>
        <v>1775470500</v>
      </c>
      <c r="S269" t="str">
        <f t="shared" si="45"/>
        <v>XAUUSD</v>
      </c>
      <c r="T269" t="str">
        <f t="shared" si="46"/>
        <v>M5</v>
      </c>
      <c r="U269">
        <f t="shared" si="47"/>
        <v>4690.57</v>
      </c>
      <c r="V269">
        <v>4689.4095699999998</v>
      </c>
      <c r="W269">
        <v>4687.7384199999997</v>
      </c>
      <c r="X269">
        <v>4689.8444</v>
      </c>
      <c r="Y269">
        <v>4690.9400400000004</v>
      </c>
      <c r="Z269">
        <f t="shared" si="48"/>
        <v>4698.9618700000001</v>
      </c>
      <c r="AA269">
        <f t="shared" si="49"/>
        <v>4693.09141</v>
      </c>
      <c r="AB269">
        <f t="shared" si="50"/>
        <v>4677.4495975</v>
      </c>
      <c r="AC269">
        <f t="shared" si="51"/>
        <v>4687.47451</v>
      </c>
      <c r="AF269">
        <f t="shared" si="52"/>
        <v>4689.8444</v>
      </c>
      <c r="AG269">
        <f t="shared" si="53"/>
        <v>4698.9618700000001</v>
      </c>
      <c r="AH269">
        <f t="shared" si="54"/>
        <v>4677.4495975</v>
      </c>
    </row>
    <row r="270" spans="1:34" x14ac:dyDescent="0.55000000000000004">
      <c r="A270">
        <f>ALGLIB_SSA_XAUUSD!J270</f>
        <v>1775470800</v>
      </c>
      <c r="B270" t="str">
        <f>_xlfn.XLOOKUP($A270,ALGLIB_SSA_XAUUSD!$A$2:$A$1000,ALGLIB_SSA_XAUUSD!$B$2:$B$1000,"",0)</f>
        <v/>
      </c>
      <c r="C270" t="str">
        <f>_xlfn.XLOOKUP($A270,ALGLIB_SSA_XAUUSD!$A$2:$A$1000,ALGLIB_SSA_XAUUSD!$C$2:$C$1000,"",0)</f>
        <v/>
      </c>
      <c r="D270" s="1">
        <f>D266+(D278-D266)*4/12</f>
        <v>4685.91</v>
      </c>
      <c r="E270" s="1">
        <f>E266+(E278-E266)*4/12</f>
        <v>4689.1284666666661</v>
      </c>
      <c r="F270" s="1">
        <f>F266+(F278-F266)*4/12</f>
        <v>4687.6975199999997</v>
      </c>
      <c r="G270" s="1">
        <f>G266+(G278-G266)*4/12</f>
        <v>4698.8084800000006</v>
      </c>
      <c r="H270" s="1">
        <f>H266+(H278-H266)*4/12</f>
        <v>4677.1645366666671</v>
      </c>
      <c r="I270" t="str">
        <f>_xlfn.XLOOKUP($A270,ALGLIB_SSA_XAUUSD!$J$2:$J$1000,ALGLIB_SSA_XAUUSD!$K$2:$K$1000,"",0)</f>
        <v>XAUUSD</v>
      </c>
      <c r="J270" t="str">
        <f>_xlfn.XLOOKUP($A270,ALGLIB_SSA_XAUUSD!$J$2:$J$1000,ALGLIB_SSA_XAUUSD!$L$2:$L$1000,"",0)</f>
        <v>M5</v>
      </c>
      <c r="K270">
        <f>_xlfn.XLOOKUP($A270,ALGLIB_SSA_XAUUSD!$J$2:$J$1000,ALGLIB_SSA_XAUUSD!$M$2:$M$1000,"",0)</f>
        <v>4689.43</v>
      </c>
      <c r="L270">
        <f>_xlfn.XLOOKUP($A270,ALGLIB_SSA_XAUUSD!$J$2:$J$1000,ALGLIB_SSA_XAUUSD!$N$2:$N$1000,"",0)</f>
        <v>4689.76793</v>
      </c>
      <c r="M270">
        <f>_xlfn.XLOOKUP($A270,ALGLIB_SSA_XAUUSD!$J$2:$J$1000,ALGLIB_SSA_XAUUSD!$O$2:$O$1000,"",0)</f>
        <v>4690.3539899999996</v>
      </c>
      <c r="N270">
        <f>_xlfn.XLOOKUP($A270,ALGLIB_SSA_XAUUSD!$J$2:$J$1000,ALGLIB_SSA_XAUUSD!$P$2:$P$1000,"",0)</f>
        <v>4692.4675500000003</v>
      </c>
      <c r="O270">
        <f>_xlfn.XLOOKUP($A270,ALGLIB_SSA_XAUUSD!$J$2:$J$1000,ALGLIB_SSA_XAUUSD!$Q$2:$Q$1000,"",0)</f>
        <v>4687.2348300000003</v>
      </c>
      <c r="R270">
        <f t="shared" si="44"/>
        <v>1775470800</v>
      </c>
      <c r="S270" t="str">
        <f t="shared" si="45"/>
        <v>XAUUSD</v>
      </c>
      <c r="T270" t="str">
        <f t="shared" si="46"/>
        <v>M5</v>
      </c>
      <c r="U270">
        <f t="shared" si="47"/>
        <v>4689.43</v>
      </c>
      <c r="V270">
        <v>4689.1284699999997</v>
      </c>
      <c r="W270">
        <v>4687.6975199999997</v>
      </c>
      <c r="X270">
        <v>4689.76793</v>
      </c>
      <c r="Y270">
        <v>4690.3539899999996</v>
      </c>
      <c r="Z270">
        <f t="shared" si="48"/>
        <v>4698.8084800000006</v>
      </c>
      <c r="AA270">
        <f t="shared" si="49"/>
        <v>4692.4675500000003</v>
      </c>
      <c r="AB270">
        <f t="shared" si="50"/>
        <v>4677.1645366666671</v>
      </c>
      <c r="AC270">
        <f t="shared" si="51"/>
        <v>4687.2348300000003</v>
      </c>
      <c r="AF270">
        <f t="shared" si="52"/>
        <v>4689.76793</v>
      </c>
      <c r="AG270">
        <f t="shared" si="53"/>
        <v>4698.8084800000006</v>
      </c>
      <c r="AH270">
        <f t="shared" si="54"/>
        <v>4677.1645366666671</v>
      </c>
    </row>
    <row r="271" spans="1:34" x14ac:dyDescent="0.55000000000000004">
      <c r="A271">
        <f>ALGLIB_SSA_XAUUSD!J271</f>
        <v>1775471100</v>
      </c>
      <c r="B271" t="str">
        <f>_xlfn.XLOOKUP($A271,ALGLIB_SSA_XAUUSD!$A$2:$A$1000,ALGLIB_SSA_XAUUSD!$B$2:$B$1000,"",0)</f>
        <v/>
      </c>
      <c r="C271" t="str">
        <f>_xlfn.XLOOKUP($A271,ALGLIB_SSA_XAUUSD!$A$2:$A$1000,ALGLIB_SSA_XAUUSD!$C$2:$C$1000,"",0)</f>
        <v/>
      </c>
      <c r="D271" s="1">
        <f>D266+(D278-D266)*5/12</f>
        <v>4684.9324999999999</v>
      </c>
      <c r="E271" s="1">
        <f>E266+(E278-E266)*5/12</f>
        <v>4688.8473608333334</v>
      </c>
      <c r="F271" s="1">
        <f>F266+(F278-F266)*5/12</f>
        <v>4687.6566249999996</v>
      </c>
      <c r="G271" s="1">
        <f>G266+(G278-G266)*5/12</f>
        <v>4698.6550900000002</v>
      </c>
      <c r="H271" s="1">
        <f>H266+(H278-H266)*5/12</f>
        <v>4676.8794758333333</v>
      </c>
      <c r="I271" t="str">
        <f>_xlfn.XLOOKUP($A271,ALGLIB_SSA_XAUUSD!$J$2:$J$1000,ALGLIB_SSA_XAUUSD!$K$2:$K$1000,"",0)</f>
        <v>XAUUSD</v>
      </c>
      <c r="J271" t="str">
        <f>_xlfn.XLOOKUP($A271,ALGLIB_SSA_XAUUSD!$J$2:$J$1000,ALGLIB_SSA_XAUUSD!$L$2:$L$1000,"",0)</f>
        <v>M5</v>
      </c>
      <c r="K271">
        <f>_xlfn.XLOOKUP($A271,ALGLIB_SSA_XAUUSD!$J$2:$J$1000,ALGLIB_SSA_XAUUSD!$M$2:$M$1000,"",0)</f>
        <v>4689.87</v>
      </c>
      <c r="L271">
        <f>_xlfn.XLOOKUP($A271,ALGLIB_SSA_XAUUSD!$J$2:$J$1000,ALGLIB_SSA_XAUUSD!$N$2:$N$1000,"",0)</f>
        <v>4690.1644800000004</v>
      </c>
      <c r="M271">
        <f>_xlfn.XLOOKUP($A271,ALGLIB_SSA_XAUUSD!$J$2:$J$1000,ALGLIB_SSA_XAUUSD!$O$2:$O$1000,"",0)</f>
        <v>4690.2592299999997</v>
      </c>
      <c r="N271">
        <f>_xlfn.XLOOKUP($A271,ALGLIB_SSA_XAUUSD!$J$2:$J$1000,ALGLIB_SSA_XAUUSD!$P$2:$P$1000,"",0)</f>
        <v>4692.3775800000003</v>
      </c>
      <c r="O271">
        <f>_xlfn.XLOOKUP($A271,ALGLIB_SSA_XAUUSD!$J$2:$J$1000,ALGLIB_SSA_XAUUSD!$Q$2:$Q$1000,"",0)</f>
        <v>4687.3735999999999</v>
      </c>
      <c r="R271">
        <f t="shared" si="44"/>
        <v>1775471100</v>
      </c>
      <c r="S271" t="str">
        <f t="shared" si="45"/>
        <v>XAUUSD</v>
      </c>
      <c r="T271" t="str">
        <f t="shared" si="46"/>
        <v>M5</v>
      </c>
      <c r="U271">
        <f t="shared" si="47"/>
        <v>4689.87</v>
      </c>
      <c r="V271">
        <v>4688.8473599999998</v>
      </c>
      <c r="W271">
        <v>4687.6566199999997</v>
      </c>
      <c r="X271">
        <v>4690.1644800000004</v>
      </c>
      <c r="Y271">
        <v>4690.2592299999997</v>
      </c>
      <c r="Z271">
        <f t="shared" si="48"/>
        <v>4698.6550900000002</v>
      </c>
      <c r="AA271">
        <f t="shared" si="49"/>
        <v>4692.3775800000003</v>
      </c>
      <c r="AB271">
        <f t="shared" si="50"/>
        <v>4676.8794758333333</v>
      </c>
      <c r="AC271">
        <f t="shared" si="51"/>
        <v>4687.3735999999999</v>
      </c>
      <c r="AF271">
        <f t="shared" si="52"/>
        <v>4690.1644800000004</v>
      </c>
      <c r="AG271">
        <f t="shared" si="53"/>
        <v>4698.6550900000002</v>
      </c>
      <c r="AH271">
        <f t="shared" si="54"/>
        <v>4676.8794758333333</v>
      </c>
    </row>
    <row r="272" spans="1:34" x14ac:dyDescent="0.55000000000000004">
      <c r="A272">
        <f>ALGLIB_SSA_XAUUSD!J272</f>
        <v>1775471400</v>
      </c>
      <c r="B272" t="str">
        <f>_xlfn.XLOOKUP($A272,ALGLIB_SSA_XAUUSD!$A$2:$A$1000,ALGLIB_SSA_XAUUSD!$B$2:$B$1000,"",0)</f>
        <v/>
      </c>
      <c r="C272" t="str">
        <f>_xlfn.XLOOKUP($A272,ALGLIB_SSA_XAUUSD!$A$2:$A$1000,ALGLIB_SSA_XAUUSD!$C$2:$C$1000,"",0)</f>
        <v/>
      </c>
      <c r="D272" s="1">
        <f>D266+(D278-D266)*6/12</f>
        <v>4683.9549999999999</v>
      </c>
      <c r="E272" s="1">
        <f>E266+(E278-E266)*6/12</f>
        <v>4688.5662549999997</v>
      </c>
      <c r="F272" s="1">
        <f>F266+(F278-F266)*6/12</f>
        <v>4687.6157299999995</v>
      </c>
      <c r="G272" s="1">
        <f>G266+(G278-G266)*6/12</f>
        <v>4698.5017000000007</v>
      </c>
      <c r="H272" s="1">
        <f>H266+(H278-H266)*6/12</f>
        <v>4676.5944149999996</v>
      </c>
      <c r="I272" t="str">
        <f>_xlfn.XLOOKUP($A272,ALGLIB_SSA_XAUUSD!$J$2:$J$1000,ALGLIB_SSA_XAUUSD!$K$2:$K$1000,"",0)</f>
        <v>XAUUSD</v>
      </c>
      <c r="J272" t="str">
        <f>_xlfn.XLOOKUP($A272,ALGLIB_SSA_XAUUSD!$J$2:$J$1000,ALGLIB_SSA_XAUUSD!$L$2:$L$1000,"",0)</f>
        <v>M5</v>
      </c>
      <c r="K272">
        <f>_xlfn.XLOOKUP($A272,ALGLIB_SSA_XAUUSD!$J$2:$J$1000,ALGLIB_SSA_XAUUSD!$M$2:$M$1000,"",0)</f>
        <v>4689.84</v>
      </c>
      <c r="L272">
        <f>_xlfn.XLOOKUP($A272,ALGLIB_SSA_XAUUSD!$J$2:$J$1000,ALGLIB_SSA_XAUUSD!$N$2:$N$1000,"",0)</f>
        <v>4690.8590899999999</v>
      </c>
      <c r="M272">
        <f>_xlfn.XLOOKUP($A272,ALGLIB_SSA_XAUUSD!$J$2:$J$1000,ALGLIB_SSA_XAUUSD!$O$2:$O$1000,"",0)</f>
        <v>4690.5591599999998</v>
      </c>
      <c r="N272">
        <f>_xlfn.XLOOKUP($A272,ALGLIB_SSA_XAUUSD!$J$2:$J$1000,ALGLIB_SSA_XAUUSD!$P$2:$P$1000,"",0)</f>
        <v>4692.8178399999997</v>
      </c>
      <c r="O272">
        <f>_xlfn.XLOOKUP($A272,ALGLIB_SSA_XAUUSD!$J$2:$J$1000,ALGLIB_SSA_XAUUSD!$Q$2:$Q$1000,"",0)</f>
        <v>4687.8274000000001</v>
      </c>
      <c r="R272">
        <f t="shared" si="44"/>
        <v>1775471400</v>
      </c>
      <c r="S272" t="str">
        <f t="shared" si="45"/>
        <v>XAUUSD</v>
      </c>
      <c r="T272" t="str">
        <f t="shared" si="46"/>
        <v>M5</v>
      </c>
      <c r="U272">
        <f t="shared" si="47"/>
        <v>4689.84</v>
      </c>
      <c r="V272">
        <v>4688.5662599999996</v>
      </c>
      <c r="W272">
        <v>4687.6157300000004</v>
      </c>
      <c r="X272">
        <v>4690.8590899999999</v>
      </c>
      <c r="Y272">
        <v>4690.5591599999998</v>
      </c>
      <c r="Z272">
        <f t="shared" si="48"/>
        <v>4698.5017000000007</v>
      </c>
      <c r="AA272">
        <f t="shared" si="49"/>
        <v>4692.8178399999997</v>
      </c>
      <c r="AB272">
        <f t="shared" si="50"/>
        <v>4676.5944149999996</v>
      </c>
      <c r="AC272">
        <f t="shared" si="51"/>
        <v>4687.8274000000001</v>
      </c>
      <c r="AF272">
        <f t="shared" si="52"/>
        <v>4690.8590899999999</v>
      </c>
      <c r="AG272">
        <f t="shared" si="53"/>
        <v>4698.5017000000007</v>
      </c>
      <c r="AH272">
        <f t="shared" si="54"/>
        <v>4676.5944149999996</v>
      </c>
    </row>
    <row r="273" spans="1:34" x14ac:dyDescent="0.55000000000000004">
      <c r="A273">
        <f>ALGLIB_SSA_XAUUSD!J273</f>
        <v>1775471700</v>
      </c>
      <c r="B273" t="str">
        <f>_xlfn.XLOOKUP($A273,ALGLIB_SSA_XAUUSD!$A$2:$A$1000,ALGLIB_SSA_XAUUSD!$B$2:$B$1000,"",0)</f>
        <v/>
      </c>
      <c r="C273" t="str">
        <f>_xlfn.XLOOKUP($A273,ALGLIB_SSA_XAUUSD!$A$2:$A$1000,ALGLIB_SSA_XAUUSD!$C$2:$C$1000,"",0)</f>
        <v/>
      </c>
      <c r="D273" s="1">
        <f>D266+(D278-D266)*7/12</f>
        <v>4682.9775</v>
      </c>
      <c r="E273" s="1">
        <f>E266+(E278-E266)*7/12</f>
        <v>4688.2851491666661</v>
      </c>
      <c r="F273" s="1">
        <f>F266+(F278-F266)*7/12</f>
        <v>4687.5748350000003</v>
      </c>
      <c r="G273" s="1">
        <f>G266+(G278-G266)*7/12</f>
        <v>4698.3483100000003</v>
      </c>
      <c r="H273" s="1">
        <f>H266+(H278-H266)*7/12</f>
        <v>4676.3093541666667</v>
      </c>
      <c r="I273" t="str">
        <f>_xlfn.XLOOKUP($A273,ALGLIB_SSA_XAUUSD!$J$2:$J$1000,ALGLIB_SSA_XAUUSD!$K$2:$K$1000,"",0)</f>
        <v>XAUUSD</v>
      </c>
      <c r="J273" t="str">
        <f>_xlfn.XLOOKUP($A273,ALGLIB_SSA_XAUUSD!$J$2:$J$1000,ALGLIB_SSA_XAUUSD!$L$2:$L$1000,"",0)</f>
        <v>M5</v>
      </c>
      <c r="K273">
        <f>_xlfn.XLOOKUP($A273,ALGLIB_SSA_XAUUSD!$J$2:$J$1000,ALGLIB_SSA_XAUUSD!$M$2:$M$1000,"",0)</f>
        <v>4691.93</v>
      </c>
      <c r="L273">
        <f>_xlfn.XLOOKUP($A273,ALGLIB_SSA_XAUUSD!$J$2:$J$1000,ALGLIB_SSA_XAUUSD!$N$2:$N$1000,"",0)</f>
        <v>4691.6565099999998</v>
      </c>
      <c r="M273">
        <f>_xlfn.XLOOKUP($A273,ALGLIB_SSA_XAUUSD!$J$2:$J$1000,ALGLIB_SSA_XAUUSD!$O$2:$O$1000,"",0)</f>
        <v>4691.1078399999997</v>
      </c>
      <c r="N273">
        <f>_xlfn.XLOOKUP($A273,ALGLIB_SSA_XAUUSD!$J$2:$J$1000,ALGLIB_SSA_XAUUSD!$P$2:$P$1000,"",0)</f>
        <v>4693.52916</v>
      </c>
      <c r="O273">
        <f>_xlfn.XLOOKUP($A273,ALGLIB_SSA_XAUUSD!$J$2:$J$1000,ALGLIB_SSA_XAUUSD!$Q$2:$Q$1000,"",0)</f>
        <v>4688.40121</v>
      </c>
      <c r="R273">
        <f t="shared" si="44"/>
        <v>1775471700</v>
      </c>
      <c r="S273" t="str">
        <f t="shared" si="45"/>
        <v>XAUUSD</v>
      </c>
      <c r="T273" t="str">
        <f t="shared" si="46"/>
        <v>M5</v>
      </c>
      <c r="U273">
        <f t="shared" si="47"/>
        <v>4691.93</v>
      </c>
      <c r="V273">
        <v>4688.2851499999997</v>
      </c>
      <c r="W273">
        <v>4687.5748400000002</v>
      </c>
      <c r="X273">
        <v>4691.6565099999998</v>
      </c>
      <c r="Y273">
        <v>4691.1078399999997</v>
      </c>
      <c r="Z273">
        <f t="shared" si="48"/>
        <v>4698.3483100000003</v>
      </c>
      <c r="AA273">
        <f t="shared" si="49"/>
        <v>4693.52916</v>
      </c>
      <c r="AB273">
        <f t="shared" si="50"/>
        <v>4676.3093541666667</v>
      </c>
      <c r="AC273">
        <f t="shared" si="51"/>
        <v>4688.40121</v>
      </c>
      <c r="AF273">
        <f t="shared" si="52"/>
        <v>4691.6565099999998</v>
      </c>
      <c r="AG273">
        <f t="shared" si="53"/>
        <v>4698.3483100000003</v>
      </c>
      <c r="AH273">
        <f t="shared" si="54"/>
        <v>4676.3093541666667</v>
      </c>
    </row>
    <row r="274" spans="1:34" x14ac:dyDescent="0.55000000000000004">
      <c r="A274">
        <f>ALGLIB_SSA_XAUUSD!J274</f>
        <v>1775472000</v>
      </c>
      <c r="B274" t="str">
        <f>_xlfn.XLOOKUP($A274,ALGLIB_SSA_XAUUSD!$A$2:$A$1000,ALGLIB_SSA_XAUUSD!$B$2:$B$1000,"",0)</f>
        <v/>
      </c>
      <c r="C274" t="str">
        <f>_xlfn.XLOOKUP($A274,ALGLIB_SSA_XAUUSD!$A$2:$A$1000,ALGLIB_SSA_XAUUSD!$C$2:$C$1000,"",0)</f>
        <v/>
      </c>
      <c r="D274" s="1">
        <f>D266+(D278-D266)*8/12</f>
        <v>4682</v>
      </c>
      <c r="E274" s="1">
        <f>E266+(E278-E266)*8/12</f>
        <v>4688.0040433333334</v>
      </c>
      <c r="F274" s="1">
        <f>F266+(F278-F266)*8/12</f>
        <v>4687.5339400000003</v>
      </c>
      <c r="G274" s="1">
        <f>G266+(G278-G266)*8/12</f>
        <v>4698.1949199999999</v>
      </c>
      <c r="H274" s="1">
        <f>H266+(H278-H266)*8/12</f>
        <v>4676.0242933333329</v>
      </c>
      <c r="I274" t="str">
        <f>_xlfn.XLOOKUP($A274,ALGLIB_SSA_XAUUSD!$J$2:$J$1000,ALGLIB_SSA_XAUUSD!$K$2:$K$1000,"",0)</f>
        <v>XAUUSD</v>
      </c>
      <c r="J274" t="str">
        <f>_xlfn.XLOOKUP($A274,ALGLIB_SSA_XAUUSD!$J$2:$J$1000,ALGLIB_SSA_XAUUSD!$L$2:$L$1000,"",0)</f>
        <v>M5</v>
      </c>
      <c r="K274">
        <f>_xlfn.XLOOKUP($A274,ALGLIB_SSA_XAUUSD!$J$2:$J$1000,ALGLIB_SSA_XAUUSD!$M$2:$M$1000,"",0)</f>
        <v>4695.6099999999997</v>
      </c>
      <c r="L274">
        <f>_xlfn.XLOOKUP($A274,ALGLIB_SSA_XAUUSD!$J$2:$J$1000,ALGLIB_SSA_XAUUSD!$N$2:$N$1000,"",0)</f>
        <v>4692.3330800000003</v>
      </c>
      <c r="M274">
        <f>_xlfn.XLOOKUP($A274,ALGLIB_SSA_XAUUSD!$J$2:$J$1000,ALGLIB_SSA_XAUUSD!$O$2:$O$1000,"",0)</f>
        <v>4691.7204599999995</v>
      </c>
      <c r="N274">
        <f>_xlfn.XLOOKUP($A274,ALGLIB_SSA_XAUUSD!$J$2:$J$1000,ALGLIB_SSA_XAUUSD!$P$2:$P$1000,"",0)</f>
        <v>4694.3688400000001</v>
      </c>
      <c r="O274">
        <f>_xlfn.XLOOKUP($A274,ALGLIB_SSA_XAUUSD!$J$2:$J$1000,ALGLIB_SSA_XAUUSD!$Q$2:$Q$1000,"",0)</f>
        <v>4689.00101</v>
      </c>
      <c r="R274">
        <f t="shared" si="44"/>
        <v>1775472000</v>
      </c>
      <c r="S274" t="str">
        <f t="shared" si="45"/>
        <v>XAUUSD</v>
      </c>
      <c r="T274" t="str">
        <f t="shared" si="46"/>
        <v>M5</v>
      </c>
      <c r="U274">
        <f t="shared" si="47"/>
        <v>4695.6099999999997</v>
      </c>
      <c r="V274">
        <v>4688.0040399999998</v>
      </c>
      <c r="W274">
        <v>4687.5339400000003</v>
      </c>
      <c r="X274">
        <v>4692.3330800000003</v>
      </c>
      <c r="Y274">
        <v>4691.7204599999995</v>
      </c>
      <c r="Z274">
        <f t="shared" si="48"/>
        <v>4698.1949199999999</v>
      </c>
      <c r="AA274">
        <f t="shared" si="49"/>
        <v>4694.3688400000001</v>
      </c>
      <c r="AB274">
        <f t="shared" si="50"/>
        <v>4676.0242933333329</v>
      </c>
      <c r="AC274">
        <f t="shared" si="51"/>
        <v>4689.00101</v>
      </c>
      <c r="AF274">
        <f t="shared" si="52"/>
        <v>4692.3330800000003</v>
      </c>
      <c r="AG274">
        <f t="shared" si="53"/>
        <v>4698.1949199999999</v>
      </c>
      <c r="AH274">
        <f t="shared" si="54"/>
        <v>4676.0242933333329</v>
      </c>
    </row>
    <row r="275" spans="1:34" x14ac:dyDescent="0.55000000000000004">
      <c r="A275">
        <f>ALGLIB_SSA_XAUUSD!J275</f>
        <v>1775472300</v>
      </c>
      <c r="B275" t="str">
        <f>_xlfn.XLOOKUP($A275,ALGLIB_SSA_XAUUSD!$A$2:$A$1000,ALGLIB_SSA_XAUUSD!$B$2:$B$1000,"",0)</f>
        <v/>
      </c>
      <c r="C275" t="str">
        <f>_xlfn.XLOOKUP($A275,ALGLIB_SSA_XAUUSD!$A$2:$A$1000,ALGLIB_SSA_XAUUSD!$C$2:$C$1000,"",0)</f>
        <v/>
      </c>
      <c r="D275" s="1">
        <f>D266+(D278-D266)*9/12</f>
        <v>4681.0225</v>
      </c>
      <c r="E275" s="1">
        <f>E266+(E278-E266)*9/12</f>
        <v>4687.7229374999997</v>
      </c>
      <c r="F275" s="1">
        <f>F266+(F278-F266)*9/12</f>
        <v>4687.4930450000002</v>
      </c>
      <c r="G275" s="1">
        <f>G266+(G278-G266)*9/12</f>
        <v>4698.0415300000004</v>
      </c>
      <c r="H275" s="1">
        <f>H266+(H278-H266)*9/12</f>
        <v>4675.7392325000001</v>
      </c>
      <c r="I275" t="str">
        <f>_xlfn.XLOOKUP($A275,ALGLIB_SSA_XAUUSD!$J$2:$J$1000,ALGLIB_SSA_XAUUSD!$K$2:$K$1000,"",0)</f>
        <v>XAUUSD</v>
      </c>
      <c r="J275" t="str">
        <f>_xlfn.XLOOKUP($A275,ALGLIB_SSA_XAUUSD!$J$2:$J$1000,ALGLIB_SSA_XAUUSD!$L$2:$L$1000,"",0)</f>
        <v>M5</v>
      </c>
      <c r="K275">
        <f>_xlfn.XLOOKUP($A275,ALGLIB_SSA_XAUUSD!$J$2:$J$1000,ALGLIB_SSA_XAUUSD!$M$2:$M$1000,"",0)</f>
        <v>4692.67</v>
      </c>
      <c r="L275">
        <f>_xlfn.XLOOKUP($A275,ALGLIB_SSA_XAUUSD!$J$2:$J$1000,ALGLIB_SSA_XAUUSD!$N$2:$N$1000,"",0)</f>
        <v>4692.6537500000004</v>
      </c>
      <c r="M275">
        <f>_xlfn.XLOOKUP($A275,ALGLIB_SSA_XAUUSD!$J$2:$J$1000,ALGLIB_SSA_XAUUSD!$O$2:$O$1000,"",0)</f>
        <v>4692.1871000000001</v>
      </c>
      <c r="N275">
        <f>_xlfn.XLOOKUP($A275,ALGLIB_SSA_XAUUSD!$J$2:$J$1000,ALGLIB_SSA_XAUUSD!$P$2:$P$1000,"",0)</f>
        <v>4695.0244199999997</v>
      </c>
      <c r="O275">
        <f>_xlfn.XLOOKUP($A275,ALGLIB_SSA_XAUUSD!$J$2:$J$1000,ALGLIB_SSA_XAUUSD!$Q$2:$Q$1000,"",0)</f>
        <v>4689.4112100000002</v>
      </c>
      <c r="R275">
        <f t="shared" si="44"/>
        <v>1775472300</v>
      </c>
      <c r="S275" t="str">
        <f t="shared" si="45"/>
        <v>XAUUSD</v>
      </c>
      <c r="T275" t="str">
        <f t="shared" si="46"/>
        <v>M5</v>
      </c>
      <c r="U275">
        <f t="shared" si="47"/>
        <v>4692.67</v>
      </c>
      <c r="V275">
        <v>4687.7229399999997</v>
      </c>
      <c r="W275">
        <v>4687.49305</v>
      </c>
      <c r="X275">
        <v>4692.6537500000004</v>
      </c>
      <c r="Y275">
        <v>4692.1871000000001</v>
      </c>
      <c r="Z275">
        <f t="shared" si="48"/>
        <v>4698.0415300000004</v>
      </c>
      <c r="AA275">
        <f t="shared" si="49"/>
        <v>4695.0244199999997</v>
      </c>
      <c r="AB275">
        <f t="shared" si="50"/>
        <v>4675.7392325000001</v>
      </c>
      <c r="AC275">
        <f t="shared" si="51"/>
        <v>4689.4112100000002</v>
      </c>
      <c r="AF275">
        <f t="shared" si="52"/>
        <v>4692.6537500000004</v>
      </c>
      <c r="AG275">
        <f t="shared" si="53"/>
        <v>4698.0415300000004</v>
      </c>
      <c r="AH275">
        <f t="shared" si="54"/>
        <v>4675.7392325000001</v>
      </c>
    </row>
    <row r="276" spans="1:34" x14ac:dyDescent="0.55000000000000004">
      <c r="A276">
        <f>ALGLIB_SSA_XAUUSD!J276</f>
        <v>1775472600</v>
      </c>
      <c r="B276" t="str">
        <f>_xlfn.XLOOKUP($A276,ALGLIB_SSA_XAUUSD!$A$2:$A$1000,ALGLIB_SSA_XAUUSD!$B$2:$B$1000,"",0)</f>
        <v/>
      </c>
      <c r="C276" t="str">
        <f>_xlfn.XLOOKUP($A276,ALGLIB_SSA_XAUUSD!$A$2:$A$1000,ALGLIB_SSA_XAUUSD!$C$2:$C$1000,"",0)</f>
        <v/>
      </c>
      <c r="D276" s="1">
        <f>D266+(D278-D266)*10/12</f>
        <v>4680.0450000000001</v>
      </c>
      <c r="E276" s="1">
        <f>E266+(E278-E266)*10/12</f>
        <v>4687.4418316666661</v>
      </c>
      <c r="F276" s="1">
        <f>F266+(F278-F266)*10/12</f>
        <v>4687.4521500000001</v>
      </c>
      <c r="G276" s="1">
        <f>G266+(G278-G266)*10/12</f>
        <v>4697.88814</v>
      </c>
      <c r="H276" s="1">
        <f>H266+(H278-H266)*10/12</f>
        <v>4675.4541716666663</v>
      </c>
      <c r="I276" t="str">
        <f>_xlfn.XLOOKUP($A276,ALGLIB_SSA_XAUUSD!$J$2:$J$1000,ALGLIB_SSA_XAUUSD!$K$2:$K$1000,"",0)</f>
        <v>XAUUSD</v>
      </c>
      <c r="J276" t="str">
        <f>_xlfn.XLOOKUP($A276,ALGLIB_SSA_XAUUSD!$J$2:$J$1000,ALGLIB_SSA_XAUUSD!$L$2:$L$1000,"",0)</f>
        <v>M5</v>
      </c>
      <c r="K276">
        <f>_xlfn.XLOOKUP($A276,ALGLIB_SSA_XAUUSD!$J$2:$J$1000,ALGLIB_SSA_XAUUSD!$M$2:$M$1000,"",0)</f>
        <v>4691.1099999999997</v>
      </c>
      <c r="L276">
        <f>_xlfn.XLOOKUP($A276,ALGLIB_SSA_XAUUSD!$J$2:$J$1000,ALGLIB_SSA_XAUUSD!$N$2:$N$1000,"",0)</f>
        <v>4692.6391199999998</v>
      </c>
      <c r="M276">
        <f>_xlfn.XLOOKUP($A276,ALGLIB_SSA_XAUUSD!$J$2:$J$1000,ALGLIB_SSA_XAUUSD!$O$2:$O$1000,"",0)</f>
        <v>4692.4131100000004</v>
      </c>
      <c r="N276">
        <f>_xlfn.XLOOKUP($A276,ALGLIB_SSA_XAUUSD!$J$2:$J$1000,ALGLIB_SSA_XAUUSD!$P$2:$P$1000,"",0)</f>
        <v>4695.3691200000003</v>
      </c>
      <c r="O276">
        <f>_xlfn.XLOOKUP($A276,ALGLIB_SSA_XAUUSD!$J$2:$J$1000,ALGLIB_SSA_XAUUSD!$Q$2:$Q$1000,"",0)</f>
        <v>4689.7413200000001</v>
      </c>
      <c r="R276">
        <f t="shared" si="44"/>
        <v>1775472600</v>
      </c>
      <c r="S276" t="str">
        <f t="shared" si="45"/>
        <v>XAUUSD</v>
      </c>
      <c r="T276" t="str">
        <f t="shared" si="46"/>
        <v>M5</v>
      </c>
      <c r="U276">
        <f t="shared" si="47"/>
        <v>4691.1099999999997</v>
      </c>
      <c r="V276">
        <v>4687.4418299999998</v>
      </c>
      <c r="W276">
        <v>4687.4521500000001</v>
      </c>
      <c r="X276">
        <v>4692.6391199999998</v>
      </c>
      <c r="Y276">
        <v>4692.4131100000004</v>
      </c>
      <c r="Z276">
        <f t="shared" si="48"/>
        <v>4697.88814</v>
      </c>
      <c r="AA276">
        <f t="shared" si="49"/>
        <v>4695.3691200000003</v>
      </c>
      <c r="AB276">
        <f t="shared" si="50"/>
        <v>4675.4541716666663</v>
      </c>
      <c r="AC276">
        <f t="shared" si="51"/>
        <v>4689.7413200000001</v>
      </c>
      <c r="AF276">
        <f t="shared" si="52"/>
        <v>4692.6391199999998</v>
      </c>
      <c r="AG276">
        <f t="shared" si="53"/>
        <v>4697.88814</v>
      </c>
      <c r="AH276">
        <f t="shared" si="54"/>
        <v>4675.4541716666663</v>
      </c>
    </row>
    <row r="277" spans="1:34" x14ac:dyDescent="0.55000000000000004">
      <c r="A277">
        <f>ALGLIB_SSA_XAUUSD!J277</f>
        <v>1775472900</v>
      </c>
      <c r="B277" t="str">
        <f>_xlfn.XLOOKUP($A277,ALGLIB_SSA_XAUUSD!$A$2:$A$1000,ALGLIB_SSA_XAUUSD!$B$2:$B$1000,"",0)</f>
        <v/>
      </c>
      <c r="C277" t="str">
        <f>_xlfn.XLOOKUP($A277,ALGLIB_SSA_XAUUSD!$A$2:$A$1000,ALGLIB_SSA_XAUUSD!$C$2:$C$1000,"",0)</f>
        <v/>
      </c>
      <c r="D277" s="1">
        <f>D266+(D278-D266)*11/12</f>
        <v>4679.0675000000001</v>
      </c>
      <c r="E277" s="1">
        <f>E266+(E278-E266)*11/12</f>
        <v>4687.1607258333333</v>
      </c>
      <c r="F277" s="1">
        <f>F266+(F278-F266)*11/12</f>
        <v>4687.411255</v>
      </c>
      <c r="G277" s="1">
        <f>G266+(G278-G266)*11/12</f>
        <v>4697.7347500000005</v>
      </c>
      <c r="H277" s="1">
        <f>H266+(H278-H266)*11/12</f>
        <v>4675.1691108333334</v>
      </c>
      <c r="I277" t="str">
        <f>_xlfn.XLOOKUP($A277,ALGLIB_SSA_XAUUSD!$J$2:$J$1000,ALGLIB_SSA_XAUUSD!$K$2:$K$1000,"",0)</f>
        <v>XAUUSD</v>
      </c>
      <c r="J277" t="str">
        <f>_xlfn.XLOOKUP($A277,ALGLIB_SSA_XAUUSD!$J$2:$J$1000,ALGLIB_SSA_XAUUSD!$L$2:$L$1000,"",0)</f>
        <v>M5</v>
      </c>
      <c r="K277">
        <f>_xlfn.XLOOKUP($A277,ALGLIB_SSA_XAUUSD!$J$2:$J$1000,ALGLIB_SSA_XAUUSD!$M$2:$M$1000,"",0)</f>
        <v>4689.82</v>
      </c>
      <c r="L277">
        <f>_xlfn.XLOOKUP($A277,ALGLIB_SSA_XAUUSD!$J$2:$J$1000,ALGLIB_SSA_XAUUSD!$N$2:$N$1000,"",0)</f>
        <v>4692.3270899999998</v>
      </c>
      <c r="M277">
        <f>_xlfn.XLOOKUP($A277,ALGLIB_SSA_XAUUSD!$J$2:$J$1000,ALGLIB_SSA_XAUUSD!$O$2:$O$1000,"",0)</f>
        <v>4692.3701000000001</v>
      </c>
      <c r="N277">
        <f>_xlfn.XLOOKUP($A277,ALGLIB_SSA_XAUUSD!$J$2:$J$1000,ALGLIB_SSA_XAUUSD!$P$2:$P$1000,"",0)</f>
        <v>4695.3549400000002</v>
      </c>
      <c r="O277">
        <f>_xlfn.XLOOKUP($A277,ALGLIB_SSA_XAUUSD!$J$2:$J$1000,ALGLIB_SSA_XAUUSD!$Q$2:$Q$1000,"",0)</f>
        <v>4689.7816700000003</v>
      </c>
      <c r="R277">
        <f t="shared" si="44"/>
        <v>1775472900</v>
      </c>
      <c r="S277" t="str">
        <f t="shared" si="45"/>
        <v>XAUUSD</v>
      </c>
      <c r="T277" t="str">
        <f t="shared" si="46"/>
        <v>M5</v>
      </c>
      <c r="U277">
        <f t="shared" si="47"/>
        <v>4689.82</v>
      </c>
      <c r="V277">
        <v>4687.1607299999996</v>
      </c>
      <c r="W277">
        <v>4687.4112599999999</v>
      </c>
      <c r="X277">
        <v>4692.3270899999998</v>
      </c>
      <c r="Y277">
        <v>4692.3701000000001</v>
      </c>
      <c r="Z277">
        <f t="shared" si="48"/>
        <v>4697.7347500000005</v>
      </c>
      <c r="AA277">
        <f t="shared" si="49"/>
        <v>4695.3549400000002</v>
      </c>
      <c r="AB277">
        <f t="shared" si="50"/>
        <v>4675.1691108333334</v>
      </c>
      <c r="AC277">
        <f t="shared" si="51"/>
        <v>4689.7816700000003</v>
      </c>
      <c r="AF277">
        <f t="shared" si="52"/>
        <v>4692.3270899999998</v>
      </c>
      <c r="AG277">
        <f t="shared" si="53"/>
        <v>4697.7347500000005</v>
      </c>
      <c r="AH277">
        <f t="shared" si="54"/>
        <v>4675.1691108333334</v>
      </c>
    </row>
    <row r="278" spans="1:34" x14ac:dyDescent="0.55000000000000004">
      <c r="A278">
        <f>ALGLIB_SSA_XAUUSD!J278</f>
        <v>1775473200</v>
      </c>
      <c r="B278" t="str">
        <f>_xlfn.XLOOKUP($A278,ALGLIB_SSA_XAUUSD!$A$2:$A$1000,ALGLIB_SSA_XAUUSD!$B$2:$B$1000,"",0)</f>
        <v>XAUUSD</v>
      </c>
      <c r="C278" t="str">
        <f>_xlfn.XLOOKUP($A278,ALGLIB_SSA_XAUUSD!$A$2:$A$1000,ALGLIB_SSA_XAUUSD!$C$2:$C$1000,"",0)</f>
        <v>H1</v>
      </c>
      <c r="D278" s="2">
        <f>_xlfn.XLOOKUP($A278,ALGLIB_SSA_XAUUSD!$A$2:$A$1000,ALGLIB_SSA_XAUUSD!$D$2:$D$1000,"",0)</f>
        <v>4678.09</v>
      </c>
      <c r="E278" s="2">
        <f>_xlfn.XLOOKUP($A278,ALGLIB_SSA_XAUUSD!$A$2:$A$1000,ALGLIB_SSA_XAUUSD!$E$2:$E$1000,"",0)</f>
        <v>4686.8796199999997</v>
      </c>
      <c r="F278" s="2">
        <f>_xlfn.XLOOKUP($A278,ALGLIB_SSA_XAUUSD!$A$2:$A$1000,ALGLIB_SSA_XAUUSD!$F$2:$F$1000,"",0)</f>
        <v>4687.3703599999999</v>
      </c>
      <c r="G278" s="2">
        <f>_xlfn.XLOOKUP($A278,ALGLIB_SSA_XAUUSD!$A$2:$A$1000,ALGLIB_SSA_XAUUSD!$G$2:$G$1000,"",0)</f>
        <v>4697.5813600000001</v>
      </c>
      <c r="H278" s="2">
        <f>_xlfn.XLOOKUP($A278,ALGLIB_SSA_XAUUSD!$A$2:$A$1000,ALGLIB_SSA_XAUUSD!$H$2:$H$1000,"",0)</f>
        <v>4674.8840499999997</v>
      </c>
      <c r="I278" t="str">
        <f>_xlfn.XLOOKUP($A278,ALGLIB_SSA_XAUUSD!$J$2:$J$1000,ALGLIB_SSA_XAUUSD!$K$2:$K$1000,"",0)</f>
        <v>XAUUSD</v>
      </c>
      <c r="J278" t="str">
        <f>_xlfn.XLOOKUP($A278,ALGLIB_SSA_XAUUSD!$J$2:$J$1000,ALGLIB_SSA_XAUUSD!$L$2:$L$1000,"",0)</f>
        <v>M5</v>
      </c>
      <c r="K278">
        <f>_xlfn.XLOOKUP($A278,ALGLIB_SSA_XAUUSD!$J$2:$J$1000,ALGLIB_SSA_XAUUSD!$M$2:$M$1000,"",0)</f>
        <v>4693.0600000000004</v>
      </c>
      <c r="L278">
        <f>_xlfn.XLOOKUP($A278,ALGLIB_SSA_XAUUSD!$J$2:$J$1000,ALGLIB_SSA_XAUUSD!$N$2:$N$1000,"",0)</f>
        <v>4691.82917</v>
      </c>
      <c r="M278">
        <f>_xlfn.XLOOKUP($A278,ALGLIB_SSA_XAUUSD!$J$2:$J$1000,ALGLIB_SSA_XAUUSD!$O$2:$O$1000,"",0)</f>
        <v>4692.0996400000004</v>
      </c>
      <c r="N278">
        <f>_xlfn.XLOOKUP($A278,ALGLIB_SSA_XAUUSD!$J$2:$J$1000,ALGLIB_SSA_XAUUSD!$P$2:$P$1000,"",0)</f>
        <v>4695.0307199999997</v>
      </c>
      <c r="O278">
        <f>_xlfn.XLOOKUP($A278,ALGLIB_SSA_XAUUSD!$J$2:$J$1000,ALGLIB_SSA_XAUUSD!$Q$2:$Q$1000,"",0)</f>
        <v>4689.5729000000001</v>
      </c>
      <c r="R278">
        <f t="shared" si="44"/>
        <v>1775473200</v>
      </c>
      <c r="S278" t="str">
        <f t="shared" si="45"/>
        <v>XAUUSD</v>
      </c>
      <c r="T278" t="str">
        <f t="shared" si="46"/>
        <v>M5</v>
      </c>
      <c r="U278">
        <f t="shared" si="47"/>
        <v>4693.0600000000004</v>
      </c>
      <c r="V278">
        <v>4686.8796199999997</v>
      </c>
      <c r="W278">
        <v>4687.3703599999999</v>
      </c>
      <c r="X278">
        <v>4691.82917</v>
      </c>
      <c r="Y278">
        <v>4692.0996400000004</v>
      </c>
      <c r="Z278">
        <f t="shared" si="48"/>
        <v>4697.5813600000001</v>
      </c>
      <c r="AA278">
        <f t="shared" si="49"/>
        <v>4695.0307199999997</v>
      </c>
      <c r="AB278">
        <f t="shared" si="50"/>
        <v>4674.8840499999997</v>
      </c>
      <c r="AC278">
        <f t="shared" si="51"/>
        <v>4689.5729000000001</v>
      </c>
      <c r="AF278">
        <f t="shared" si="52"/>
        <v>4691.82917</v>
      </c>
      <c r="AG278">
        <f t="shared" si="53"/>
        <v>4697.5813600000001</v>
      </c>
      <c r="AH278">
        <f t="shared" si="54"/>
        <v>4674.8840499999997</v>
      </c>
    </row>
    <row r="279" spans="1:34" x14ac:dyDescent="0.55000000000000004">
      <c r="A279">
        <f>ALGLIB_SSA_XAUUSD!J279</f>
        <v>1775473500</v>
      </c>
      <c r="B279" t="str">
        <f>_xlfn.XLOOKUP($A279,ALGLIB_SSA_XAUUSD!$A$2:$A$1000,ALGLIB_SSA_XAUUSD!$B$2:$B$1000,"",0)</f>
        <v/>
      </c>
      <c r="C279" t="str">
        <f>_xlfn.XLOOKUP($A279,ALGLIB_SSA_XAUUSD!$A$2:$A$1000,ALGLIB_SSA_XAUUSD!$C$2:$C$1000,"",0)</f>
        <v/>
      </c>
      <c r="D279" s="1">
        <f>D278+(D290-D278)*1/12</f>
        <v>4677.9058333333332</v>
      </c>
      <c r="E279" s="1">
        <f>E278+(E290-E278)*1/12</f>
        <v>4686.476396666666</v>
      </c>
      <c r="F279" s="1">
        <f>F278+(F290-F278)*1/12</f>
        <v>4687.1483008333335</v>
      </c>
      <c r="G279" s="1">
        <f>G278+(G290-G278)*1/12</f>
        <v>4697.2565066666666</v>
      </c>
      <c r="H279" s="1">
        <f>H278+(H290-H278)*1/12</f>
        <v>4674.4132424999998</v>
      </c>
      <c r="I279" t="str">
        <f>_xlfn.XLOOKUP($A279,ALGLIB_SSA_XAUUSD!$J$2:$J$1000,ALGLIB_SSA_XAUUSD!$K$2:$K$1000,"",0)</f>
        <v>XAUUSD</v>
      </c>
      <c r="J279" t="str">
        <f>_xlfn.XLOOKUP($A279,ALGLIB_SSA_XAUUSD!$J$2:$J$1000,ALGLIB_SSA_XAUUSD!$L$2:$L$1000,"",0)</f>
        <v>M5</v>
      </c>
      <c r="K279">
        <f>_xlfn.XLOOKUP($A279,ALGLIB_SSA_XAUUSD!$J$2:$J$1000,ALGLIB_SSA_XAUUSD!$M$2:$M$1000,"",0)</f>
        <v>4692.58</v>
      </c>
      <c r="L279">
        <f>_xlfn.XLOOKUP($A279,ALGLIB_SSA_XAUUSD!$J$2:$J$1000,ALGLIB_SSA_XAUUSD!$N$2:$N$1000,"",0)</f>
        <v>4691.16428</v>
      </c>
      <c r="M279">
        <f>_xlfn.XLOOKUP($A279,ALGLIB_SSA_XAUUSD!$J$2:$J$1000,ALGLIB_SSA_XAUUSD!$O$2:$O$1000,"",0)</f>
        <v>4691.6319599999997</v>
      </c>
      <c r="N279">
        <f>_xlfn.XLOOKUP($A279,ALGLIB_SSA_XAUUSD!$J$2:$J$1000,ALGLIB_SSA_XAUUSD!$P$2:$P$1000,"",0)</f>
        <v>4694.4021599999996</v>
      </c>
      <c r="O279">
        <f>_xlfn.XLOOKUP($A279,ALGLIB_SSA_XAUUSD!$J$2:$J$1000,ALGLIB_SSA_XAUUSD!$Q$2:$Q$1000,"",0)</f>
        <v>4689.1510500000004</v>
      </c>
      <c r="R279">
        <f t="shared" si="44"/>
        <v>1775473500</v>
      </c>
      <c r="S279" t="str">
        <f t="shared" si="45"/>
        <v>XAUUSD</v>
      </c>
      <c r="T279" t="str">
        <f t="shared" si="46"/>
        <v>M5</v>
      </c>
      <c r="U279">
        <f t="shared" si="47"/>
        <v>4692.58</v>
      </c>
      <c r="V279">
        <v>4686.4763999999996</v>
      </c>
      <c r="W279">
        <v>4687.1482999999998</v>
      </c>
      <c r="X279">
        <v>4691.16428</v>
      </c>
      <c r="Y279">
        <v>4691.6319599999997</v>
      </c>
      <c r="Z279">
        <f t="shared" si="48"/>
        <v>4697.2565066666666</v>
      </c>
      <c r="AA279">
        <f t="shared" si="49"/>
        <v>4694.4021599999996</v>
      </c>
      <c r="AB279">
        <f t="shared" si="50"/>
        <v>4674.4132424999998</v>
      </c>
      <c r="AC279">
        <f t="shared" si="51"/>
        <v>4689.1510500000004</v>
      </c>
      <c r="AF279">
        <f t="shared" si="52"/>
        <v>4691.16428</v>
      </c>
      <c r="AG279">
        <f t="shared" si="53"/>
        <v>4697.2565066666666</v>
      </c>
      <c r="AH279">
        <f t="shared" si="54"/>
        <v>4674.4132424999998</v>
      </c>
    </row>
    <row r="280" spans="1:34" x14ac:dyDescent="0.55000000000000004">
      <c r="A280">
        <f>ALGLIB_SSA_XAUUSD!J280</f>
        <v>1775473800</v>
      </c>
      <c r="B280" t="str">
        <f>_xlfn.XLOOKUP($A280,ALGLIB_SSA_XAUUSD!$A$2:$A$1000,ALGLIB_SSA_XAUUSD!$B$2:$B$1000,"",0)</f>
        <v/>
      </c>
      <c r="C280" t="str">
        <f>_xlfn.XLOOKUP($A280,ALGLIB_SSA_XAUUSD!$A$2:$A$1000,ALGLIB_SSA_XAUUSD!$C$2:$C$1000,"",0)</f>
        <v/>
      </c>
      <c r="D280" s="1">
        <f>D278+(D290-D278)*2/12</f>
        <v>4677.7216666666664</v>
      </c>
      <c r="E280" s="1">
        <f>E278+(E290-E278)*2/12</f>
        <v>4686.0731733333332</v>
      </c>
      <c r="F280" s="1">
        <f>F278+(F290-F278)*2/12</f>
        <v>4686.9262416666661</v>
      </c>
      <c r="G280" s="1">
        <f>G278+(G290-G278)*2/12</f>
        <v>4696.9316533333331</v>
      </c>
      <c r="H280" s="1">
        <f>H278+(H290-H278)*2/12</f>
        <v>4673.9424349999999</v>
      </c>
      <c r="I280" t="str">
        <f>_xlfn.XLOOKUP($A280,ALGLIB_SSA_XAUUSD!$J$2:$J$1000,ALGLIB_SSA_XAUUSD!$K$2:$K$1000,"",0)</f>
        <v>XAUUSD</v>
      </c>
      <c r="J280" t="str">
        <f>_xlfn.XLOOKUP($A280,ALGLIB_SSA_XAUUSD!$J$2:$J$1000,ALGLIB_SSA_XAUUSD!$L$2:$L$1000,"",0)</f>
        <v>M5</v>
      </c>
      <c r="K280">
        <f>_xlfn.XLOOKUP($A280,ALGLIB_SSA_XAUUSD!$J$2:$J$1000,ALGLIB_SSA_XAUUSD!$M$2:$M$1000,"",0)</f>
        <v>4689.57</v>
      </c>
      <c r="L280">
        <f>_xlfn.XLOOKUP($A280,ALGLIB_SSA_XAUUSD!$J$2:$J$1000,ALGLIB_SSA_XAUUSD!$N$2:$N$1000,"",0)</f>
        <v>4690.4626799999996</v>
      </c>
      <c r="M280">
        <f>_xlfn.XLOOKUP($A280,ALGLIB_SSA_XAUUSD!$J$2:$J$1000,ALGLIB_SSA_XAUUSD!$O$2:$O$1000,"",0)</f>
        <v>4691.0473199999997</v>
      </c>
      <c r="N280">
        <f>_xlfn.XLOOKUP($A280,ALGLIB_SSA_XAUUSD!$J$2:$J$1000,ALGLIB_SSA_XAUUSD!$P$2:$P$1000,"",0)</f>
        <v>4693.5891799999999</v>
      </c>
      <c r="O280">
        <f>_xlfn.XLOOKUP($A280,ALGLIB_SSA_XAUUSD!$J$2:$J$1000,ALGLIB_SSA_XAUUSD!$Q$2:$Q$1000,"",0)</f>
        <v>4688.5202300000001</v>
      </c>
      <c r="R280">
        <f t="shared" si="44"/>
        <v>1775473800</v>
      </c>
      <c r="S280" t="str">
        <f t="shared" si="45"/>
        <v>XAUUSD</v>
      </c>
      <c r="T280" t="str">
        <f t="shared" si="46"/>
        <v>M5</v>
      </c>
      <c r="U280">
        <f t="shared" si="47"/>
        <v>4689.57</v>
      </c>
      <c r="V280">
        <v>4686.0731699999997</v>
      </c>
      <c r="W280">
        <v>4686.9262399999998</v>
      </c>
      <c r="X280">
        <v>4690.4626799999996</v>
      </c>
      <c r="Y280">
        <v>4691.0473199999997</v>
      </c>
      <c r="Z280">
        <f t="shared" si="48"/>
        <v>4696.9316533333331</v>
      </c>
      <c r="AA280">
        <f t="shared" si="49"/>
        <v>4693.5891799999999</v>
      </c>
      <c r="AB280">
        <f t="shared" si="50"/>
        <v>4673.9424349999999</v>
      </c>
      <c r="AC280">
        <f t="shared" si="51"/>
        <v>4688.5202300000001</v>
      </c>
      <c r="AF280">
        <f t="shared" si="52"/>
        <v>4690.4626799999996</v>
      </c>
      <c r="AG280">
        <f t="shared" si="53"/>
        <v>4696.9316533333331</v>
      </c>
      <c r="AH280">
        <f t="shared" si="54"/>
        <v>4673.9424349999999</v>
      </c>
    </row>
    <row r="281" spans="1:34" x14ac:dyDescent="0.55000000000000004">
      <c r="A281">
        <f>ALGLIB_SSA_XAUUSD!J281</f>
        <v>1775474100</v>
      </c>
      <c r="B281" t="str">
        <f>_xlfn.XLOOKUP($A281,ALGLIB_SSA_XAUUSD!$A$2:$A$1000,ALGLIB_SSA_XAUUSD!$B$2:$B$1000,"",0)</f>
        <v/>
      </c>
      <c r="C281" t="str">
        <f>_xlfn.XLOOKUP($A281,ALGLIB_SSA_XAUUSD!$A$2:$A$1000,ALGLIB_SSA_XAUUSD!$C$2:$C$1000,"",0)</f>
        <v/>
      </c>
      <c r="D281" s="1">
        <f>D278+(D290-D278)*3/12</f>
        <v>4677.5375000000004</v>
      </c>
      <c r="E281" s="1">
        <f>E278+(E290-E278)*3/12</f>
        <v>4685.6699499999995</v>
      </c>
      <c r="F281" s="1">
        <f>F278+(F290-F278)*3/12</f>
        <v>4686.7041824999997</v>
      </c>
      <c r="G281" s="1">
        <f>G278+(G290-G278)*3/12</f>
        <v>4696.6067999999996</v>
      </c>
      <c r="H281" s="1">
        <f>H278+(H290-H278)*3/12</f>
        <v>4673.4716275000001</v>
      </c>
      <c r="I281" t="str">
        <f>_xlfn.XLOOKUP($A281,ALGLIB_SSA_XAUUSD!$J$2:$J$1000,ALGLIB_SSA_XAUUSD!$K$2:$K$1000,"",0)</f>
        <v>XAUUSD</v>
      </c>
      <c r="J281" t="str">
        <f>_xlfn.XLOOKUP($A281,ALGLIB_SSA_XAUUSD!$J$2:$J$1000,ALGLIB_SSA_XAUUSD!$L$2:$L$1000,"",0)</f>
        <v>M5</v>
      </c>
      <c r="K281">
        <f>_xlfn.XLOOKUP($A281,ALGLIB_SSA_XAUUSD!$J$2:$J$1000,ALGLIB_SSA_XAUUSD!$M$2:$M$1000,"",0)</f>
        <v>4691.63</v>
      </c>
      <c r="L281">
        <f>_xlfn.XLOOKUP($A281,ALGLIB_SSA_XAUUSD!$J$2:$J$1000,ALGLIB_SSA_XAUUSD!$N$2:$N$1000,"",0)</f>
        <v>4689.89275</v>
      </c>
      <c r="M281">
        <f>_xlfn.XLOOKUP($A281,ALGLIB_SSA_XAUUSD!$J$2:$J$1000,ALGLIB_SSA_XAUUSD!$O$2:$O$1000,"",0)</f>
        <v>4690.4700300000004</v>
      </c>
      <c r="N281">
        <f>_xlfn.XLOOKUP($A281,ALGLIB_SSA_XAUUSD!$J$2:$J$1000,ALGLIB_SSA_XAUUSD!$P$2:$P$1000,"",0)</f>
        <v>4692.8150999999998</v>
      </c>
      <c r="O281">
        <f>_xlfn.XLOOKUP($A281,ALGLIB_SSA_XAUUSD!$J$2:$J$1000,ALGLIB_SSA_XAUUSD!$Q$2:$Q$1000,"",0)</f>
        <v>4687.8385399999997</v>
      </c>
      <c r="R281">
        <f t="shared" si="44"/>
        <v>1775474100</v>
      </c>
      <c r="S281" t="str">
        <f t="shared" si="45"/>
        <v>XAUUSD</v>
      </c>
      <c r="T281" t="str">
        <f t="shared" si="46"/>
        <v>M5</v>
      </c>
      <c r="U281">
        <f t="shared" si="47"/>
        <v>4691.63</v>
      </c>
      <c r="V281">
        <v>4685.6699500000004</v>
      </c>
      <c r="W281">
        <v>4686.7041799999997</v>
      </c>
      <c r="X281">
        <v>4689.89275</v>
      </c>
      <c r="Y281">
        <v>4690.4700300000004</v>
      </c>
      <c r="Z281">
        <f t="shared" si="48"/>
        <v>4696.6067999999996</v>
      </c>
      <c r="AA281">
        <f t="shared" si="49"/>
        <v>4692.8150999999998</v>
      </c>
      <c r="AB281">
        <f t="shared" si="50"/>
        <v>4673.4716275000001</v>
      </c>
      <c r="AC281">
        <f t="shared" si="51"/>
        <v>4687.8385399999997</v>
      </c>
      <c r="AF281">
        <f t="shared" si="52"/>
        <v>4689.89275</v>
      </c>
      <c r="AG281">
        <f t="shared" si="53"/>
        <v>4696.6067999999996</v>
      </c>
      <c r="AH281">
        <f t="shared" si="54"/>
        <v>4673.4716275000001</v>
      </c>
    </row>
    <row r="282" spans="1:34" x14ac:dyDescent="0.55000000000000004">
      <c r="A282">
        <f>ALGLIB_SSA_XAUUSD!J282</f>
        <v>1775474400</v>
      </c>
      <c r="B282" t="str">
        <f>_xlfn.XLOOKUP($A282,ALGLIB_SSA_XAUUSD!$A$2:$A$1000,ALGLIB_SSA_XAUUSD!$B$2:$B$1000,"",0)</f>
        <v/>
      </c>
      <c r="C282" t="str">
        <f>_xlfn.XLOOKUP($A282,ALGLIB_SSA_XAUUSD!$A$2:$A$1000,ALGLIB_SSA_XAUUSD!$C$2:$C$1000,"",0)</f>
        <v/>
      </c>
      <c r="D282" s="1">
        <f>D278+(D290-D278)*4/12</f>
        <v>4677.3533333333335</v>
      </c>
      <c r="E282" s="1">
        <f>E278+(E290-E278)*4/12</f>
        <v>4685.2667266666667</v>
      </c>
      <c r="F282" s="1">
        <f>F278+(F290-F278)*4/12</f>
        <v>4686.4821233333332</v>
      </c>
      <c r="G282" s="1">
        <f>G278+(G290-G278)*4/12</f>
        <v>4696.281946666667</v>
      </c>
      <c r="H282" s="1">
        <f>H278+(H290-H278)*4/12</f>
        <v>4673.0008200000002</v>
      </c>
      <c r="I282" t="str">
        <f>_xlfn.XLOOKUP($A282,ALGLIB_SSA_XAUUSD!$J$2:$J$1000,ALGLIB_SSA_XAUUSD!$K$2:$K$1000,"",0)</f>
        <v>XAUUSD</v>
      </c>
      <c r="J282" t="str">
        <f>_xlfn.XLOOKUP($A282,ALGLIB_SSA_XAUUSD!$J$2:$J$1000,ALGLIB_SSA_XAUUSD!$L$2:$L$1000,"",0)</f>
        <v>M5</v>
      </c>
      <c r="K282">
        <f>_xlfn.XLOOKUP($A282,ALGLIB_SSA_XAUUSD!$J$2:$J$1000,ALGLIB_SSA_XAUUSD!$M$2:$M$1000,"",0)</f>
        <v>4688.0600000000004</v>
      </c>
      <c r="L282">
        <f>_xlfn.XLOOKUP($A282,ALGLIB_SSA_XAUUSD!$J$2:$J$1000,ALGLIB_SSA_XAUUSD!$N$2:$N$1000,"",0)</f>
        <v>4689.4188199999999</v>
      </c>
      <c r="M282">
        <f>_xlfn.XLOOKUP($A282,ALGLIB_SSA_XAUUSD!$J$2:$J$1000,ALGLIB_SSA_XAUUSD!$O$2:$O$1000,"",0)</f>
        <v>4689.9444299999996</v>
      </c>
      <c r="N282">
        <f>_xlfn.XLOOKUP($A282,ALGLIB_SSA_XAUUSD!$J$2:$J$1000,ALGLIB_SSA_XAUUSD!$P$2:$P$1000,"",0)</f>
        <v>4692.2205299999996</v>
      </c>
      <c r="O282">
        <f>_xlfn.XLOOKUP($A282,ALGLIB_SSA_XAUUSD!$J$2:$J$1000,ALGLIB_SSA_XAUUSD!$Q$2:$Q$1000,"",0)</f>
        <v>4687.1923399999996</v>
      </c>
      <c r="R282">
        <f t="shared" si="44"/>
        <v>1775474400</v>
      </c>
      <c r="S282" t="str">
        <f t="shared" si="45"/>
        <v>XAUUSD</v>
      </c>
      <c r="T282" t="str">
        <f t="shared" si="46"/>
        <v>M5</v>
      </c>
      <c r="U282">
        <f t="shared" si="47"/>
        <v>4688.0600000000004</v>
      </c>
      <c r="V282">
        <v>4685.2667300000003</v>
      </c>
      <c r="W282">
        <v>4686.4821199999997</v>
      </c>
      <c r="X282">
        <v>4689.4188199999999</v>
      </c>
      <c r="Y282">
        <v>4689.9444299999996</v>
      </c>
      <c r="Z282">
        <f t="shared" si="48"/>
        <v>4696.281946666667</v>
      </c>
      <c r="AA282">
        <f t="shared" si="49"/>
        <v>4692.2205299999996</v>
      </c>
      <c r="AB282">
        <f t="shared" si="50"/>
        <v>4673.0008200000002</v>
      </c>
      <c r="AC282">
        <f t="shared" si="51"/>
        <v>4687.1923399999996</v>
      </c>
      <c r="AF282">
        <f t="shared" si="52"/>
        <v>4689.4188199999999</v>
      </c>
      <c r="AG282">
        <f t="shared" si="53"/>
        <v>4696.281946666667</v>
      </c>
      <c r="AH282">
        <f t="shared" si="54"/>
        <v>4673.0008200000002</v>
      </c>
    </row>
    <row r="283" spans="1:34" x14ac:dyDescent="0.55000000000000004">
      <c r="A283">
        <f>ALGLIB_SSA_XAUUSD!J283</f>
        <v>1775474700</v>
      </c>
      <c r="B283" t="str">
        <f>_xlfn.XLOOKUP($A283,ALGLIB_SSA_XAUUSD!$A$2:$A$1000,ALGLIB_SSA_XAUUSD!$B$2:$B$1000,"",0)</f>
        <v/>
      </c>
      <c r="C283" t="str">
        <f>_xlfn.XLOOKUP($A283,ALGLIB_SSA_XAUUSD!$A$2:$A$1000,ALGLIB_SSA_XAUUSD!$C$2:$C$1000,"",0)</f>
        <v/>
      </c>
      <c r="D283" s="1">
        <f>D278+(D290-D278)*5/12</f>
        <v>4677.1691666666666</v>
      </c>
      <c r="E283" s="1">
        <f>E278+(E290-E278)*5/12</f>
        <v>4684.863503333333</v>
      </c>
      <c r="F283" s="1">
        <f>F278+(F290-F278)*5/12</f>
        <v>4686.2600641666668</v>
      </c>
      <c r="G283" s="1">
        <f>G278+(G290-G278)*5/12</f>
        <v>4695.9570933333334</v>
      </c>
      <c r="H283" s="1">
        <f>H278+(H290-H278)*5/12</f>
        <v>4672.5300125000003</v>
      </c>
      <c r="I283" t="str">
        <f>_xlfn.XLOOKUP($A283,ALGLIB_SSA_XAUUSD!$J$2:$J$1000,ALGLIB_SSA_XAUUSD!$K$2:$K$1000,"",0)</f>
        <v>XAUUSD</v>
      </c>
      <c r="J283" t="str">
        <f>_xlfn.XLOOKUP($A283,ALGLIB_SSA_XAUUSD!$J$2:$J$1000,ALGLIB_SSA_XAUUSD!$L$2:$L$1000,"",0)</f>
        <v>M5</v>
      </c>
      <c r="K283">
        <f>_xlfn.XLOOKUP($A283,ALGLIB_SSA_XAUUSD!$J$2:$J$1000,ALGLIB_SSA_XAUUSD!$M$2:$M$1000,"",0)</f>
        <v>4688.5</v>
      </c>
      <c r="L283">
        <f>_xlfn.XLOOKUP($A283,ALGLIB_SSA_XAUUSD!$J$2:$J$1000,ALGLIB_SSA_XAUUSD!$N$2:$N$1000,"",0)</f>
        <v>4689.0505300000004</v>
      </c>
      <c r="M283">
        <f>_xlfn.XLOOKUP($A283,ALGLIB_SSA_XAUUSD!$J$2:$J$1000,ALGLIB_SSA_XAUUSD!$O$2:$O$1000,"",0)</f>
        <v>4689.49748</v>
      </c>
      <c r="N283">
        <f>_xlfn.XLOOKUP($A283,ALGLIB_SSA_XAUUSD!$J$2:$J$1000,ALGLIB_SSA_XAUUSD!$P$2:$P$1000,"",0)</f>
        <v>4691.79979</v>
      </c>
      <c r="O283">
        <f>_xlfn.XLOOKUP($A283,ALGLIB_SSA_XAUUSD!$J$2:$J$1000,ALGLIB_SSA_XAUUSD!$Q$2:$Q$1000,"",0)</f>
        <v>4686.66111</v>
      </c>
      <c r="R283">
        <f t="shared" si="44"/>
        <v>1775474700</v>
      </c>
      <c r="S283" t="str">
        <f t="shared" si="45"/>
        <v>XAUUSD</v>
      </c>
      <c r="T283" t="str">
        <f t="shared" si="46"/>
        <v>M5</v>
      </c>
      <c r="U283">
        <f t="shared" si="47"/>
        <v>4688.5</v>
      </c>
      <c r="V283">
        <v>4684.8635000000004</v>
      </c>
      <c r="W283">
        <v>4686.2600599999996</v>
      </c>
      <c r="X283">
        <v>4689.0505300000004</v>
      </c>
      <c r="Y283">
        <v>4689.49748</v>
      </c>
      <c r="Z283">
        <f t="shared" si="48"/>
        <v>4695.9570933333334</v>
      </c>
      <c r="AA283">
        <f t="shared" si="49"/>
        <v>4691.79979</v>
      </c>
      <c r="AB283">
        <f t="shared" si="50"/>
        <v>4672.5300125000003</v>
      </c>
      <c r="AC283">
        <f t="shared" si="51"/>
        <v>4686.66111</v>
      </c>
      <c r="AF283">
        <f t="shared" si="52"/>
        <v>4689.0505300000004</v>
      </c>
      <c r="AG283">
        <f t="shared" si="53"/>
        <v>4695.9570933333334</v>
      </c>
      <c r="AH283">
        <f t="shared" si="54"/>
        <v>4672.5300125000003</v>
      </c>
    </row>
    <row r="284" spans="1:34" x14ac:dyDescent="0.55000000000000004">
      <c r="A284">
        <f>ALGLIB_SSA_XAUUSD!J284</f>
        <v>1775475000</v>
      </c>
      <c r="B284" t="str">
        <f>_xlfn.XLOOKUP($A284,ALGLIB_SSA_XAUUSD!$A$2:$A$1000,ALGLIB_SSA_XAUUSD!$B$2:$B$1000,"",0)</f>
        <v/>
      </c>
      <c r="C284" t="str">
        <f>_xlfn.XLOOKUP($A284,ALGLIB_SSA_XAUUSD!$A$2:$A$1000,ALGLIB_SSA_XAUUSD!$C$2:$C$1000,"",0)</f>
        <v/>
      </c>
      <c r="D284" s="1">
        <f>D278+(D290-D278)*6/12</f>
        <v>4676.9850000000006</v>
      </c>
      <c r="E284" s="1">
        <f>E278+(E290-E278)*6/12</f>
        <v>4684.4602799999993</v>
      </c>
      <c r="F284" s="1">
        <f>F278+(F290-F278)*6/12</f>
        <v>4686.0380050000003</v>
      </c>
      <c r="G284" s="1">
        <f>G278+(G290-G278)*6/12</f>
        <v>4695.6322399999999</v>
      </c>
      <c r="H284" s="1">
        <f>H278+(H290-H278)*6/12</f>
        <v>4672.0592049999996</v>
      </c>
      <c r="I284" t="str">
        <f>_xlfn.XLOOKUP($A284,ALGLIB_SSA_XAUUSD!$J$2:$J$1000,ALGLIB_SSA_XAUUSD!$K$2:$K$1000,"",0)</f>
        <v>XAUUSD</v>
      </c>
      <c r="J284" t="str">
        <f>_xlfn.XLOOKUP($A284,ALGLIB_SSA_XAUUSD!$J$2:$J$1000,ALGLIB_SSA_XAUUSD!$L$2:$L$1000,"",0)</f>
        <v>M5</v>
      </c>
      <c r="K284">
        <f>_xlfn.XLOOKUP($A284,ALGLIB_SSA_XAUUSD!$J$2:$J$1000,ALGLIB_SSA_XAUUSD!$M$2:$M$1000,"",0)</f>
        <v>4689.41</v>
      </c>
      <c r="L284">
        <f>_xlfn.XLOOKUP($A284,ALGLIB_SSA_XAUUSD!$J$2:$J$1000,ALGLIB_SSA_XAUUSD!$N$2:$N$1000,"",0)</f>
        <v>4688.6322899999996</v>
      </c>
      <c r="M284">
        <f>_xlfn.XLOOKUP($A284,ALGLIB_SSA_XAUUSD!$J$2:$J$1000,ALGLIB_SSA_XAUUSD!$O$2:$O$1000,"",0)</f>
        <v>4689.0648799999999</v>
      </c>
      <c r="N284">
        <f>_xlfn.XLOOKUP($A284,ALGLIB_SSA_XAUUSD!$J$2:$J$1000,ALGLIB_SSA_XAUUSD!$P$2:$P$1000,"",0)</f>
        <v>4691.4970499999999</v>
      </c>
      <c r="O284">
        <f>_xlfn.XLOOKUP($A284,ALGLIB_SSA_XAUUSD!$J$2:$J$1000,ALGLIB_SSA_XAUUSD!$Q$2:$Q$1000,"",0)</f>
        <v>4686.1426700000002</v>
      </c>
      <c r="R284">
        <f t="shared" si="44"/>
        <v>1775475000</v>
      </c>
      <c r="S284" t="str">
        <f t="shared" si="45"/>
        <v>XAUUSD</v>
      </c>
      <c r="T284" t="str">
        <f t="shared" si="46"/>
        <v>M5</v>
      </c>
      <c r="U284">
        <f t="shared" si="47"/>
        <v>4689.41</v>
      </c>
      <c r="V284">
        <v>4684.4602800000002</v>
      </c>
      <c r="W284">
        <v>4686.0380100000002</v>
      </c>
      <c r="X284">
        <v>4688.6322899999996</v>
      </c>
      <c r="Y284">
        <v>4689.0648799999999</v>
      </c>
      <c r="Z284">
        <f t="shared" si="48"/>
        <v>4695.6322399999999</v>
      </c>
      <c r="AA284">
        <f t="shared" si="49"/>
        <v>4691.4970499999999</v>
      </c>
      <c r="AB284">
        <f t="shared" si="50"/>
        <v>4672.0592049999996</v>
      </c>
      <c r="AC284">
        <f t="shared" si="51"/>
        <v>4686.1426700000002</v>
      </c>
      <c r="AF284">
        <f t="shared" si="52"/>
        <v>4688.6322899999996</v>
      </c>
      <c r="AG284">
        <f t="shared" si="53"/>
        <v>4695.6322399999999</v>
      </c>
      <c r="AH284">
        <f t="shared" si="54"/>
        <v>4672.0592049999996</v>
      </c>
    </row>
    <row r="285" spans="1:34" x14ac:dyDescent="0.55000000000000004">
      <c r="A285">
        <f>ALGLIB_SSA_XAUUSD!J285</f>
        <v>1775475300</v>
      </c>
      <c r="B285" t="str">
        <f>_xlfn.XLOOKUP($A285,ALGLIB_SSA_XAUUSD!$A$2:$A$1000,ALGLIB_SSA_XAUUSD!$B$2:$B$1000,"",0)</f>
        <v/>
      </c>
      <c r="C285" t="str">
        <f>_xlfn.XLOOKUP($A285,ALGLIB_SSA_XAUUSD!$A$2:$A$1000,ALGLIB_SSA_XAUUSD!$C$2:$C$1000,"",0)</f>
        <v/>
      </c>
      <c r="D285" s="1">
        <f>D278+(D290-D278)*7/12</f>
        <v>4676.8008333333337</v>
      </c>
      <c r="E285" s="1">
        <f>E278+(E290-E278)*7/12</f>
        <v>4684.0570566666665</v>
      </c>
      <c r="F285" s="1">
        <f>F278+(F290-F278)*7/12</f>
        <v>4685.815945833333</v>
      </c>
      <c r="G285" s="1">
        <f>G278+(G290-G278)*7/12</f>
        <v>4695.3073866666664</v>
      </c>
      <c r="H285" s="1">
        <f>H278+(H290-H278)*7/12</f>
        <v>4671.5883974999997</v>
      </c>
      <c r="I285" t="str">
        <f>_xlfn.XLOOKUP($A285,ALGLIB_SSA_XAUUSD!$J$2:$J$1000,ALGLIB_SSA_XAUUSD!$K$2:$K$1000,"",0)</f>
        <v>XAUUSD</v>
      </c>
      <c r="J285" t="str">
        <f>_xlfn.XLOOKUP($A285,ALGLIB_SSA_XAUUSD!$J$2:$J$1000,ALGLIB_SSA_XAUUSD!$L$2:$L$1000,"",0)</f>
        <v>M5</v>
      </c>
      <c r="K285">
        <f>_xlfn.XLOOKUP($A285,ALGLIB_SSA_XAUUSD!$J$2:$J$1000,ALGLIB_SSA_XAUUSD!$M$2:$M$1000,"",0)</f>
        <v>4689.6499999999996</v>
      </c>
      <c r="L285">
        <f>_xlfn.XLOOKUP($A285,ALGLIB_SSA_XAUUSD!$J$2:$J$1000,ALGLIB_SSA_XAUUSD!$N$2:$N$1000,"",0)</f>
        <v>4687.9613200000003</v>
      </c>
      <c r="M285">
        <f>_xlfn.XLOOKUP($A285,ALGLIB_SSA_XAUUSD!$J$2:$J$1000,ALGLIB_SSA_XAUUSD!$O$2:$O$1000,"",0)</f>
        <v>4688.5131000000001</v>
      </c>
      <c r="N285">
        <f>_xlfn.XLOOKUP($A285,ALGLIB_SSA_XAUUSD!$J$2:$J$1000,ALGLIB_SSA_XAUUSD!$P$2:$P$1000,"",0)</f>
        <v>4691.0984500000004</v>
      </c>
      <c r="O285">
        <f>_xlfn.XLOOKUP($A285,ALGLIB_SSA_XAUUSD!$J$2:$J$1000,ALGLIB_SSA_XAUUSD!$Q$2:$Q$1000,"",0)</f>
        <v>4685.4689900000003</v>
      </c>
      <c r="R285">
        <f t="shared" si="44"/>
        <v>1775475300</v>
      </c>
      <c r="S285" t="str">
        <f t="shared" si="45"/>
        <v>XAUUSD</v>
      </c>
      <c r="T285" t="str">
        <f t="shared" si="46"/>
        <v>M5</v>
      </c>
      <c r="U285">
        <f t="shared" si="47"/>
        <v>4689.6499999999996</v>
      </c>
      <c r="V285">
        <v>4684.0570600000001</v>
      </c>
      <c r="W285">
        <v>4685.8159500000002</v>
      </c>
      <c r="X285">
        <v>4687.9613200000003</v>
      </c>
      <c r="Y285">
        <v>4688.5131000000001</v>
      </c>
      <c r="Z285">
        <f t="shared" si="48"/>
        <v>4695.3073866666664</v>
      </c>
      <c r="AA285">
        <f t="shared" si="49"/>
        <v>4691.0984500000004</v>
      </c>
      <c r="AB285">
        <f t="shared" si="50"/>
        <v>4671.5883974999997</v>
      </c>
      <c r="AC285">
        <f t="shared" si="51"/>
        <v>4685.4689900000003</v>
      </c>
      <c r="AF285">
        <f t="shared" si="52"/>
        <v>4687.9613200000003</v>
      </c>
      <c r="AG285">
        <f t="shared" si="53"/>
        <v>4695.3073866666664</v>
      </c>
      <c r="AH285">
        <f t="shared" si="54"/>
        <v>4671.5883974999997</v>
      </c>
    </row>
    <row r="286" spans="1:34" x14ac:dyDescent="0.55000000000000004">
      <c r="A286">
        <f>ALGLIB_SSA_XAUUSD!J286</f>
        <v>1775475600</v>
      </c>
      <c r="B286" t="str">
        <f>_xlfn.XLOOKUP($A286,ALGLIB_SSA_XAUUSD!$A$2:$A$1000,ALGLIB_SSA_XAUUSD!$B$2:$B$1000,"",0)</f>
        <v/>
      </c>
      <c r="C286" t="str">
        <f>_xlfn.XLOOKUP($A286,ALGLIB_SSA_XAUUSD!$A$2:$A$1000,ALGLIB_SSA_XAUUSD!$C$2:$C$1000,"",0)</f>
        <v/>
      </c>
      <c r="D286" s="1">
        <f>D278+(D290-D278)*8/12</f>
        <v>4676.6166666666668</v>
      </c>
      <c r="E286" s="1">
        <f>E278+(E290-E278)*8/12</f>
        <v>4683.6538333333328</v>
      </c>
      <c r="F286" s="1">
        <f>F278+(F290-F278)*8/12</f>
        <v>4685.5938866666665</v>
      </c>
      <c r="G286" s="1">
        <f>G278+(G290-G278)*8/12</f>
        <v>4694.9825333333329</v>
      </c>
      <c r="H286" s="1">
        <f>H278+(H290-H278)*8/12</f>
        <v>4671.1175899999998</v>
      </c>
      <c r="I286" t="str">
        <f>_xlfn.XLOOKUP($A286,ALGLIB_SSA_XAUUSD!$J$2:$J$1000,ALGLIB_SSA_XAUUSD!$K$2:$K$1000,"",0)</f>
        <v>XAUUSD</v>
      </c>
      <c r="J286" t="str">
        <f>_xlfn.XLOOKUP($A286,ALGLIB_SSA_XAUUSD!$J$2:$J$1000,ALGLIB_SSA_XAUUSD!$L$2:$L$1000,"",0)</f>
        <v>M5</v>
      </c>
      <c r="K286">
        <f>_xlfn.XLOOKUP($A286,ALGLIB_SSA_XAUUSD!$J$2:$J$1000,ALGLIB_SSA_XAUUSD!$M$2:$M$1000,"",0)</f>
        <v>4685.34</v>
      </c>
      <c r="L286">
        <f>_xlfn.XLOOKUP($A286,ALGLIB_SSA_XAUUSD!$J$2:$J$1000,ALGLIB_SSA_XAUUSD!$N$2:$N$1000,"",0)</f>
        <v>4686.8371299999999</v>
      </c>
      <c r="M286">
        <f>_xlfn.XLOOKUP($A286,ALGLIB_SSA_XAUUSD!$J$2:$J$1000,ALGLIB_SSA_XAUUSD!$O$2:$O$1000,"",0)</f>
        <v>4687.6751100000001</v>
      </c>
      <c r="N286">
        <f>_xlfn.XLOOKUP($A286,ALGLIB_SSA_XAUUSD!$J$2:$J$1000,ALGLIB_SSA_XAUUSD!$P$2:$P$1000,"",0)</f>
        <v>4690.3923000000004</v>
      </c>
      <c r="O286">
        <f>_xlfn.XLOOKUP($A286,ALGLIB_SSA_XAUUSD!$J$2:$J$1000,ALGLIB_SSA_XAUUSD!$Q$2:$Q$1000,"",0)</f>
        <v>4684.5075399999996</v>
      </c>
      <c r="R286">
        <f t="shared" si="44"/>
        <v>1775475600</v>
      </c>
      <c r="S286" t="str">
        <f t="shared" si="45"/>
        <v>XAUUSD</v>
      </c>
      <c r="T286" t="str">
        <f t="shared" si="46"/>
        <v>M5</v>
      </c>
      <c r="U286">
        <f t="shared" si="47"/>
        <v>4685.34</v>
      </c>
      <c r="V286">
        <v>4683.6538300000002</v>
      </c>
      <c r="W286">
        <v>4685.5938900000001</v>
      </c>
      <c r="X286">
        <v>4686.8371299999999</v>
      </c>
      <c r="Y286">
        <v>4687.6751100000001</v>
      </c>
      <c r="Z286">
        <f t="shared" si="48"/>
        <v>4694.9825333333329</v>
      </c>
      <c r="AA286">
        <f t="shared" si="49"/>
        <v>4690.3923000000004</v>
      </c>
      <c r="AB286">
        <f t="shared" si="50"/>
        <v>4671.1175899999998</v>
      </c>
      <c r="AC286">
        <f t="shared" si="51"/>
        <v>4684.5075399999996</v>
      </c>
      <c r="AF286">
        <f t="shared" si="52"/>
        <v>4686.8371299999999</v>
      </c>
      <c r="AG286">
        <f t="shared" si="53"/>
        <v>4694.9825333333329</v>
      </c>
      <c r="AH286">
        <f t="shared" si="54"/>
        <v>4671.1175899999998</v>
      </c>
    </row>
    <row r="287" spans="1:34" x14ac:dyDescent="0.55000000000000004">
      <c r="A287">
        <f>ALGLIB_SSA_XAUUSD!J287</f>
        <v>1775475900</v>
      </c>
      <c r="B287" t="str">
        <f>_xlfn.XLOOKUP($A287,ALGLIB_SSA_XAUUSD!$A$2:$A$1000,ALGLIB_SSA_XAUUSD!$B$2:$B$1000,"",0)</f>
        <v/>
      </c>
      <c r="C287" t="str">
        <f>_xlfn.XLOOKUP($A287,ALGLIB_SSA_XAUUSD!$A$2:$A$1000,ALGLIB_SSA_XAUUSD!$C$2:$C$1000,"",0)</f>
        <v/>
      </c>
      <c r="D287" s="1">
        <f>D278+(D290-D278)*9/12</f>
        <v>4676.4324999999999</v>
      </c>
      <c r="E287" s="1">
        <f>E278+(E290-E278)*9/12</f>
        <v>4683.2506100000001</v>
      </c>
      <c r="F287" s="1">
        <f>F278+(F290-F278)*9/12</f>
        <v>4685.3718275000001</v>
      </c>
      <c r="G287" s="1">
        <f>G278+(G290-G278)*9/12</f>
        <v>4694.6576800000003</v>
      </c>
      <c r="H287" s="1">
        <f>H278+(H290-H278)*9/12</f>
        <v>4670.6467825</v>
      </c>
      <c r="I287" t="str">
        <f>_xlfn.XLOOKUP($A287,ALGLIB_SSA_XAUUSD!$J$2:$J$1000,ALGLIB_SSA_XAUUSD!$K$2:$K$1000,"",0)</f>
        <v>XAUUSD</v>
      </c>
      <c r="J287" t="str">
        <f>_xlfn.XLOOKUP($A287,ALGLIB_SSA_XAUUSD!$J$2:$J$1000,ALGLIB_SSA_XAUUSD!$L$2:$L$1000,"",0)</f>
        <v>M5</v>
      </c>
      <c r="K287">
        <f>_xlfn.XLOOKUP($A287,ALGLIB_SSA_XAUUSD!$J$2:$J$1000,ALGLIB_SSA_XAUUSD!$M$2:$M$1000,"",0)</f>
        <v>4682.99</v>
      </c>
      <c r="L287">
        <f>_xlfn.XLOOKUP($A287,ALGLIB_SSA_XAUUSD!$J$2:$J$1000,ALGLIB_SSA_XAUUSD!$N$2:$N$1000,"",0)</f>
        <v>4685.2211399999997</v>
      </c>
      <c r="M287">
        <f>_xlfn.XLOOKUP($A287,ALGLIB_SSA_XAUUSD!$J$2:$J$1000,ALGLIB_SSA_XAUUSD!$O$2:$O$1000,"",0)</f>
        <v>4686.4481299999998</v>
      </c>
      <c r="N287">
        <f>_xlfn.XLOOKUP($A287,ALGLIB_SSA_XAUUSD!$J$2:$J$1000,ALGLIB_SSA_XAUUSD!$P$2:$P$1000,"",0)</f>
        <v>4689.1442500000003</v>
      </c>
      <c r="O287">
        <f>_xlfn.XLOOKUP($A287,ALGLIB_SSA_XAUUSD!$J$2:$J$1000,ALGLIB_SSA_XAUUSD!$Q$2:$Q$1000,"",0)</f>
        <v>4683.0767299999998</v>
      </c>
      <c r="R287">
        <f t="shared" si="44"/>
        <v>1775475900</v>
      </c>
      <c r="S287" t="str">
        <f t="shared" si="45"/>
        <v>XAUUSD</v>
      </c>
      <c r="T287" t="str">
        <f t="shared" si="46"/>
        <v>M5</v>
      </c>
      <c r="U287">
        <f t="shared" si="47"/>
        <v>4682.99</v>
      </c>
      <c r="V287">
        <v>4683.2506100000001</v>
      </c>
      <c r="W287">
        <v>4685.37183</v>
      </c>
      <c r="X287">
        <v>4685.2211399999997</v>
      </c>
      <c r="Y287">
        <v>4686.4481299999998</v>
      </c>
      <c r="Z287">
        <f t="shared" si="48"/>
        <v>4694.6576800000003</v>
      </c>
      <c r="AA287">
        <f t="shared" si="49"/>
        <v>4689.1442500000003</v>
      </c>
      <c r="AB287">
        <f t="shared" si="50"/>
        <v>4670.6467825</v>
      </c>
      <c r="AC287">
        <f t="shared" si="51"/>
        <v>4683.0767299999998</v>
      </c>
      <c r="AF287">
        <f t="shared" si="52"/>
        <v>4685.2211399999997</v>
      </c>
      <c r="AG287">
        <f t="shared" si="53"/>
        <v>4694.6576800000003</v>
      </c>
      <c r="AH287">
        <f t="shared" si="54"/>
        <v>4670.6467825</v>
      </c>
    </row>
    <row r="288" spans="1:34" x14ac:dyDescent="0.55000000000000004">
      <c r="A288">
        <f>ALGLIB_SSA_XAUUSD!J288</f>
        <v>1775476200</v>
      </c>
      <c r="B288" t="str">
        <f>_xlfn.XLOOKUP($A288,ALGLIB_SSA_XAUUSD!$A$2:$A$1000,ALGLIB_SSA_XAUUSD!$B$2:$B$1000,"",0)</f>
        <v/>
      </c>
      <c r="C288" t="str">
        <f>_xlfn.XLOOKUP($A288,ALGLIB_SSA_XAUUSD!$A$2:$A$1000,ALGLIB_SSA_XAUUSD!$C$2:$C$1000,"",0)</f>
        <v/>
      </c>
      <c r="D288" s="1">
        <f>D278+(D290-D278)*10/12</f>
        <v>4676.248333333333</v>
      </c>
      <c r="E288" s="1">
        <f>E278+(E290-E278)*10/12</f>
        <v>4682.8473866666664</v>
      </c>
      <c r="F288" s="1">
        <f>F278+(F290-F278)*10/12</f>
        <v>4685.1497683333328</v>
      </c>
      <c r="G288" s="1">
        <f>G278+(G290-G278)*10/12</f>
        <v>4694.3328266666667</v>
      </c>
      <c r="H288" s="1">
        <f>H278+(H290-H278)*10/12</f>
        <v>4670.1759750000001</v>
      </c>
      <c r="I288" t="str">
        <f>_xlfn.XLOOKUP($A288,ALGLIB_SSA_XAUUSD!$J$2:$J$1000,ALGLIB_SSA_XAUUSD!$K$2:$K$1000,"",0)</f>
        <v>XAUUSD</v>
      </c>
      <c r="J288" t="str">
        <f>_xlfn.XLOOKUP($A288,ALGLIB_SSA_XAUUSD!$J$2:$J$1000,ALGLIB_SSA_XAUUSD!$L$2:$L$1000,"",0)</f>
        <v>M5</v>
      </c>
      <c r="K288">
        <f>_xlfn.XLOOKUP($A288,ALGLIB_SSA_XAUUSD!$J$2:$J$1000,ALGLIB_SSA_XAUUSD!$M$2:$M$1000,"",0)</f>
        <v>4683.3999999999996</v>
      </c>
      <c r="L288">
        <f>_xlfn.XLOOKUP($A288,ALGLIB_SSA_XAUUSD!$J$2:$J$1000,ALGLIB_SSA_XAUUSD!$N$2:$N$1000,"",0)</f>
        <v>4683.1106499999996</v>
      </c>
      <c r="M288">
        <f>_xlfn.XLOOKUP($A288,ALGLIB_SSA_XAUUSD!$J$2:$J$1000,ALGLIB_SSA_XAUUSD!$O$2:$O$1000,"",0)</f>
        <v>4684.7793899999997</v>
      </c>
      <c r="N288">
        <f>_xlfn.XLOOKUP($A288,ALGLIB_SSA_XAUUSD!$J$2:$J$1000,ALGLIB_SSA_XAUUSD!$P$2:$P$1000,"",0)</f>
        <v>4687.4318000000003</v>
      </c>
      <c r="O288">
        <f>_xlfn.XLOOKUP($A288,ALGLIB_SSA_XAUUSD!$J$2:$J$1000,ALGLIB_SSA_XAUUSD!$Q$2:$Q$1000,"",0)</f>
        <v>4681.1264300000003</v>
      </c>
      <c r="R288">
        <f t="shared" si="44"/>
        <v>1775476200</v>
      </c>
      <c r="S288" t="str">
        <f t="shared" si="45"/>
        <v>XAUUSD</v>
      </c>
      <c r="T288" t="str">
        <f t="shared" si="46"/>
        <v>M5</v>
      </c>
      <c r="U288">
        <f t="shared" si="47"/>
        <v>4683.3999999999996</v>
      </c>
      <c r="V288">
        <v>4682.8473899999999</v>
      </c>
      <c r="W288">
        <v>4685.14977</v>
      </c>
      <c r="X288">
        <v>4683.1106499999996</v>
      </c>
      <c r="Y288">
        <v>4684.7793899999997</v>
      </c>
      <c r="Z288">
        <f t="shared" si="48"/>
        <v>4694.3328266666667</v>
      </c>
      <c r="AA288">
        <f t="shared" si="49"/>
        <v>4687.4318000000003</v>
      </c>
      <c r="AB288">
        <f t="shared" si="50"/>
        <v>4670.1759750000001</v>
      </c>
      <c r="AC288">
        <f t="shared" si="51"/>
        <v>4681.1264300000003</v>
      </c>
      <c r="AF288">
        <f t="shared" si="52"/>
        <v>4683.1106499999996</v>
      </c>
      <c r="AG288">
        <f t="shared" si="53"/>
        <v>4694.3328266666667</v>
      </c>
      <c r="AH288">
        <f t="shared" si="54"/>
        <v>4670.1759750000001</v>
      </c>
    </row>
    <row r="289" spans="1:34" x14ac:dyDescent="0.55000000000000004">
      <c r="A289">
        <f>ALGLIB_SSA_XAUUSD!J289</f>
        <v>1775476500</v>
      </c>
      <c r="B289" t="str">
        <f>_xlfn.XLOOKUP($A289,ALGLIB_SSA_XAUUSD!$A$2:$A$1000,ALGLIB_SSA_XAUUSD!$B$2:$B$1000,"",0)</f>
        <v/>
      </c>
      <c r="C289" t="str">
        <f>_xlfn.XLOOKUP($A289,ALGLIB_SSA_XAUUSD!$A$2:$A$1000,ALGLIB_SSA_XAUUSD!$C$2:$C$1000,"",0)</f>
        <v/>
      </c>
      <c r="D289" s="1">
        <f>D278+(D290-D278)*11/12</f>
        <v>4676.064166666667</v>
      </c>
      <c r="E289" s="1">
        <f>E278+(E290-E278)*11/12</f>
        <v>4682.4441633333336</v>
      </c>
      <c r="F289" s="1">
        <f>F278+(F290-F278)*11/12</f>
        <v>4684.9277091666663</v>
      </c>
      <c r="G289" s="1">
        <f>G278+(G290-G278)*11/12</f>
        <v>4694.0079733333332</v>
      </c>
      <c r="H289" s="1">
        <f>H278+(H290-H278)*11/12</f>
        <v>4669.7051675000002</v>
      </c>
      <c r="I289" t="str">
        <f>_xlfn.XLOOKUP($A289,ALGLIB_SSA_XAUUSD!$J$2:$J$1000,ALGLIB_SSA_XAUUSD!$K$2:$K$1000,"",0)</f>
        <v>XAUUSD</v>
      </c>
      <c r="J289" t="str">
        <f>_xlfn.XLOOKUP($A289,ALGLIB_SSA_XAUUSD!$J$2:$J$1000,ALGLIB_SSA_XAUUSD!$L$2:$L$1000,"",0)</f>
        <v>M5</v>
      </c>
      <c r="K289">
        <f>_xlfn.XLOOKUP($A289,ALGLIB_SSA_XAUUSD!$J$2:$J$1000,ALGLIB_SSA_XAUUSD!$M$2:$M$1000,"",0)</f>
        <v>4678.09</v>
      </c>
      <c r="L289">
        <f>_xlfn.XLOOKUP($A289,ALGLIB_SSA_XAUUSD!$J$2:$J$1000,ALGLIB_SSA_XAUUSD!$N$2:$N$1000,"",0)</f>
        <v>4680.5565699999997</v>
      </c>
      <c r="M289">
        <f>_xlfn.XLOOKUP($A289,ALGLIB_SSA_XAUUSD!$J$2:$J$1000,ALGLIB_SSA_XAUUSD!$O$2:$O$1000,"",0)</f>
        <v>4682.6679800000002</v>
      </c>
      <c r="N289">
        <f>_xlfn.XLOOKUP($A289,ALGLIB_SSA_XAUUSD!$J$2:$J$1000,ALGLIB_SSA_XAUUSD!$P$2:$P$1000,"",0)</f>
        <v>4685.3007100000004</v>
      </c>
      <c r="O289">
        <f>_xlfn.XLOOKUP($A289,ALGLIB_SSA_XAUUSD!$J$2:$J$1000,ALGLIB_SSA_XAUUSD!$Q$2:$Q$1000,"",0)</f>
        <v>4678.6751700000004</v>
      </c>
      <c r="R289">
        <f t="shared" si="44"/>
        <v>1775476500</v>
      </c>
      <c r="S289" t="str">
        <f t="shared" si="45"/>
        <v>XAUUSD</v>
      </c>
      <c r="T289" t="str">
        <f t="shared" si="46"/>
        <v>M5</v>
      </c>
      <c r="U289">
        <f t="shared" si="47"/>
        <v>4678.09</v>
      </c>
      <c r="V289">
        <v>4682.44416</v>
      </c>
      <c r="W289">
        <v>4684.9277099999999</v>
      </c>
      <c r="X289">
        <v>4680.5565699999997</v>
      </c>
      <c r="Y289">
        <v>4682.6679800000002</v>
      </c>
      <c r="Z289">
        <f t="shared" si="48"/>
        <v>4694.0079733333332</v>
      </c>
      <c r="AA289">
        <f t="shared" si="49"/>
        <v>4685.3007100000004</v>
      </c>
      <c r="AB289">
        <f t="shared" si="50"/>
        <v>4669.7051675000002</v>
      </c>
      <c r="AC289">
        <f t="shared" si="51"/>
        <v>4678.6751700000004</v>
      </c>
      <c r="AF289">
        <f t="shared" si="52"/>
        <v>4680.5565699999997</v>
      </c>
      <c r="AG289">
        <f t="shared" si="53"/>
        <v>4694.0079733333332</v>
      </c>
      <c r="AH289">
        <f t="shared" si="54"/>
        <v>4669.7051675000002</v>
      </c>
    </row>
    <row r="290" spans="1:34" x14ac:dyDescent="0.55000000000000004">
      <c r="A290">
        <f>ALGLIB_SSA_XAUUSD!J290</f>
        <v>1775476800</v>
      </c>
      <c r="B290" t="str">
        <f>_xlfn.XLOOKUP($A290,ALGLIB_SSA_XAUUSD!$A$2:$A$1000,ALGLIB_SSA_XAUUSD!$B$2:$B$1000,"",0)</f>
        <v>XAUUSD</v>
      </c>
      <c r="C290" t="str">
        <f>_xlfn.XLOOKUP($A290,ALGLIB_SSA_XAUUSD!$A$2:$A$1000,ALGLIB_SSA_XAUUSD!$C$2:$C$1000,"",0)</f>
        <v>H1</v>
      </c>
      <c r="D290" s="2">
        <f>_xlfn.XLOOKUP($A290,ALGLIB_SSA_XAUUSD!$A$2:$A$1000,ALGLIB_SSA_XAUUSD!$D$2:$D$1000,"",0)</f>
        <v>4675.88</v>
      </c>
      <c r="E290" s="2">
        <f>_xlfn.XLOOKUP($A290,ALGLIB_SSA_XAUUSD!$A$2:$A$1000,ALGLIB_SSA_XAUUSD!$E$2:$E$1000,"",0)</f>
        <v>4682.0409399999999</v>
      </c>
      <c r="F290" s="2">
        <f>_xlfn.XLOOKUP($A290,ALGLIB_SSA_XAUUSD!$A$2:$A$1000,ALGLIB_SSA_XAUUSD!$F$2:$F$1000,"",0)</f>
        <v>4684.7056499999999</v>
      </c>
      <c r="G290" s="2">
        <f>_xlfn.XLOOKUP($A290,ALGLIB_SSA_XAUUSD!$A$2:$A$1000,ALGLIB_SSA_XAUUSD!$G$2:$G$1000,"",0)</f>
        <v>4693.6831199999997</v>
      </c>
      <c r="H290" s="2">
        <f>_xlfn.XLOOKUP($A290,ALGLIB_SSA_XAUUSD!$A$2:$A$1000,ALGLIB_SSA_XAUUSD!$H$2:$H$1000,"",0)</f>
        <v>4669.2343600000004</v>
      </c>
      <c r="I290" t="str">
        <f>_xlfn.XLOOKUP($A290,ALGLIB_SSA_XAUUSD!$J$2:$J$1000,ALGLIB_SSA_XAUUSD!$K$2:$K$1000,"",0)</f>
        <v>XAUUSD</v>
      </c>
      <c r="J290" t="str">
        <f>_xlfn.XLOOKUP($A290,ALGLIB_SSA_XAUUSD!$J$2:$J$1000,ALGLIB_SSA_XAUUSD!$L$2:$L$1000,"",0)</f>
        <v>M5</v>
      </c>
      <c r="K290">
        <f>_xlfn.XLOOKUP($A290,ALGLIB_SSA_XAUUSD!$J$2:$J$1000,ALGLIB_SSA_XAUUSD!$M$2:$M$1000,"",0)</f>
        <v>4682.0200000000004</v>
      </c>
      <c r="L290">
        <f>_xlfn.XLOOKUP($A290,ALGLIB_SSA_XAUUSD!$J$2:$J$1000,ALGLIB_SSA_XAUUSD!$N$2:$N$1000,"",0)</f>
        <v>4677.86985</v>
      </c>
      <c r="M290">
        <f>_xlfn.XLOOKUP($A290,ALGLIB_SSA_XAUUSD!$J$2:$J$1000,ALGLIB_SSA_XAUUSD!$O$2:$O$1000,"",0)</f>
        <v>4680.2689200000004</v>
      </c>
      <c r="N290">
        <f>_xlfn.XLOOKUP($A290,ALGLIB_SSA_XAUUSD!$J$2:$J$1000,ALGLIB_SSA_XAUUSD!$P$2:$P$1000,"",0)</f>
        <v>4682.8309200000003</v>
      </c>
      <c r="O290">
        <f>_xlfn.XLOOKUP($A290,ALGLIB_SSA_XAUUSD!$J$2:$J$1000,ALGLIB_SSA_XAUUSD!$Q$2:$Q$1000,"",0)</f>
        <v>4675.8438999999998</v>
      </c>
      <c r="R290">
        <f t="shared" si="44"/>
        <v>1775476800</v>
      </c>
      <c r="S290" t="str">
        <f t="shared" si="45"/>
        <v>XAUUSD</v>
      </c>
      <c r="T290" t="str">
        <f t="shared" si="46"/>
        <v>M5</v>
      </c>
      <c r="U290">
        <f t="shared" si="47"/>
        <v>4682.0200000000004</v>
      </c>
      <c r="V290">
        <v>4682.0409399999999</v>
      </c>
      <c r="W290">
        <v>4684.7056499999999</v>
      </c>
      <c r="X290">
        <v>4677.86985</v>
      </c>
      <c r="Y290">
        <v>4680.2689200000004</v>
      </c>
      <c r="Z290">
        <f t="shared" si="48"/>
        <v>4693.6831199999997</v>
      </c>
      <c r="AA290">
        <f t="shared" si="49"/>
        <v>4682.8309200000003</v>
      </c>
      <c r="AB290">
        <f t="shared" si="50"/>
        <v>4669.2343600000004</v>
      </c>
      <c r="AC290">
        <f t="shared" si="51"/>
        <v>4675.8438999999998</v>
      </c>
      <c r="AF290">
        <f t="shared" si="52"/>
        <v>4677.86985</v>
      </c>
      <c r="AG290">
        <f t="shared" si="53"/>
        <v>4693.6831199999997</v>
      </c>
      <c r="AH290">
        <f t="shared" si="54"/>
        <v>4669.2343600000004</v>
      </c>
    </row>
    <row r="291" spans="1:34" x14ac:dyDescent="0.55000000000000004">
      <c r="A291">
        <f>ALGLIB_SSA_XAUUSD!J291</f>
        <v>1775477100</v>
      </c>
      <c r="B291" t="str">
        <f>_xlfn.XLOOKUP($A291,ALGLIB_SSA_XAUUSD!$A$2:$A$1000,ALGLIB_SSA_XAUUSD!$B$2:$B$1000,"",0)</f>
        <v/>
      </c>
      <c r="C291" t="str">
        <f>_xlfn.XLOOKUP($A291,ALGLIB_SSA_XAUUSD!$A$2:$A$1000,ALGLIB_SSA_XAUUSD!$C$2:$C$1000,"",0)</f>
        <v/>
      </c>
      <c r="D291" s="1">
        <f>D290+(D302-D290)*1/12</f>
        <v>4676.2358333333332</v>
      </c>
      <c r="E291" s="1">
        <f>E290+(E302-E290)*1/12</f>
        <v>4681.6038275000001</v>
      </c>
      <c r="F291" s="1">
        <f>F290+(F302-F290)*1/12</f>
        <v>4684.3760641666668</v>
      </c>
      <c r="G291" s="1">
        <f>G290+(G302-G290)*1/12</f>
        <v>4693.2620808333331</v>
      </c>
      <c r="H291" s="1">
        <f>H290+(H302-H290)*1/12</f>
        <v>4668.7375050000001</v>
      </c>
      <c r="I291" t="str">
        <f>_xlfn.XLOOKUP($A291,ALGLIB_SSA_XAUUSD!$J$2:$J$1000,ALGLIB_SSA_XAUUSD!$K$2:$K$1000,"",0)</f>
        <v>XAUUSD</v>
      </c>
      <c r="J291" t="str">
        <f>_xlfn.XLOOKUP($A291,ALGLIB_SSA_XAUUSD!$J$2:$J$1000,ALGLIB_SSA_XAUUSD!$L$2:$L$1000,"",0)</f>
        <v>M5</v>
      </c>
      <c r="K291">
        <f>_xlfn.XLOOKUP($A291,ALGLIB_SSA_XAUUSD!$J$2:$J$1000,ALGLIB_SSA_XAUUSD!$M$2:$M$1000,"",0)</f>
        <v>4679.3999999999996</v>
      </c>
      <c r="L291">
        <f>_xlfn.XLOOKUP($A291,ALGLIB_SSA_XAUUSD!$J$2:$J$1000,ALGLIB_SSA_XAUUSD!$N$2:$N$1000,"",0)</f>
        <v>4675.1975300000004</v>
      </c>
      <c r="M291">
        <f>_xlfn.XLOOKUP($A291,ALGLIB_SSA_XAUUSD!$J$2:$J$1000,ALGLIB_SSA_XAUUSD!$O$2:$O$1000,"",0)</f>
        <v>4677.7332200000001</v>
      </c>
      <c r="N291">
        <f>_xlfn.XLOOKUP($A291,ALGLIB_SSA_XAUUSD!$J$2:$J$1000,ALGLIB_SSA_XAUUSD!$P$2:$P$1000,"",0)</f>
        <v>4680.2411199999997</v>
      </c>
      <c r="O291">
        <f>_xlfn.XLOOKUP($A291,ALGLIB_SSA_XAUUSD!$J$2:$J$1000,ALGLIB_SSA_XAUUSD!$Q$2:$Q$1000,"",0)</f>
        <v>4672.82377</v>
      </c>
      <c r="R291">
        <f t="shared" si="44"/>
        <v>1775477100</v>
      </c>
      <c r="S291" t="str">
        <f t="shared" si="45"/>
        <v>XAUUSD</v>
      </c>
      <c r="T291" t="str">
        <f t="shared" si="46"/>
        <v>M5</v>
      </c>
      <c r="U291">
        <f t="shared" si="47"/>
        <v>4679.3999999999996</v>
      </c>
      <c r="V291">
        <v>4681.60383</v>
      </c>
      <c r="W291">
        <v>4684.3760599999996</v>
      </c>
      <c r="X291">
        <v>4675.1975300000004</v>
      </c>
      <c r="Y291">
        <v>4677.7332200000001</v>
      </c>
      <c r="Z291">
        <f t="shared" si="48"/>
        <v>4693.2620808333331</v>
      </c>
      <c r="AA291">
        <f t="shared" si="49"/>
        <v>4680.2411199999997</v>
      </c>
      <c r="AB291">
        <f t="shared" si="50"/>
        <v>4668.7375050000001</v>
      </c>
      <c r="AC291">
        <f t="shared" si="51"/>
        <v>4672.82377</v>
      </c>
      <c r="AF291">
        <f t="shared" si="52"/>
        <v>4675.1975300000004</v>
      </c>
      <c r="AG291">
        <f t="shared" si="53"/>
        <v>4693.2620808333331</v>
      </c>
      <c r="AH291">
        <f t="shared" si="54"/>
        <v>4668.7375050000001</v>
      </c>
    </row>
    <row r="292" spans="1:34" x14ac:dyDescent="0.55000000000000004">
      <c r="A292">
        <f>ALGLIB_SSA_XAUUSD!J292</f>
        <v>1775477400</v>
      </c>
      <c r="B292" t="str">
        <f>_xlfn.XLOOKUP($A292,ALGLIB_SSA_XAUUSD!$A$2:$A$1000,ALGLIB_SSA_XAUUSD!$B$2:$B$1000,"",0)</f>
        <v/>
      </c>
      <c r="C292" t="str">
        <f>_xlfn.XLOOKUP($A292,ALGLIB_SSA_XAUUSD!$A$2:$A$1000,ALGLIB_SSA_XAUUSD!$C$2:$C$1000,"",0)</f>
        <v/>
      </c>
      <c r="D292" s="1">
        <f>D290+(D302-D290)*2/12</f>
        <v>4676.5916666666672</v>
      </c>
      <c r="E292" s="1">
        <f>E290+(E302-E290)*2/12</f>
        <v>4681.1667149999994</v>
      </c>
      <c r="F292" s="1">
        <f>F290+(F302-F290)*2/12</f>
        <v>4684.0464783333337</v>
      </c>
      <c r="G292" s="1">
        <f>G290+(G302-G290)*2/12</f>
        <v>4692.8410416666666</v>
      </c>
      <c r="H292" s="1">
        <f>H290+(H302-H290)*2/12</f>
        <v>4668.2406500000006</v>
      </c>
      <c r="I292" t="str">
        <f>_xlfn.XLOOKUP($A292,ALGLIB_SSA_XAUUSD!$J$2:$J$1000,ALGLIB_SSA_XAUUSD!$K$2:$K$1000,"",0)</f>
        <v>XAUUSD</v>
      </c>
      <c r="J292" t="str">
        <f>_xlfn.XLOOKUP($A292,ALGLIB_SSA_XAUUSD!$J$2:$J$1000,ALGLIB_SSA_XAUUSD!$L$2:$L$1000,"",0)</f>
        <v>M5</v>
      </c>
      <c r="K292">
        <f>_xlfn.XLOOKUP($A292,ALGLIB_SSA_XAUUSD!$J$2:$J$1000,ALGLIB_SSA_XAUUSD!$M$2:$M$1000,"",0)</f>
        <v>4672.5200000000004</v>
      </c>
      <c r="L292">
        <f>_xlfn.XLOOKUP($A292,ALGLIB_SSA_XAUUSD!$J$2:$J$1000,ALGLIB_SSA_XAUUSD!$N$2:$N$1000,"",0)</f>
        <v>4672.9005999999999</v>
      </c>
      <c r="M292">
        <f>_xlfn.XLOOKUP($A292,ALGLIB_SSA_XAUUSD!$J$2:$J$1000,ALGLIB_SSA_XAUUSD!$O$2:$O$1000,"",0)</f>
        <v>4675.3169099999996</v>
      </c>
      <c r="N292">
        <f>_xlfn.XLOOKUP($A292,ALGLIB_SSA_XAUUSD!$J$2:$J$1000,ALGLIB_SSA_XAUUSD!$P$2:$P$1000,"",0)</f>
        <v>4677.7300400000004</v>
      </c>
      <c r="O292">
        <f>_xlfn.XLOOKUP($A292,ALGLIB_SSA_XAUUSD!$J$2:$J$1000,ALGLIB_SSA_XAUUSD!$Q$2:$Q$1000,"",0)</f>
        <v>4669.9264700000003</v>
      </c>
      <c r="R292">
        <f t="shared" si="44"/>
        <v>1775477400</v>
      </c>
      <c r="S292" t="str">
        <f t="shared" si="45"/>
        <v>XAUUSD</v>
      </c>
      <c r="T292" t="str">
        <f t="shared" si="46"/>
        <v>M5</v>
      </c>
      <c r="U292">
        <f t="shared" si="47"/>
        <v>4672.5200000000004</v>
      </c>
      <c r="V292">
        <v>4681.1667100000004</v>
      </c>
      <c r="W292">
        <v>4684.04648</v>
      </c>
      <c r="X292">
        <v>4672.9005999999999</v>
      </c>
      <c r="Y292">
        <v>4675.3169099999996</v>
      </c>
      <c r="Z292">
        <f t="shared" si="48"/>
        <v>4692.8410416666666</v>
      </c>
      <c r="AA292">
        <f t="shared" si="49"/>
        <v>4677.7300400000004</v>
      </c>
      <c r="AB292">
        <f t="shared" si="50"/>
        <v>4668.2406500000006</v>
      </c>
      <c r="AC292">
        <f t="shared" si="51"/>
        <v>4669.9264700000003</v>
      </c>
      <c r="AF292">
        <f t="shared" si="52"/>
        <v>4672.9005999999999</v>
      </c>
      <c r="AG292">
        <f t="shared" si="53"/>
        <v>4692.8410416666666</v>
      </c>
      <c r="AH292">
        <f t="shared" si="54"/>
        <v>4668.2406500000006</v>
      </c>
    </row>
    <row r="293" spans="1:34" x14ac:dyDescent="0.55000000000000004">
      <c r="A293">
        <f>ALGLIB_SSA_XAUUSD!J293</f>
        <v>1775477700</v>
      </c>
      <c r="B293" t="str">
        <f>_xlfn.XLOOKUP($A293,ALGLIB_SSA_XAUUSD!$A$2:$A$1000,ALGLIB_SSA_XAUUSD!$B$2:$B$1000,"",0)</f>
        <v/>
      </c>
      <c r="C293" t="str">
        <f>_xlfn.XLOOKUP($A293,ALGLIB_SSA_XAUUSD!$A$2:$A$1000,ALGLIB_SSA_XAUUSD!$C$2:$C$1000,"",0)</f>
        <v/>
      </c>
      <c r="D293" s="1">
        <f>D290+(D302-D290)*3/12</f>
        <v>4676.9475000000002</v>
      </c>
      <c r="E293" s="1">
        <f>E290+(E302-E290)*3/12</f>
        <v>4680.7296024999996</v>
      </c>
      <c r="F293" s="1">
        <f>F290+(F302-F290)*3/12</f>
        <v>4683.7168924999996</v>
      </c>
      <c r="G293" s="1">
        <f>G290+(G302-G290)*3/12</f>
        <v>4692.4200025</v>
      </c>
      <c r="H293" s="1">
        <f>H290+(H302-H290)*3/12</f>
        <v>4667.7437950000003</v>
      </c>
      <c r="I293" t="str">
        <f>_xlfn.XLOOKUP($A293,ALGLIB_SSA_XAUUSD!$J$2:$J$1000,ALGLIB_SSA_XAUUSD!$K$2:$K$1000,"",0)</f>
        <v>XAUUSD</v>
      </c>
      <c r="J293" t="str">
        <f>_xlfn.XLOOKUP($A293,ALGLIB_SSA_XAUUSD!$J$2:$J$1000,ALGLIB_SSA_XAUUSD!$L$2:$L$1000,"",0)</f>
        <v>M5</v>
      </c>
      <c r="K293">
        <f>_xlfn.XLOOKUP($A293,ALGLIB_SSA_XAUUSD!$J$2:$J$1000,ALGLIB_SSA_XAUUSD!$M$2:$M$1000,"",0)</f>
        <v>4673.13</v>
      </c>
      <c r="L293">
        <f>_xlfn.XLOOKUP($A293,ALGLIB_SSA_XAUUSD!$J$2:$J$1000,ALGLIB_SSA_XAUUSD!$N$2:$N$1000,"",0)</f>
        <v>4671.3973900000001</v>
      </c>
      <c r="M293">
        <f>_xlfn.XLOOKUP($A293,ALGLIB_SSA_XAUUSD!$J$2:$J$1000,ALGLIB_SSA_XAUUSD!$O$2:$O$1000,"",0)</f>
        <v>4673.3571499999998</v>
      </c>
      <c r="N293">
        <f>_xlfn.XLOOKUP($A293,ALGLIB_SSA_XAUUSD!$J$2:$J$1000,ALGLIB_SSA_XAUUSD!$P$2:$P$1000,"",0)</f>
        <v>4675.7687100000003</v>
      </c>
      <c r="O293">
        <f>_xlfn.XLOOKUP($A293,ALGLIB_SSA_XAUUSD!$J$2:$J$1000,ALGLIB_SSA_XAUUSD!$Q$2:$Q$1000,"",0)</f>
        <v>4667.6580100000001</v>
      </c>
      <c r="R293">
        <f t="shared" si="44"/>
        <v>1775477700</v>
      </c>
      <c r="S293" t="str">
        <f t="shared" si="45"/>
        <v>XAUUSD</v>
      </c>
      <c r="T293" t="str">
        <f t="shared" si="46"/>
        <v>M5</v>
      </c>
      <c r="U293">
        <f t="shared" si="47"/>
        <v>4673.13</v>
      </c>
      <c r="V293">
        <v>4680.7295999999997</v>
      </c>
      <c r="W293">
        <v>4683.7168899999997</v>
      </c>
      <c r="X293">
        <v>4671.3973900000001</v>
      </c>
      <c r="Y293">
        <v>4673.3571499999998</v>
      </c>
      <c r="Z293">
        <f t="shared" si="48"/>
        <v>4692.4200025</v>
      </c>
      <c r="AA293">
        <f t="shared" si="49"/>
        <v>4675.7687100000003</v>
      </c>
      <c r="AB293">
        <f t="shared" si="50"/>
        <v>4667.7437950000003</v>
      </c>
      <c r="AC293">
        <f t="shared" si="51"/>
        <v>4667.6580100000001</v>
      </c>
      <c r="AF293">
        <f t="shared" si="52"/>
        <v>4671.3973900000001</v>
      </c>
      <c r="AG293">
        <f t="shared" si="53"/>
        <v>4692.4200025</v>
      </c>
      <c r="AH293">
        <f t="shared" si="54"/>
        <v>4667.7437950000003</v>
      </c>
    </row>
    <row r="294" spans="1:34" x14ac:dyDescent="0.55000000000000004">
      <c r="A294">
        <f>ALGLIB_SSA_XAUUSD!J294</f>
        <v>1775478000</v>
      </c>
      <c r="B294" t="str">
        <f>_xlfn.XLOOKUP($A294,ALGLIB_SSA_XAUUSD!$A$2:$A$1000,ALGLIB_SSA_XAUUSD!$B$2:$B$1000,"",0)</f>
        <v/>
      </c>
      <c r="C294" t="str">
        <f>_xlfn.XLOOKUP($A294,ALGLIB_SSA_XAUUSD!$A$2:$A$1000,ALGLIB_SSA_XAUUSD!$C$2:$C$1000,"",0)</f>
        <v/>
      </c>
      <c r="D294" s="1">
        <f>D290+(D302-D290)*4/12</f>
        <v>4677.3033333333333</v>
      </c>
      <c r="E294" s="1">
        <f>E290+(E302-E290)*4/12</f>
        <v>4680.2924899999998</v>
      </c>
      <c r="F294" s="1">
        <f>F290+(F302-F290)*4/12</f>
        <v>4683.3873066666665</v>
      </c>
      <c r="G294" s="1">
        <f>G290+(G302-G290)*4/12</f>
        <v>4691.9989633333334</v>
      </c>
      <c r="H294" s="1">
        <f>H290+(H302-H290)*4/12</f>
        <v>4667.24694</v>
      </c>
      <c r="I294" t="str">
        <f>_xlfn.XLOOKUP($A294,ALGLIB_SSA_XAUUSD!$J$2:$J$1000,ALGLIB_SSA_XAUUSD!$K$2:$K$1000,"",0)</f>
        <v>XAUUSD</v>
      </c>
      <c r="J294" t="str">
        <f>_xlfn.XLOOKUP($A294,ALGLIB_SSA_XAUUSD!$J$2:$J$1000,ALGLIB_SSA_XAUUSD!$L$2:$L$1000,"",0)</f>
        <v>M5</v>
      </c>
      <c r="K294">
        <f>_xlfn.XLOOKUP($A294,ALGLIB_SSA_XAUUSD!$J$2:$J$1000,ALGLIB_SSA_XAUUSD!$M$2:$M$1000,"",0)</f>
        <v>4664.16</v>
      </c>
      <c r="L294">
        <f>_xlfn.XLOOKUP($A294,ALGLIB_SSA_XAUUSD!$J$2:$J$1000,ALGLIB_SSA_XAUUSD!$N$2:$N$1000,"",0)</f>
        <v>4670.8042100000002</v>
      </c>
      <c r="M294">
        <f>_xlfn.XLOOKUP($A294,ALGLIB_SSA_XAUUSD!$J$2:$J$1000,ALGLIB_SSA_XAUUSD!$O$2:$O$1000,"",0)</f>
        <v>4672.08068</v>
      </c>
      <c r="N294">
        <f>_xlfn.XLOOKUP($A294,ALGLIB_SSA_XAUUSD!$J$2:$J$1000,ALGLIB_SSA_XAUUSD!$P$2:$P$1000,"",0)</f>
        <v>4674.71288</v>
      </c>
      <c r="O294">
        <f>_xlfn.XLOOKUP($A294,ALGLIB_SSA_XAUUSD!$J$2:$J$1000,ALGLIB_SSA_XAUUSD!$Q$2:$Q$1000,"",0)</f>
        <v>4666.3496699999996</v>
      </c>
      <c r="R294">
        <f t="shared" si="44"/>
        <v>1775478000</v>
      </c>
      <c r="S294" t="str">
        <f t="shared" si="45"/>
        <v>XAUUSD</v>
      </c>
      <c r="T294" t="str">
        <f t="shared" si="46"/>
        <v>M5</v>
      </c>
      <c r="U294">
        <f t="shared" si="47"/>
        <v>4664.16</v>
      </c>
      <c r="V294">
        <v>4680.2924899999998</v>
      </c>
      <c r="W294">
        <v>4683.3873100000001</v>
      </c>
      <c r="X294">
        <v>4670.8042100000002</v>
      </c>
      <c r="Y294">
        <v>4672.08068</v>
      </c>
      <c r="Z294">
        <f t="shared" si="48"/>
        <v>4691.9989633333334</v>
      </c>
      <c r="AA294">
        <f t="shared" si="49"/>
        <v>4674.71288</v>
      </c>
      <c r="AB294">
        <f t="shared" si="50"/>
        <v>4667.24694</v>
      </c>
      <c r="AC294">
        <f t="shared" si="51"/>
        <v>4666.3496699999996</v>
      </c>
      <c r="AF294">
        <f t="shared" si="52"/>
        <v>4670.8042100000002</v>
      </c>
      <c r="AG294">
        <f t="shared" si="53"/>
        <v>4691.9989633333334</v>
      </c>
      <c r="AH294">
        <f t="shared" si="54"/>
        <v>4667.24694</v>
      </c>
    </row>
    <row r="295" spans="1:34" x14ac:dyDescent="0.55000000000000004">
      <c r="A295">
        <f>ALGLIB_SSA_XAUUSD!J295</f>
        <v>1775478300</v>
      </c>
      <c r="B295" t="str">
        <f>_xlfn.XLOOKUP($A295,ALGLIB_SSA_XAUUSD!$A$2:$A$1000,ALGLIB_SSA_XAUUSD!$B$2:$B$1000,"",0)</f>
        <v/>
      </c>
      <c r="C295" t="str">
        <f>_xlfn.XLOOKUP($A295,ALGLIB_SSA_XAUUSD!$A$2:$A$1000,ALGLIB_SSA_XAUUSD!$C$2:$C$1000,"",0)</f>
        <v/>
      </c>
      <c r="D295" s="1">
        <f>D290+(D302-D290)*5/12</f>
        <v>4677.6591666666664</v>
      </c>
      <c r="E295" s="1">
        <f>E290+(E302-E290)*5/12</f>
        <v>4679.8553775</v>
      </c>
      <c r="F295" s="1">
        <f>F290+(F302-F290)*5/12</f>
        <v>4683.0577208333334</v>
      </c>
      <c r="G295" s="1">
        <f>G290+(G302-G290)*5/12</f>
        <v>4691.5779241666669</v>
      </c>
      <c r="H295" s="1">
        <f>H290+(H302-H290)*5/12</f>
        <v>4666.7500850000006</v>
      </c>
      <c r="I295" t="str">
        <f>_xlfn.XLOOKUP($A295,ALGLIB_SSA_XAUUSD!$J$2:$J$1000,ALGLIB_SSA_XAUUSD!$K$2:$K$1000,"",0)</f>
        <v>XAUUSD</v>
      </c>
      <c r="J295" t="str">
        <f>_xlfn.XLOOKUP($A295,ALGLIB_SSA_XAUUSD!$J$2:$J$1000,ALGLIB_SSA_XAUUSD!$L$2:$L$1000,"",0)</f>
        <v>M5</v>
      </c>
      <c r="K295">
        <f>_xlfn.XLOOKUP($A295,ALGLIB_SSA_XAUUSD!$J$2:$J$1000,ALGLIB_SSA_XAUUSD!$M$2:$M$1000,"",0)</f>
        <v>4666.07</v>
      </c>
      <c r="L295">
        <f>_xlfn.XLOOKUP($A295,ALGLIB_SSA_XAUUSD!$J$2:$J$1000,ALGLIB_SSA_XAUUSD!$N$2:$N$1000,"",0)</f>
        <v>4671.2931500000004</v>
      </c>
      <c r="M295">
        <f>_xlfn.XLOOKUP($A295,ALGLIB_SSA_XAUUSD!$J$2:$J$1000,ALGLIB_SSA_XAUUSD!$O$2:$O$1000,"",0)</f>
        <v>4671.6869100000004</v>
      </c>
      <c r="N295">
        <f>_xlfn.XLOOKUP($A295,ALGLIB_SSA_XAUUSD!$J$2:$J$1000,ALGLIB_SSA_XAUUSD!$P$2:$P$1000,"",0)</f>
        <v>4674.61751</v>
      </c>
      <c r="O295">
        <f>_xlfn.XLOOKUP($A295,ALGLIB_SSA_XAUUSD!$J$2:$J$1000,ALGLIB_SSA_XAUUSD!$Q$2:$Q$1000,"",0)</f>
        <v>4666.2949200000003</v>
      </c>
      <c r="R295">
        <f t="shared" si="44"/>
        <v>1775478300</v>
      </c>
      <c r="S295" t="str">
        <f t="shared" si="45"/>
        <v>XAUUSD</v>
      </c>
      <c r="T295" t="str">
        <f t="shared" si="46"/>
        <v>M5</v>
      </c>
      <c r="U295">
        <f t="shared" si="47"/>
        <v>4666.07</v>
      </c>
      <c r="V295">
        <v>4679.85538</v>
      </c>
      <c r="W295">
        <v>4683.0577199999998</v>
      </c>
      <c r="X295">
        <v>4671.2931500000004</v>
      </c>
      <c r="Y295">
        <v>4671.6869100000004</v>
      </c>
      <c r="Z295">
        <f t="shared" si="48"/>
        <v>4691.5779241666669</v>
      </c>
      <c r="AA295">
        <f t="shared" si="49"/>
        <v>4674.61751</v>
      </c>
      <c r="AB295">
        <f t="shared" si="50"/>
        <v>4666.7500850000006</v>
      </c>
      <c r="AC295">
        <f t="shared" si="51"/>
        <v>4666.2949200000003</v>
      </c>
      <c r="AF295">
        <f t="shared" si="52"/>
        <v>4671.2931500000004</v>
      </c>
      <c r="AG295">
        <f t="shared" si="53"/>
        <v>4691.5779241666669</v>
      </c>
      <c r="AH295">
        <f t="shared" si="54"/>
        <v>4666.7500850000006</v>
      </c>
    </row>
    <row r="296" spans="1:34" x14ac:dyDescent="0.55000000000000004">
      <c r="A296">
        <f>ALGLIB_SSA_XAUUSD!J296</f>
        <v>1775478600</v>
      </c>
      <c r="B296" t="str">
        <f>_xlfn.XLOOKUP($A296,ALGLIB_SSA_XAUUSD!$A$2:$A$1000,ALGLIB_SSA_XAUUSD!$B$2:$B$1000,"",0)</f>
        <v/>
      </c>
      <c r="C296" t="str">
        <f>_xlfn.XLOOKUP($A296,ALGLIB_SSA_XAUUSD!$A$2:$A$1000,ALGLIB_SSA_XAUUSD!$C$2:$C$1000,"",0)</f>
        <v/>
      </c>
      <c r="D296" s="1">
        <f>D290+(D302-D290)*6/12</f>
        <v>4678.0149999999994</v>
      </c>
      <c r="E296" s="1">
        <f>E290+(E302-E290)*6/12</f>
        <v>4679.4182650000002</v>
      </c>
      <c r="F296" s="1">
        <f>F290+(F302-F290)*6/12</f>
        <v>4682.7281349999994</v>
      </c>
      <c r="G296" s="1">
        <f>G290+(G302-G290)*6/12</f>
        <v>4691.1568850000003</v>
      </c>
      <c r="H296" s="1">
        <f>H290+(H302-H290)*6/12</f>
        <v>4666.2532300000003</v>
      </c>
      <c r="I296" t="str">
        <f>_xlfn.XLOOKUP($A296,ALGLIB_SSA_XAUUSD!$J$2:$J$1000,ALGLIB_SSA_XAUUSD!$K$2:$K$1000,"",0)</f>
        <v>XAUUSD</v>
      </c>
      <c r="J296" t="str">
        <f>_xlfn.XLOOKUP($A296,ALGLIB_SSA_XAUUSD!$J$2:$J$1000,ALGLIB_SSA_XAUUSD!$L$2:$L$1000,"",0)</f>
        <v>M5</v>
      </c>
      <c r="K296">
        <f>_xlfn.XLOOKUP($A296,ALGLIB_SSA_XAUUSD!$J$2:$J$1000,ALGLIB_SSA_XAUUSD!$M$2:$M$1000,"",0)</f>
        <v>4673.67</v>
      </c>
      <c r="L296">
        <f>_xlfn.XLOOKUP($A296,ALGLIB_SSA_XAUUSD!$J$2:$J$1000,ALGLIB_SSA_XAUUSD!$N$2:$N$1000,"",0)</f>
        <v>4672.5688499999997</v>
      </c>
      <c r="M296">
        <f>_xlfn.XLOOKUP($A296,ALGLIB_SSA_XAUUSD!$J$2:$J$1000,ALGLIB_SSA_XAUUSD!$O$2:$O$1000,"",0)</f>
        <v>4672.12788</v>
      </c>
      <c r="N296">
        <f>_xlfn.XLOOKUP($A296,ALGLIB_SSA_XAUUSD!$J$2:$J$1000,ALGLIB_SSA_XAUUSD!$P$2:$P$1000,"",0)</f>
        <v>4675.4415900000004</v>
      </c>
      <c r="O296">
        <f>_xlfn.XLOOKUP($A296,ALGLIB_SSA_XAUUSD!$J$2:$J$1000,ALGLIB_SSA_XAUUSD!$Q$2:$Q$1000,"",0)</f>
        <v>4667.4068299999999</v>
      </c>
      <c r="R296">
        <f t="shared" si="44"/>
        <v>1775478600</v>
      </c>
      <c r="S296" t="str">
        <f t="shared" si="45"/>
        <v>XAUUSD</v>
      </c>
      <c r="T296" t="str">
        <f t="shared" si="46"/>
        <v>M5</v>
      </c>
      <c r="U296">
        <f t="shared" si="47"/>
        <v>4673.67</v>
      </c>
      <c r="V296">
        <v>4679.4182700000001</v>
      </c>
      <c r="W296">
        <v>4682.7281300000004</v>
      </c>
      <c r="X296">
        <v>4672.5688499999997</v>
      </c>
      <c r="Y296">
        <v>4672.12788</v>
      </c>
      <c r="Z296">
        <f t="shared" si="48"/>
        <v>4691.1568850000003</v>
      </c>
      <c r="AA296">
        <f t="shared" si="49"/>
        <v>4675.4415900000004</v>
      </c>
      <c r="AB296">
        <f t="shared" si="50"/>
        <v>4666.2532300000003</v>
      </c>
      <c r="AC296">
        <f t="shared" si="51"/>
        <v>4667.4068299999999</v>
      </c>
      <c r="AF296">
        <f t="shared" si="52"/>
        <v>4672.5688499999997</v>
      </c>
      <c r="AG296">
        <f t="shared" si="53"/>
        <v>4691.1568850000003</v>
      </c>
      <c r="AH296">
        <f t="shared" si="54"/>
        <v>4666.2532300000003</v>
      </c>
    </row>
    <row r="297" spans="1:34" x14ac:dyDescent="0.55000000000000004">
      <c r="A297">
        <f>ALGLIB_SSA_XAUUSD!J297</f>
        <v>1775478900</v>
      </c>
      <c r="B297" t="str">
        <f>_xlfn.XLOOKUP($A297,ALGLIB_SSA_XAUUSD!$A$2:$A$1000,ALGLIB_SSA_XAUUSD!$B$2:$B$1000,"",0)</f>
        <v/>
      </c>
      <c r="C297" t="str">
        <f>_xlfn.XLOOKUP($A297,ALGLIB_SSA_XAUUSD!$A$2:$A$1000,ALGLIB_SSA_XAUUSD!$C$2:$C$1000,"",0)</f>
        <v/>
      </c>
      <c r="D297" s="1">
        <f>D290+(D302-D290)*7/12</f>
        <v>4678.3708333333334</v>
      </c>
      <c r="E297" s="1">
        <f>E290+(E302-E290)*7/12</f>
        <v>4678.9811524999996</v>
      </c>
      <c r="F297" s="1">
        <f>F290+(F302-F290)*7/12</f>
        <v>4682.3985491666663</v>
      </c>
      <c r="G297" s="1">
        <f>G290+(G302-G290)*7/12</f>
        <v>4690.7358458333329</v>
      </c>
      <c r="H297" s="1">
        <f>H290+(H302-H290)*7/12</f>
        <v>4665.7563749999999</v>
      </c>
      <c r="I297" t="str">
        <f>_xlfn.XLOOKUP($A297,ALGLIB_SSA_XAUUSD!$J$2:$J$1000,ALGLIB_SSA_XAUUSD!$K$2:$K$1000,"",0)</f>
        <v>XAUUSD</v>
      </c>
      <c r="J297" t="str">
        <f>_xlfn.XLOOKUP($A297,ALGLIB_SSA_XAUUSD!$J$2:$J$1000,ALGLIB_SSA_XAUUSD!$L$2:$L$1000,"",0)</f>
        <v>M5</v>
      </c>
      <c r="K297">
        <f>_xlfn.XLOOKUP($A297,ALGLIB_SSA_XAUUSD!$J$2:$J$1000,ALGLIB_SSA_XAUUSD!$M$2:$M$1000,"",0)</f>
        <v>4676.43</v>
      </c>
      <c r="L297">
        <f>_xlfn.XLOOKUP($A297,ALGLIB_SSA_XAUUSD!$J$2:$J$1000,ALGLIB_SSA_XAUUSD!$N$2:$N$1000,"",0)</f>
        <v>4674.0585099999998</v>
      </c>
      <c r="M297">
        <f>_xlfn.XLOOKUP($A297,ALGLIB_SSA_XAUUSD!$J$2:$J$1000,ALGLIB_SSA_XAUUSD!$O$2:$O$1000,"",0)</f>
        <v>4673.0932000000003</v>
      </c>
      <c r="N297">
        <f>_xlfn.XLOOKUP($A297,ALGLIB_SSA_XAUUSD!$J$2:$J$1000,ALGLIB_SSA_XAUUSD!$P$2:$P$1000,"",0)</f>
        <v>4676.6411399999997</v>
      </c>
      <c r="O297">
        <f>_xlfn.XLOOKUP($A297,ALGLIB_SSA_XAUUSD!$J$2:$J$1000,ALGLIB_SSA_XAUUSD!$Q$2:$Q$1000,"",0)</f>
        <v>4669.1795899999997</v>
      </c>
      <c r="R297">
        <f t="shared" si="44"/>
        <v>1775478900</v>
      </c>
      <c r="S297" t="str">
        <f t="shared" si="45"/>
        <v>XAUUSD</v>
      </c>
      <c r="T297" t="str">
        <f t="shared" si="46"/>
        <v>M5</v>
      </c>
      <c r="U297">
        <f t="shared" si="47"/>
        <v>4676.43</v>
      </c>
      <c r="V297">
        <v>4678.9811499999996</v>
      </c>
      <c r="W297">
        <v>4682.3985499999999</v>
      </c>
      <c r="X297">
        <v>4674.0585099999998</v>
      </c>
      <c r="Y297">
        <v>4673.0932000000003</v>
      </c>
      <c r="Z297">
        <f t="shared" si="48"/>
        <v>4690.7358458333329</v>
      </c>
      <c r="AA297">
        <f t="shared" si="49"/>
        <v>4676.6411399999997</v>
      </c>
      <c r="AB297">
        <f t="shared" si="50"/>
        <v>4665.7563749999999</v>
      </c>
      <c r="AC297">
        <f t="shared" si="51"/>
        <v>4669.1795899999997</v>
      </c>
      <c r="AF297">
        <f t="shared" si="52"/>
        <v>4674.0585099999998</v>
      </c>
      <c r="AG297">
        <f t="shared" si="53"/>
        <v>4690.7358458333329</v>
      </c>
      <c r="AH297">
        <f t="shared" si="54"/>
        <v>4665.7563749999999</v>
      </c>
    </row>
    <row r="298" spans="1:34" x14ac:dyDescent="0.55000000000000004">
      <c r="A298">
        <f>ALGLIB_SSA_XAUUSD!J298</f>
        <v>1775479200</v>
      </c>
      <c r="B298" t="str">
        <f>_xlfn.XLOOKUP($A298,ALGLIB_SSA_XAUUSD!$A$2:$A$1000,ALGLIB_SSA_XAUUSD!$B$2:$B$1000,"",0)</f>
        <v/>
      </c>
      <c r="C298" t="str">
        <f>_xlfn.XLOOKUP($A298,ALGLIB_SSA_XAUUSD!$A$2:$A$1000,ALGLIB_SSA_XAUUSD!$C$2:$C$1000,"",0)</f>
        <v/>
      </c>
      <c r="D298" s="1">
        <f>D290+(D302-D290)*8/12</f>
        <v>4678.7266666666665</v>
      </c>
      <c r="E298" s="1">
        <f>E290+(E302-E290)*8/12</f>
        <v>4678.5440399999998</v>
      </c>
      <c r="F298" s="1">
        <f>F290+(F302-F290)*8/12</f>
        <v>4682.0689633333332</v>
      </c>
      <c r="G298" s="1">
        <f>G290+(G302-G290)*8/12</f>
        <v>4690.3148066666663</v>
      </c>
      <c r="H298" s="1">
        <f>H290+(H302-H290)*8/12</f>
        <v>4665.2595200000005</v>
      </c>
      <c r="I298" t="str">
        <f>_xlfn.XLOOKUP($A298,ALGLIB_SSA_XAUUSD!$J$2:$J$1000,ALGLIB_SSA_XAUUSD!$K$2:$K$1000,"",0)</f>
        <v>XAUUSD</v>
      </c>
      <c r="J298" t="str">
        <f>_xlfn.XLOOKUP($A298,ALGLIB_SSA_XAUUSD!$J$2:$J$1000,ALGLIB_SSA_XAUUSD!$L$2:$L$1000,"",0)</f>
        <v>M5</v>
      </c>
      <c r="K298">
        <f>_xlfn.XLOOKUP($A298,ALGLIB_SSA_XAUUSD!$J$2:$J$1000,ALGLIB_SSA_XAUUSD!$M$2:$M$1000,"",0)</f>
        <v>4676.87</v>
      </c>
      <c r="L298">
        <f>_xlfn.XLOOKUP($A298,ALGLIB_SSA_XAUUSD!$J$2:$J$1000,ALGLIB_SSA_XAUUSD!$N$2:$N$1000,"",0)</f>
        <v>4675.2919300000003</v>
      </c>
      <c r="M298">
        <f>_xlfn.XLOOKUP($A298,ALGLIB_SSA_XAUUSD!$J$2:$J$1000,ALGLIB_SSA_XAUUSD!$O$2:$O$1000,"",0)</f>
        <v>4674.1925600000004</v>
      </c>
      <c r="N298">
        <f>_xlfn.XLOOKUP($A298,ALGLIB_SSA_XAUUSD!$J$2:$J$1000,ALGLIB_SSA_XAUUSD!$P$2:$P$1000,"",0)</f>
        <v>4677.7691000000004</v>
      </c>
      <c r="O298">
        <f>_xlfn.XLOOKUP($A298,ALGLIB_SSA_XAUUSD!$J$2:$J$1000,ALGLIB_SSA_XAUUSD!$Q$2:$Q$1000,"",0)</f>
        <v>4671.0207499999997</v>
      </c>
      <c r="R298">
        <f t="shared" si="44"/>
        <v>1775479200</v>
      </c>
      <c r="S298" t="str">
        <f t="shared" si="45"/>
        <v>XAUUSD</v>
      </c>
      <c r="T298" t="str">
        <f t="shared" si="46"/>
        <v>M5</v>
      </c>
      <c r="U298">
        <f t="shared" si="47"/>
        <v>4676.87</v>
      </c>
      <c r="V298">
        <v>4678.5440399999998</v>
      </c>
      <c r="W298">
        <v>4682.0689599999996</v>
      </c>
      <c r="X298">
        <v>4675.2919300000003</v>
      </c>
      <c r="Y298">
        <v>4674.1925600000004</v>
      </c>
      <c r="Z298">
        <f t="shared" si="48"/>
        <v>4690.3148066666663</v>
      </c>
      <c r="AA298">
        <f t="shared" si="49"/>
        <v>4677.7691000000004</v>
      </c>
      <c r="AB298">
        <f t="shared" si="50"/>
        <v>4665.2595200000005</v>
      </c>
      <c r="AC298">
        <f t="shared" si="51"/>
        <v>4671.0207499999997</v>
      </c>
      <c r="AF298">
        <f t="shared" si="52"/>
        <v>4675.2919300000003</v>
      </c>
      <c r="AG298">
        <f t="shared" si="53"/>
        <v>4690.3148066666663</v>
      </c>
      <c r="AH298">
        <f t="shared" si="54"/>
        <v>4665.2595200000005</v>
      </c>
    </row>
    <row r="299" spans="1:34" x14ac:dyDescent="0.55000000000000004">
      <c r="A299">
        <f>ALGLIB_SSA_XAUUSD!J299</f>
        <v>1775479500</v>
      </c>
      <c r="B299" t="str">
        <f>_xlfn.XLOOKUP($A299,ALGLIB_SSA_XAUUSD!$A$2:$A$1000,ALGLIB_SSA_XAUUSD!$B$2:$B$1000,"",0)</f>
        <v/>
      </c>
      <c r="C299" t="str">
        <f>_xlfn.XLOOKUP($A299,ALGLIB_SSA_XAUUSD!$A$2:$A$1000,ALGLIB_SSA_XAUUSD!$C$2:$C$1000,"",0)</f>
        <v/>
      </c>
      <c r="D299" s="1">
        <f>D290+(D302-D290)*9/12</f>
        <v>4679.0824999999995</v>
      </c>
      <c r="E299" s="1">
        <f>E290+(E302-E290)*9/12</f>
        <v>4678.1069275</v>
      </c>
      <c r="F299" s="1">
        <f>F290+(F302-F290)*9/12</f>
        <v>4681.7393775</v>
      </c>
      <c r="G299" s="1">
        <f>G290+(G302-G290)*9/12</f>
        <v>4689.8937674999997</v>
      </c>
      <c r="H299" s="1">
        <f>H290+(H302-H290)*9/12</f>
        <v>4664.7626650000002</v>
      </c>
      <c r="I299" t="str">
        <f>_xlfn.XLOOKUP($A299,ALGLIB_SSA_XAUUSD!$J$2:$J$1000,ALGLIB_SSA_XAUUSD!$K$2:$K$1000,"",0)</f>
        <v>XAUUSD</v>
      </c>
      <c r="J299" t="str">
        <f>_xlfn.XLOOKUP($A299,ALGLIB_SSA_XAUUSD!$J$2:$J$1000,ALGLIB_SSA_XAUUSD!$L$2:$L$1000,"",0)</f>
        <v>M5</v>
      </c>
      <c r="K299">
        <f>_xlfn.XLOOKUP($A299,ALGLIB_SSA_XAUUSD!$J$2:$J$1000,ALGLIB_SSA_XAUUSD!$M$2:$M$1000,"",0)</f>
        <v>4678.66</v>
      </c>
      <c r="L299">
        <f>_xlfn.XLOOKUP($A299,ALGLIB_SSA_XAUUSD!$J$2:$J$1000,ALGLIB_SSA_XAUUSD!$N$2:$N$1000,"",0)</f>
        <v>4675.9373800000003</v>
      </c>
      <c r="M299">
        <f>_xlfn.XLOOKUP($A299,ALGLIB_SSA_XAUUSD!$J$2:$J$1000,ALGLIB_SSA_XAUUSD!$O$2:$O$1000,"",0)</f>
        <v>4675.0649700000004</v>
      </c>
      <c r="N299">
        <f>_xlfn.XLOOKUP($A299,ALGLIB_SSA_XAUUSD!$J$2:$J$1000,ALGLIB_SSA_XAUUSD!$P$2:$P$1000,"",0)</f>
        <v>4678.4138999999996</v>
      </c>
      <c r="O299">
        <f>_xlfn.XLOOKUP($A299,ALGLIB_SSA_XAUUSD!$J$2:$J$1000,ALGLIB_SSA_XAUUSD!$Q$2:$Q$1000,"",0)</f>
        <v>4672.3702000000003</v>
      </c>
      <c r="R299">
        <f t="shared" si="44"/>
        <v>1775479500</v>
      </c>
      <c r="S299" t="str">
        <f t="shared" si="45"/>
        <v>XAUUSD</v>
      </c>
      <c r="T299" t="str">
        <f t="shared" si="46"/>
        <v>M5</v>
      </c>
      <c r="U299">
        <f t="shared" si="47"/>
        <v>4678.66</v>
      </c>
      <c r="V299">
        <v>4678.1069299999999</v>
      </c>
      <c r="W299">
        <v>4681.73938</v>
      </c>
      <c r="X299">
        <v>4675.9373800000003</v>
      </c>
      <c r="Y299">
        <v>4675.0649700000004</v>
      </c>
      <c r="Z299">
        <f t="shared" si="48"/>
        <v>4689.8937674999997</v>
      </c>
      <c r="AA299">
        <f t="shared" si="49"/>
        <v>4678.4138999999996</v>
      </c>
      <c r="AB299">
        <f t="shared" si="50"/>
        <v>4664.7626650000002</v>
      </c>
      <c r="AC299">
        <f t="shared" si="51"/>
        <v>4672.3702000000003</v>
      </c>
      <c r="AF299">
        <f t="shared" si="52"/>
        <v>4675.9373800000003</v>
      </c>
      <c r="AG299">
        <f t="shared" si="53"/>
        <v>4689.8937674999997</v>
      </c>
      <c r="AH299">
        <f t="shared" si="54"/>
        <v>4664.7626650000002</v>
      </c>
    </row>
    <row r="300" spans="1:34" x14ac:dyDescent="0.55000000000000004">
      <c r="A300">
        <f>ALGLIB_SSA_XAUUSD!J300</f>
        <v>1775479800</v>
      </c>
      <c r="B300" t="str">
        <f>_xlfn.XLOOKUP($A300,ALGLIB_SSA_XAUUSD!$A$2:$A$1000,ALGLIB_SSA_XAUUSD!$B$2:$B$1000,"",0)</f>
        <v/>
      </c>
      <c r="C300" t="str">
        <f>_xlfn.XLOOKUP($A300,ALGLIB_SSA_XAUUSD!$A$2:$A$1000,ALGLIB_SSA_XAUUSD!$C$2:$C$1000,"",0)</f>
        <v/>
      </c>
      <c r="D300" s="1">
        <f>D290+(D302-D290)*10/12</f>
        <v>4679.4383333333335</v>
      </c>
      <c r="E300" s="1">
        <f>E290+(E302-E290)*10/12</f>
        <v>4677.6698149999993</v>
      </c>
      <c r="F300" s="1">
        <f>F290+(F302-F290)*10/12</f>
        <v>4681.4097916666669</v>
      </c>
      <c r="G300" s="1">
        <f>G290+(G302-G290)*10/12</f>
        <v>4689.4727283333332</v>
      </c>
      <c r="H300" s="1">
        <f>H290+(H302-H290)*10/12</f>
        <v>4664.2658099999999</v>
      </c>
      <c r="I300" t="str">
        <f>_xlfn.XLOOKUP($A300,ALGLIB_SSA_XAUUSD!$J$2:$J$1000,ALGLIB_SSA_XAUUSD!$K$2:$K$1000,"",0)</f>
        <v>XAUUSD</v>
      </c>
      <c r="J300" t="str">
        <f>_xlfn.XLOOKUP($A300,ALGLIB_SSA_XAUUSD!$J$2:$J$1000,ALGLIB_SSA_XAUUSD!$L$2:$L$1000,"",0)</f>
        <v>M5</v>
      </c>
      <c r="K300">
        <f>_xlfn.XLOOKUP($A300,ALGLIB_SSA_XAUUSD!$J$2:$J$1000,ALGLIB_SSA_XAUUSD!$M$2:$M$1000,"",0)</f>
        <v>4677.04</v>
      </c>
      <c r="L300">
        <f>_xlfn.XLOOKUP($A300,ALGLIB_SSA_XAUUSD!$J$2:$J$1000,ALGLIB_SSA_XAUUSD!$N$2:$N$1000,"",0)</f>
        <v>4675.7582000000002</v>
      </c>
      <c r="M300">
        <f>_xlfn.XLOOKUP($A300,ALGLIB_SSA_XAUUSD!$J$2:$J$1000,ALGLIB_SSA_XAUUSD!$O$2:$O$1000,"",0)</f>
        <v>4675.4115899999997</v>
      </c>
      <c r="N300">
        <f>_xlfn.XLOOKUP($A300,ALGLIB_SSA_XAUUSD!$J$2:$J$1000,ALGLIB_SSA_XAUUSD!$P$2:$P$1000,"",0)</f>
        <v>4678.2812800000002</v>
      </c>
      <c r="O300">
        <f>_xlfn.XLOOKUP($A300,ALGLIB_SSA_XAUUSD!$J$2:$J$1000,ALGLIB_SSA_XAUUSD!$Q$2:$Q$1000,"",0)</f>
        <v>4672.8043799999996</v>
      </c>
      <c r="R300">
        <f t="shared" si="44"/>
        <v>1775479800</v>
      </c>
      <c r="S300" t="str">
        <f t="shared" si="45"/>
        <v>XAUUSD</v>
      </c>
      <c r="T300" t="str">
        <f t="shared" si="46"/>
        <v>M5</v>
      </c>
      <c r="U300">
        <f t="shared" si="47"/>
        <v>4677.04</v>
      </c>
      <c r="V300">
        <v>4677.6698100000003</v>
      </c>
      <c r="W300">
        <v>4681.4097899999997</v>
      </c>
      <c r="X300">
        <v>4675.7582000000002</v>
      </c>
      <c r="Y300">
        <v>4675.4115899999997</v>
      </c>
      <c r="Z300">
        <f t="shared" si="48"/>
        <v>4689.4727283333332</v>
      </c>
      <c r="AA300">
        <f t="shared" si="49"/>
        <v>4678.2812800000002</v>
      </c>
      <c r="AB300">
        <f t="shared" si="50"/>
        <v>4664.2658099999999</v>
      </c>
      <c r="AC300">
        <f t="shared" si="51"/>
        <v>4672.8043799999996</v>
      </c>
      <c r="AF300">
        <f t="shared" si="52"/>
        <v>4675.7582000000002</v>
      </c>
      <c r="AG300">
        <f t="shared" si="53"/>
        <v>4689.4727283333332</v>
      </c>
      <c r="AH300">
        <f t="shared" si="54"/>
        <v>4664.2658099999999</v>
      </c>
    </row>
    <row r="301" spans="1:34" x14ac:dyDescent="0.55000000000000004">
      <c r="A301">
        <f>ALGLIB_SSA_XAUUSD!J301</f>
        <v>1775480100</v>
      </c>
      <c r="B301" t="str">
        <f>_xlfn.XLOOKUP($A301,ALGLIB_SSA_XAUUSD!$A$2:$A$1000,ALGLIB_SSA_XAUUSD!$B$2:$B$1000,"",0)</f>
        <v/>
      </c>
      <c r="C301" t="str">
        <f>_xlfn.XLOOKUP($A301,ALGLIB_SSA_XAUUSD!$A$2:$A$1000,ALGLIB_SSA_XAUUSD!$C$2:$C$1000,"",0)</f>
        <v/>
      </c>
      <c r="D301" s="1">
        <f>D290+(D302-D290)*11/12</f>
        <v>4679.7941666666666</v>
      </c>
      <c r="E301" s="1">
        <f>E290+(E302-E290)*11/12</f>
        <v>4677.2327024999995</v>
      </c>
      <c r="F301" s="1">
        <f>F290+(F302-F290)*11/12</f>
        <v>4681.0802058333329</v>
      </c>
      <c r="G301" s="1">
        <f>G290+(G302-G290)*11/12</f>
        <v>4689.0516891666666</v>
      </c>
      <c r="H301" s="1">
        <f>H290+(H302-H290)*11/12</f>
        <v>4663.7689550000005</v>
      </c>
      <c r="I301" t="str">
        <f>_xlfn.XLOOKUP($A301,ALGLIB_SSA_XAUUSD!$J$2:$J$1000,ALGLIB_SSA_XAUUSD!$K$2:$K$1000,"",0)</f>
        <v>XAUUSD</v>
      </c>
      <c r="J301" t="str">
        <f>_xlfn.XLOOKUP($A301,ALGLIB_SSA_XAUUSD!$J$2:$J$1000,ALGLIB_SSA_XAUUSD!$L$2:$L$1000,"",0)</f>
        <v>M5</v>
      </c>
      <c r="K301">
        <f>_xlfn.XLOOKUP($A301,ALGLIB_SSA_XAUUSD!$J$2:$J$1000,ALGLIB_SSA_XAUUSD!$M$2:$M$1000,"",0)</f>
        <v>4675.88</v>
      </c>
      <c r="L301">
        <f>_xlfn.XLOOKUP($A301,ALGLIB_SSA_XAUUSD!$J$2:$J$1000,ALGLIB_SSA_XAUUSD!$N$2:$N$1000,"",0)</f>
        <v>4674.8075500000004</v>
      </c>
      <c r="M301">
        <f>_xlfn.XLOOKUP($A301,ALGLIB_SSA_XAUUSD!$J$2:$J$1000,ALGLIB_SSA_XAUUSD!$O$2:$O$1000,"",0)</f>
        <v>4675.1095699999996</v>
      </c>
      <c r="N301">
        <f>_xlfn.XLOOKUP($A301,ALGLIB_SSA_XAUUSD!$J$2:$J$1000,ALGLIB_SSA_XAUUSD!$P$2:$P$1000,"",0)</f>
        <v>4677.3864899999999</v>
      </c>
      <c r="O301">
        <f>_xlfn.XLOOKUP($A301,ALGLIB_SSA_XAUUSD!$J$2:$J$1000,ALGLIB_SSA_XAUUSD!$Q$2:$Q$1000,"",0)</f>
        <v>4672.2071599999999</v>
      </c>
      <c r="R301">
        <f t="shared" si="44"/>
        <v>1775480100</v>
      </c>
      <c r="S301" t="str">
        <f t="shared" si="45"/>
        <v>XAUUSD</v>
      </c>
      <c r="T301" t="str">
        <f t="shared" si="46"/>
        <v>M5</v>
      </c>
      <c r="U301">
        <f t="shared" si="47"/>
        <v>4675.88</v>
      </c>
      <c r="V301">
        <v>4677.2326999999996</v>
      </c>
      <c r="W301">
        <v>4681.0802100000001</v>
      </c>
      <c r="X301">
        <v>4674.8075500000004</v>
      </c>
      <c r="Y301">
        <v>4675.1095699999996</v>
      </c>
      <c r="Z301">
        <f t="shared" si="48"/>
        <v>4689.0516891666666</v>
      </c>
      <c r="AA301">
        <f t="shared" si="49"/>
        <v>4677.3864899999999</v>
      </c>
      <c r="AB301">
        <f t="shared" si="50"/>
        <v>4663.7689550000005</v>
      </c>
      <c r="AC301">
        <f t="shared" si="51"/>
        <v>4672.2071599999999</v>
      </c>
      <c r="AF301">
        <f t="shared" si="52"/>
        <v>4674.8075500000004</v>
      </c>
      <c r="AG301">
        <f t="shared" si="53"/>
        <v>4689.0516891666666</v>
      </c>
      <c r="AH301">
        <f t="shared" si="54"/>
        <v>4663.7689550000005</v>
      </c>
    </row>
    <row r="302" spans="1:34" x14ac:dyDescent="0.55000000000000004">
      <c r="A302">
        <f>ALGLIB_SSA_XAUUSD!J302</f>
        <v>1775480400</v>
      </c>
      <c r="B302" t="str">
        <f>_xlfn.XLOOKUP($A302,ALGLIB_SSA_XAUUSD!$A$2:$A$1000,ALGLIB_SSA_XAUUSD!$B$2:$B$1000,"",0)</f>
        <v>XAUUSD</v>
      </c>
      <c r="C302" t="str">
        <f>_xlfn.XLOOKUP($A302,ALGLIB_SSA_XAUUSD!$A$2:$A$1000,ALGLIB_SSA_XAUUSD!$C$2:$C$1000,"",0)</f>
        <v>H1</v>
      </c>
      <c r="D302" s="2">
        <f>_xlfn.XLOOKUP($A302,ALGLIB_SSA_XAUUSD!$A$2:$A$1000,ALGLIB_SSA_XAUUSD!$D$2:$D$1000,"",0)</f>
        <v>4680.1499999999996</v>
      </c>
      <c r="E302" s="2">
        <f>_xlfn.XLOOKUP($A302,ALGLIB_SSA_XAUUSD!$A$2:$A$1000,ALGLIB_SSA_XAUUSD!$E$2:$E$1000,"",0)</f>
        <v>4676.7955899999997</v>
      </c>
      <c r="F302" s="2">
        <f>_xlfn.XLOOKUP($A302,ALGLIB_SSA_XAUUSD!$A$2:$A$1000,ALGLIB_SSA_XAUUSD!$F$2:$F$1000,"",0)</f>
        <v>4680.7506199999998</v>
      </c>
      <c r="G302" s="2">
        <f>_xlfn.XLOOKUP($A302,ALGLIB_SSA_XAUUSD!$A$2:$A$1000,ALGLIB_SSA_XAUUSD!$G$2:$G$1000,"",0)</f>
        <v>4688.6306500000001</v>
      </c>
      <c r="H302" s="2">
        <f>_xlfn.XLOOKUP($A302,ALGLIB_SSA_XAUUSD!$A$2:$A$1000,ALGLIB_SSA_XAUUSD!$H$2:$H$1000,"",0)</f>
        <v>4663.2721000000001</v>
      </c>
      <c r="I302" t="str">
        <f>_xlfn.XLOOKUP($A302,ALGLIB_SSA_XAUUSD!$J$2:$J$1000,ALGLIB_SSA_XAUUSD!$K$2:$K$1000,"",0)</f>
        <v>XAUUSD</v>
      </c>
      <c r="J302" t="str">
        <f>_xlfn.XLOOKUP($A302,ALGLIB_SSA_XAUUSD!$J$2:$J$1000,ALGLIB_SSA_XAUUSD!$L$2:$L$1000,"",0)</f>
        <v>M5</v>
      </c>
      <c r="K302">
        <f>_xlfn.XLOOKUP($A302,ALGLIB_SSA_XAUUSD!$J$2:$J$1000,ALGLIB_SSA_XAUUSD!$M$2:$M$1000,"",0)</f>
        <v>4671.82</v>
      </c>
      <c r="L302">
        <f>_xlfn.XLOOKUP($A302,ALGLIB_SSA_XAUUSD!$J$2:$J$1000,ALGLIB_SSA_XAUUSD!$N$2:$N$1000,"",0)</f>
        <v>4673.2965899999999</v>
      </c>
      <c r="M302">
        <f>_xlfn.XLOOKUP($A302,ALGLIB_SSA_XAUUSD!$J$2:$J$1000,ALGLIB_SSA_XAUUSD!$O$2:$O$1000,"",0)</f>
        <v>4674.2030800000002</v>
      </c>
      <c r="N302">
        <f>_xlfn.XLOOKUP($A302,ALGLIB_SSA_XAUUSD!$J$2:$J$1000,ALGLIB_SSA_XAUUSD!$P$2:$P$1000,"",0)</f>
        <v>4675.9234900000001</v>
      </c>
      <c r="O302">
        <f>_xlfn.XLOOKUP($A302,ALGLIB_SSA_XAUUSD!$J$2:$J$1000,ALGLIB_SSA_XAUUSD!$Q$2:$Q$1000,"",0)</f>
        <v>4670.6663200000003</v>
      </c>
      <c r="R302">
        <f t="shared" si="44"/>
        <v>1775480400</v>
      </c>
      <c r="S302" t="str">
        <f t="shared" si="45"/>
        <v>XAUUSD</v>
      </c>
      <c r="T302" t="str">
        <f t="shared" si="46"/>
        <v>M5</v>
      </c>
      <c r="U302">
        <f t="shared" si="47"/>
        <v>4671.82</v>
      </c>
      <c r="V302">
        <v>4676.7955899999997</v>
      </c>
      <c r="W302">
        <v>4680.7506199999998</v>
      </c>
      <c r="X302">
        <v>4673.2965899999999</v>
      </c>
      <c r="Y302">
        <v>4674.2030800000002</v>
      </c>
      <c r="Z302">
        <f t="shared" si="48"/>
        <v>4688.6306500000001</v>
      </c>
      <c r="AA302">
        <f t="shared" si="49"/>
        <v>4675.9234900000001</v>
      </c>
      <c r="AB302">
        <f t="shared" si="50"/>
        <v>4663.2721000000001</v>
      </c>
      <c r="AC302">
        <f t="shared" si="51"/>
        <v>4670.6663200000003</v>
      </c>
      <c r="AF302">
        <f t="shared" si="52"/>
        <v>4673.2965899999999</v>
      </c>
      <c r="AG302">
        <f t="shared" si="53"/>
        <v>4688.6306500000001</v>
      </c>
      <c r="AH302">
        <f t="shared" si="54"/>
        <v>4663.2721000000001</v>
      </c>
    </row>
    <row r="303" spans="1:34" x14ac:dyDescent="0.55000000000000004">
      <c r="A303">
        <f>ALGLIB_SSA_XAUUSD!J303</f>
        <v>1775480700</v>
      </c>
      <c r="B303" t="str">
        <f>_xlfn.XLOOKUP($A303,ALGLIB_SSA_XAUUSD!$A$2:$A$1000,ALGLIB_SSA_XAUUSD!$B$2:$B$1000,"",0)</f>
        <v/>
      </c>
      <c r="C303" t="str">
        <f>_xlfn.XLOOKUP($A303,ALGLIB_SSA_XAUUSD!$A$2:$A$1000,ALGLIB_SSA_XAUUSD!$C$2:$C$1000,"",0)</f>
        <v/>
      </c>
      <c r="D303" s="1">
        <f>D302+(D314-D302)*1/12</f>
        <v>4680.3591666666662</v>
      </c>
      <c r="E303" s="1">
        <f>E302+(E314-E302)*1/12</f>
        <v>4676.3703500000001</v>
      </c>
      <c r="F303" s="1">
        <f>F302+(F314-F302)*1/12</f>
        <v>4680.3732066666662</v>
      </c>
      <c r="G303" s="1">
        <f>G302+(G314-G302)*1/12</f>
        <v>4688.1916816666671</v>
      </c>
      <c r="H303" s="1">
        <f>H302+(H314-H302)*1/12</f>
        <v>4662.8398358333334</v>
      </c>
      <c r="I303" t="str">
        <f>_xlfn.XLOOKUP($A303,ALGLIB_SSA_XAUUSD!$J$2:$J$1000,ALGLIB_SSA_XAUUSD!$K$2:$K$1000,"",0)</f>
        <v>XAUUSD</v>
      </c>
      <c r="J303" t="str">
        <f>_xlfn.XLOOKUP($A303,ALGLIB_SSA_XAUUSD!$J$2:$J$1000,ALGLIB_SSA_XAUUSD!$L$2:$L$1000,"",0)</f>
        <v>M5</v>
      </c>
      <c r="K303">
        <f>_xlfn.XLOOKUP($A303,ALGLIB_SSA_XAUUSD!$J$2:$J$1000,ALGLIB_SSA_XAUUSD!$M$2:$M$1000,"",0)</f>
        <v>4670.1899999999996</v>
      </c>
      <c r="L303">
        <f>_xlfn.XLOOKUP($A303,ALGLIB_SSA_XAUUSD!$J$2:$J$1000,ALGLIB_SSA_XAUUSD!$N$2:$N$1000,"",0)</f>
        <v>4671.61852</v>
      </c>
      <c r="M303">
        <f>_xlfn.XLOOKUP($A303,ALGLIB_SSA_XAUUSD!$J$2:$J$1000,ALGLIB_SSA_XAUUSD!$O$2:$O$1000,"",0)</f>
        <v>4672.9107999999997</v>
      </c>
      <c r="N303">
        <f>_xlfn.XLOOKUP($A303,ALGLIB_SSA_XAUUSD!$J$2:$J$1000,ALGLIB_SSA_XAUUSD!$P$2:$P$1000,"",0)</f>
        <v>4674.2408299999997</v>
      </c>
      <c r="O303">
        <f>_xlfn.XLOOKUP($A303,ALGLIB_SSA_XAUUSD!$J$2:$J$1000,ALGLIB_SSA_XAUUSD!$Q$2:$Q$1000,"",0)</f>
        <v>4668.5403399999996</v>
      </c>
      <c r="R303">
        <f t="shared" si="44"/>
        <v>1775480700</v>
      </c>
      <c r="S303" t="str">
        <f t="shared" si="45"/>
        <v>XAUUSD</v>
      </c>
      <c r="T303" t="str">
        <f t="shared" si="46"/>
        <v>M5</v>
      </c>
      <c r="U303">
        <f t="shared" si="47"/>
        <v>4670.1899999999996</v>
      </c>
      <c r="V303">
        <v>4676.3703500000001</v>
      </c>
      <c r="W303">
        <v>4680.3732099999997</v>
      </c>
      <c r="X303">
        <v>4671.61852</v>
      </c>
      <c r="Y303">
        <v>4672.9107999999997</v>
      </c>
      <c r="Z303">
        <f t="shared" si="48"/>
        <v>4688.1916816666671</v>
      </c>
      <c r="AA303">
        <f t="shared" si="49"/>
        <v>4674.2408299999997</v>
      </c>
      <c r="AB303">
        <f t="shared" si="50"/>
        <v>4662.8398358333334</v>
      </c>
      <c r="AC303">
        <f t="shared" si="51"/>
        <v>4668.5403399999996</v>
      </c>
      <c r="AF303">
        <f t="shared" si="52"/>
        <v>4671.61852</v>
      </c>
      <c r="AG303">
        <f t="shared" si="53"/>
        <v>4688.1916816666671</v>
      </c>
      <c r="AH303">
        <f t="shared" si="54"/>
        <v>4662.8398358333334</v>
      </c>
    </row>
    <row r="304" spans="1:34" x14ac:dyDescent="0.55000000000000004">
      <c r="A304">
        <f>ALGLIB_SSA_XAUUSD!J304</f>
        <v>1775481000</v>
      </c>
      <c r="B304" t="str">
        <f>_xlfn.XLOOKUP($A304,ALGLIB_SSA_XAUUSD!$A$2:$A$1000,ALGLIB_SSA_XAUUSD!$B$2:$B$1000,"",0)</f>
        <v/>
      </c>
      <c r="C304" t="str">
        <f>_xlfn.XLOOKUP($A304,ALGLIB_SSA_XAUUSD!$A$2:$A$1000,ALGLIB_SSA_XAUUSD!$C$2:$C$1000,"",0)</f>
        <v/>
      </c>
      <c r="D304" s="1">
        <f>D302+(D314-D302)*2/12</f>
        <v>4680.5683333333327</v>
      </c>
      <c r="E304" s="1">
        <f>E302+(E314-E302)*2/12</f>
        <v>4675.9451099999997</v>
      </c>
      <c r="F304" s="1">
        <f>F302+(F314-F302)*2/12</f>
        <v>4679.9957933333335</v>
      </c>
      <c r="G304" s="1">
        <f>G302+(G314-G302)*2/12</f>
        <v>4687.7527133333333</v>
      </c>
      <c r="H304" s="1">
        <f>H302+(H314-H302)*2/12</f>
        <v>4662.4075716666666</v>
      </c>
      <c r="I304" t="str">
        <f>_xlfn.XLOOKUP($A304,ALGLIB_SSA_XAUUSD!$J$2:$J$1000,ALGLIB_SSA_XAUUSD!$K$2:$K$1000,"",0)</f>
        <v>XAUUSD</v>
      </c>
      <c r="J304" t="str">
        <f>_xlfn.XLOOKUP($A304,ALGLIB_SSA_XAUUSD!$J$2:$J$1000,ALGLIB_SSA_XAUUSD!$L$2:$L$1000,"",0)</f>
        <v>M5</v>
      </c>
      <c r="K304">
        <f>_xlfn.XLOOKUP($A304,ALGLIB_SSA_XAUUSD!$J$2:$J$1000,ALGLIB_SSA_XAUUSD!$M$2:$M$1000,"",0)</f>
        <v>4668.59</v>
      </c>
      <c r="L304">
        <f>_xlfn.XLOOKUP($A304,ALGLIB_SSA_XAUUSD!$J$2:$J$1000,ALGLIB_SSA_XAUUSD!$N$2:$N$1000,"",0)</f>
        <v>4670.1296000000002</v>
      </c>
      <c r="M304">
        <f>_xlfn.XLOOKUP($A304,ALGLIB_SSA_XAUUSD!$J$2:$J$1000,ALGLIB_SSA_XAUUSD!$O$2:$O$1000,"",0)</f>
        <v>4671.5201999999999</v>
      </c>
      <c r="N304">
        <f>_xlfn.XLOOKUP($A304,ALGLIB_SSA_XAUUSD!$J$2:$J$1000,ALGLIB_SSA_XAUUSD!$P$2:$P$1000,"",0)</f>
        <v>4672.8620499999997</v>
      </c>
      <c r="O304">
        <f>_xlfn.XLOOKUP($A304,ALGLIB_SSA_XAUUSD!$J$2:$J$1000,ALGLIB_SSA_XAUUSD!$Q$2:$Q$1000,"",0)</f>
        <v>4666.4454800000003</v>
      </c>
      <c r="R304">
        <f t="shared" si="44"/>
        <v>1775481000</v>
      </c>
      <c r="S304" t="str">
        <f t="shared" si="45"/>
        <v>XAUUSD</v>
      </c>
      <c r="T304" t="str">
        <f t="shared" si="46"/>
        <v>M5</v>
      </c>
      <c r="U304">
        <f t="shared" si="47"/>
        <v>4668.59</v>
      </c>
      <c r="V304">
        <v>4675.9451099999997</v>
      </c>
      <c r="W304">
        <v>4679.9957899999999</v>
      </c>
      <c r="X304">
        <v>4670.1296000000002</v>
      </c>
      <c r="Y304">
        <v>4671.5201999999999</v>
      </c>
      <c r="Z304">
        <f t="shared" si="48"/>
        <v>4687.7527133333333</v>
      </c>
      <c r="AA304">
        <f t="shared" si="49"/>
        <v>4672.8620499999997</v>
      </c>
      <c r="AB304">
        <f t="shared" si="50"/>
        <v>4662.4075716666666</v>
      </c>
      <c r="AC304">
        <f t="shared" si="51"/>
        <v>4666.4454800000003</v>
      </c>
      <c r="AF304">
        <f t="shared" si="52"/>
        <v>4670.1296000000002</v>
      </c>
      <c r="AG304">
        <f t="shared" si="53"/>
        <v>4687.7527133333333</v>
      </c>
      <c r="AH304">
        <f t="shared" si="54"/>
        <v>4662.4075716666666</v>
      </c>
    </row>
    <row r="305" spans="1:34" x14ac:dyDescent="0.55000000000000004">
      <c r="A305">
        <f>ALGLIB_SSA_XAUUSD!J305</f>
        <v>1775481300</v>
      </c>
      <c r="B305" t="str">
        <f>_xlfn.XLOOKUP($A305,ALGLIB_SSA_XAUUSD!$A$2:$A$1000,ALGLIB_SSA_XAUUSD!$B$2:$B$1000,"",0)</f>
        <v/>
      </c>
      <c r="C305" t="str">
        <f>_xlfn.XLOOKUP($A305,ALGLIB_SSA_XAUUSD!$A$2:$A$1000,ALGLIB_SSA_XAUUSD!$C$2:$C$1000,"",0)</f>
        <v/>
      </c>
      <c r="D305" s="1">
        <f>D302+(D314-D302)*3/12</f>
        <v>4680.7775000000001</v>
      </c>
      <c r="E305" s="1">
        <f>E302+(E314-E302)*3/12</f>
        <v>4675.5198700000001</v>
      </c>
      <c r="F305" s="1">
        <f>F302+(F314-F302)*3/12</f>
        <v>4679.6183799999999</v>
      </c>
      <c r="G305" s="1">
        <f>G302+(G314-G302)*3/12</f>
        <v>4687.3137450000004</v>
      </c>
      <c r="H305" s="1">
        <f>H302+(H314-H302)*3/12</f>
        <v>4661.9753074999999</v>
      </c>
      <c r="I305" t="str">
        <f>_xlfn.XLOOKUP($A305,ALGLIB_SSA_XAUUSD!$J$2:$J$1000,ALGLIB_SSA_XAUUSD!$K$2:$K$1000,"",0)</f>
        <v>XAUUSD</v>
      </c>
      <c r="J305" t="str">
        <f>_xlfn.XLOOKUP($A305,ALGLIB_SSA_XAUUSD!$J$2:$J$1000,ALGLIB_SSA_XAUUSD!$L$2:$L$1000,"",0)</f>
        <v>M5</v>
      </c>
      <c r="K305">
        <f>_xlfn.XLOOKUP($A305,ALGLIB_SSA_XAUUSD!$J$2:$J$1000,ALGLIB_SSA_XAUUSD!$M$2:$M$1000,"",0)</f>
        <v>4663.99</v>
      </c>
      <c r="L305">
        <f>_xlfn.XLOOKUP($A305,ALGLIB_SSA_XAUUSD!$J$2:$J$1000,ALGLIB_SSA_XAUUSD!$N$2:$N$1000,"",0)</f>
        <v>4669.0914700000003</v>
      </c>
      <c r="M305">
        <f>_xlfn.XLOOKUP($A305,ALGLIB_SSA_XAUUSD!$J$2:$J$1000,ALGLIB_SSA_XAUUSD!$O$2:$O$1000,"",0)</f>
        <v>4670.3058300000002</v>
      </c>
      <c r="N305">
        <f>_xlfn.XLOOKUP($A305,ALGLIB_SSA_XAUUSD!$J$2:$J$1000,ALGLIB_SSA_XAUUSD!$P$2:$P$1000,"",0)</f>
        <v>4672.1459500000001</v>
      </c>
      <c r="O305">
        <f>_xlfn.XLOOKUP($A305,ALGLIB_SSA_XAUUSD!$J$2:$J$1000,ALGLIB_SSA_XAUUSD!$Q$2:$Q$1000,"",0)</f>
        <v>4664.6139300000004</v>
      </c>
      <c r="R305">
        <f t="shared" si="44"/>
        <v>1775481300</v>
      </c>
      <c r="S305" t="str">
        <f t="shared" si="45"/>
        <v>XAUUSD</v>
      </c>
      <c r="T305" t="str">
        <f t="shared" si="46"/>
        <v>M5</v>
      </c>
      <c r="U305">
        <f t="shared" si="47"/>
        <v>4663.99</v>
      </c>
      <c r="V305">
        <v>4675.5198700000001</v>
      </c>
      <c r="W305">
        <v>4679.6183799999999</v>
      </c>
      <c r="X305">
        <v>4669.0914700000003</v>
      </c>
      <c r="Y305">
        <v>4670.3058300000002</v>
      </c>
      <c r="Z305">
        <f t="shared" si="48"/>
        <v>4687.3137450000004</v>
      </c>
      <c r="AA305">
        <f t="shared" si="49"/>
        <v>4672.1459500000001</v>
      </c>
      <c r="AB305">
        <f t="shared" si="50"/>
        <v>4661.9753074999999</v>
      </c>
      <c r="AC305">
        <f t="shared" si="51"/>
        <v>4664.6139300000004</v>
      </c>
      <c r="AF305">
        <f t="shared" si="52"/>
        <v>4669.0914700000003</v>
      </c>
      <c r="AG305">
        <f t="shared" si="53"/>
        <v>4687.3137450000004</v>
      </c>
      <c r="AH305">
        <f t="shared" si="54"/>
        <v>4661.9753074999999</v>
      </c>
    </row>
    <row r="306" spans="1:34" x14ac:dyDescent="0.55000000000000004">
      <c r="A306">
        <f>ALGLIB_SSA_XAUUSD!J306</f>
        <v>1775481600</v>
      </c>
      <c r="B306" t="str">
        <f>_xlfn.XLOOKUP($A306,ALGLIB_SSA_XAUUSD!$A$2:$A$1000,ALGLIB_SSA_XAUUSD!$B$2:$B$1000,"",0)</f>
        <v/>
      </c>
      <c r="C306" t="str">
        <f>_xlfn.XLOOKUP($A306,ALGLIB_SSA_XAUUSD!$A$2:$A$1000,ALGLIB_SSA_XAUUSD!$C$2:$C$1000,"",0)</f>
        <v/>
      </c>
      <c r="D306" s="1">
        <f>D302+(D314-D302)*4/12</f>
        <v>4680.9866666666667</v>
      </c>
      <c r="E306" s="1">
        <f>E302+(E314-E302)*4/12</f>
        <v>4675.0946299999996</v>
      </c>
      <c r="F306" s="1">
        <f>F302+(F314-F302)*4/12</f>
        <v>4679.2409666666663</v>
      </c>
      <c r="G306" s="1">
        <f>G302+(G314-G302)*4/12</f>
        <v>4686.8747766666665</v>
      </c>
      <c r="H306" s="1">
        <f>H302+(H314-H302)*4/12</f>
        <v>4661.5430433333331</v>
      </c>
      <c r="I306" t="str">
        <f>_xlfn.XLOOKUP($A306,ALGLIB_SSA_XAUUSD!$J$2:$J$1000,ALGLIB_SSA_XAUUSD!$K$2:$K$1000,"",0)</f>
        <v>XAUUSD</v>
      </c>
      <c r="J306" t="str">
        <f>_xlfn.XLOOKUP($A306,ALGLIB_SSA_XAUUSD!$J$2:$J$1000,ALGLIB_SSA_XAUUSD!$L$2:$L$1000,"",0)</f>
        <v>M5</v>
      </c>
      <c r="K306">
        <f>_xlfn.XLOOKUP($A306,ALGLIB_SSA_XAUUSD!$J$2:$J$1000,ALGLIB_SSA_XAUUSD!$M$2:$M$1000,"",0)</f>
        <v>4672.75</v>
      </c>
      <c r="L306">
        <f>_xlfn.XLOOKUP($A306,ALGLIB_SSA_XAUUSD!$J$2:$J$1000,ALGLIB_SSA_XAUUSD!$N$2:$N$1000,"",0)</f>
        <v>4668.7197800000004</v>
      </c>
      <c r="M306">
        <f>_xlfn.XLOOKUP($A306,ALGLIB_SSA_XAUUSD!$J$2:$J$1000,ALGLIB_SSA_XAUUSD!$O$2:$O$1000,"",0)</f>
        <v>4669.5128100000002</v>
      </c>
      <c r="N306">
        <f>_xlfn.XLOOKUP($A306,ALGLIB_SSA_XAUUSD!$J$2:$J$1000,ALGLIB_SSA_XAUUSD!$P$2:$P$1000,"",0)</f>
        <v>4672.2961100000002</v>
      </c>
      <c r="O306">
        <f>_xlfn.XLOOKUP($A306,ALGLIB_SSA_XAUUSD!$J$2:$J$1000,ALGLIB_SSA_XAUUSD!$Q$2:$Q$1000,"",0)</f>
        <v>4663.3708200000001</v>
      </c>
      <c r="R306">
        <f t="shared" si="44"/>
        <v>1775481600</v>
      </c>
      <c r="S306" t="str">
        <f t="shared" si="45"/>
        <v>XAUUSD</v>
      </c>
      <c r="T306" t="str">
        <f t="shared" si="46"/>
        <v>M5</v>
      </c>
      <c r="U306">
        <f t="shared" si="47"/>
        <v>4672.75</v>
      </c>
      <c r="V306">
        <v>4675.0946299999996</v>
      </c>
      <c r="W306">
        <v>4679.2409699999998</v>
      </c>
      <c r="X306">
        <v>4668.7197800000004</v>
      </c>
      <c r="Y306">
        <v>4669.5128100000002</v>
      </c>
      <c r="Z306">
        <f t="shared" si="48"/>
        <v>4686.8747766666665</v>
      </c>
      <c r="AA306">
        <f t="shared" si="49"/>
        <v>4672.2961100000002</v>
      </c>
      <c r="AB306">
        <f t="shared" si="50"/>
        <v>4661.5430433333331</v>
      </c>
      <c r="AC306">
        <f t="shared" si="51"/>
        <v>4663.3708200000001</v>
      </c>
      <c r="AF306">
        <f t="shared" si="52"/>
        <v>4668.7197800000004</v>
      </c>
      <c r="AG306">
        <f t="shared" si="53"/>
        <v>4686.8747766666665</v>
      </c>
      <c r="AH306">
        <f t="shared" si="54"/>
        <v>4661.5430433333331</v>
      </c>
    </row>
    <row r="307" spans="1:34" x14ac:dyDescent="0.55000000000000004">
      <c r="A307">
        <f>ALGLIB_SSA_XAUUSD!J307</f>
        <v>1775481900</v>
      </c>
      <c r="B307" t="str">
        <f>_xlfn.XLOOKUP($A307,ALGLIB_SSA_XAUUSD!$A$2:$A$1000,ALGLIB_SSA_XAUUSD!$B$2:$B$1000,"",0)</f>
        <v/>
      </c>
      <c r="C307" t="str">
        <f>_xlfn.XLOOKUP($A307,ALGLIB_SSA_XAUUSD!$A$2:$A$1000,ALGLIB_SSA_XAUUSD!$C$2:$C$1000,"",0)</f>
        <v/>
      </c>
      <c r="D307" s="1">
        <f>D302+(D314-D302)*5/12</f>
        <v>4681.1958333333332</v>
      </c>
      <c r="E307" s="1">
        <f>E302+(E314-E302)*5/12</f>
        <v>4674.66939</v>
      </c>
      <c r="F307" s="1">
        <f>F302+(F314-F302)*5/12</f>
        <v>4678.8635533333336</v>
      </c>
      <c r="G307" s="1">
        <f>G302+(G314-G302)*5/12</f>
        <v>4686.4358083333336</v>
      </c>
      <c r="H307" s="1">
        <f>H302+(H314-H302)*5/12</f>
        <v>4661.1107791666664</v>
      </c>
      <c r="I307" t="str">
        <f>_xlfn.XLOOKUP($A307,ALGLIB_SSA_XAUUSD!$J$2:$J$1000,ALGLIB_SSA_XAUUSD!$K$2:$K$1000,"",0)</f>
        <v>XAUUSD</v>
      </c>
      <c r="J307" t="str">
        <f>_xlfn.XLOOKUP($A307,ALGLIB_SSA_XAUUSD!$J$2:$J$1000,ALGLIB_SSA_XAUUSD!$L$2:$L$1000,"",0)</f>
        <v>M5</v>
      </c>
      <c r="K307">
        <f>_xlfn.XLOOKUP($A307,ALGLIB_SSA_XAUUSD!$J$2:$J$1000,ALGLIB_SSA_XAUUSD!$M$2:$M$1000,"",0)</f>
        <v>4668.58</v>
      </c>
      <c r="L307">
        <f>_xlfn.XLOOKUP($A307,ALGLIB_SSA_XAUUSD!$J$2:$J$1000,ALGLIB_SSA_XAUUSD!$N$2:$N$1000,"",0)</f>
        <v>4668.7543999999998</v>
      </c>
      <c r="M307">
        <f>_xlfn.XLOOKUP($A307,ALGLIB_SSA_XAUUSD!$J$2:$J$1000,ALGLIB_SSA_XAUUSD!$O$2:$O$1000,"",0)</f>
        <v>4669.1336000000001</v>
      </c>
      <c r="N307">
        <f>_xlfn.XLOOKUP($A307,ALGLIB_SSA_XAUUSD!$J$2:$J$1000,ALGLIB_SSA_XAUUSD!$P$2:$P$1000,"",0)</f>
        <v>4673.20849</v>
      </c>
      <c r="O307">
        <f>_xlfn.XLOOKUP($A307,ALGLIB_SSA_XAUUSD!$J$2:$J$1000,ALGLIB_SSA_XAUUSD!$Q$2:$Q$1000,"",0)</f>
        <v>4662.8738700000004</v>
      </c>
      <c r="R307">
        <f t="shared" si="44"/>
        <v>1775481900</v>
      </c>
      <c r="S307" t="str">
        <f t="shared" si="45"/>
        <v>XAUUSD</v>
      </c>
      <c r="T307" t="str">
        <f t="shared" si="46"/>
        <v>M5</v>
      </c>
      <c r="U307">
        <f t="shared" si="47"/>
        <v>4668.58</v>
      </c>
      <c r="V307">
        <v>4674.66939</v>
      </c>
      <c r="W307">
        <v>4678.86355</v>
      </c>
      <c r="X307">
        <v>4668.7543999999998</v>
      </c>
      <c r="Y307">
        <v>4669.1336000000001</v>
      </c>
      <c r="Z307">
        <f t="shared" si="48"/>
        <v>4686.4358083333336</v>
      </c>
      <c r="AA307">
        <f t="shared" si="49"/>
        <v>4673.20849</v>
      </c>
      <c r="AB307">
        <f t="shared" si="50"/>
        <v>4661.1107791666664</v>
      </c>
      <c r="AC307">
        <f t="shared" si="51"/>
        <v>4662.8738700000004</v>
      </c>
      <c r="AF307">
        <f t="shared" si="52"/>
        <v>4668.7543999999998</v>
      </c>
      <c r="AG307">
        <f t="shared" si="53"/>
        <v>4686.4358083333336</v>
      </c>
      <c r="AH307">
        <f t="shared" si="54"/>
        <v>4661.1107791666664</v>
      </c>
    </row>
    <row r="308" spans="1:34" x14ac:dyDescent="0.55000000000000004">
      <c r="A308">
        <f>ALGLIB_SSA_XAUUSD!J308</f>
        <v>1775482200</v>
      </c>
      <c r="B308" t="str">
        <f>_xlfn.XLOOKUP($A308,ALGLIB_SSA_XAUUSD!$A$2:$A$1000,ALGLIB_SSA_XAUUSD!$B$2:$B$1000,"",0)</f>
        <v/>
      </c>
      <c r="C308" t="str">
        <f>_xlfn.XLOOKUP($A308,ALGLIB_SSA_XAUUSD!$A$2:$A$1000,ALGLIB_SSA_XAUUSD!$C$2:$C$1000,"",0)</f>
        <v/>
      </c>
      <c r="D308" s="1">
        <f>D302+(D314-D302)*6/12</f>
        <v>4681.4049999999997</v>
      </c>
      <c r="E308" s="1">
        <f>E302+(E314-E302)*6/12</f>
        <v>4674.2441500000004</v>
      </c>
      <c r="F308" s="1">
        <f>F302+(F314-F302)*6/12</f>
        <v>4678.48614</v>
      </c>
      <c r="G308" s="1">
        <f>G302+(G314-G302)*6/12</f>
        <v>4685.9968399999998</v>
      </c>
      <c r="H308" s="1">
        <f>H302+(H314-H302)*6/12</f>
        <v>4660.6785149999996</v>
      </c>
      <c r="I308" t="str">
        <f>_xlfn.XLOOKUP($A308,ALGLIB_SSA_XAUUSD!$J$2:$J$1000,ALGLIB_SSA_XAUUSD!$K$2:$K$1000,"",0)</f>
        <v>XAUUSD</v>
      </c>
      <c r="J308" t="str">
        <f>_xlfn.XLOOKUP($A308,ALGLIB_SSA_XAUUSD!$J$2:$J$1000,ALGLIB_SSA_XAUUSD!$L$2:$L$1000,"",0)</f>
        <v>M5</v>
      </c>
      <c r="K308">
        <f>_xlfn.XLOOKUP($A308,ALGLIB_SSA_XAUUSD!$J$2:$J$1000,ALGLIB_SSA_XAUUSD!$M$2:$M$1000,"",0)</f>
        <v>4671.3</v>
      </c>
      <c r="L308">
        <f>_xlfn.XLOOKUP($A308,ALGLIB_SSA_XAUUSD!$J$2:$J$1000,ALGLIB_SSA_XAUUSD!$N$2:$N$1000,"",0)</f>
        <v>4669.1678099999999</v>
      </c>
      <c r="M308">
        <f>_xlfn.XLOOKUP($A308,ALGLIB_SSA_XAUUSD!$J$2:$J$1000,ALGLIB_SSA_XAUUSD!$O$2:$O$1000,"",0)</f>
        <v>4669.1507099999999</v>
      </c>
      <c r="N308">
        <f>_xlfn.XLOOKUP($A308,ALGLIB_SSA_XAUUSD!$J$2:$J$1000,ALGLIB_SSA_XAUUSD!$P$2:$P$1000,"",0)</f>
        <v>4674.6739500000003</v>
      </c>
      <c r="O308">
        <f>_xlfn.XLOOKUP($A308,ALGLIB_SSA_XAUUSD!$J$2:$J$1000,ALGLIB_SSA_XAUUSD!$Q$2:$Q$1000,"",0)</f>
        <v>4662.8700900000003</v>
      </c>
      <c r="R308">
        <f t="shared" si="44"/>
        <v>1775482200</v>
      </c>
      <c r="S308" t="str">
        <f t="shared" si="45"/>
        <v>XAUUSD</v>
      </c>
      <c r="T308" t="str">
        <f t="shared" si="46"/>
        <v>M5</v>
      </c>
      <c r="U308">
        <f t="shared" si="47"/>
        <v>4671.3</v>
      </c>
      <c r="V308">
        <v>4674.2441500000004</v>
      </c>
      <c r="W308">
        <v>4678.48614</v>
      </c>
      <c r="X308">
        <v>4669.1678099999999</v>
      </c>
      <c r="Y308">
        <v>4669.1507099999999</v>
      </c>
      <c r="Z308">
        <f t="shared" si="48"/>
        <v>4685.9968399999998</v>
      </c>
      <c r="AA308">
        <f t="shared" si="49"/>
        <v>4674.6739500000003</v>
      </c>
      <c r="AB308">
        <f t="shared" si="50"/>
        <v>4660.6785149999996</v>
      </c>
      <c r="AC308">
        <f t="shared" si="51"/>
        <v>4662.8700900000003</v>
      </c>
      <c r="AF308">
        <f t="shared" si="52"/>
        <v>4669.1678099999999</v>
      </c>
      <c r="AG308">
        <f t="shared" si="53"/>
        <v>4685.9968399999998</v>
      </c>
      <c r="AH308">
        <f t="shared" si="54"/>
        <v>4660.6785149999996</v>
      </c>
    </row>
    <row r="309" spans="1:34" x14ac:dyDescent="0.55000000000000004">
      <c r="A309">
        <f>ALGLIB_SSA_XAUUSD!J309</f>
        <v>1775482500</v>
      </c>
      <c r="B309" t="str">
        <f>_xlfn.XLOOKUP($A309,ALGLIB_SSA_XAUUSD!$A$2:$A$1000,ALGLIB_SSA_XAUUSD!$B$2:$B$1000,"",0)</f>
        <v/>
      </c>
      <c r="C309" t="str">
        <f>_xlfn.XLOOKUP($A309,ALGLIB_SSA_XAUUSD!$A$2:$A$1000,ALGLIB_SSA_XAUUSD!$C$2:$C$1000,"",0)</f>
        <v/>
      </c>
      <c r="D309" s="1">
        <f>D302+(D314-D302)*7/12</f>
        <v>4681.6141666666663</v>
      </c>
      <c r="E309" s="1">
        <f>E302+(E314-E302)*7/12</f>
        <v>4673.81891</v>
      </c>
      <c r="F309" s="1">
        <f>F302+(F314-F302)*7/12</f>
        <v>4678.1087266666664</v>
      </c>
      <c r="G309" s="1">
        <f>G302+(G314-G302)*7/12</f>
        <v>4685.5578716666669</v>
      </c>
      <c r="H309" s="1">
        <f>H302+(H314-H302)*7/12</f>
        <v>4660.2462508333338</v>
      </c>
      <c r="I309" t="str">
        <f>_xlfn.XLOOKUP($A309,ALGLIB_SSA_XAUUSD!$J$2:$J$1000,ALGLIB_SSA_XAUUSD!$K$2:$K$1000,"",0)</f>
        <v>XAUUSD</v>
      </c>
      <c r="J309" t="str">
        <f>_xlfn.XLOOKUP($A309,ALGLIB_SSA_XAUUSD!$J$2:$J$1000,ALGLIB_SSA_XAUUSD!$L$2:$L$1000,"",0)</f>
        <v>M5</v>
      </c>
      <c r="K309">
        <f>_xlfn.XLOOKUP($A309,ALGLIB_SSA_XAUUSD!$J$2:$J$1000,ALGLIB_SSA_XAUUSD!$M$2:$M$1000,"",0)</f>
        <v>4673.97</v>
      </c>
      <c r="L309">
        <f>_xlfn.XLOOKUP($A309,ALGLIB_SSA_XAUUSD!$J$2:$J$1000,ALGLIB_SSA_XAUUSD!$N$2:$N$1000,"",0)</f>
        <v>4669.7300500000001</v>
      </c>
      <c r="M309">
        <f>_xlfn.XLOOKUP($A309,ALGLIB_SSA_XAUUSD!$J$2:$J$1000,ALGLIB_SSA_XAUUSD!$O$2:$O$1000,"",0)</f>
        <v>4669.44038</v>
      </c>
      <c r="N309">
        <f>_xlfn.XLOOKUP($A309,ALGLIB_SSA_XAUUSD!$J$2:$J$1000,ALGLIB_SSA_XAUUSD!$P$2:$P$1000,"",0)</f>
        <v>4676.3116</v>
      </c>
      <c r="O309">
        <f>_xlfn.XLOOKUP($A309,ALGLIB_SSA_XAUUSD!$J$2:$J$1000,ALGLIB_SSA_XAUUSD!$Q$2:$Q$1000,"",0)</f>
        <v>4663.3185999999996</v>
      </c>
      <c r="R309">
        <f t="shared" si="44"/>
        <v>1775482500</v>
      </c>
      <c r="S309" t="str">
        <f t="shared" si="45"/>
        <v>XAUUSD</v>
      </c>
      <c r="T309" t="str">
        <f t="shared" si="46"/>
        <v>M5</v>
      </c>
      <c r="U309">
        <f t="shared" si="47"/>
        <v>4673.97</v>
      </c>
      <c r="V309">
        <v>4673.81891</v>
      </c>
      <c r="W309">
        <v>4678.1087299999999</v>
      </c>
      <c r="X309">
        <v>4669.7300500000001</v>
      </c>
      <c r="Y309">
        <v>4669.44038</v>
      </c>
      <c r="Z309">
        <f t="shared" si="48"/>
        <v>4685.5578716666669</v>
      </c>
      <c r="AA309">
        <f t="shared" si="49"/>
        <v>4676.3116</v>
      </c>
      <c r="AB309">
        <f t="shared" si="50"/>
        <v>4660.2462508333338</v>
      </c>
      <c r="AC309">
        <f t="shared" si="51"/>
        <v>4663.3185999999996</v>
      </c>
      <c r="AF309">
        <f t="shared" si="52"/>
        <v>4669.7300500000001</v>
      </c>
      <c r="AG309">
        <f t="shared" si="53"/>
        <v>4685.5578716666669</v>
      </c>
      <c r="AH309">
        <f t="shared" si="54"/>
        <v>4660.2462508333338</v>
      </c>
    </row>
    <row r="310" spans="1:34" x14ac:dyDescent="0.55000000000000004">
      <c r="A310">
        <f>ALGLIB_SSA_XAUUSD!J310</f>
        <v>1775482800</v>
      </c>
      <c r="B310" t="str">
        <f>_xlfn.XLOOKUP($A310,ALGLIB_SSA_XAUUSD!$A$2:$A$1000,ALGLIB_SSA_XAUUSD!$B$2:$B$1000,"",0)</f>
        <v/>
      </c>
      <c r="C310" t="str">
        <f>_xlfn.XLOOKUP($A310,ALGLIB_SSA_XAUUSD!$A$2:$A$1000,ALGLIB_SSA_XAUUSD!$C$2:$C$1000,"",0)</f>
        <v/>
      </c>
      <c r="D310" s="1">
        <f>D302+(D314-D302)*8/12</f>
        <v>4681.8233333333328</v>
      </c>
      <c r="E310" s="1">
        <f>E302+(E314-E302)*8/12</f>
        <v>4673.3936700000004</v>
      </c>
      <c r="F310" s="1">
        <f>F302+(F314-F302)*8/12</f>
        <v>4677.7313133333337</v>
      </c>
      <c r="G310" s="1">
        <f>G302+(G314-G302)*8/12</f>
        <v>4685.1189033333339</v>
      </c>
      <c r="H310" s="1">
        <f>H302+(H314-H302)*8/12</f>
        <v>4659.813986666667</v>
      </c>
      <c r="I310" t="str">
        <f>_xlfn.XLOOKUP($A310,ALGLIB_SSA_XAUUSD!$J$2:$J$1000,ALGLIB_SSA_XAUUSD!$K$2:$K$1000,"",0)</f>
        <v>XAUUSD</v>
      </c>
      <c r="J310" t="str">
        <f>_xlfn.XLOOKUP($A310,ALGLIB_SSA_XAUUSD!$J$2:$J$1000,ALGLIB_SSA_XAUUSD!$L$2:$L$1000,"",0)</f>
        <v>M5</v>
      </c>
      <c r="K310">
        <f>_xlfn.XLOOKUP($A310,ALGLIB_SSA_XAUUSD!$J$2:$J$1000,ALGLIB_SSA_XAUUSD!$M$2:$M$1000,"",0)</f>
        <v>4665.55</v>
      </c>
      <c r="L310">
        <f>_xlfn.XLOOKUP($A310,ALGLIB_SSA_XAUUSD!$J$2:$J$1000,ALGLIB_SSA_XAUUSD!$N$2:$N$1000,"",0)</f>
        <v>4670.2642699999997</v>
      </c>
      <c r="M310">
        <f>_xlfn.XLOOKUP($A310,ALGLIB_SSA_XAUUSD!$J$2:$J$1000,ALGLIB_SSA_XAUUSD!$O$2:$O$1000,"",0)</f>
        <v>4669.8523299999997</v>
      </c>
      <c r="N310">
        <f>_xlfn.XLOOKUP($A310,ALGLIB_SSA_XAUUSD!$J$2:$J$1000,ALGLIB_SSA_XAUUSD!$P$2:$P$1000,"",0)</f>
        <v>4677.84447</v>
      </c>
      <c r="O310">
        <f>_xlfn.XLOOKUP($A310,ALGLIB_SSA_XAUUSD!$J$2:$J$1000,ALGLIB_SSA_XAUUSD!$Q$2:$Q$1000,"",0)</f>
        <v>4663.9653600000001</v>
      </c>
      <c r="R310">
        <f t="shared" si="44"/>
        <v>1775482800</v>
      </c>
      <c r="S310" t="str">
        <f t="shared" si="45"/>
        <v>XAUUSD</v>
      </c>
      <c r="T310" t="str">
        <f t="shared" si="46"/>
        <v>M5</v>
      </c>
      <c r="U310">
        <f t="shared" si="47"/>
        <v>4665.55</v>
      </c>
      <c r="V310">
        <v>4673.3936700000004</v>
      </c>
      <c r="W310">
        <v>4677.7313100000001</v>
      </c>
      <c r="X310">
        <v>4670.2642699999997</v>
      </c>
      <c r="Y310">
        <v>4669.8523299999997</v>
      </c>
      <c r="Z310">
        <f t="shared" si="48"/>
        <v>4685.1189033333339</v>
      </c>
      <c r="AA310">
        <f t="shared" si="49"/>
        <v>4677.84447</v>
      </c>
      <c r="AB310">
        <f t="shared" si="50"/>
        <v>4659.813986666667</v>
      </c>
      <c r="AC310">
        <f t="shared" si="51"/>
        <v>4663.9653600000001</v>
      </c>
      <c r="AF310">
        <f t="shared" si="52"/>
        <v>4670.2642699999997</v>
      </c>
      <c r="AG310">
        <f t="shared" si="53"/>
        <v>4685.1189033333339</v>
      </c>
      <c r="AH310">
        <f t="shared" si="54"/>
        <v>4659.813986666667</v>
      </c>
    </row>
    <row r="311" spans="1:34" x14ac:dyDescent="0.55000000000000004">
      <c r="A311">
        <f>ALGLIB_SSA_XAUUSD!J311</f>
        <v>1775483100</v>
      </c>
      <c r="B311" t="str">
        <f>_xlfn.XLOOKUP($A311,ALGLIB_SSA_XAUUSD!$A$2:$A$1000,ALGLIB_SSA_XAUUSD!$B$2:$B$1000,"",0)</f>
        <v/>
      </c>
      <c r="C311" t="str">
        <f>_xlfn.XLOOKUP($A311,ALGLIB_SSA_XAUUSD!$A$2:$A$1000,ALGLIB_SSA_XAUUSD!$C$2:$C$1000,"",0)</f>
        <v/>
      </c>
      <c r="D311" s="1">
        <f>D302+(D314-D302)*9/12</f>
        <v>4682.0324999999993</v>
      </c>
      <c r="E311" s="1">
        <f>E302+(E314-E302)*9/12</f>
        <v>4672.9684299999999</v>
      </c>
      <c r="F311" s="1">
        <f>F302+(F314-F302)*9/12</f>
        <v>4677.3539000000001</v>
      </c>
      <c r="G311" s="1">
        <f>G302+(G314-G302)*9/12</f>
        <v>4684.6799350000001</v>
      </c>
      <c r="H311" s="1">
        <f>H302+(H314-H302)*9/12</f>
        <v>4659.3817225000003</v>
      </c>
      <c r="I311" t="str">
        <f>_xlfn.XLOOKUP($A311,ALGLIB_SSA_XAUUSD!$J$2:$J$1000,ALGLIB_SSA_XAUUSD!$K$2:$K$1000,"",0)</f>
        <v>XAUUSD</v>
      </c>
      <c r="J311" t="str">
        <f>_xlfn.XLOOKUP($A311,ALGLIB_SSA_XAUUSD!$J$2:$J$1000,ALGLIB_SSA_XAUUSD!$L$2:$L$1000,"",0)</f>
        <v>M5</v>
      </c>
      <c r="K311">
        <f>_xlfn.XLOOKUP($A311,ALGLIB_SSA_XAUUSD!$J$2:$J$1000,ALGLIB_SSA_XAUUSD!$M$2:$M$1000,"",0)</f>
        <v>4664.34</v>
      </c>
      <c r="L311">
        <f>_xlfn.XLOOKUP($A311,ALGLIB_SSA_XAUUSD!$J$2:$J$1000,ALGLIB_SSA_XAUUSD!$N$2:$N$1000,"",0)</f>
        <v>4670.9603299999999</v>
      </c>
      <c r="M311">
        <f>_xlfn.XLOOKUP($A311,ALGLIB_SSA_XAUUSD!$J$2:$J$1000,ALGLIB_SSA_XAUUSD!$O$2:$O$1000,"",0)</f>
        <v>4670.4063299999998</v>
      </c>
      <c r="N311">
        <f>_xlfn.XLOOKUP($A311,ALGLIB_SSA_XAUUSD!$J$2:$J$1000,ALGLIB_SSA_XAUUSD!$P$2:$P$1000,"",0)</f>
        <v>4678.9637000000002</v>
      </c>
      <c r="O311">
        <f>_xlfn.XLOOKUP($A311,ALGLIB_SSA_XAUUSD!$J$2:$J$1000,ALGLIB_SSA_XAUUSD!$Q$2:$Q$1000,"",0)</f>
        <v>4664.6325699999998</v>
      </c>
      <c r="R311">
        <f t="shared" si="44"/>
        <v>1775483100</v>
      </c>
      <c r="S311" t="str">
        <f t="shared" si="45"/>
        <v>XAUUSD</v>
      </c>
      <c r="T311" t="str">
        <f t="shared" si="46"/>
        <v>M5</v>
      </c>
      <c r="U311">
        <f t="shared" si="47"/>
        <v>4664.34</v>
      </c>
      <c r="V311">
        <v>4672.9684299999999</v>
      </c>
      <c r="W311">
        <v>4677.3539000000001</v>
      </c>
      <c r="X311">
        <v>4670.9603299999999</v>
      </c>
      <c r="Y311">
        <v>4670.4063299999998</v>
      </c>
      <c r="Z311">
        <f t="shared" si="48"/>
        <v>4684.6799350000001</v>
      </c>
      <c r="AA311">
        <f t="shared" si="49"/>
        <v>4678.9637000000002</v>
      </c>
      <c r="AB311">
        <f t="shared" si="50"/>
        <v>4659.3817225000003</v>
      </c>
      <c r="AC311">
        <f t="shared" si="51"/>
        <v>4664.6325699999998</v>
      </c>
      <c r="AF311">
        <f t="shared" si="52"/>
        <v>4670.9603299999999</v>
      </c>
      <c r="AG311">
        <f t="shared" si="53"/>
        <v>4684.6799350000001</v>
      </c>
      <c r="AH311">
        <f t="shared" si="54"/>
        <v>4659.3817225000003</v>
      </c>
    </row>
    <row r="312" spans="1:34" x14ac:dyDescent="0.55000000000000004">
      <c r="A312">
        <f>ALGLIB_SSA_XAUUSD!J312</f>
        <v>1775483400</v>
      </c>
      <c r="B312" t="str">
        <f>_xlfn.XLOOKUP($A312,ALGLIB_SSA_XAUUSD!$A$2:$A$1000,ALGLIB_SSA_XAUUSD!$B$2:$B$1000,"",0)</f>
        <v/>
      </c>
      <c r="C312" t="str">
        <f>_xlfn.XLOOKUP($A312,ALGLIB_SSA_XAUUSD!$A$2:$A$1000,ALGLIB_SSA_XAUUSD!$C$2:$C$1000,"",0)</f>
        <v/>
      </c>
      <c r="D312" s="1">
        <f>D302+(D314-D302)*10/12</f>
        <v>4682.2416666666668</v>
      </c>
      <c r="E312" s="1">
        <f>E302+(E314-E302)*10/12</f>
        <v>4672.5431900000003</v>
      </c>
      <c r="F312" s="1">
        <f>F302+(F314-F302)*10/12</f>
        <v>4676.9764866666665</v>
      </c>
      <c r="G312" s="1">
        <f>G302+(G314-G302)*10/12</f>
        <v>4684.2409666666672</v>
      </c>
      <c r="H312" s="1">
        <f>H302+(H314-H302)*10/12</f>
        <v>4658.9494583333335</v>
      </c>
      <c r="I312" t="str">
        <f>_xlfn.XLOOKUP($A312,ALGLIB_SSA_XAUUSD!$J$2:$J$1000,ALGLIB_SSA_XAUUSD!$K$2:$K$1000,"",0)</f>
        <v>XAUUSD</v>
      </c>
      <c r="J312" t="str">
        <f>_xlfn.XLOOKUP($A312,ALGLIB_SSA_XAUUSD!$J$2:$J$1000,ALGLIB_SSA_XAUUSD!$L$2:$L$1000,"",0)</f>
        <v>M5</v>
      </c>
      <c r="K312">
        <f>_xlfn.XLOOKUP($A312,ALGLIB_SSA_XAUUSD!$J$2:$J$1000,ALGLIB_SSA_XAUUSD!$M$2:$M$1000,"",0)</f>
        <v>4679.01</v>
      </c>
      <c r="L312">
        <f>_xlfn.XLOOKUP($A312,ALGLIB_SSA_XAUUSD!$J$2:$J$1000,ALGLIB_SSA_XAUUSD!$N$2:$N$1000,"",0)</f>
        <v>4671.9072800000004</v>
      </c>
      <c r="M312">
        <f>_xlfn.XLOOKUP($A312,ALGLIB_SSA_XAUUSD!$J$2:$J$1000,ALGLIB_SSA_XAUUSD!$O$2:$O$1000,"",0)</f>
        <v>4671.1567999999997</v>
      </c>
      <c r="N312">
        <f>_xlfn.XLOOKUP($A312,ALGLIB_SSA_XAUUSD!$J$2:$J$1000,ALGLIB_SSA_XAUUSD!$P$2:$P$1000,"",0)</f>
        <v>4679.6675699999996</v>
      </c>
      <c r="O312">
        <f>_xlfn.XLOOKUP($A312,ALGLIB_SSA_XAUUSD!$J$2:$J$1000,ALGLIB_SSA_XAUUSD!$Q$2:$Q$1000,"",0)</f>
        <v>4665.3720199999998</v>
      </c>
      <c r="R312">
        <f t="shared" si="44"/>
        <v>1775483400</v>
      </c>
      <c r="S312" t="str">
        <f t="shared" si="45"/>
        <v>XAUUSD</v>
      </c>
      <c r="T312" t="str">
        <f t="shared" si="46"/>
        <v>M5</v>
      </c>
      <c r="U312">
        <f t="shared" si="47"/>
        <v>4679.01</v>
      </c>
      <c r="V312">
        <v>4672.5431900000003</v>
      </c>
      <c r="W312">
        <v>4676.97649</v>
      </c>
      <c r="X312">
        <v>4671.9072800000004</v>
      </c>
      <c r="Y312">
        <v>4671.1567999999997</v>
      </c>
      <c r="Z312">
        <f t="shared" si="48"/>
        <v>4684.2409666666672</v>
      </c>
      <c r="AA312">
        <f t="shared" si="49"/>
        <v>4679.6675699999996</v>
      </c>
      <c r="AB312">
        <f t="shared" si="50"/>
        <v>4658.9494583333335</v>
      </c>
      <c r="AC312">
        <f t="shared" si="51"/>
        <v>4665.3720199999998</v>
      </c>
      <c r="AF312">
        <f t="shared" si="52"/>
        <v>4671.9072800000004</v>
      </c>
      <c r="AG312">
        <f t="shared" si="53"/>
        <v>4684.2409666666672</v>
      </c>
      <c r="AH312">
        <f t="shared" si="54"/>
        <v>4658.9494583333335</v>
      </c>
    </row>
    <row r="313" spans="1:34" x14ac:dyDescent="0.55000000000000004">
      <c r="A313">
        <f>ALGLIB_SSA_XAUUSD!J313</f>
        <v>1775483700</v>
      </c>
      <c r="B313" t="str">
        <f>_xlfn.XLOOKUP($A313,ALGLIB_SSA_XAUUSD!$A$2:$A$1000,ALGLIB_SSA_XAUUSD!$B$2:$B$1000,"",0)</f>
        <v/>
      </c>
      <c r="C313" t="str">
        <f>_xlfn.XLOOKUP($A313,ALGLIB_SSA_XAUUSD!$A$2:$A$1000,ALGLIB_SSA_XAUUSD!$C$2:$C$1000,"",0)</f>
        <v/>
      </c>
      <c r="D313" s="1">
        <f>D302+(D314-D302)*11/12</f>
        <v>4682.4508333333333</v>
      </c>
      <c r="E313" s="1">
        <f>E302+(E314-E302)*11/12</f>
        <v>4672.1179499999998</v>
      </c>
      <c r="F313" s="1">
        <f>F302+(F314-F302)*11/12</f>
        <v>4676.5990733333338</v>
      </c>
      <c r="G313" s="1">
        <f>G302+(G314-G302)*11/12</f>
        <v>4683.8019983333334</v>
      </c>
      <c r="H313" s="1">
        <f>H302+(H314-H302)*11/12</f>
        <v>4658.5171941666667</v>
      </c>
      <c r="I313" t="str">
        <f>_xlfn.XLOOKUP($A313,ALGLIB_SSA_XAUUSD!$J$2:$J$1000,ALGLIB_SSA_XAUUSD!$K$2:$K$1000,"",0)</f>
        <v>XAUUSD</v>
      </c>
      <c r="J313" t="str">
        <f>_xlfn.XLOOKUP($A313,ALGLIB_SSA_XAUUSD!$J$2:$J$1000,ALGLIB_SSA_XAUUSD!$L$2:$L$1000,"",0)</f>
        <v>M5</v>
      </c>
      <c r="K313">
        <f>_xlfn.XLOOKUP($A313,ALGLIB_SSA_XAUUSD!$J$2:$J$1000,ALGLIB_SSA_XAUUSD!$M$2:$M$1000,"",0)</f>
        <v>4680.1499999999996</v>
      </c>
      <c r="L313">
        <f>_xlfn.XLOOKUP($A313,ALGLIB_SSA_XAUUSD!$J$2:$J$1000,ALGLIB_SSA_XAUUSD!$N$2:$N$1000,"",0)</f>
        <v>4672.8588900000004</v>
      </c>
      <c r="M313">
        <f>_xlfn.XLOOKUP($A313,ALGLIB_SSA_XAUUSD!$J$2:$J$1000,ALGLIB_SSA_XAUUSD!$O$2:$O$1000,"",0)</f>
        <v>4672.0078400000002</v>
      </c>
      <c r="N313">
        <f>_xlfn.XLOOKUP($A313,ALGLIB_SSA_XAUUSD!$J$2:$J$1000,ALGLIB_SSA_XAUUSD!$P$2:$P$1000,"",0)</f>
        <v>4679.9970700000003</v>
      </c>
      <c r="O313">
        <f>_xlfn.XLOOKUP($A313,ALGLIB_SSA_XAUUSD!$J$2:$J$1000,ALGLIB_SSA_XAUUSD!$Q$2:$Q$1000,"",0)</f>
        <v>4666.2259199999999</v>
      </c>
      <c r="R313">
        <f t="shared" si="44"/>
        <v>1775483700</v>
      </c>
      <c r="S313" t="str">
        <f t="shared" si="45"/>
        <v>XAUUSD</v>
      </c>
      <c r="T313" t="str">
        <f t="shared" si="46"/>
        <v>M5</v>
      </c>
      <c r="U313">
        <f t="shared" si="47"/>
        <v>4680.1499999999996</v>
      </c>
      <c r="V313">
        <v>4672.1179499999998</v>
      </c>
      <c r="W313">
        <v>4676.5990700000002</v>
      </c>
      <c r="X313">
        <v>4672.8588900000004</v>
      </c>
      <c r="Y313">
        <v>4672.0078400000002</v>
      </c>
      <c r="Z313">
        <f t="shared" si="48"/>
        <v>4683.8019983333334</v>
      </c>
      <c r="AA313">
        <f t="shared" si="49"/>
        <v>4679.9970700000003</v>
      </c>
      <c r="AB313">
        <f t="shared" si="50"/>
        <v>4658.5171941666667</v>
      </c>
      <c r="AC313">
        <f t="shared" si="51"/>
        <v>4666.2259199999999</v>
      </c>
      <c r="AF313">
        <f t="shared" si="52"/>
        <v>4672.8588900000004</v>
      </c>
      <c r="AG313">
        <f t="shared" si="53"/>
        <v>4683.8019983333334</v>
      </c>
      <c r="AH313">
        <f t="shared" si="54"/>
        <v>4658.5171941666667</v>
      </c>
    </row>
    <row r="314" spans="1:34" x14ac:dyDescent="0.55000000000000004">
      <c r="A314">
        <f>ALGLIB_SSA_XAUUSD!J314</f>
        <v>1775484000</v>
      </c>
      <c r="B314" t="str">
        <f>_xlfn.XLOOKUP($A314,ALGLIB_SSA_XAUUSD!$A$2:$A$1000,ALGLIB_SSA_XAUUSD!$B$2:$B$1000,"",0)</f>
        <v>XAUUSD</v>
      </c>
      <c r="C314" t="str">
        <f>_xlfn.XLOOKUP($A314,ALGLIB_SSA_XAUUSD!$A$2:$A$1000,ALGLIB_SSA_XAUUSD!$C$2:$C$1000,"",0)</f>
        <v>H1</v>
      </c>
      <c r="D314" s="2">
        <f>_xlfn.XLOOKUP($A314,ALGLIB_SSA_XAUUSD!$A$2:$A$1000,ALGLIB_SSA_XAUUSD!$D$2:$D$1000,"",0)</f>
        <v>4682.66</v>
      </c>
      <c r="E314" s="2">
        <f>_xlfn.XLOOKUP($A314,ALGLIB_SSA_XAUUSD!$A$2:$A$1000,ALGLIB_SSA_XAUUSD!$E$2:$E$1000,"",0)</f>
        <v>4671.6927100000003</v>
      </c>
      <c r="F314" s="2">
        <f>_xlfn.XLOOKUP($A314,ALGLIB_SSA_XAUUSD!$A$2:$A$1000,ALGLIB_SSA_XAUUSD!$F$2:$F$1000,"",0)</f>
        <v>4676.2216600000002</v>
      </c>
      <c r="G314" s="2">
        <f>_xlfn.XLOOKUP($A314,ALGLIB_SSA_XAUUSD!$A$2:$A$1000,ALGLIB_SSA_XAUUSD!$G$2:$G$1000,"",0)</f>
        <v>4683.3630300000004</v>
      </c>
      <c r="H314" s="2">
        <f>_xlfn.XLOOKUP($A314,ALGLIB_SSA_XAUUSD!$A$2:$A$1000,ALGLIB_SSA_XAUUSD!$H$2:$H$1000,"",0)</f>
        <v>4658.08493</v>
      </c>
      <c r="I314" t="str">
        <f>_xlfn.XLOOKUP($A314,ALGLIB_SSA_XAUUSD!$J$2:$J$1000,ALGLIB_SSA_XAUUSD!$K$2:$K$1000,"",0)</f>
        <v>XAUUSD</v>
      </c>
      <c r="J314" t="str">
        <f>_xlfn.XLOOKUP($A314,ALGLIB_SSA_XAUUSD!$J$2:$J$1000,ALGLIB_SSA_XAUUSD!$L$2:$L$1000,"",0)</f>
        <v>M5</v>
      </c>
      <c r="K314">
        <f>_xlfn.XLOOKUP($A314,ALGLIB_SSA_XAUUSD!$J$2:$J$1000,ALGLIB_SSA_XAUUSD!$M$2:$M$1000,"",0)</f>
        <v>4669.78</v>
      </c>
      <c r="L314">
        <f>_xlfn.XLOOKUP($A314,ALGLIB_SSA_XAUUSD!$J$2:$J$1000,ALGLIB_SSA_XAUUSD!$N$2:$N$1000,"",0)</f>
        <v>4673.9619700000003</v>
      </c>
      <c r="M314">
        <f>_xlfn.XLOOKUP($A314,ALGLIB_SSA_XAUUSD!$J$2:$J$1000,ALGLIB_SSA_XAUUSD!$O$2:$O$1000,"",0)</f>
        <v>4672.9849100000001</v>
      </c>
      <c r="N314">
        <f>_xlfn.XLOOKUP($A314,ALGLIB_SSA_XAUUSD!$J$2:$J$1000,ALGLIB_SSA_XAUUSD!$P$2:$P$1000,"",0)</f>
        <v>4680.1854800000001</v>
      </c>
      <c r="O314">
        <f>_xlfn.XLOOKUP($A314,ALGLIB_SSA_XAUUSD!$J$2:$J$1000,ALGLIB_SSA_XAUUSD!$Q$2:$Q$1000,"",0)</f>
        <v>4667.0820599999997</v>
      </c>
      <c r="R314">
        <f t="shared" si="44"/>
        <v>1775484000</v>
      </c>
      <c r="S314" t="str">
        <f t="shared" si="45"/>
        <v>XAUUSD</v>
      </c>
      <c r="T314" t="str">
        <f t="shared" si="46"/>
        <v>M5</v>
      </c>
      <c r="U314">
        <f t="shared" si="47"/>
        <v>4669.78</v>
      </c>
      <c r="V314">
        <v>4671.6927100000003</v>
      </c>
      <c r="W314">
        <v>4676.2216600000002</v>
      </c>
      <c r="X314">
        <v>4673.9619700000003</v>
      </c>
      <c r="Y314">
        <v>4672.9849100000001</v>
      </c>
      <c r="Z314">
        <f t="shared" si="48"/>
        <v>4683.3630300000004</v>
      </c>
      <c r="AA314">
        <f t="shared" si="49"/>
        <v>4680.1854800000001</v>
      </c>
      <c r="AB314">
        <f t="shared" si="50"/>
        <v>4658.08493</v>
      </c>
      <c r="AC314">
        <f t="shared" si="51"/>
        <v>4667.0820599999997</v>
      </c>
      <c r="AF314">
        <f t="shared" si="52"/>
        <v>4673.9619700000003</v>
      </c>
      <c r="AG314">
        <f t="shared" si="53"/>
        <v>4683.3630300000004</v>
      </c>
      <c r="AH314">
        <f t="shared" si="54"/>
        <v>4658.08493</v>
      </c>
    </row>
    <row r="315" spans="1:34" x14ac:dyDescent="0.55000000000000004">
      <c r="A315">
        <f>ALGLIB_SSA_XAUUSD!J315</f>
        <v>1775484300</v>
      </c>
      <c r="B315" t="str">
        <f>_xlfn.XLOOKUP($A315,ALGLIB_SSA_XAUUSD!$A$2:$A$1000,ALGLIB_SSA_XAUUSD!$B$2:$B$1000,"",0)</f>
        <v/>
      </c>
      <c r="C315" t="str">
        <f>_xlfn.XLOOKUP($A315,ALGLIB_SSA_XAUUSD!$A$2:$A$1000,ALGLIB_SSA_XAUUSD!$C$2:$C$1000,"",0)</f>
        <v/>
      </c>
      <c r="D315" s="1">
        <f>D314+(D326-D314)*1/12</f>
        <v>4681.4483333333328</v>
      </c>
      <c r="E315" s="1">
        <f>E314+(E326-E314)*1/12</f>
        <v>4671.2852291666668</v>
      </c>
      <c r="F315" s="1">
        <f>F314+(F326-F314)*1/12</f>
        <v>4675.8292133333334</v>
      </c>
      <c r="G315" s="1">
        <f>G314+(G326-G314)*1/12</f>
        <v>4682.9009108333339</v>
      </c>
      <c r="H315" s="1">
        <f>H314+(H326-H314)*1/12</f>
        <v>4657.7623533333335</v>
      </c>
      <c r="I315" t="str">
        <f>_xlfn.XLOOKUP($A315,ALGLIB_SSA_XAUUSD!$J$2:$J$1000,ALGLIB_SSA_XAUUSD!$K$2:$K$1000,"",0)</f>
        <v>XAUUSD</v>
      </c>
      <c r="J315" t="str">
        <f>_xlfn.XLOOKUP($A315,ALGLIB_SSA_XAUUSD!$J$2:$J$1000,ALGLIB_SSA_XAUUSD!$L$2:$L$1000,"",0)</f>
        <v>M5</v>
      </c>
      <c r="K315">
        <f>_xlfn.XLOOKUP($A315,ALGLIB_SSA_XAUUSD!$J$2:$J$1000,ALGLIB_SSA_XAUUSD!$M$2:$M$1000,"",0)</f>
        <v>4670.99</v>
      </c>
      <c r="L315">
        <f>_xlfn.XLOOKUP($A315,ALGLIB_SSA_XAUUSD!$J$2:$J$1000,ALGLIB_SSA_XAUUSD!$N$2:$N$1000,"",0)</f>
        <v>4675.6383599999999</v>
      </c>
      <c r="M315">
        <f>_xlfn.XLOOKUP($A315,ALGLIB_SSA_XAUUSD!$J$2:$J$1000,ALGLIB_SSA_XAUUSD!$O$2:$O$1000,"",0)</f>
        <v>4674.3116300000002</v>
      </c>
      <c r="N315">
        <f>_xlfn.XLOOKUP($A315,ALGLIB_SSA_XAUUSD!$J$2:$J$1000,ALGLIB_SSA_XAUUSD!$P$2:$P$1000,"",0)</f>
        <v>4680.3590100000001</v>
      </c>
      <c r="O315">
        <f>_xlfn.XLOOKUP($A315,ALGLIB_SSA_XAUUSD!$J$2:$J$1000,ALGLIB_SSA_XAUUSD!$Q$2:$Q$1000,"",0)</f>
        <v>4668.3067600000004</v>
      </c>
      <c r="R315">
        <f t="shared" si="44"/>
        <v>1775484300</v>
      </c>
      <c r="S315" t="str">
        <f t="shared" si="45"/>
        <v>XAUUSD</v>
      </c>
      <c r="T315" t="str">
        <f t="shared" si="46"/>
        <v>M5</v>
      </c>
      <c r="U315">
        <f t="shared" si="47"/>
        <v>4670.99</v>
      </c>
      <c r="V315">
        <v>4671.2852300000004</v>
      </c>
      <c r="W315">
        <v>4675.8292099999999</v>
      </c>
      <c r="X315">
        <v>4675.6383599999999</v>
      </c>
      <c r="Y315">
        <v>4674.3116300000002</v>
      </c>
      <c r="Z315">
        <f t="shared" si="48"/>
        <v>4682.9009108333339</v>
      </c>
      <c r="AA315">
        <f t="shared" si="49"/>
        <v>4680.3590100000001</v>
      </c>
      <c r="AB315">
        <f t="shared" si="50"/>
        <v>4657.7623533333335</v>
      </c>
      <c r="AC315">
        <f t="shared" si="51"/>
        <v>4668.3067600000004</v>
      </c>
      <c r="AF315">
        <f t="shared" si="52"/>
        <v>4675.6383599999999</v>
      </c>
      <c r="AG315">
        <f t="shared" si="53"/>
        <v>4682.9009108333339</v>
      </c>
      <c r="AH315">
        <f t="shared" si="54"/>
        <v>4657.7623533333335</v>
      </c>
    </row>
    <row r="316" spans="1:34" x14ac:dyDescent="0.55000000000000004">
      <c r="A316">
        <f>ALGLIB_SSA_XAUUSD!J316</f>
        <v>1775484600</v>
      </c>
      <c r="B316" t="str">
        <f>_xlfn.XLOOKUP($A316,ALGLIB_SSA_XAUUSD!$A$2:$A$1000,ALGLIB_SSA_XAUUSD!$B$2:$B$1000,"",0)</f>
        <v/>
      </c>
      <c r="C316" t="str">
        <f>_xlfn.XLOOKUP($A316,ALGLIB_SSA_XAUUSD!$A$2:$A$1000,ALGLIB_SSA_XAUUSD!$C$2:$C$1000,"",0)</f>
        <v/>
      </c>
      <c r="D316" s="1">
        <f>D314+(D326-D314)*2/12</f>
        <v>4680.2366666666667</v>
      </c>
      <c r="E316" s="1">
        <f>E314+(E326-E314)*2/12</f>
        <v>4670.8777483333333</v>
      </c>
      <c r="F316" s="1">
        <f>F314+(F326-F314)*2/12</f>
        <v>4675.4367666666667</v>
      </c>
      <c r="G316" s="1">
        <f>G314+(G326-G314)*2/12</f>
        <v>4682.4387916666674</v>
      </c>
      <c r="H316" s="1">
        <f>H314+(H326-H314)*2/12</f>
        <v>4657.4397766666661</v>
      </c>
      <c r="I316" t="str">
        <f>_xlfn.XLOOKUP($A316,ALGLIB_SSA_XAUUSD!$J$2:$J$1000,ALGLIB_SSA_XAUUSD!$K$2:$K$1000,"",0)</f>
        <v>XAUUSD</v>
      </c>
      <c r="J316" t="str">
        <f>_xlfn.XLOOKUP($A316,ALGLIB_SSA_XAUUSD!$J$2:$J$1000,ALGLIB_SSA_XAUUSD!$L$2:$L$1000,"",0)</f>
        <v>M5</v>
      </c>
      <c r="K316">
        <f>_xlfn.XLOOKUP($A316,ALGLIB_SSA_XAUUSD!$J$2:$J$1000,ALGLIB_SSA_XAUUSD!$M$2:$M$1000,"",0)</f>
        <v>4672.8</v>
      </c>
      <c r="L316">
        <f>_xlfn.XLOOKUP($A316,ALGLIB_SSA_XAUUSD!$J$2:$J$1000,ALGLIB_SSA_XAUUSD!$N$2:$N$1000,"",0)</f>
        <v>4677.9144399999996</v>
      </c>
      <c r="M316">
        <f>_xlfn.XLOOKUP($A316,ALGLIB_SSA_XAUUSD!$J$2:$J$1000,ALGLIB_SSA_XAUUSD!$O$2:$O$1000,"",0)</f>
        <v>4676.1130400000002</v>
      </c>
      <c r="N316">
        <f>_xlfn.XLOOKUP($A316,ALGLIB_SSA_XAUUSD!$J$2:$J$1000,ALGLIB_SSA_XAUUSD!$P$2:$P$1000,"",0)</f>
        <v>4681.2409500000003</v>
      </c>
      <c r="O316">
        <f>_xlfn.XLOOKUP($A316,ALGLIB_SSA_XAUUSD!$J$2:$J$1000,ALGLIB_SSA_XAUUSD!$Q$2:$Q$1000,"",0)</f>
        <v>4670.1435000000001</v>
      </c>
      <c r="R316">
        <f t="shared" si="44"/>
        <v>1775484600</v>
      </c>
      <c r="S316" t="str">
        <f t="shared" si="45"/>
        <v>XAUUSD</v>
      </c>
      <c r="T316" t="str">
        <f t="shared" si="46"/>
        <v>M5</v>
      </c>
      <c r="U316">
        <f t="shared" si="47"/>
        <v>4672.8</v>
      </c>
      <c r="V316">
        <v>4670.8777499999997</v>
      </c>
      <c r="W316">
        <v>4675.4367700000003</v>
      </c>
      <c r="X316">
        <v>4677.9144399999996</v>
      </c>
      <c r="Y316">
        <v>4676.1130400000002</v>
      </c>
      <c r="Z316">
        <f t="shared" si="48"/>
        <v>4682.4387916666674</v>
      </c>
      <c r="AA316">
        <f t="shared" si="49"/>
        <v>4681.2409500000003</v>
      </c>
      <c r="AB316">
        <f t="shared" si="50"/>
        <v>4657.4397766666661</v>
      </c>
      <c r="AC316">
        <f t="shared" si="51"/>
        <v>4670.1435000000001</v>
      </c>
      <c r="AF316">
        <f t="shared" si="52"/>
        <v>4677.9144399999996</v>
      </c>
      <c r="AG316">
        <f t="shared" si="53"/>
        <v>4682.4387916666674</v>
      </c>
      <c r="AH316">
        <f t="shared" si="54"/>
        <v>4657.4397766666661</v>
      </c>
    </row>
    <row r="317" spans="1:34" x14ac:dyDescent="0.55000000000000004">
      <c r="A317">
        <f>ALGLIB_SSA_XAUUSD!J317</f>
        <v>1775484900</v>
      </c>
      <c r="B317" t="str">
        <f>_xlfn.XLOOKUP($A317,ALGLIB_SSA_XAUUSD!$A$2:$A$1000,ALGLIB_SSA_XAUUSD!$B$2:$B$1000,"",0)</f>
        <v/>
      </c>
      <c r="C317" t="str">
        <f>_xlfn.XLOOKUP($A317,ALGLIB_SSA_XAUUSD!$A$2:$A$1000,ALGLIB_SSA_XAUUSD!$C$2:$C$1000,"",0)</f>
        <v/>
      </c>
      <c r="D317" s="1">
        <f>D314+(D326-D314)*3/12</f>
        <v>4679.0249999999996</v>
      </c>
      <c r="E317" s="1">
        <f>E314+(E326-E314)*3/12</f>
        <v>4670.4702674999999</v>
      </c>
      <c r="F317" s="1">
        <f>F314+(F326-F314)*3/12</f>
        <v>4675.04432</v>
      </c>
      <c r="G317" s="1">
        <f>G314+(G326-G314)*3/12</f>
        <v>4681.9766725000009</v>
      </c>
      <c r="H317" s="1">
        <f>H314+(H326-H314)*3/12</f>
        <v>4657.1171999999997</v>
      </c>
      <c r="I317" t="str">
        <f>_xlfn.XLOOKUP($A317,ALGLIB_SSA_XAUUSD!$J$2:$J$1000,ALGLIB_SSA_XAUUSD!$K$2:$K$1000,"",0)</f>
        <v>XAUUSD</v>
      </c>
      <c r="J317" t="str">
        <f>_xlfn.XLOOKUP($A317,ALGLIB_SSA_XAUUSD!$J$2:$J$1000,ALGLIB_SSA_XAUUSD!$L$2:$L$1000,"",0)</f>
        <v>M5</v>
      </c>
      <c r="K317">
        <f>_xlfn.XLOOKUP($A317,ALGLIB_SSA_XAUUSD!$J$2:$J$1000,ALGLIB_SSA_XAUUSD!$M$2:$M$1000,"",0)</f>
        <v>4682.87</v>
      </c>
      <c r="L317">
        <f>_xlfn.XLOOKUP($A317,ALGLIB_SSA_XAUUSD!$J$2:$J$1000,ALGLIB_SSA_XAUUSD!$N$2:$N$1000,"",0)</f>
        <v>4680.6353399999998</v>
      </c>
      <c r="M317">
        <f>_xlfn.XLOOKUP($A317,ALGLIB_SSA_XAUUSD!$J$2:$J$1000,ALGLIB_SSA_XAUUSD!$O$2:$O$1000,"",0)</f>
        <v>4678.3741900000005</v>
      </c>
      <c r="N317">
        <f>_xlfn.XLOOKUP($A317,ALGLIB_SSA_XAUUSD!$J$2:$J$1000,ALGLIB_SSA_XAUUSD!$P$2:$P$1000,"",0)</f>
        <v>4683.0142299999998</v>
      </c>
      <c r="O317">
        <f>_xlfn.XLOOKUP($A317,ALGLIB_SSA_XAUUSD!$J$2:$J$1000,ALGLIB_SSA_XAUUSD!$Q$2:$Q$1000,"",0)</f>
        <v>4672.74863</v>
      </c>
      <c r="R317">
        <f t="shared" si="44"/>
        <v>1775484900</v>
      </c>
      <c r="S317" t="str">
        <f t="shared" si="45"/>
        <v>XAUUSD</v>
      </c>
      <c r="T317" t="str">
        <f t="shared" si="46"/>
        <v>M5</v>
      </c>
      <c r="U317">
        <f t="shared" si="47"/>
        <v>4682.87</v>
      </c>
      <c r="V317">
        <v>4670.4702699999998</v>
      </c>
      <c r="W317">
        <v>4675.04432</v>
      </c>
      <c r="X317">
        <v>4680.6353399999998</v>
      </c>
      <c r="Y317">
        <v>4678.3741900000005</v>
      </c>
      <c r="Z317">
        <f t="shared" si="48"/>
        <v>4681.9766725000009</v>
      </c>
      <c r="AA317">
        <f t="shared" si="49"/>
        <v>4683.0142299999998</v>
      </c>
      <c r="AB317">
        <f t="shared" si="50"/>
        <v>4657.1171999999997</v>
      </c>
      <c r="AC317">
        <f t="shared" si="51"/>
        <v>4672.74863</v>
      </c>
      <c r="AF317">
        <f t="shared" si="52"/>
        <v>4680.6353399999998</v>
      </c>
      <c r="AG317">
        <f t="shared" si="53"/>
        <v>4681.9766725000009</v>
      </c>
      <c r="AH317">
        <f t="shared" si="54"/>
        <v>4657.1171999999997</v>
      </c>
    </row>
    <row r="318" spans="1:34" x14ac:dyDescent="0.55000000000000004">
      <c r="A318">
        <f>ALGLIB_SSA_XAUUSD!J318</f>
        <v>1775485200</v>
      </c>
      <c r="B318" t="str">
        <f>_xlfn.XLOOKUP($A318,ALGLIB_SSA_XAUUSD!$A$2:$A$1000,ALGLIB_SSA_XAUUSD!$B$2:$B$1000,"",0)</f>
        <v/>
      </c>
      <c r="C318" t="str">
        <f>_xlfn.XLOOKUP($A318,ALGLIB_SSA_XAUUSD!$A$2:$A$1000,ALGLIB_SSA_XAUUSD!$C$2:$C$1000,"",0)</f>
        <v/>
      </c>
      <c r="D318" s="1">
        <f>D314+(D326-D314)*4/12</f>
        <v>4677.8133333333335</v>
      </c>
      <c r="E318" s="1">
        <f>E314+(E326-E314)*4/12</f>
        <v>4670.0627866666664</v>
      </c>
      <c r="F318" s="1">
        <f>F314+(F326-F314)*4/12</f>
        <v>4674.6518733333332</v>
      </c>
      <c r="G318" s="1">
        <f>G314+(G326-G314)*4/12</f>
        <v>4681.5145533333334</v>
      </c>
      <c r="H318" s="1">
        <f>H314+(H326-H314)*4/12</f>
        <v>4656.7946233333332</v>
      </c>
      <c r="I318" t="str">
        <f>_xlfn.XLOOKUP($A318,ALGLIB_SSA_XAUUSD!$J$2:$J$1000,ALGLIB_SSA_XAUUSD!$K$2:$K$1000,"",0)</f>
        <v>XAUUSD</v>
      </c>
      <c r="J318" t="str">
        <f>_xlfn.XLOOKUP($A318,ALGLIB_SSA_XAUUSD!$J$2:$J$1000,ALGLIB_SSA_XAUUSD!$L$2:$L$1000,"",0)</f>
        <v>M5</v>
      </c>
      <c r="K318">
        <f>_xlfn.XLOOKUP($A318,ALGLIB_SSA_XAUUSD!$J$2:$J$1000,ALGLIB_SSA_XAUUSD!$M$2:$M$1000,"",0)</f>
        <v>4685.72</v>
      </c>
      <c r="L318">
        <f>_xlfn.XLOOKUP($A318,ALGLIB_SSA_XAUUSD!$J$2:$J$1000,ALGLIB_SSA_XAUUSD!$N$2:$N$1000,"",0)</f>
        <v>4683.2819399999998</v>
      </c>
      <c r="M318">
        <f>_xlfn.XLOOKUP($A318,ALGLIB_SSA_XAUUSD!$J$2:$J$1000,ALGLIB_SSA_XAUUSD!$O$2:$O$1000,"",0)</f>
        <v>4680.8280599999998</v>
      </c>
      <c r="N318">
        <f>_xlfn.XLOOKUP($A318,ALGLIB_SSA_XAUUSD!$J$2:$J$1000,ALGLIB_SSA_XAUUSD!$P$2:$P$1000,"",0)</f>
        <v>4685.3604400000004</v>
      </c>
      <c r="O318">
        <f>_xlfn.XLOOKUP($A318,ALGLIB_SSA_XAUUSD!$J$2:$J$1000,ALGLIB_SSA_XAUUSD!$Q$2:$Q$1000,"",0)</f>
        <v>4675.67418</v>
      </c>
      <c r="R318">
        <f t="shared" si="44"/>
        <v>1775485200</v>
      </c>
      <c r="S318" t="str">
        <f t="shared" si="45"/>
        <v>XAUUSD</v>
      </c>
      <c r="T318" t="str">
        <f t="shared" si="46"/>
        <v>M5</v>
      </c>
      <c r="U318">
        <f t="shared" si="47"/>
        <v>4685.72</v>
      </c>
      <c r="V318">
        <v>4670.0627899999999</v>
      </c>
      <c r="W318">
        <v>4674.6518699999997</v>
      </c>
      <c r="X318">
        <v>4683.2819399999998</v>
      </c>
      <c r="Y318">
        <v>4680.8280599999998</v>
      </c>
      <c r="Z318">
        <f t="shared" si="48"/>
        <v>4681.5145533333334</v>
      </c>
      <c r="AA318">
        <f t="shared" si="49"/>
        <v>4685.3604400000004</v>
      </c>
      <c r="AB318">
        <f t="shared" si="50"/>
        <v>4656.7946233333332</v>
      </c>
      <c r="AC318">
        <f t="shared" si="51"/>
        <v>4675.67418</v>
      </c>
      <c r="AF318">
        <f t="shared" si="52"/>
        <v>4683.2819399999998</v>
      </c>
      <c r="AG318">
        <f t="shared" si="53"/>
        <v>4681.5145533333334</v>
      </c>
      <c r="AH318">
        <f t="shared" si="54"/>
        <v>4656.7946233333332</v>
      </c>
    </row>
    <row r="319" spans="1:34" x14ac:dyDescent="0.55000000000000004">
      <c r="A319">
        <f>ALGLIB_SSA_XAUUSD!J319</f>
        <v>1775485500</v>
      </c>
      <c r="B319" t="str">
        <f>_xlfn.XLOOKUP($A319,ALGLIB_SSA_XAUUSD!$A$2:$A$1000,ALGLIB_SSA_XAUUSD!$B$2:$B$1000,"",0)</f>
        <v/>
      </c>
      <c r="C319" t="str">
        <f>_xlfn.XLOOKUP($A319,ALGLIB_SSA_XAUUSD!$A$2:$A$1000,ALGLIB_SSA_XAUUSD!$C$2:$C$1000,"",0)</f>
        <v/>
      </c>
      <c r="D319" s="1">
        <f>D314+(D326-D314)*5/12</f>
        <v>4676.6016666666665</v>
      </c>
      <c r="E319" s="1">
        <f>E314+(E326-E314)*5/12</f>
        <v>4669.6553058333329</v>
      </c>
      <c r="F319" s="1">
        <f>F314+(F326-F314)*5/12</f>
        <v>4674.2594266666665</v>
      </c>
      <c r="G319" s="1">
        <f>G314+(G326-G314)*5/12</f>
        <v>4681.0524341666669</v>
      </c>
      <c r="H319" s="1">
        <f>H314+(H326-H314)*5/12</f>
        <v>4656.4720466666668</v>
      </c>
      <c r="I319" t="str">
        <f>_xlfn.XLOOKUP($A319,ALGLIB_SSA_XAUUSD!$J$2:$J$1000,ALGLIB_SSA_XAUUSD!$K$2:$K$1000,"",0)</f>
        <v>XAUUSD</v>
      </c>
      <c r="J319" t="str">
        <f>_xlfn.XLOOKUP($A319,ALGLIB_SSA_XAUUSD!$J$2:$J$1000,ALGLIB_SSA_XAUUSD!$L$2:$L$1000,"",0)</f>
        <v>M5</v>
      </c>
      <c r="K319">
        <f>_xlfn.XLOOKUP($A319,ALGLIB_SSA_XAUUSD!$J$2:$J$1000,ALGLIB_SSA_XAUUSD!$M$2:$M$1000,"",0)</f>
        <v>4686.29</v>
      </c>
      <c r="L319">
        <f>_xlfn.XLOOKUP($A319,ALGLIB_SSA_XAUUSD!$J$2:$J$1000,ALGLIB_SSA_XAUUSD!$N$2:$N$1000,"",0)</f>
        <v>4685.4453400000002</v>
      </c>
      <c r="M319">
        <f>_xlfn.XLOOKUP($A319,ALGLIB_SSA_XAUUSD!$J$2:$J$1000,ALGLIB_SSA_XAUUSD!$O$2:$O$1000,"",0)</f>
        <v>4683.1367</v>
      </c>
      <c r="N319">
        <f>_xlfn.XLOOKUP($A319,ALGLIB_SSA_XAUUSD!$J$2:$J$1000,ALGLIB_SSA_XAUUSD!$P$2:$P$1000,"",0)</f>
        <v>4687.9052600000005</v>
      </c>
      <c r="O319">
        <f>_xlfn.XLOOKUP($A319,ALGLIB_SSA_XAUUSD!$J$2:$J$1000,ALGLIB_SSA_XAUUSD!$Q$2:$Q$1000,"",0)</f>
        <v>4678.41273</v>
      </c>
      <c r="R319">
        <f t="shared" si="44"/>
        <v>1775485500</v>
      </c>
      <c r="S319" t="str">
        <f t="shared" si="45"/>
        <v>XAUUSD</v>
      </c>
      <c r="T319" t="str">
        <f t="shared" si="46"/>
        <v>M5</v>
      </c>
      <c r="U319">
        <f t="shared" si="47"/>
        <v>4686.29</v>
      </c>
      <c r="V319">
        <v>4669.6553100000001</v>
      </c>
      <c r="W319">
        <v>4674.2594300000001</v>
      </c>
      <c r="X319">
        <v>4685.4453400000002</v>
      </c>
      <c r="Y319">
        <v>4683.1367</v>
      </c>
      <c r="Z319">
        <f t="shared" si="48"/>
        <v>4681.0524341666669</v>
      </c>
      <c r="AA319">
        <f t="shared" si="49"/>
        <v>4687.9052600000005</v>
      </c>
      <c r="AB319">
        <f t="shared" si="50"/>
        <v>4656.4720466666668</v>
      </c>
      <c r="AC319">
        <f t="shared" si="51"/>
        <v>4678.41273</v>
      </c>
      <c r="AF319">
        <f t="shared" si="52"/>
        <v>4685.4453400000002</v>
      </c>
      <c r="AG319">
        <f t="shared" si="53"/>
        <v>4681.0524341666669</v>
      </c>
      <c r="AH319">
        <f t="shared" si="54"/>
        <v>4656.4720466666668</v>
      </c>
    </row>
    <row r="320" spans="1:34" x14ac:dyDescent="0.55000000000000004">
      <c r="A320">
        <f>ALGLIB_SSA_XAUUSD!J320</f>
        <v>1775485800</v>
      </c>
      <c r="B320" t="str">
        <f>_xlfn.XLOOKUP($A320,ALGLIB_SSA_XAUUSD!$A$2:$A$1000,ALGLIB_SSA_XAUUSD!$B$2:$B$1000,"",0)</f>
        <v/>
      </c>
      <c r="C320" t="str">
        <f>_xlfn.XLOOKUP($A320,ALGLIB_SSA_XAUUSD!$A$2:$A$1000,ALGLIB_SSA_XAUUSD!$C$2:$C$1000,"",0)</f>
        <v/>
      </c>
      <c r="D320" s="1">
        <f>D314+(D326-D314)*6/12</f>
        <v>4675.3899999999994</v>
      </c>
      <c r="E320" s="1">
        <f>E314+(E326-E314)*6/12</f>
        <v>4669.2478250000004</v>
      </c>
      <c r="F320" s="1">
        <f>F314+(F326-F314)*6/12</f>
        <v>4673.8669800000007</v>
      </c>
      <c r="G320" s="1">
        <f>G314+(G326-G314)*6/12</f>
        <v>4680.5903150000004</v>
      </c>
      <c r="H320" s="1">
        <f>H314+(H326-H314)*6/12</f>
        <v>4656.1494700000003</v>
      </c>
      <c r="I320" t="str">
        <f>_xlfn.XLOOKUP($A320,ALGLIB_SSA_XAUUSD!$J$2:$J$1000,ALGLIB_SSA_XAUUSD!$K$2:$K$1000,"",0)</f>
        <v>XAUUSD</v>
      </c>
      <c r="J320" t="str">
        <f>_xlfn.XLOOKUP($A320,ALGLIB_SSA_XAUUSD!$J$2:$J$1000,ALGLIB_SSA_XAUUSD!$L$2:$L$1000,"",0)</f>
        <v>M5</v>
      </c>
      <c r="K320">
        <f>_xlfn.XLOOKUP($A320,ALGLIB_SSA_XAUUSD!$J$2:$J$1000,ALGLIB_SSA_XAUUSD!$M$2:$M$1000,"",0)</f>
        <v>4692.0200000000004</v>
      </c>
      <c r="L320">
        <f>_xlfn.XLOOKUP($A320,ALGLIB_SSA_XAUUSD!$J$2:$J$1000,ALGLIB_SSA_XAUUSD!$N$2:$N$1000,"",0)</f>
        <v>4686.7866000000004</v>
      </c>
      <c r="M320">
        <f>_xlfn.XLOOKUP($A320,ALGLIB_SSA_XAUUSD!$J$2:$J$1000,ALGLIB_SSA_XAUUSD!$O$2:$O$1000,"",0)</f>
        <v>4684.9616500000002</v>
      </c>
      <c r="N320">
        <f>_xlfn.XLOOKUP($A320,ALGLIB_SSA_XAUUSD!$J$2:$J$1000,ALGLIB_SSA_XAUUSD!$P$2:$P$1000,"",0)</f>
        <v>4690.1563800000004</v>
      </c>
      <c r="O320">
        <f>_xlfn.XLOOKUP($A320,ALGLIB_SSA_XAUUSD!$J$2:$J$1000,ALGLIB_SSA_XAUUSD!$Q$2:$Q$1000,"",0)</f>
        <v>4680.4225500000002</v>
      </c>
      <c r="R320">
        <f t="shared" si="44"/>
        <v>1775485800</v>
      </c>
      <c r="S320" t="str">
        <f t="shared" si="45"/>
        <v>XAUUSD</v>
      </c>
      <c r="T320" t="str">
        <f t="shared" si="46"/>
        <v>M5</v>
      </c>
      <c r="U320">
        <f t="shared" si="47"/>
        <v>4692.0200000000004</v>
      </c>
      <c r="V320">
        <v>4669.2478300000002</v>
      </c>
      <c r="W320">
        <v>4673.8669799999998</v>
      </c>
      <c r="X320">
        <v>4686.7866000000004</v>
      </c>
      <c r="Y320">
        <v>4684.9616500000002</v>
      </c>
      <c r="Z320">
        <f t="shared" si="48"/>
        <v>4680.5903150000004</v>
      </c>
      <c r="AA320">
        <f t="shared" si="49"/>
        <v>4690.1563800000004</v>
      </c>
      <c r="AB320">
        <f t="shared" si="50"/>
        <v>4656.1494700000003</v>
      </c>
      <c r="AC320">
        <f t="shared" si="51"/>
        <v>4680.4225500000002</v>
      </c>
      <c r="AF320">
        <f t="shared" si="52"/>
        <v>4686.7866000000004</v>
      </c>
      <c r="AG320">
        <f t="shared" si="53"/>
        <v>4680.5903150000004</v>
      </c>
      <c r="AH320">
        <f t="shared" si="54"/>
        <v>4656.1494700000003</v>
      </c>
    </row>
    <row r="321" spans="1:34" x14ac:dyDescent="0.55000000000000004">
      <c r="A321">
        <f>ALGLIB_SSA_XAUUSD!J321</f>
        <v>1775486100</v>
      </c>
      <c r="B321" t="str">
        <f>_xlfn.XLOOKUP($A321,ALGLIB_SSA_XAUUSD!$A$2:$A$1000,ALGLIB_SSA_XAUUSD!$B$2:$B$1000,"",0)</f>
        <v/>
      </c>
      <c r="C321" t="str">
        <f>_xlfn.XLOOKUP($A321,ALGLIB_SSA_XAUUSD!$A$2:$A$1000,ALGLIB_SSA_XAUUSD!$C$2:$C$1000,"",0)</f>
        <v/>
      </c>
      <c r="D321" s="1">
        <f>D314+(D326-D314)*7/12</f>
        <v>4674.1783333333333</v>
      </c>
      <c r="E321" s="1">
        <f>E314+(E326-E314)*7/12</f>
        <v>4668.8403441666669</v>
      </c>
      <c r="F321" s="1">
        <f>F314+(F326-F314)*7/12</f>
        <v>4673.474533333334</v>
      </c>
      <c r="G321" s="1">
        <f>G314+(G326-G314)*7/12</f>
        <v>4680.1281958333338</v>
      </c>
      <c r="H321" s="1">
        <f>H314+(H326-H314)*7/12</f>
        <v>4655.8268933333329</v>
      </c>
      <c r="I321" t="str">
        <f>_xlfn.XLOOKUP($A321,ALGLIB_SSA_XAUUSD!$J$2:$J$1000,ALGLIB_SSA_XAUUSD!$K$2:$K$1000,"",0)</f>
        <v>XAUUSD</v>
      </c>
      <c r="J321" t="str">
        <f>_xlfn.XLOOKUP($A321,ALGLIB_SSA_XAUUSD!$J$2:$J$1000,ALGLIB_SSA_XAUUSD!$L$2:$L$1000,"",0)</f>
        <v>M5</v>
      </c>
      <c r="K321">
        <f>_xlfn.XLOOKUP($A321,ALGLIB_SSA_XAUUSD!$J$2:$J$1000,ALGLIB_SSA_XAUUSD!$M$2:$M$1000,"",0)</f>
        <v>4684.53</v>
      </c>
      <c r="L321">
        <f>_xlfn.XLOOKUP($A321,ALGLIB_SSA_XAUUSD!$J$2:$J$1000,ALGLIB_SSA_XAUUSD!$N$2:$N$1000,"",0)</f>
        <v>4686.9125599999998</v>
      </c>
      <c r="M321">
        <f>_xlfn.XLOOKUP($A321,ALGLIB_SSA_XAUUSD!$J$2:$J$1000,ALGLIB_SSA_XAUUSD!$O$2:$O$1000,"",0)</f>
        <v>4685.9371099999998</v>
      </c>
      <c r="N321">
        <f>_xlfn.XLOOKUP($A321,ALGLIB_SSA_XAUUSD!$J$2:$J$1000,ALGLIB_SSA_XAUUSD!$P$2:$P$1000,"",0)</f>
        <v>4691.5571300000001</v>
      </c>
      <c r="O321">
        <f>_xlfn.XLOOKUP($A321,ALGLIB_SSA_XAUUSD!$J$2:$J$1000,ALGLIB_SSA_XAUUSD!$Q$2:$Q$1000,"",0)</f>
        <v>4681.3789900000002</v>
      </c>
      <c r="R321">
        <f t="shared" si="44"/>
        <v>1775486100</v>
      </c>
      <c r="S321" t="str">
        <f t="shared" si="45"/>
        <v>XAUUSD</v>
      </c>
      <c r="T321" t="str">
        <f t="shared" si="46"/>
        <v>M5</v>
      </c>
      <c r="U321">
        <f t="shared" si="47"/>
        <v>4684.53</v>
      </c>
      <c r="V321">
        <v>4668.8403399999997</v>
      </c>
      <c r="W321">
        <v>4673.4745300000004</v>
      </c>
      <c r="X321">
        <v>4686.9125599999998</v>
      </c>
      <c r="Y321">
        <v>4685.9371099999998</v>
      </c>
      <c r="Z321">
        <f t="shared" si="48"/>
        <v>4680.1281958333338</v>
      </c>
      <c r="AA321">
        <f t="shared" si="49"/>
        <v>4691.5571300000001</v>
      </c>
      <c r="AB321">
        <f t="shared" si="50"/>
        <v>4655.8268933333329</v>
      </c>
      <c r="AC321">
        <f t="shared" si="51"/>
        <v>4681.3789900000002</v>
      </c>
      <c r="AF321">
        <f t="shared" si="52"/>
        <v>4686.9125599999998</v>
      </c>
      <c r="AG321">
        <f t="shared" si="53"/>
        <v>4680.1281958333338</v>
      </c>
      <c r="AH321">
        <f t="shared" si="54"/>
        <v>4655.8268933333329</v>
      </c>
    </row>
    <row r="322" spans="1:34" x14ac:dyDescent="0.55000000000000004">
      <c r="A322">
        <f>ALGLIB_SSA_XAUUSD!J322</f>
        <v>1775486400</v>
      </c>
      <c r="B322" t="str">
        <f>_xlfn.XLOOKUP($A322,ALGLIB_SSA_XAUUSD!$A$2:$A$1000,ALGLIB_SSA_XAUUSD!$B$2:$B$1000,"",0)</f>
        <v/>
      </c>
      <c r="C322" t="str">
        <f>_xlfn.XLOOKUP($A322,ALGLIB_SSA_XAUUSD!$A$2:$A$1000,ALGLIB_SSA_XAUUSD!$C$2:$C$1000,"",0)</f>
        <v/>
      </c>
      <c r="D322" s="1">
        <f>D314+(D326-D314)*8/12</f>
        <v>4672.9666666666662</v>
      </c>
      <c r="E322" s="1">
        <f>E314+(E326-E314)*8/12</f>
        <v>4668.4328633333334</v>
      </c>
      <c r="F322" s="1">
        <f>F314+(F326-F314)*8/12</f>
        <v>4673.0820866666672</v>
      </c>
      <c r="G322" s="1">
        <f>G314+(G326-G314)*8/12</f>
        <v>4679.6660766666673</v>
      </c>
      <c r="H322" s="1">
        <f>H314+(H326-H314)*8/12</f>
        <v>4655.5043166666665</v>
      </c>
      <c r="I322" t="str">
        <f>_xlfn.XLOOKUP($A322,ALGLIB_SSA_XAUUSD!$J$2:$J$1000,ALGLIB_SSA_XAUUSD!$K$2:$K$1000,"",0)</f>
        <v>XAUUSD</v>
      </c>
      <c r="J322" t="str">
        <f>_xlfn.XLOOKUP($A322,ALGLIB_SSA_XAUUSD!$J$2:$J$1000,ALGLIB_SSA_XAUUSD!$L$2:$L$1000,"",0)</f>
        <v>M5</v>
      </c>
      <c r="K322">
        <f>_xlfn.XLOOKUP($A322,ALGLIB_SSA_XAUUSD!$J$2:$J$1000,ALGLIB_SSA_XAUUSD!$M$2:$M$1000,"",0)</f>
        <v>4684.6499999999996</v>
      </c>
      <c r="L322">
        <f>_xlfn.XLOOKUP($A322,ALGLIB_SSA_XAUUSD!$J$2:$J$1000,ALGLIB_SSA_XAUUSD!$N$2:$N$1000,"",0)</f>
        <v>4685.9123</v>
      </c>
      <c r="M322">
        <f>_xlfn.XLOOKUP($A322,ALGLIB_SSA_XAUUSD!$J$2:$J$1000,ALGLIB_SSA_XAUUSD!$O$2:$O$1000,"",0)</f>
        <v>4685.9246999999996</v>
      </c>
      <c r="N322">
        <f>_xlfn.XLOOKUP($A322,ALGLIB_SSA_XAUUSD!$J$2:$J$1000,ALGLIB_SSA_XAUUSD!$P$2:$P$1000,"",0)</f>
        <v>4691.5982100000001</v>
      </c>
      <c r="O322">
        <f>_xlfn.XLOOKUP($A322,ALGLIB_SSA_XAUUSD!$J$2:$J$1000,ALGLIB_SSA_XAUUSD!$Q$2:$Q$1000,"",0)</f>
        <v>4681.1737199999998</v>
      </c>
      <c r="R322">
        <f t="shared" si="44"/>
        <v>1775486400</v>
      </c>
      <c r="S322" t="str">
        <f t="shared" si="45"/>
        <v>XAUUSD</v>
      </c>
      <c r="T322" t="str">
        <f t="shared" si="46"/>
        <v>M5</v>
      </c>
      <c r="U322">
        <f t="shared" si="47"/>
        <v>4684.6499999999996</v>
      </c>
      <c r="V322">
        <v>4668.4328599999999</v>
      </c>
      <c r="W322">
        <v>4673.0820899999999</v>
      </c>
      <c r="X322">
        <v>4685.9123</v>
      </c>
      <c r="Y322">
        <v>4685.9246999999996</v>
      </c>
      <c r="Z322">
        <f t="shared" si="48"/>
        <v>4679.6660766666673</v>
      </c>
      <c r="AA322">
        <f t="shared" si="49"/>
        <v>4691.5982100000001</v>
      </c>
      <c r="AB322">
        <f t="shared" si="50"/>
        <v>4655.5043166666665</v>
      </c>
      <c r="AC322">
        <f t="shared" si="51"/>
        <v>4681.1737199999998</v>
      </c>
      <c r="AF322">
        <f t="shared" si="52"/>
        <v>4685.9123</v>
      </c>
      <c r="AG322">
        <f t="shared" si="53"/>
        <v>4679.6660766666673</v>
      </c>
      <c r="AH322">
        <f t="shared" si="54"/>
        <v>4655.5043166666665</v>
      </c>
    </row>
    <row r="323" spans="1:34" x14ac:dyDescent="0.55000000000000004">
      <c r="A323">
        <f>ALGLIB_SSA_XAUUSD!J323</f>
        <v>1775486700</v>
      </c>
      <c r="B323" t="str">
        <f>_xlfn.XLOOKUP($A323,ALGLIB_SSA_XAUUSD!$A$2:$A$1000,ALGLIB_SSA_XAUUSD!$B$2:$B$1000,"",0)</f>
        <v/>
      </c>
      <c r="C323" t="str">
        <f>_xlfn.XLOOKUP($A323,ALGLIB_SSA_XAUUSD!$A$2:$A$1000,ALGLIB_SSA_XAUUSD!$C$2:$C$1000,"",0)</f>
        <v/>
      </c>
      <c r="D323" s="1">
        <f>D314+(D326-D314)*9/12</f>
        <v>4671.7550000000001</v>
      </c>
      <c r="E323" s="1">
        <f>E314+(E326-E314)*9/12</f>
        <v>4668.0253825</v>
      </c>
      <c r="F323" s="1">
        <f>F314+(F326-F314)*9/12</f>
        <v>4672.6896400000005</v>
      </c>
      <c r="G323" s="1">
        <f>G314+(G326-G314)*9/12</f>
        <v>4679.2039574999999</v>
      </c>
      <c r="H323" s="1">
        <f>H314+(H326-H314)*9/12</f>
        <v>4655.18174</v>
      </c>
      <c r="I323" t="str">
        <f>_xlfn.XLOOKUP($A323,ALGLIB_SSA_XAUUSD!$J$2:$J$1000,ALGLIB_SSA_XAUUSD!$K$2:$K$1000,"",0)</f>
        <v>XAUUSD</v>
      </c>
      <c r="J323" t="str">
        <f>_xlfn.XLOOKUP($A323,ALGLIB_SSA_XAUUSD!$J$2:$J$1000,ALGLIB_SSA_XAUUSD!$L$2:$L$1000,"",0)</f>
        <v>M5</v>
      </c>
      <c r="K323">
        <f>_xlfn.XLOOKUP($A323,ALGLIB_SSA_XAUUSD!$J$2:$J$1000,ALGLIB_SSA_XAUUSD!$M$2:$M$1000,"",0)</f>
        <v>4678.67</v>
      </c>
      <c r="L323">
        <f>_xlfn.XLOOKUP($A323,ALGLIB_SSA_XAUUSD!$J$2:$J$1000,ALGLIB_SSA_XAUUSD!$N$2:$N$1000,"",0)</f>
        <v>4683.8444</v>
      </c>
      <c r="M323">
        <f>_xlfn.XLOOKUP($A323,ALGLIB_SSA_XAUUSD!$J$2:$J$1000,ALGLIB_SSA_XAUUSD!$O$2:$O$1000,"",0)</f>
        <v>4684.8845499999998</v>
      </c>
      <c r="N323">
        <f>_xlfn.XLOOKUP($A323,ALGLIB_SSA_XAUUSD!$J$2:$J$1000,ALGLIB_SSA_XAUUSD!$P$2:$P$1000,"",0)</f>
        <v>4690.2708000000002</v>
      </c>
      <c r="O323">
        <f>_xlfn.XLOOKUP($A323,ALGLIB_SSA_XAUUSD!$J$2:$J$1000,ALGLIB_SSA_XAUUSD!$Q$2:$Q$1000,"",0)</f>
        <v>4679.6792400000004</v>
      </c>
      <c r="R323">
        <f t="shared" ref="R323:R386" si="55">A323</f>
        <v>1775486700</v>
      </c>
      <c r="S323" t="str">
        <f t="shared" ref="S323:S386" si="56">I323</f>
        <v>XAUUSD</v>
      </c>
      <c r="T323" t="str">
        <f t="shared" ref="T323:T386" si="57">J323</f>
        <v>M5</v>
      </c>
      <c r="U323">
        <f t="shared" ref="U323:U386" si="58">K323</f>
        <v>4678.67</v>
      </c>
      <c r="V323">
        <v>4668.02538</v>
      </c>
      <c r="W323">
        <v>4672.6896399999996</v>
      </c>
      <c r="X323">
        <v>4683.8444</v>
      </c>
      <c r="Y323">
        <v>4684.8845499999998</v>
      </c>
      <c r="Z323">
        <f t="shared" ref="Z323:Z386" si="59">G323</f>
        <v>4679.2039574999999</v>
      </c>
      <c r="AA323">
        <f t="shared" ref="AA323:AA386" si="60">N323</f>
        <v>4690.2708000000002</v>
      </c>
      <c r="AB323">
        <f t="shared" ref="AB323:AB386" si="61">H323</f>
        <v>4655.18174</v>
      </c>
      <c r="AC323">
        <f t="shared" ref="AC323:AC386" si="62">O323</f>
        <v>4679.6792400000004</v>
      </c>
      <c r="AF323">
        <f t="shared" ref="AF323:AF386" si="63">X323</f>
        <v>4683.8444</v>
      </c>
      <c r="AG323">
        <f t="shared" ref="AG323:AG386" si="64">Z323</f>
        <v>4679.2039574999999</v>
      </c>
      <c r="AH323">
        <f t="shared" ref="AH323:AH386" si="65">AB323</f>
        <v>4655.18174</v>
      </c>
    </row>
    <row r="324" spans="1:34" x14ac:dyDescent="0.55000000000000004">
      <c r="A324">
        <f>ALGLIB_SSA_XAUUSD!J324</f>
        <v>1775487000</v>
      </c>
      <c r="B324" t="str">
        <f>_xlfn.XLOOKUP($A324,ALGLIB_SSA_XAUUSD!$A$2:$A$1000,ALGLIB_SSA_XAUUSD!$B$2:$B$1000,"",0)</f>
        <v/>
      </c>
      <c r="C324" t="str">
        <f>_xlfn.XLOOKUP($A324,ALGLIB_SSA_XAUUSD!$A$2:$A$1000,ALGLIB_SSA_XAUUSD!$C$2:$C$1000,"",0)</f>
        <v/>
      </c>
      <c r="D324" s="1">
        <f>D314+(D326-D314)*10/12</f>
        <v>4670.5433333333331</v>
      </c>
      <c r="E324" s="1">
        <f>E314+(E326-E314)*10/12</f>
        <v>4667.6179016666665</v>
      </c>
      <c r="F324" s="1">
        <f>F314+(F326-F314)*10/12</f>
        <v>4672.2971933333338</v>
      </c>
      <c r="G324" s="1">
        <f>G314+(G326-G314)*10/12</f>
        <v>4678.7418383333334</v>
      </c>
      <c r="H324" s="1">
        <f>H314+(H326-H314)*10/12</f>
        <v>4654.8591633333326</v>
      </c>
      <c r="I324" t="str">
        <f>_xlfn.XLOOKUP($A324,ALGLIB_SSA_XAUUSD!$J$2:$J$1000,ALGLIB_SSA_XAUUSD!$K$2:$K$1000,"",0)</f>
        <v>XAUUSD</v>
      </c>
      <c r="J324" t="str">
        <f>_xlfn.XLOOKUP($A324,ALGLIB_SSA_XAUUSD!$J$2:$J$1000,ALGLIB_SSA_XAUUSD!$L$2:$L$1000,"",0)</f>
        <v>M5</v>
      </c>
      <c r="K324">
        <f>_xlfn.XLOOKUP($A324,ALGLIB_SSA_XAUUSD!$J$2:$J$1000,ALGLIB_SSA_XAUUSD!$M$2:$M$1000,"",0)</f>
        <v>4684.8599999999997</v>
      </c>
      <c r="L324">
        <f>_xlfn.XLOOKUP($A324,ALGLIB_SSA_XAUUSD!$J$2:$J$1000,ALGLIB_SSA_XAUUSD!$N$2:$N$1000,"",0)</f>
        <v>4681.0257099999999</v>
      </c>
      <c r="M324">
        <f>_xlfn.XLOOKUP($A324,ALGLIB_SSA_XAUUSD!$J$2:$J$1000,ALGLIB_SSA_XAUUSD!$O$2:$O$1000,"",0)</f>
        <v>4682.9551300000003</v>
      </c>
      <c r="N324">
        <f>_xlfn.XLOOKUP($A324,ALGLIB_SSA_XAUUSD!$J$2:$J$1000,ALGLIB_SSA_XAUUSD!$P$2:$P$1000,"",0)</f>
        <v>4687.8068000000003</v>
      </c>
      <c r="O324">
        <f>_xlfn.XLOOKUP($A324,ALGLIB_SSA_XAUUSD!$J$2:$J$1000,ALGLIB_SSA_XAUUSD!$Q$2:$Q$1000,"",0)</f>
        <v>4677.1453199999996</v>
      </c>
      <c r="R324">
        <f t="shared" si="55"/>
        <v>1775487000</v>
      </c>
      <c r="S324" t="str">
        <f t="shared" si="56"/>
        <v>XAUUSD</v>
      </c>
      <c r="T324" t="str">
        <f t="shared" si="57"/>
        <v>M5</v>
      </c>
      <c r="U324">
        <f t="shared" si="58"/>
        <v>4684.8599999999997</v>
      </c>
      <c r="V324">
        <v>4667.6179000000002</v>
      </c>
      <c r="W324">
        <v>4672.2971900000002</v>
      </c>
      <c r="X324">
        <v>4681.0257099999999</v>
      </c>
      <c r="Y324">
        <v>4682.9551300000003</v>
      </c>
      <c r="Z324">
        <f t="shared" si="59"/>
        <v>4678.7418383333334</v>
      </c>
      <c r="AA324">
        <f t="shared" si="60"/>
        <v>4687.8068000000003</v>
      </c>
      <c r="AB324">
        <f t="shared" si="61"/>
        <v>4654.8591633333326</v>
      </c>
      <c r="AC324">
        <f t="shared" si="62"/>
        <v>4677.1453199999996</v>
      </c>
      <c r="AF324">
        <f t="shared" si="63"/>
        <v>4681.0257099999999</v>
      </c>
      <c r="AG324">
        <f t="shared" si="64"/>
        <v>4678.7418383333334</v>
      </c>
      <c r="AH324">
        <f t="shared" si="65"/>
        <v>4654.8591633333326</v>
      </c>
    </row>
    <row r="325" spans="1:34" x14ac:dyDescent="0.55000000000000004">
      <c r="A325">
        <f>ALGLIB_SSA_XAUUSD!J325</f>
        <v>1775487300</v>
      </c>
      <c r="B325" t="str">
        <f>_xlfn.XLOOKUP($A325,ALGLIB_SSA_XAUUSD!$A$2:$A$1000,ALGLIB_SSA_XAUUSD!$B$2:$B$1000,"",0)</f>
        <v/>
      </c>
      <c r="C325" t="str">
        <f>_xlfn.XLOOKUP($A325,ALGLIB_SSA_XAUUSD!$A$2:$A$1000,ALGLIB_SSA_XAUUSD!$C$2:$C$1000,"",0)</f>
        <v/>
      </c>
      <c r="D325" s="1">
        <f>D314+(D326-D314)*11/12</f>
        <v>4669.3316666666669</v>
      </c>
      <c r="E325" s="1">
        <f>E314+(E326-E314)*11/12</f>
        <v>4667.210420833333</v>
      </c>
      <c r="F325" s="1">
        <f>F314+(F326-F314)*11/12</f>
        <v>4671.9047466666671</v>
      </c>
      <c r="G325" s="1">
        <f>G314+(G326-G314)*11/12</f>
        <v>4678.2797191666668</v>
      </c>
      <c r="H325" s="1">
        <f>H314+(H326-H314)*11/12</f>
        <v>4654.5365866666662</v>
      </c>
      <c r="I325" t="str">
        <f>_xlfn.XLOOKUP($A325,ALGLIB_SSA_XAUUSD!$J$2:$J$1000,ALGLIB_SSA_XAUUSD!$K$2:$K$1000,"",0)</f>
        <v>XAUUSD</v>
      </c>
      <c r="J325" t="str">
        <f>_xlfn.XLOOKUP($A325,ALGLIB_SSA_XAUUSD!$J$2:$J$1000,ALGLIB_SSA_XAUUSD!$L$2:$L$1000,"",0)</f>
        <v>M5</v>
      </c>
      <c r="K325">
        <f>_xlfn.XLOOKUP($A325,ALGLIB_SSA_XAUUSD!$J$2:$J$1000,ALGLIB_SSA_XAUUSD!$M$2:$M$1000,"",0)</f>
        <v>4682.66</v>
      </c>
      <c r="L325">
        <f>_xlfn.XLOOKUP($A325,ALGLIB_SSA_XAUUSD!$J$2:$J$1000,ALGLIB_SSA_XAUUSD!$N$2:$N$1000,"",0)</f>
        <v>4677.5671899999998</v>
      </c>
      <c r="M325">
        <f>_xlfn.XLOOKUP($A325,ALGLIB_SSA_XAUUSD!$J$2:$J$1000,ALGLIB_SSA_XAUUSD!$O$2:$O$1000,"",0)</f>
        <v>4680.26116</v>
      </c>
      <c r="N325">
        <f>_xlfn.XLOOKUP($A325,ALGLIB_SSA_XAUUSD!$J$2:$J$1000,ALGLIB_SSA_XAUUSD!$P$2:$P$1000,"",0)</f>
        <v>4684.3900199999998</v>
      </c>
      <c r="O325">
        <f>_xlfn.XLOOKUP($A325,ALGLIB_SSA_XAUUSD!$J$2:$J$1000,ALGLIB_SSA_XAUUSD!$Q$2:$Q$1000,"",0)</f>
        <v>4673.89077</v>
      </c>
      <c r="R325">
        <f t="shared" si="55"/>
        <v>1775487300</v>
      </c>
      <c r="S325" t="str">
        <f t="shared" si="56"/>
        <v>XAUUSD</v>
      </c>
      <c r="T325" t="str">
        <f t="shared" si="57"/>
        <v>M5</v>
      </c>
      <c r="U325">
        <f t="shared" si="58"/>
        <v>4682.66</v>
      </c>
      <c r="V325">
        <v>4667.2104200000003</v>
      </c>
      <c r="W325">
        <v>4671.9047499999997</v>
      </c>
      <c r="X325">
        <v>4677.5671899999998</v>
      </c>
      <c r="Y325">
        <v>4680.26116</v>
      </c>
      <c r="Z325">
        <f t="shared" si="59"/>
        <v>4678.2797191666668</v>
      </c>
      <c r="AA325">
        <f t="shared" si="60"/>
        <v>4684.3900199999998</v>
      </c>
      <c r="AB325">
        <f t="shared" si="61"/>
        <v>4654.5365866666662</v>
      </c>
      <c r="AC325">
        <f t="shared" si="62"/>
        <v>4673.89077</v>
      </c>
      <c r="AF325">
        <f t="shared" si="63"/>
        <v>4677.5671899999998</v>
      </c>
      <c r="AG325">
        <f t="shared" si="64"/>
        <v>4678.2797191666668</v>
      </c>
      <c r="AH325">
        <f t="shared" si="65"/>
        <v>4654.5365866666662</v>
      </c>
    </row>
    <row r="326" spans="1:34" x14ac:dyDescent="0.55000000000000004">
      <c r="A326">
        <f>ALGLIB_SSA_XAUUSD!J326</f>
        <v>1775487600</v>
      </c>
      <c r="B326" t="str">
        <f>_xlfn.XLOOKUP($A326,ALGLIB_SSA_XAUUSD!$A$2:$A$1000,ALGLIB_SSA_XAUUSD!$B$2:$B$1000,"",0)</f>
        <v>XAUUSD</v>
      </c>
      <c r="C326" t="str">
        <f>_xlfn.XLOOKUP($A326,ALGLIB_SSA_XAUUSD!$A$2:$A$1000,ALGLIB_SSA_XAUUSD!$C$2:$C$1000,"",0)</f>
        <v>H1</v>
      </c>
      <c r="D326" s="2">
        <f>_xlfn.XLOOKUP($A326,ALGLIB_SSA_XAUUSD!$A$2:$A$1000,ALGLIB_SSA_XAUUSD!$D$2:$D$1000,"",0)</f>
        <v>4668.12</v>
      </c>
      <c r="E326" s="2">
        <f>_xlfn.XLOOKUP($A326,ALGLIB_SSA_XAUUSD!$A$2:$A$1000,ALGLIB_SSA_XAUUSD!$E$2:$E$1000,"",0)</f>
        <v>4666.8029399999996</v>
      </c>
      <c r="F326" s="2">
        <f>_xlfn.XLOOKUP($A326,ALGLIB_SSA_XAUUSD!$A$2:$A$1000,ALGLIB_SSA_XAUUSD!$F$2:$F$1000,"",0)</f>
        <v>4671.5123000000003</v>
      </c>
      <c r="G326" s="2">
        <f>_xlfn.XLOOKUP($A326,ALGLIB_SSA_XAUUSD!$A$2:$A$1000,ALGLIB_SSA_XAUUSD!$G$2:$G$1000,"",0)</f>
        <v>4677.8176000000003</v>
      </c>
      <c r="H326" s="2">
        <f>_xlfn.XLOOKUP($A326,ALGLIB_SSA_XAUUSD!$A$2:$A$1000,ALGLIB_SSA_XAUUSD!$H$2:$H$1000,"",0)</f>
        <v>4654.2140099999997</v>
      </c>
      <c r="I326" t="str">
        <f>_xlfn.XLOOKUP($A326,ALGLIB_SSA_XAUUSD!$J$2:$J$1000,ALGLIB_SSA_XAUUSD!$K$2:$K$1000,"",0)</f>
        <v>XAUUSD</v>
      </c>
      <c r="J326" t="str">
        <f>_xlfn.XLOOKUP($A326,ALGLIB_SSA_XAUUSD!$J$2:$J$1000,ALGLIB_SSA_XAUUSD!$L$2:$L$1000,"",0)</f>
        <v>M5</v>
      </c>
      <c r="K326">
        <f>_xlfn.XLOOKUP($A326,ALGLIB_SSA_XAUUSD!$J$2:$J$1000,ALGLIB_SSA_XAUUSD!$M$2:$M$1000,"",0)</f>
        <v>4672.25</v>
      </c>
      <c r="L326">
        <f>_xlfn.XLOOKUP($A326,ALGLIB_SSA_XAUUSD!$J$2:$J$1000,ALGLIB_SSA_XAUUSD!$N$2:$N$1000,"",0)</f>
        <v>4673.8274300000003</v>
      </c>
      <c r="M326">
        <f>_xlfn.XLOOKUP($A326,ALGLIB_SSA_XAUUSD!$J$2:$J$1000,ALGLIB_SSA_XAUUSD!$O$2:$O$1000,"",0)</f>
        <v>4677.0442999999996</v>
      </c>
      <c r="N326">
        <f>_xlfn.XLOOKUP($A326,ALGLIB_SSA_XAUUSD!$J$2:$J$1000,ALGLIB_SSA_XAUUSD!$P$2:$P$1000,"",0)</f>
        <v>4680.3301000000001</v>
      </c>
      <c r="O326">
        <f>_xlfn.XLOOKUP($A326,ALGLIB_SSA_XAUUSD!$J$2:$J$1000,ALGLIB_SSA_XAUUSD!$Q$2:$Q$1000,"",0)</f>
        <v>4670.1477299999997</v>
      </c>
      <c r="R326">
        <f t="shared" si="55"/>
        <v>1775487600</v>
      </c>
      <c r="S326" t="str">
        <f t="shared" si="56"/>
        <v>XAUUSD</v>
      </c>
      <c r="T326" t="str">
        <f t="shared" si="57"/>
        <v>M5</v>
      </c>
      <c r="U326">
        <f t="shared" si="58"/>
        <v>4672.25</v>
      </c>
      <c r="V326">
        <v>4666.8029399999996</v>
      </c>
      <c r="W326">
        <v>4671.5123000000003</v>
      </c>
      <c r="X326">
        <v>4673.8274300000003</v>
      </c>
      <c r="Y326">
        <v>4677.0442999999996</v>
      </c>
      <c r="Z326">
        <f t="shared" si="59"/>
        <v>4677.8176000000003</v>
      </c>
      <c r="AA326">
        <f t="shared" si="60"/>
        <v>4680.3301000000001</v>
      </c>
      <c r="AB326">
        <f t="shared" si="61"/>
        <v>4654.2140099999997</v>
      </c>
      <c r="AC326">
        <f t="shared" si="62"/>
        <v>4670.1477299999997</v>
      </c>
      <c r="AF326">
        <f t="shared" si="63"/>
        <v>4673.8274300000003</v>
      </c>
      <c r="AG326">
        <f t="shared" si="64"/>
        <v>4677.8176000000003</v>
      </c>
      <c r="AH326">
        <f t="shared" si="65"/>
        <v>4654.2140099999997</v>
      </c>
    </row>
    <row r="327" spans="1:34" x14ac:dyDescent="0.55000000000000004">
      <c r="A327">
        <f>ALGLIB_SSA_XAUUSD!J327</f>
        <v>1775487900</v>
      </c>
      <c r="B327" t="str">
        <f>_xlfn.XLOOKUP($A327,ALGLIB_SSA_XAUUSD!$A$2:$A$1000,ALGLIB_SSA_XAUUSD!$B$2:$B$1000,"",0)</f>
        <v/>
      </c>
      <c r="C327" t="str">
        <f>_xlfn.XLOOKUP($A327,ALGLIB_SSA_XAUUSD!$A$2:$A$1000,ALGLIB_SSA_XAUUSD!$C$2:$C$1000,"",0)</f>
        <v/>
      </c>
      <c r="D327" s="1">
        <f>D326+(D338-D326)*1/12</f>
        <v>4667.49</v>
      </c>
      <c r="E327" s="1">
        <f>E326+(E338-E326)*1/12</f>
        <v>4666.4682249999996</v>
      </c>
      <c r="F327" s="1">
        <f>F326+(F338-F326)*1/12</f>
        <v>4671.1487191666674</v>
      </c>
      <c r="G327" s="1">
        <f>G326+(G338-G326)*1/12</f>
        <v>4677.3967874999998</v>
      </c>
      <c r="H327" s="1">
        <f>H326+(H338-H326)*1/12</f>
        <v>4654.0148191666667</v>
      </c>
      <c r="I327" t="str">
        <f>_xlfn.XLOOKUP($A327,ALGLIB_SSA_XAUUSD!$J$2:$J$1000,ALGLIB_SSA_XAUUSD!$K$2:$K$1000,"",0)</f>
        <v>XAUUSD</v>
      </c>
      <c r="J327" t="str">
        <f>_xlfn.XLOOKUP($A327,ALGLIB_SSA_XAUUSD!$J$2:$J$1000,ALGLIB_SSA_XAUUSD!$L$2:$L$1000,"",0)</f>
        <v>M5</v>
      </c>
      <c r="K327">
        <f>_xlfn.XLOOKUP($A327,ALGLIB_SSA_XAUUSD!$J$2:$J$1000,ALGLIB_SSA_XAUUSD!$M$2:$M$1000,"",0)</f>
        <v>4667.5600000000004</v>
      </c>
      <c r="L327">
        <f>_xlfn.XLOOKUP($A327,ALGLIB_SSA_XAUUSD!$J$2:$J$1000,ALGLIB_SSA_XAUUSD!$N$2:$N$1000,"",0)</f>
        <v>4670.3488299999999</v>
      </c>
      <c r="M327">
        <f>_xlfn.XLOOKUP($A327,ALGLIB_SSA_XAUUSD!$J$2:$J$1000,ALGLIB_SSA_XAUUSD!$O$2:$O$1000,"",0)</f>
        <v>4673.6965600000003</v>
      </c>
      <c r="N327">
        <f>_xlfn.XLOOKUP($A327,ALGLIB_SSA_XAUUSD!$J$2:$J$1000,ALGLIB_SSA_XAUUSD!$P$2:$P$1000,"",0)</f>
        <v>4676.1398600000002</v>
      </c>
      <c r="O327">
        <f>_xlfn.XLOOKUP($A327,ALGLIB_SSA_XAUUSD!$J$2:$J$1000,ALGLIB_SSA_XAUUSD!$Q$2:$Q$1000,"",0)</f>
        <v>4666.53197</v>
      </c>
      <c r="R327">
        <f t="shared" si="55"/>
        <v>1775487900</v>
      </c>
      <c r="S327" t="str">
        <f t="shared" si="56"/>
        <v>XAUUSD</v>
      </c>
      <c r="T327" t="str">
        <f t="shared" si="57"/>
        <v>M5</v>
      </c>
      <c r="U327">
        <f t="shared" si="58"/>
        <v>4667.5600000000004</v>
      </c>
      <c r="V327">
        <v>4666.4682199999997</v>
      </c>
      <c r="W327">
        <v>4671.1487200000001</v>
      </c>
      <c r="X327">
        <v>4670.3488299999999</v>
      </c>
      <c r="Y327">
        <v>4673.6965600000003</v>
      </c>
      <c r="Z327">
        <f t="shared" si="59"/>
        <v>4677.3967874999998</v>
      </c>
      <c r="AA327">
        <f t="shared" si="60"/>
        <v>4676.1398600000002</v>
      </c>
      <c r="AB327">
        <f t="shared" si="61"/>
        <v>4654.0148191666667</v>
      </c>
      <c r="AC327">
        <f t="shared" si="62"/>
        <v>4666.53197</v>
      </c>
      <c r="AF327">
        <f t="shared" si="63"/>
        <v>4670.3488299999999</v>
      </c>
      <c r="AG327">
        <f t="shared" si="64"/>
        <v>4677.3967874999998</v>
      </c>
      <c r="AH327">
        <f t="shared" si="65"/>
        <v>4654.0148191666667</v>
      </c>
    </row>
    <row r="328" spans="1:34" x14ac:dyDescent="0.55000000000000004">
      <c r="A328">
        <f>ALGLIB_SSA_XAUUSD!J328</f>
        <v>1775488200</v>
      </c>
      <c r="B328" t="str">
        <f>_xlfn.XLOOKUP($A328,ALGLIB_SSA_XAUUSD!$A$2:$A$1000,ALGLIB_SSA_XAUUSD!$B$2:$B$1000,"",0)</f>
        <v/>
      </c>
      <c r="C328" t="str">
        <f>_xlfn.XLOOKUP($A328,ALGLIB_SSA_XAUUSD!$A$2:$A$1000,ALGLIB_SSA_XAUUSD!$C$2:$C$1000,"",0)</f>
        <v/>
      </c>
      <c r="D328" s="1">
        <f>D326+(D338-D326)*2/12</f>
        <v>4666.8599999999997</v>
      </c>
      <c r="E328" s="1">
        <f>E326+(E338-E326)*2/12</f>
        <v>4666.1335099999997</v>
      </c>
      <c r="F328" s="1">
        <f>F326+(F338-F326)*2/12</f>
        <v>4670.7851383333336</v>
      </c>
      <c r="G328" s="1">
        <f>G326+(G338-G326)*2/12</f>
        <v>4676.9759750000003</v>
      </c>
      <c r="H328" s="1">
        <f>H326+(H338-H326)*2/12</f>
        <v>4653.8156283333328</v>
      </c>
      <c r="I328" t="str">
        <f>_xlfn.XLOOKUP($A328,ALGLIB_SSA_XAUUSD!$J$2:$J$1000,ALGLIB_SSA_XAUUSD!$K$2:$K$1000,"",0)</f>
        <v>XAUUSD</v>
      </c>
      <c r="J328" t="str">
        <f>_xlfn.XLOOKUP($A328,ALGLIB_SSA_XAUUSD!$J$2:$J$1000,ALGLIB_SSA_XAUUSD!$L$2:$L$1000,"",0)</f>
        <v>M5</v>
      </c>
      <c r="K328">
        <f>_xlfn.XLOOKUP($A328,ALGLIB_SSA_XAUUSD!$J$2:$J$1000,ALGLIB_SSA_XAUUSD!$M$2:$M$1000,"",0)</f>
        <v>4662.3999999999996</v>
      </c>
      <c r="L328">
        <f>_xlfn.XLOOKUP($A328,ALGLIB_SSA_XAUUSD!$J$2:$J$1000,ALGLIB_SSA_XAUUSD!$N$2:$N$1000,"",0)</f>
        <v>4667.4575800000002</v>
      </c>
      <c r="M328">
        <f>_xlfn.XLOOKUP($A328,ALGLIB_SSA_XAUUSD!$J$2:$J$1000,ALGLIB_SSA_XAUUSD!$O$2:$O$1000,"",0)</f>
        <v>4670.5770700000003</v>
      </c>
      <c r="N328">
        <f>_xlfn.XLOOKUP($A328,ALGLIB_SSA_XAUUSD!$J$2:$J$1000,ALGLIB_SSA_XAUUSD!$P$2:$P$1000,"",0)</f>
        <v>4672.4688999999998</v>
      </c>
      <c r="O328">
        <f>_xlfn.XLOOKUP($A328,ALGLIB_SSA_XAUUSD!$J$2:$J$1000,ALGLIB_SSA_XAUUSD!$Q$2:$Q$1000,"",0)</f>
        <v>4663.4490100000003</v>
      </c>
      <c r="R328">
        <f t="shared" si="55"/>
        <v>1775488200</v>
      </c>
      <c r="S328" t="str">
        <f t="shared" si="56"/>
        <v>XAUUSD</v>
      </c>
      <c r="T328" t="str">
        <f t="shared" si="57"/>
        <v>M5</v>
      </c>
      <c r="U328">
        <f t="shared" si="58"/>
        <v>4662.3999999999996</v>
      </c>
      <c r="V328">
        <v>4666.1335099999997</v>
      </c>
      <c r="W328">
        <v>4670.78514</v>
      </c>
      <c r="X328">
        <v>4667.4575800000002</v>
      </c>
      <c r="Y328">
        <v>4670.5770700000003</v>
      </c>
      <c r="Z328">
        <f t="shared" si="59"/>
        <v>4676.9759750000003</v>
      </c>
      <c r="AA328">
        <f t="shared" si="60"/>
        <v>4672.4688999999998</v>
      </c>
      <c r="AB328">
        <f t="shared" si="61"/>
        <v>4653.8156283333328</v>
      </c>
      <c r="AC328">
        <f t="shared" si="62"/>
        <v>4663.4490100000003</v>
      </c>
      <c r="AF328">
        <f t="shared" si="63"/>
        <v>4667.4575800000002</v>
      </c>
      <c r="AG328">
        <f t="shared" si="64"/>
        <v>4676.9759750000003</v>
      </c>
      <c r="AH328">
        <f t="shared" si="65"/>
        <v>4653.8156283333328</v>
      </c>
    </row>
    <row r="329" spans="1:34" x14ac:dyDescent="0.55000000000000004">
      <c r="A329">
        <f>ALGLIB_SSA_XAUUSD!J329</f>
        <v>1775488500</v>
      </c>
      <c r="B329" t="str">
        <f>_xlfn.XLOOKUP($A329,ALGLIB_SSA_XAUUSD!$A$2:$A$1000,ALGLIB_SSA_XAUUSD!$B$2:$B$1000,"",0)</f>
        <v/>
      </c>
      <c r="C329" t="str">
        <f>_xlfn.XLOOKUP($A329,ALGLIB_SSA_XAUUSD!$A$2:$A$1000,ALGLIB_SSA_XAUUSD!$C$2:$C$1000,"",0)</f>
        <v/>
      </c>
      <c r="D329" s="1">
        <f>D326+(D338-D326)*3/12</f>
        <v>4666.2299999999996</v>
      </c>
      <c r="E329" s="1">
        <f>E326+(E338-E326)*3/12</f>
        <v>4665.7987949999997</v>
      </c>
      <c r="F329" s="1">
        <f>F326+(F338-F326)*3/12</f>
        <v>4670.4215574999998</v>
      </c>
      <c r="G329" s="1">
        <f>G326+(G338-G326)*3/12</f>
        <v>4676.5551625000007</v>
      </c>
      <c r="H329" s="1">
        <f>H326+(H338-H326)*3/12</f>
        <v>4653.6164374999998</v>
      </c>
      <c r="I329" t="str">
        <f>_xlfn.XLOOKUP($A329,ALGLIB_SSA_XAUUSD!$J$2:$J$1000,ALGLIB_SSA_XAUUSD!$K$2:$K$1000,"",0)</f>
        <v>XAUUSD</v>
      </c>
      <c r="J329" t="str">
        <f>_xlfn.XLOOKUP($A329,ALGLIB_SSA_XAUUSD!$J$2:$J$1000,ALGLIB_SSA_XAUUSD!$L$2:$L$1000,"",0)</f>
        <v>M5</v>
      </c>
      <c r="K329">
        <f>_xlfn.XLOOKUP($A329,ALGLIB_SSA_XAUUSD!$J$2:$J$1000,ALGLIB_SSA_XAUUSD!$M$2:$M$1000,"",0)</f>
        <v>4666.55</v>
      </c>
      <c r="L329">
        <f>_xlfn.XLOOKUP($A329,ALGLIB_SSA_XAUUSD!$J$2:$J$1000,ALGLIB_SSA_XAUUSD!$N$2:$N$1000,"",0)</f>
        <v>4665.3791499999998</v>
      </c>
      <c r="M329">
        <f>_xlfn.XLOOKUP($A329,ALGLIB_SSA_XAUUSD!$J$2:$J$1000,ALGLIB_SSA_XAUUSD!$O$2:$O$1000,"",0)</f>
        <v>4667.97811</v>
      </c>
      <c r="N329">
        <f>_xlfn.XLOOKUP($A329,ALGLIB_SSA_XAUUSD!$J$2:$J$1000,ALGLIB_SSA_XAUUSD!$P$2:$P$1000,"",0)</f>
        <v>4669.6450299999997</v>
      </c>
      <c r="O329">
        <f>_xlfn.XLOOKUP($A329,ALGLIB_SSA_XAUUSD!$J$2:$J$1000,ALGLIB_SSA_XAUUSD!$Q$2:$Q$1000,"",0)</f>
        <v>4661.13</v>
      </c>
      <c r="R329">
        <f t="shared" si="55"/>
        <v>1775488500</v>
      </c>
      <c r="S329" t="str">
        <f t="shared" si="56"/>
        <v>XAUUSD</v>
      </c>
      <c r="T329" t="str">
        <f t="shared" si="57"/>
        <v>M5</v>
      </c>
      <c r="U329">
        <f t="shared" si="58"/>
        <v>4666.55</v>
      </c>
      <c r="V329">
        <v>4665.7987899999998</v>
      </c>
      <c r="W329">
        <v>4670.4215599999998</v>
      </c>
      <c r="X329">
        <v>4665.3791499999998</v>
      </c>
      <c r="Y329">
        <v>4667.97811</v>
      </c>
      <c r="Z329">
        <f t="shared" si="59"/>
        <v>4676.5551625000007</v>
      </c>
      <c r="AA329">
        <f t="shared" si="60"/>
        <v>4669.6450299999997</v>
      </c>
      <c r="AB329">
        <f t="shared" si="61"/>
        <v>4653.6164374999998</v>
      </c>
      <c r="AC329">
        <f t="shared" si="62"/>
        <v>4661.13</v>
      </c>
      <c r="AF329">
        <f t="shared" si="63"/>
        <v>4665.3791499999998</v>
      </c>
      <c r="AG329">
        <f t="shared" si="64"/>
        <v>4676.5551625000007</v>
      </c>
      <c r="AH329">
        <f t="shared" si="65"/>
        <v>4653.6164374999998</v>
      </c>
    </row>
    <row r="330" spans="1:34" x14ac:dyDescent="0.55000000000000004">
      <c r="A330">
        <f>ALGLIB_SSA_XAUUSD!J330</f>
        <v>1775488800</v>
      </c>
      <c r="B330" t="str">
        <f>_xlfn.XLOOKUP($A330,ALGLIB_SSA_XAUUSD!$A$2:$A$1000,ALGLIB_SSA_XAUUSD!$B$2:$B$1000,"",0)</f>
        <v/>
      </c>
      <c r="C330" t="str">
        <f>_xlfn.XLOOKUP($A330,ALGLIB_SSA_XAUUSD!$A$2:$A$1000,ALGLIB_SSA_XAUUSD!$C$2:$C$1000,"",0)</f>
        <v/>
      </c>
      <c r="D330" s="1">
        <f>D326+(D338-D326)*4/12</f>
        <v>4665.6000000000004</v>
      </c>
      <c r="E330" s="1">
        <f>E326+(E338-E326)*4/12</f>
        <v>4665.4640799999997</v>
      </c>
      <c r="F330" s="1">
        <f>F326+(F338-F326)*4/12</f>
        <v>4670.0579766666669</v>
      </c>
      <c r="G330" s="1">
        <f>G326+(G338-G326)*4/12</f>
        <v>4676.1343500000003</v>
      </c>
      <c r="H330" s="1">
        <f>H326+(H338-H326)*4/12</f>
        <v>4653.4172466666669</v>
      </c>
      <c r="I330" t="str">
        <f>_xlfn.XLOOKUP($A330,ALGLIB_SSA_XAUUSD!$J$2:$J$1000,ALGLIB_SSA_XAUUSD!$K$2:$K$1000,"",0)</f>
        <v>XAUUSD</v>
      </c>
      <c r="J330" t="str">
        <f>_xlfn.XLOOKUP($A330,ALGLIB_SSA_XAUUSD!$J$2:$J$1000,ALGLIB_SSA_XAUUSD!$L$2:$L$1000,"",0)</f>
        <v>M5</v>
      </c>
      <c r="K330">
        <f>_xlfn.XLOOKUP($A330,ALGLIB_SSA_XAUUSD!$J$2:$J$1000,ALGLIB_SSA_XAUUSD!$M$2:$M$1000,"",0)</f>
        <v>4665.8500000000004</v>
      </c>
      <c r="L330">
        <f>_xlfn.XLOOKUP($A330,ALGLIB_SSA_XAUUSD!$J$2:$J$1000,ALGLIB_SSA_XAUUSD!$N$2:$N$1000,"",0)</f>
        <v>4663.9809999999998</v>
      </c>
      <c r="M330">
        <f>_xlfn.XLOOKUP($A330,ALGLIB_SSA_XAUUSD!$J$2:$J$1000,ALGLIB_SSA_XAUUSD!$O$2:$O$1000,"",0)</f>
        <v>4665.9795599999998</v>
      </c>
      <c r="N330">
        <f>_xlfn.XLOOKUP($A330,ALGLIB_SSA_XAUUSD!$J$2:$J$1000,ALGLIB_SSA_XAUUSD!$P$2:$P$1000,"",0)</f>
        <v>4667.7898100000002</v>
      </c>
      <c r="O330">
        <f>_xlfn.XLOOKUP($A330,ALGLIB_SSA_XAUUSD!$J$2:$J$1000,ALGLIB_SSA_XAUUSD!$Q$2:$Q$1000,"",0)</f>
        <v>4659.7414799999997</v>
      </c>
      <c r="R330">
        <f t="shared" si="55"/>
        <v>1775488800</v>
      </c>
      <c r="S330" t="str">
        <f t="shared" si="56"/>
        <v>XAUUSD</v>
      </c>
      <c r="T330" t="str">
        <f t="shared" si="57"/>
        <v>M5</v>
      </c>
      <c r="U330">
        <f t="shared" si="58"/>
        <v>4665.8500000000004</v>
      </c>
      <c r="V330">
        <v>4665.4640799999997</v>
      </c>
      <c r="W330">
        <v>4670.0579799999996</v>
      </c>
      <c r="X330">
        <v>4663.9809999999998</v>
      </c>
      <c r="Y330">
        <v>4665.9795599999998</v>
      </c>
      <c r="Z330">
        <f t="shared" si="59"/>
        <v>4676.1343500000003</v>
      </c>
      <c r="AA330">
        <f t="shared" si="60"/>
        <v>4667.7898100000002</v>
      </c>
      <c r="AB330">
        <f t="shared" si="61"/>
        <v>4653.4172466666669</v>
      </c>
      <c r="AC330">
        <f t="shared" si="62"/>
        <v>4659.7414799999997</v>
      </c>
      <c r="AF330">
        <f t="shared" si="63"/>
        <v>4663.9809999999998</v>
      </c>
      <c r="AG330">
        <f t="shared" si="64"/>
        <v>4676.1343500000003</v>
      </c>
      <c r="AH330">
        <f t="shared" si="65"/>
        <v>4653.4172466666669</v>
      </c>
    </row>
    <row r="331" spans="1:34" x14ac:dyDescent="0.55000000000000004">
      <c r="A331">
        <f>ALGLIB_SSA_XAUUSD!J331</f>
        <v>1775489100</v>
      </c>
      <c r="B331" t="str">
        <f>_xlfn.XLOOKUP($A331,ALGLIB_SSA_XAUUSD!$A$2:$A$1000,ALGLIB_SSA_XAUUSD!$B$2:$B$1000,"",0)</f>
        <v/>
      </c>
      <c r="C331" t="str">
        <f>_xlfn.XLOOKUP($A331,ALGLIB_SSA_XAUUSD!$A$2:$A$1000,ALGLIB_SSA_XAUUSD!$C$2:$C$1000,"",0)</f>
        <v/>
      </c>
      <c r="D331" s="1">
        <f>D326+(D338-D326)*5/12</f>
        <v>4664.97</v>
      </c>
      <c r="E331" s="1">
        <f>E326+(E338-E326)*5/12</f>
        <v>4665.1293649999998</v>
      </c>
      <c r="F331" s="1">
        <f>F326+(F338-F326)*5/12</f>
        <v>4669.6943958333341</v>
      </c>
      <c r="G331" s="1">
        <f>G326+(G338-G326)*5/12</f>
        <v>4675.7135374999998</v>
      </c>
      <c r="H331" s="1">
        <f>H326+(H338-H326)*5/12</f>
        <v>4653.218055833333</v>
      </c>
      <c r="I331" t="str">
        <f>_xlfn.XLOOKUP($A331,ALGLIB_SSA_XAUUSD!$J$2:$J$1000,ALGLIB_SSA_XAUUSD!$K$2:$K$1000,"",0)</f>
        <v>XAUUSD</v>
      </c>
      <c r="J331" t="str">
        <f>_xlfn.XLOOKUP($A331,ALGLIB_SSA_XAUUSD!$J$2:$J$1000,ALGLIB_SSA_XAUUSD!$L$2:$L$1000,"",0)</f>
        <v>M5</v>
      </c>
      <c r="K331">
        <f>_xlfn.XLOOKUP($A331,ALGLIB_SSA_XAUUSD!$J$2:$J$1000,ALGLIB_SSA_XAUUSD!$M$2:$M$1000,"",0)</f>
        <v>4667.3900000000003</v>
      </c>
      <c r="L331">
        <f>_xlfn.XLOOKUP($A331,ALGLIB_SSA_XAUUSD!$J$2:$J$1000,ALGLIB_SSA_XAUUSD!$N$2:$N$1000,"",0)</f>
        <v>4663.1682199999996</v>
      </c>
      <c r="M331">
        <f>_xlfn.XLOOKUP($A331,ALGLIB_SSA_XAUUSD!$J$2:$J$1000,ALGLIB_SSA_XAUUSD!$O$2:$O$1000,"",0)</f>
        <v>4664.5738899999997</v>
      </c>
      <c r="N331">
        <f>_xlfn.XLOOKUP($A331,ALGLIB_SSA_XAUUSD!$J$2:$J$1000,ALGLIB_SSA_XAUUSD!$P$2:$P$1000,"",0)</f>
        <v>4666.7425300000004</v>
      </c>
      <c r="O331">
        <f>_xlfn.XLOOKUP($A331,ALGLIB_SSA_XAUUSD!$J$2:$J$1000,ALGLIB_SSA_XAUUSD!$Q$2:$Q$1000,"",0)</f>
        <v>4658.9591600000003</v>
      </c>
      <c r="R331">
        <f t="shared" si="55"/>
        <v>1775489100</v>
      </c>
      <c r="S331" t="str">
        <f t="shared" si="56"/>
        <v>XAUUSD</v>
      </c>
      <c r="T331" t="str">
        <f t="shared" si="57"/>
        <v>M5</v>
      </c>
      <c r="U331">
        <f t="shared" si="58"/>
        <v>4667.3900000000003</v>
      </c>
      <c r="V331">
        <v>4665.1293699999997</v>
      </c>
      <c r="W331">
        <v>4669.6944000000003</v>
      </c>
      <c r="X331">
        <v>4663.1682199999996</v>
      </c>
      <c r="Y331">
        <v>4664.5738899999997</v>
      </c>
      <c r="Z331">
        <f t="shared" si="59"/>
        <v>4675.7135374999998</v>
      </c>
      <c r="AA331">
        <f t="shared" si="60"/>
        <v>4666.7425300000004</v>
      </c>
      <c r="AB331">
        <f t="shared" si="61"/>
        <v>4653.218055833333</v>
      </c>
      <c r="AC331">
        <f t="shared" si="62"/>
        <v>4658.9591600000003</v>
      </c>
      <c r="AF331">
        <f t="shared" si="63"/>
        <v>4663.1682199999996</v>
      </c>
      <c r="AG331">
        <f t="shared" si="64"/>
        <v>4675.7135374999998</v>
      </c>
      <c r="AH331">
        <f t="shared" si="65"/>
        <v>4653.218055833333</v>
      </c>
    </row>
    <row r="332" spans="1:34" x14ac:dyDescent="0.55000000000000004">
      <c r="A332">
        <f>ALGLIB_SSA_XAUUSD!J332</f>
        <v>1775489400</v>
      </c>
      <c r="B332" t="str">
        <f>_xlfn.XLOOKUP($A332,ALGLIB_SSA_XAUUSD!$A$2:$A$1000,ALGLIB_SSA_XAUUSD!$B$2:$B$1000,"",0)</f>
        <v/>
      </c>
      <c r="C332" t="str">
        <f>_xlfn.XLOOKUP($A332,ALGLIB_SSA_XAUUSD!$A$2:$A$1000,ALGLIB_SSA_XAUUSD!$C$2:$C$1000,"",0)</f>
        <v/>
      </c>
      <c r="D332" s="1">
        <f>D326+(D338-D326)*6/12</f>
        <v>4664.34</v>
      </c>
      <c r="E332" s="1">
        <f>E326+(E338-E326)*6/12</f>
        <v>4664.7946499999998</v>
      </c>
      <c r="F332" s="1">
        <f>F326+(F338-F326)*6/12</f>
        <v>4669.3308150000003</v>
      </c>
      <c r="G332" s="1">
        <f>G326+(G338-G326)*6/12</f>
        <v>4675.2927250000002</v>
      </c>
      <c r="H332" s="1">
        <f>H326+(H338-H326)*6/12</f>
        <v>4653.018865</v>
      </c>
      <c r="I332" t="str">
        <f>_xlfn.XLOOKUP($A332,ALGLIB_SSA_XAUUSD!$J$2:$J$1000,ALGLIB_SSA_XAUUSD!$K$2:$K$1000,"",0)</f>
        <v>XAUUSD</v>
      </c>
      <c r="J332" t="str">
        <f>_xlfn.XLOOKUP($A332,ALGLIB_SSA_XAUUSD!$J$2:$J$1000,ALGLIB_SSA_XAUUSD!$L$2:$L$1000,"",0)</f>
        <v>M5</v>
      </c>
      <c r="K332">
        <f>_xlfn.XLOOKUP($A332,ALGLIB_SSA_XAUUSD!$J$2:$J$1000,ALGLIB_SSA_XAUUSD!$M$2:$M$1000,"",0)</f>
        <v>4667.4799999999996</v>
      </c>
      <c r="L332">
        <f>_xlfn.XLOOKUP($A332,ALGLIB_SSA_XAUUSD!$J$2:$J$1000,ALGLIB_SSA_XAUUSD!$N$2:$N$1000,"",0)</f>
        <v>4662.7752700000001</v>
      </c>
      <c r="M332">
        <f>_xlfn.XLOOKUP($A332,ALGLIB_SSA_XAUUSD!$J$2:$J$1000,ALGLIB_SSA_XAUUSD!$O$2:$O$1000,"",0)</f>
        <v>4663.6745799999999</v>
      </c>
      <c r="N332">
        <f>_xlfn.XLOOKUP($A332,ALGLIB_SSA_XAUUSD!$J$2:$J$1000,ALGLIB_SSA_XAUUSD!$P$2:$P$1000,"",0)</f>
        <v>4666.3479200000002</v>
      </c>
      <c r="O332">
        <f>_xlfn.XLOOKUP($A332,ALGLIB_SSA_XAUUSD!$J$2:$J$1000,ALGLIB_SSA_XAUUSD!$Q$2:$Q$1000,"",0)</f>
        <v>4658.6839</v>
      </c>
      <c r="R332">
        <f t="shared" si="55"/>
        <v>1775489400</v>
      </c>
      <c r="S332" t="str">
        <f t="shared" si="56"/>
        <v>XAUUSD</v>
      </c>
      <c r="T332" t="str">
        <f t="shared" si="57"/>
        <v>M5</v>
      </c>
      <c r="U332">
        <f t="shared" si="58"/>
        <v>4667.4799999999996</v>
      </c>
      <c r="V332">
        <v>4664.7946499999998</v>
      </c>
      <c r="W332">
        <v>4669.3308200000001</v>
      </c>
      <c r="X332">
        <v>4662.7752700000001</v>
      </c>
      <c r="Y332">
        <v>4663.6745799999999</v>
      </c>
      <c r="Z332">
        <f t="shared" si="59"/>
        <v>4675.2927250000002</v>
      </c>
      <c r="AA332">
        <f t="shared" si="60"/>
        <v>4666.3479200000002</v>
      </c>
      <c r="AB332">
        <f t="shared" si="61"/>
        <v>4653.018865</v>
      </c>
      <c r="AC332">
        <f t="shared" si="62"/>
        <v>4658.6839</v>
      </c>
      <c r="AF332">
        <f t="shared" si="63"/>
        <v>4662.7752700000001</v>
      </c>
      <c r="AG332">
        <f t="shared" si="64"/>
        <v>4675.2927250000002</v>
      </c>
      <c r="AH332">
        <f t="shared" si="65"/>
        <v>4653.018865</v>
      </c>
    </row>
    <row r="333" spans="1:34" x14ac:dyDescent="0.55000000000000004">
      <c r="A333">
        <f>ALGLIB_SSA_XAUUSD!J333</f>
        <v>1775489700</v>
      </c>
      <c r="B333" t="str">
        <f>_xlfn.XLOOKUP($A333,ALGLIB_SSA_XAUUSD!$A$2:$A$1000,ALGLIB_SSA_XAUUSD!$B$2:$B$1000,"",0)</f>
        <v/>
      </c>
      <c r="C333" t="str">
        <f>_xlfn.XLOOKUP($A333,ALGLIB_SSA_XAUUSD!$A$2:$A$1000,ALGLIB_SSA_XAUUSD!$C$2:$C$1000,"",0)</f>
        <v/>
      </c>
      <c r="D333" s="1">
        <f>D326+(D338-D326)*7/12</f>
        <v>4663.71</v>
      </c>
      <c r="E333" s="1">
        <f>E326+(E338-E326)*7/12</f>
        <v>4664.4599349999999</v>
      </c>
      <c r="F333" s="1">
        <f>F326+(F338-F326)*7/12</f>
        <v>4668.9672341666665</v>
      </c>
      <c r="G333" s="1">
        <f>G326+(G338-G326)*7/12</f>
        <v>4674.8719125000007</v>
      </c>
      <c r="H333" s="1">
        <f>H326+(H338-H326)*7/12</f>
        <v>4652.819674166667</v>
      </c>
      <c r="I333" t="str">
        <f>_xlfn.XLOOKUP($A333,ALGLIB_SSA_XAUUSD!$J$2:$J$1000,ALGLIB_SSA_XAUUSD!$K$2:$K$1000,"",0)</f>
        <v>XAUUSD</v>
      </c>
      <c r="J333" t="str">
        <f>_xlfn.XLOOKUP($A333,ALGLIB_SSA_XAUUSD!$J$2:$J$1000,ALGLIB_SSA_XAUUSD!$L$2:$L$1000,"",0)</f>
        <v>M5</v>
      </c>
      <c r="K333">
        <f>_xlfn.XLOOKUP($A333,ALGLIB_SSA_XAUUSD!$J$2:$J$1000,ALGLIB_SSA_XAUUSD!$M$2:$M$1000,"",0)</f>
        <v>4655.28</v>
      </c>
      <c r="L333">
        <f>_xlfn.XLOOKUP($A333,ALGLIB_SSA_XAUUSD!$J$2:$J$1000,ALGLIB_SSA_XAUUSD!$N$2:$N$1000,"",0)</f>
        <v>4662.6941699999998</v>
      </c>
      <c r="M333">
        <f>_xlfn.XLOOKUP($A333,ALGLIB_SSA_XAUUSD!$J$2:$J$1000,ALGLIB_SSA_XAUUSD!$O$2:$O$1000,"",0)</f>
        <v>4663.1843799999997</v>
      </c>
      <c r="N333">
        <f>_xlfn.XLOOKUP($A333,ALGLIB_SSA_XAUUSD!$J$2:$J$1000,ALGLIB_SSA_XAUUSD!$P$2:$P$1000,"",0)</f>
        <v>4666.3432899999998</v>
      </c>
      <c r="O333">
        <f>_xlfn.XLOOKUP($A333,ALGLIB_SSA_XAUUSD!$J$2:$J$1000,ALGLIB_SSA_XAUUSD!$Q$2:$Q$1000,"",0)</f>
        <v>4658.6435099999999</v>
      </c>
      <c r="R333">
        <f t="shared" si="55"/>
        <v>1775489700</v>
      </c>
      <c r="S333" t="str">
        <f t="shared" si="56"/>
        <v>XAUUSD</v>
      </c>
      <c r="T333" t="str">
        <f t="shared" si="57"/>
        <v>M5</v>
      </c>
      <c r="U333">
        <f t="shared" si="58"/>
        <v>4655.28</v>
      </c>
      <c r="V333">
        <v>4664.4599399999997</v>
      </c>
      <c r="W333">
        <v>4668.9672300000002</v>
      </c>
      <c r="X333">
        <v>4662.6941699999998</v>
      </c>
      <c r="Y333">
        <v>4663.1843799999997</v>
      </c>
      <c r="Z333">
        <f t="shared" si="59"/>
        <v>4674.8719125000007</v>
      </c>
      <c r="AA333">
        <f t="shared" si="60"/>
        <v>4666.3432899999998</v>
      </c>
      <c r="AB333">
        <f t="shared" si="61"/>
        <v>4652.819674166667</v>
      </c>
      <c r="AC333">
        <f t="shared" si="62"/>
        <v>4658.6435099999999</v>
      </c>
      <c r="AF333">
        <f t="shared" si="63"/>
        <v>4662.6941699999998</v>
      </c>
      <c r="AG333">
        <f t="shared" si="64"/>
        <v>4674.8719125000007</v>
      </c>
      <c r="AH333">
        <f t="shared" si="65"/>
        <v>4652.819674166667</v>
      </c>
    </row>
    <row r="334" spans="1:34" x14ac:dyDescent="0.55000000000000004">
      <c r="A334">
        <f>ALGLIB_SSA_XAUUSD!J334</f>
        <v>1775490000</v>
      </c>
      <c r="B334" t="str">
        <f>_xlfn.XLOOKUP($A334,ALGLIB_SSA_XAUUSD!$A$2:$A$1000,ALGLIB_SSA_XAUUSD!$B$2:$B$1000,"",0)</f>
        <v/>
      </c>
      <c r="C334" t="str">
        <f>_xlfn.XLOOKUP($A334,ALGLIB_SSA_XAUUSD!$A$2:$A$1000,ALGLIB_SSA_XAUUSD!$C$2:$C$1000,"",0)</f>
        <v/>
      </c>
      <c r="D334" s="1">
        <f>D326+(D338-D326)*8/12</f>
        <v>4663.08</v>
      </c>
      <c r="E334" s="1">
        <f>E326+(E338-E326)*8/12</f>
        <v>4664.1252199999999</v>
      </c>
      <c r="F334" s="1">
        <f>F326+(F338-F326)*8/12</f>
        <v>4668.6036533333336</v>
      </c>
      <c r="G334" s="1">
        <f>G326+(G338-G326)*8/12</f>
        <v>4674.4511000000002</v>
      </c>
      <c r="H334" s="1">
        <f>H326+(H338-H326)*8/12</f>
        <v>4652.6204833333331</v>
      </c>
      <c r="I334" t="str">
        <f>_xlfn.XLOOKUP($A334,ALGLIB_SSA_XAUUSD!$J$2:$J$1000,ALGLIB_SSA_XAUUSD!$K$2:$K$1000,"",0)</f>
        <v>XAUUSD</v>
      </c>
      <c r="J334" t="str">
        <f>_xlfn.XLOOKUP($A334,ALGLIB_SSA_XAUUSD!$J$2:$J$1000,ALGLIB_SSA_XAUUSD!$L$2:$L$1000,"",0)</f>
        <v>M5</v>
      </c>
      <c r="K334">
        <f>_xlfn.XLOOKUP($A334,ALGLIB_SSA_XAUUSD!$J$2:$J$1000,ALGLIB_SSA_XAUUSD!$M$2:$M$1000,"",0)</f>
        <v>4660.82</v>
      </c>
      <c r="L334">
        <f>_xlfn.XLOOKUP($A334,ALGLIB_SSA_XAUUSD!$J$2:$J$1000,ALGLIB_SSA_XAUUSD!$N$2:$N$1000,"",0)</f>
        <v>4663.1391000000003</v>
      </c>
      <c r="M334">
        <f>_xlfn.XLOOKUP($A334,ALGLIB_SSA_XAUUSD!$J$2:$J$1000,ALGLIB_SSA_XAUUSD!$O$2:$O$1000,"",0)</f>
        <v>4663.1617399999996</v>
      </c>
      <c r="N334">
        <f>_xlfn.XLOOKUP($A334,ALGLIB_SSA_XAUUSD!$J$2:$J$1000,ALGLIB_SSA_XAUUSD!$P$2:$P$1000,"",0)</f>
        <v>4666.6157000000003</v>
      </c>
      <c r="O334">
        <f>_xlfn.XLOOKUP($A334,ALGLIB_SSA_XAUUSD!$J$2:$J$1000,ALGLIB_SSA_XAUUSD!$Q$2:$Q$1000,"",0)</f>
        <v>4659.0852599999998</v>
      </c>
      <c r="R334">
        <f t="shared" si="55"/>
        <v>1775490000</v>
      </c>
      <c r="S334" t="str">
        <f t="shared" si="56"/>
        <v>XAUUSD</v>
      </c>
      <c r="T334" t="str">
        <f t="shared" si="57"/>
        <v>M5</v>
      </c>
      <c r="U334">
        <f t="shared" si="58"/>
        <v>4660.82</v>
      </c>
      <c r="V334">
        <v>4664.1252199999999</v>
      </c>
      <c r="W334">
        <v>4668.60365</v>
      </c>
      <c r="X334">
        <v>4663.1391000000003</v>
      </c>
      <c r="Y334">
        <v>4663.1617399999996</v>
      </c>
      <c r="Z334">
        <f t="shared" si="59"/>
        <v>4674.4511000000002</v>
      </c>
      <c r="AA334">
        <f t="shared" si="60"/>
        <v>4666.6157000000003</v>
      </c>
      <c r="AB334">
        <f t="shared" si="61"/>
        <v>4652.6204833333331</v>
      </c>
      <c r="AC334">
        <f t="shared" si="62"/>
        <v>4659.0852599999998</v>
      </c>
      <c r="AF334">
        <f t="shared" si="63"/>
        <v>4663.1391000000003</v>
      </c>
      <c r="AG334">
        <f t="shared" si="64"/>
        <v>4674.4511000000002</v>
      </c>
      <c r="AH334">
        <f t="shared" si="65"/>
        <v>4652.6204833333331</v>
      </c>
    </row>
    <row r="335" spans="1:34" x14ac:dyDescent="0.55000000000000004">
      <c r="A335">
        <f>ALGLIB_SSA_XAUUSD!J335</f>
        <v>1775490300</v>
      </c>
      <c r="B335" t="str">
        <f>_xlfn.XLOOKUP($A335,ALGLIB_SSA_XAUUSD!$A$2:$A$1000,ALGLIB_SSA_XAUUSD!$B$2:$B$1000,"",0)</f>
        <v/>
      </c>
      <c r="C335" t="str">
        <f>_xlfn.XLOOKUP($A335,ALGLIB_SSA_XAUUSD!$A$2:$A$1000,ALGLIB_SSA_XAUUSD!$C$2:$C$1000,"",0)</f>
        <v/>
      </c>
      <c r="D335" s="1">
        <f>D326+(D338-D326)*9/12</f>
        <v>4662.4500000000007</v>
      </c>
      <c r="E335" s="1">
        <f>E326+(E338-E326)*9/12</f>
        <v>4663.7905049999999</v>
      </c>
      <c r="F335" s="1">
        <f>F326+(F338-F326)*9/12</f>
        <v>4668.2400725000007</v>
      </c>
      <c r="G335" s="1">
        <f>G326+(G338-G326)*9/12</f>
        <v>4674.0302874999998</v>
      </c>
      <c r="H335" s="1">
        <f>H326+(H338-H326)*9/12</f>
        <v>4652.4212925000002</v>
      </c>
      <c r="I335" t="str">
        <f>_xlfn.XLOOKUP($A335,ALGLIB_SSA_XAUUSD!$J$2:$J$1000,ALGLIB_SSA_XAUUSD!$K$2:$K$1000,"",0)</f>
        <v>XAUUSD</v>
      </c>
      <c r="J335" t="str">
        <f>_xlfn.XLOOKUP($A335,ALGLIB_SSA_XAUUSD!$J$2:$J$1000,ALGLIB_SSA_XAUUSD!$L$2:$L$1000,"",0)</f>
        <v>M5</v>
      </c>
      <c r="K335">
        <f>_xlfn.XLOOKUP($A335,ALGLIB_SSA_XAUUSD!$J$2:$J$1000,ALGLIB_SSA_XAUUSD!$M$2:$M$1000,"",0)</f>
        <v>4664.21</v>
      </c>
      <c r="L335">
        <f>_xlfn.XLOOKUP($A335,ALGLIB_SSA_XAUUSD!$J$2:$J$1000,ALGLIB_SSA_XAUUSD!$N$2:$N$1000,"",0)</f>
        <v>4663.8846999999996</v>
      </c>
      <c r="M335">
        <f>_xlfn.XLOOKUP($A335,ALGLIB_SSA_XAUUSD!$J$2:$J$1000,ALGLIB_SSA_XAUUSD!$O$2:$O$1000,"",0)</f>
        <v>4663.52322</v>
      </c>
      <c r="N335">
        <f>_xlfn.XLOOKUP($A335,ALGLIB_SSA_XAUUSD!$J$2:$J$1000,ALGLIB_SSA_XAUUSD!$P$2:$P$1000,"",0)</f>
        <v>4667.1823999999997</v>
      </c>
      <c r="O335">
        <f>_xlfn.XLOOKUP($A335,ALGLIB_SSA_XAUUSD!$J$2:$J$1000,ALGLIB_SSA_XAUUSD!$Q$2:$Q$1000,"",0)</f>
        <v>4659.8675700000003</v>
      </c>
      <c r="R335">
        <f t="shared" si="55"/>
        <v>1775490300</v>
      </c>
      <c r="S335" t="str">
        <f t="shared" si="56"/>
        <v>XAUUSD</v>
      </c>
      <c r="T335" t="str">
        <f t="shared" si="57"/>
        <v>M5</v>
      </c>
      <c r="U335">
        <f t="shared" si="58"/>
        <v>4664.21</v>
      </c>
      <c r="V335">
        <v>4663.7905099999998</v>
      </c>
      <c r="W335">
        <v>4668.2400699999998</v>
      </c>
      <c r="X335">
        <v>4663.8846999999996</v>
      </c>
      <c r="Y335">
        <v>4663.52322</v>
      </c>
      <c r="Z335">
        <f t="shared" si="59"/>
        <v>4674.0302874999998</v>
      </c>
      <c r="AA335">
        <f t="shared" si="60"/>
        <v>4667.1823999999997</v>
      </c>
      <c r="AB335">
        <f t="shared" si="61"/>
        <v>4652.4212925000002</v>
      </c>
      <c r="AC335">
        <f t="shared" si="62"/>
        <v>4659.8675700000003</v>
      </c>
      <c r="AF335">
        <f t="shared" si="63"/>
        <v>4663.8846999999996</v>
      </c>
      <c r="AG335">
        <f t="shared" si="64"/>
        <v>4674.0302874999998</v>
      </c>
      <c r="AH335">
        <f t="shared" si="65"/>
        <v>4652.4212925000002</v>
      </c>
    </row>
    <row r="336" spans="1:34" x14ac:dyDescent="0.55000000000000004">
      <c r="A336">
        <f>ALGLIB_SSA_XAUUSD!J336</f>
        <v>1775490600</v>
      </c>
      <c r="B336" t="str">
        <f>_xlfn.XLOOKUP($A336,ALGLIB_SSA_XAUUSD!$A$2:$A$1000,ALGLIB_SSA_XAUUSD!$B$2:$B$1000,"",0)</f>
        <v/>
      </c>
      <c r="C336" t="str">
        <f>_xlfn.XLOOKUP($A336,ALGLIB_SSA_XAUUSD!$A$2:$A$1000,ALGLIB_SSA_XAUUSD!$C$2:$C$1000,"",0)</f>
        <v/>
      </c>
      <c r="D336" s="1">
        <f>D326+(D338-D326)*10/12</f>
        <v>4661.8200000000006</v>
      </c>
      <c r="E336" s="1">
        <f>E326+(E338-E326)*10/12</f>
        <v>4663.45579</v>
      </c>
      <c r="F336" s="1">
        <f>F326+(F338-F326)*10/12</f>
        <v>4667.8764916666669</v>
      </c>
      <c r="G336" s="1">
        <f>G326+(G338-G326)*10/12</f>
        <v>4673.6094750000002</v>
      </c>
      <c r="H336" s="1">
        <f>H326+(H338-H326)*10/12</f>
        <v>4652.2221016666672</v>
      </c>
      <c r="I336" t="str">
        <f>_xlfn.XLOOKUP($A336,ALGLIB_SSA_XAUUSD!$J$2:$J$1000,ALGLIB_SSA_XAUUSD!$K$2:$K$1000,"",0)</f>
        <v>XAUUSD</v>
      </c>
      <c r="J336" t="str">
        <f>_xlfn.XLOOKUP($A336,ALGLIB_SSA_XAUUSD!$J$2:$J$1000,ALGLIB_SSA_XAUUSD!$L$2:$L$1000,"",0)</f>
        <v>M5</v>
      </c>
      <c r="K336">
        <f>_xlfn.XLOOKUP($A336,ALGLIB_SSA_XAUUSD!$J$2:$J$1000,ALGLIB_SSA_XAUUSD!$M$2:$M$1000,"",0)</f>
        <v>4665.78</v>
      </c>
      <c r="L336">
        <f>_xlfn.XLOOKUP($A336,ALGLIB_SSA_XAUUSD!$J$2:$J$1000,ALGLIB_SSA_XAUUSD!$N$2:$N$1000,"",0)</f>
        <v>4664.7646800000002</v>
      </c>
      <c r="M336">
        <f>_xlfn.XLOOKUP($A336,ALGLIB_SSA_XAUUSD!$J$2:$J$1000,ALGLIB_SSA_XAUUSD!$O$2:$O$1000,"",0)</f>
        <v>4664.1439499999997</v>
      </c>
      <c r="N336">
        <f>_xlfn.XLOOKUP($A336,ALGLIB_SSA_XAUUSD!$J$2:$J$1000,ALGLIB_SSA_XAUUSD!$P$2:$P$1000,"",0)</f>
        <v>4667.8519399999996</v>
      </c>
      <c r="O336">
        <f>_xlfn.XLOOKUP($A336,ALGLIB_SSA_XAUUSD!$J$2:$J$1000,ALGLIB_SSA_XAUUSD!$Q$2:$Q$1000,"",0)</f>
        <v>4660.7769500000004</v>
      </c>
      <c r="R336">
        <f t="shared" si="55"/>
        <v>1775490600</v>
      </c>
      <c r="S336" t="str">
        <f t="shared" si="56"/>
        <v>XAUUSD</v>
      </c>
      <c r="T336" t="str">
        <f t="shared" si="57"/>
        <v>M5</v>
      </c>
      <c r="U336">
        <f t="shared" si="58"/>
        <v>4665.78</v>
      </c>
      <c r="V336">
        <v>4663.45579</v>
      </c>
      <c r="W336">
        <v>4667.8764899999996</v>
      </c>
      <c r="X336">
        <v>4664.7646800000002</v>
      </c>
      <c r="Y336">
        <v>4664.1439499999997</v>
      </c>
      <c r="Z336">
        <f t="shared" si="59"/>
        <v>4673.6094750000002</v>
      </c>
      <c r="AA336">
        <f t="shared" si="60"/>
        <v>4667.8519399999996</v>
      </c>
      <c r="AB336">
        <f t="shared" si="61"/>
        <v>4652.2221016666672</v>
      </c>
      <c r="AC336">
        <f t="shared" si="62"/>
        <v>4660.7769500000004</v>
      </c>
      <c r="AF336">
        <f t="shared" si="63"/>
        <v>4664.7646800000002</v>
      </c>
      <c r="AG336">
        <f t="shared" si="64"/>
        <v>4673.6094750000002</v>
      </c>
      <c r="AH336">
        <f t="shared" si="65"/>
        <v>4652.2221016666672</v>
      </c>
    </row>
    <row r="337" spans="1:34" x14ac:dyDescent="0.55000000000000004">
      <c r="A337">
        <f>ALGLIB_SSA_XAUUSD!J337</f>
        <v>1775490900</v>
      </c>
      <c r="B337" t="str">
        <f>_xlfn.XLOOKUP($A337,ALGLIB_SSA_XAUUSD!$A$2:$A$1000,ALGLIB_SSA_XAUUSD!$B$2:$B$1000,"",0)</f>
        <v/>
      </c>
      <c r="C337" t="str">
        <f>_xlfn.XLOOKUP($A337,ALGLIB_SSA_XAUUSD!$A$2:$A$1000,ALGLIB_SSA_XAUUSD!$C$2:$C$1000,"",0)</f>
        <v/>
      </c>
      <c r="D337" s="1">
        <f>D326+(D338-D326)*11/12</f>
        <v>4661.1900000000005</v>
      </c>
      <c r="E337" s="1">
        <f>E326+(E338-E326)*11/12</f>
        <v>4663.121075</v>
      </c>
      <c r="F337" s="1">
        <f>F326+(F338-F326)*11/12</f>
        <v>4667.5129108333331</v>
      </c>
      <c r="G337" s="1">
        <f>G326+(G338-G326)*11/12</f>
        <v>4673.1886625000006</v>
      </c>
      <c r="H337" s="1">
        <f>H326+(H338-H326)*11/12</f>
        <v>4652.0229108333333</v>
      </c>
      <c r="I337" t="str">
        <f>_xlfn.XLOOKUP($A337,ALGLIB_SSA_XAUUSD!$J$2:$J$1000,ALGLIB_SSA_XAUUSD!$K$2:$K$1000,"",0)</f>
        <v>XAUUSD</v>
      </c>
      <c r="J337" t="str">
        <f>_xlfn.XLOOKUP($A337,ALGLIB_SSA_XAUUSD!$J$2:$J$1000,ALGLIB_SSA_XAUUSD!$L$2:$L$1000,"",0)</f>
        <v>M5</v>
      </c>
      <c r="K337">
        <f>_xlfn.XLOOKUP($A337,ALGLIB_SSA_XAUUSD!$J$2:$J$1000,ALGLIB_SSA_XAUUSD!$M$2:$M$1000,"",0)</f>
        <v>4668.12</v>
      </c>
      <c r="L337">
        <f>_xlfn.XLOOKUP($A337,ALGLIB_SSA_XAUUSD!$J$2:$J$1000,ALGLIB_SSA_XAUUSD!$N$2:$N$1000,"",0)</f>
        <v>4665.6655700000001</v>
      </c>
      <c r="M337">
        <f>_xlfn.XLOOKUP($A337,ALGLIB_SSA_XAUUSD!$J$2:$J$1000,ALGLIB_SSA_XAUUSD!$O$2:$O$1000,"",0)</f>
        <v>4664.9047600000004</v>
      </c>
      <c r="N337">
        <f>_xlfn.XLOOKUP($A337,ALGLIB_SSA_XAUUSD!$J$2:$J$1000,ALGLIB_SSA_XAUUSD!$P$2:$P$1000,"",0)</f>
        <v>4668.54043</v>
      </c>
      <c r="O337">
        <f>_xlfn.XLOOKUP($A337,ALGLIB_SSA_XAUUSD!$J$2:$J$1000,ALGLIB_SSA_XAUUSD!$Q$2:$Q$1000,"",0)</f>
        <v>4661.7060300000003</v>
      </c>
      <c r="R337">
        <f t="shared" si="55"/>
        <v>1775490900</v>
      </c>
      <c r="S337" t="str">
        <f t="shared" si="56"/>
        <v>XAUUSD</v>
      </c>
      <c r="T337" t="str">
        <f t="shared" si="57"/>
        <v>M5</v>
      </c>
      <c r="U337">
        <f t="shared" si="58"/>
        <v>4668.12</v>
      </c>
      <c r="V337">
        <v>4663.1210799999999</v>
      </c>
      <c r="W337">
        <v>4667.5129100000004</v>
      </c>
      <c r="X337">
        <v>4665.6655700000001</v>
      </c>
      <c r="Y337">
        <v>4664.9047600000004</v>
      </c>
      <c r="Z337">
        <f t="shared" si="59"/>
        <v>4673.1886625000006</v>
      </c>
      <c r="AA337">
        <f t="shared" si="60"/>
        <v>4668.54043</v>
      </c>
      <c r="AB337">
        <f t="shared" si="61"/>
        <v>4652.0229108333333</v>
      </c>
      <c r="AC337">
        <f t="shared" si="62"/>
        <v>4661.7060300000003</v>
      </c>
      <c r="AF337">
        <f t="shared" si="63"/>
        <v>4665.6655700000001</v>
      </c>
      <c r="AG337">
        <f t="shared" si="64"/>
        <v>4673.1886625000006</v>
      </c>
      <c r="AH337">
        <f t="shared" si="65"/>
        <v>4652.0229108333333</v>
      </c>
    </row>
    <row r="338" spans="1:34" x14ac:dyDescent="0.55000000000000004">
      <c r="A338">
        <f>ALGLIB_SSA_XAUUSD!J338</f>
        <v>1775491200</v>
      </c>
      <c r="B338" t="str">
        <f>_xlfn.XLOOKUP($A338,ALGLIB_SSA_XAUUSD!$A$2:$A$1000,ALGLIB_SSA_XAUUSD!$B$2:$B$1000,"",0)</f>
        <v>XAUUSD</v>
      </c>
      <c r="C338" t="str">
        <f>_xlfn.XLOOKUP($A338,ALGLIB_SSA_XAUUSD!$A$2:$A$1000,ALGLIB_SSA_XAUUSD!$C$2:$C$1000,"",0)</f>
        <v>H1</v>
      </c>
      <c r="D338" s="2">
        <f>_xlfn.XLOOKUP($A338,ALGLIB_SSA_XAUUSD!$A$2:$A$1000,ALGLIB_SSA_XAUUSD!$D$2:$D$1000,"",0)</f>
        <v>4660.5600000000004</v>
      </c>
      <c r="E338" s="2">
        <f>_xlfn.XLOOKUP($A338,ALGLIB_SSA_XAUUSD!$A$2:$A$1000,ALGLIB_SSA_XAUUSD!$E$2:$E$1000,"",0)</f>
        <v>4662.7863600000001</v>
      </c>
      <c r="F338" s="2">
        <f>_xlfn.XLOOKUP($A338,ALGLIB_SSA_XAUUSD!$A$2:$A$1000,ALGLIB_SSA_XAUUSD!$F$2:$F$1000,"",0)</f>
        <v>4667.1493300000002</v>
      </c>
      <c r="G338" s="2">
        <f>_xlfn.XLOOKUP($A338,ALGLIB_SSA_XAUUSD!$A$2:$A$1000,ALGLIB_SSA_XAUUSD!$G$2:$G$1000,"",0)</f>
        <v>4672.7678500000002</v>
      </c>
      <c r="H338" s="2">
        <f>_xlfn.XLOOKUP($A338,ALGLIB_SSA_XAUUSD!$A$2:$A$1000,ALGLIB_SSA_XAUUSD!$H$2:$H$1000,"",0)</f>
        <v>4651.8237200000003</v>
      </c>
      <c r="I338" t="str">
        <f>_xlfn.XLOOKUP($A338,ALGLIB_SSA_XAUUSD!$J$2:$J$1000,ALGLIB_SSA_XAUUSD!$K$2:$K$1000,"",0)</f>
        <v>XAUUSD</v>
      </c>
      <c r="J338" t="str">
        <f>_xlfn.XLOOKUP($A338,ALGLIB_SSA_XAUUSD!$J$2:$J$1000,ALGLIB_SSA_XAUUSD!$L$2:$L$1000,"",0)</f>
        <v>M5</v>
      </c>
      <c r="K338">
        <f>_xlfn.XLOOKUP($A338,ALGLIB_SSA_XAUUSD!$J$2:$J$1000,ALGLIB_SSA_XAUUSD!$M$2:$M$1000,"",0)</f>
        <v>4666.57</v>
      </c>
      <c r="L338">
        <f>_xlfn.XLOOKUP($A338,ALGLIB_SSA_XAUUSD!$J$2:$J$1000,ALGLIB_SSA_XAUUSD!$N$2:$N$1000,"",0)</f>
        <v>4666.48045</v>
      </c>
      <c r="M338">
        <f>_xlfn.XLOOKUP($A338,ALGLIB_SSA_XAUUSD!$J$2:$J$1000,ALGLIB_SSA_XAUUSD!$O$2:$O$1000,"",0)</f>
        <v>4665.6926000000003</v>
      </c>
      <c r="N338">
        <f>_xlfn.XLOOKUP($A338,ALGLIB_SSA_XAUUSD!$J$2:$J$1000,ALGLIB_SSA_XAUUSD!$P$2:$P$1000,"",0)</f>
        <v>4669.2049100000004</v>
      </c>
      <c r="O338">
        <f>_xlfn.XLOOKUP($A338,ALGLIB_SSA_XAUUSD!$J$2:$J$1000,ALGLIB_SSA_XAUUSD!$Q$2:$Q$1000,"",0)</f>
        <v>4662.6413199999997</v>
      </c>
      <c r="R338">
        <f t="shared" si="55"/>
        <v>1775491200</v>
      </c>
      <c r="S338" t="str">
        <f t="shared" si="56"/>
        <v>XAUUSD</v>
      </c>
      <c r="T338" t="str">
        <f t="shared" si="57"/>
        <v>M5</v>
      </c>
      <c r="U338">
        <f t="shared" si="58"/>
        <v>4666.57</v>
      </c>
      <c r="V338">
        <v>4662.7863600000001</v>
      </c>
      <c r="W338">
        <v>4667.1493300000002</v>
      </c>
      <c r="X338">
        <v>4666.48045</v>
      </c>
      <c r="Y338">
        <v>4665.6926000000003</v>
      </c>
      <c r="Z338">
        <f t="shared" si="59"/>
        <v>4672.7678500000002</v>
      </c>
      <c r="AA338">
        <f t="shared" si="60"/>
        <v>4669.2049100000004</v>
      </c>
      <c r="AB338">
        <f t="shared" si="61"/>
        <v>4651.8237200000003</v>
      </c>
      <c r="AC338">
        <f t="shared" si="62"/>
        <v>4662.6413199999997</v>
      </c>
      <c r="AF338">
        <f t="shared" si="63"/>
        <v>4666.48045</v>
      </c>
      <c r="AG338">
        <f t="shared" si="64"/>
        <v>4672.7678500000002</v>
      </c>
      <c r="AH338">
        <f t="shared" si="65"/>
        <v>4651.8237200000003</v>
      </c>
    </row>
    <row r="339" spans="1:34" x14ac:dyDescent="0.55000000000000004">
      <c r="A339">
        <f>ALGLIB_SSA_XAUUSD!J339</f>
        <v>1775491500</v>
      </c>
      <c r="B339" t="str">
        <f>_xlfn.XLOOKUP($A339,ALGLIB_SSA_XAUUSD!$A$2:$A$1000,ALGLIB_SSA_XAUUSD!$B$2:$B$1000,"",0)</f>
        <v/>
      </c>
      <c r="C339" t="str">
        <f>_xlfn.XLOOKUP($A339,ALGLIB_SSA_XAUUSD!$A$2:$A$1000,ALGLIB_SSA_XAUUSD!$C$2:$C$1000,"",0)</f>
        <v/>
      </c>
      <c r="D339" s="1">
        <f>D338+(D350-D338)*1/12</f>
        <v>4659.9733333333334</v>
      </c>
      <c r="E339" s="1">
        <f>E338+(E350-E338)*1/12</f>
        <v>4662.5452966666671</v>
      </c>
      <c r="F339" s="1">
        <f>F338+(F350-F338)*1/12</f>
        <v>4666.8470075000005</v>
      </c>
      <c r="G339" s="1">
        <f>G338+(G350-G338)*1/12</f>
        <v>4672.4343625000001</v>
      </c>
      <c r="H339" s="1">
        <f>H338+(H350-H338)*1/12</f>
        <v>4651.7084491666665</v>
      </c>
      <c r="I339" t="str">
        <f>_xlfn.XLOOKUP($A339,ALGLIB_SSA_XAUUSD!$J$2:$J$1000,ALGLIB_SSA_XAUUSD!$K$2:$K$1000,"",0)</f>
        <v>XAUUSD</v>
      </c>
      <c r="J339" t="str">
        <f>_xlfn.XLOOKUP($A339,ALGLIB_SSA_XAUUSD!$J$2:$J$1000,ALGLIB_SSA_XAUUSD!$L$2:$L$1000,"",0)</f>
        <v>M5</v>
      </c>
      <c r="K339">
        <f>_xlfn.XLOOKUP($A339,ALGLIB_SSA_XAUUSD!$J$2:$J$1000,ALGLIB_SSA_XAUUSD!$M$2:$M$1000,"",0)</f>
        <v>4663.43</v>
      </c>
      <c r="L339">
        <f>_xlfn.XLOOKUP($A339,ALGLIB_SSA_XAUUSD!$J$2:$J$1000,ALGLIB_SSA_XAUUSD!$N$2:$N$1000,"",0)</f>
        <v>4667.1881000000003</v>
      </c>
      <c r="M339">
        <f>_xlfn.XLOOKUP($A339,ALGLIB_SSA_XAUUSD!$J$2:$J$1000,ALGLIB_SSA_XAUUSD!$O$2:$O$1000,"",0)</f>
        <v>4666.4403499999999</v>
      </c>
      <c r="N339">
        <f>_xlfn.XLOOKUP($A339,ALGLIB_SSA_XAUUSD!$J$2:$J$1000,ALGLIB_SSA_XAUUSD!$P$2:$P$1000,"",0)</f>
        <v>4669.8033400000004</v>
      </c>
      <c r="O339">
        <f>_xlfn.XLOOKUP($A339,ALGLIB_SSA_XAUUSD!$J$2:$J$1000,ALGLIB_SSA_XAUUSD!$Q$2:$Q$1000,"",0)</f>
        <v>4663.5378099999998</v>
      </c>
      <c r="R339">
        <f t="shared" si="55"/>
        <v>1775491500</v>
      </c>
      <c r="S339" t="str">
        <f t="shared" si="56"/>
        <v>XAUUSD</v>
      </c>
      <c r="T339" t="str">
        <f t="shared" si="57"/>
        <v>M5</v>
      </c>
      <c r="U339">
        <f t="shared" si="58"/>
        <v>4663.43</v>
      </c>
      <c r="V339">
        <v>4662.5452999999998</v>
      </c>
      <c r="W339">
        <v>4666.8470100000004</v>
      </c>
      <c r="X339">
        <v>4667.1881000000003</v>
      </c>
      <c r="Y339">
        <v>4666.4403499999999</v>
      </c>
      <c r="Z339">
        <f t="shared" si="59"/>
        <v>4672.4343625000001</v>
      </c>
      <c r="AA339">
        <f t="shared" si="60"/>
        <v>4669.8033400000004</v>
      </c>
      <c r="AB339">
        <f t="shared" si="61"/>
        <v>4651.7084491666665</v>
      </c>
      <c r="AC339">
        <f t="shared" si="62"/>
        <v>4663.5378099999998</v>
      </c>
      <c r="AF339">
        <f t="shared" si="63"/>
        <v>4667.1881000000003</v>
      </c>
      <c r="AG339">
        <f t="shared" si="64"/>
        <v>4672.4343625000001</v>
      </c>
      <c r="AH339">
        <f t="shared" si="65"/>
        <v>4651.7084491666665</v>
      </c>
    </row>
    <row r="340" spans="1:34" x14ac:dyDescent="0.55000000000000004">
      <c r="A340">
        <f>ALGLIB_SSA_XAUUSD!J340</f>
        <v>1775491800</v>
      </c>
      <c r="B340" t="str">
        <f>_xlfn.XLOOKUP($A340,ALGLIB_SSA_XAUUSD!$A$2:$A$1000,ALGLIB_SSA_XAUUSD!$B$2:$B$1000,"",0)</f>
        <v/>
      </c>
      <c r="C340" t="str">
        <f>_xlfn.XLOOKUP($A340,ALGLIB_SSA_XAUUSD!$A$2:$A$1000,ALGLIB_SSA_XAUUSD!$C$2:$C$1000,"",0)</f>
        <v/>
      </c>
      <c r="D340" s="1">
        <f>D338+(D350-D338)*2/12</f>
        <v>4659.3866666666672</v>
      </c>
      <c r="E340" s="1">
        <f>E338+(E350-E338)*2/12</f>
        <v>4662.3042333333333</v>
      </c>
      <c r="F340" s="1">
        <f>F338+(F350-F338)*2/12</f>
        <v>4666.5446849999998</v>
      </c>
      <c r="G340" s="1">
        <f>G338+(G350-G338)*2/12</f>
        <v>4672.1008750000001</v>
      </c>
      <c r="H340" s="1">
        <f>H338+(H350-H338)*2/12</f>
        <v>4651.5931783333335</v>
      </c>
      <c r="I340" t="str">
        <f>_xlfn.XLOOKUP($A340,ALGLIB_SSA_XAUUSD!$J$2:$J$1000,ALGLIB_SSA_XAUUSD!$K$2:$K$1000,"",0)</f>
        <v>XAUUSD</v>
      </c>
      <c r="J340" t="str">
        <f>_xlfn.XLOOKUP($A340,ALGLIB_SSA_XAUUSD!$J$2:$J$1000,ALGLIB_SSA_XAUUSD!$L$2:$L$1000,"",0)</f>
        <v>M5</v>
      </c>
      <c r="K340">
        <f>_xlfn.XLOOKUP($A340,ALGLIB_SSA_XAUUSD!$J$2:$J$1000,ALGLIB_SSA_XAUUSD!$M$2:$M$1000,"",0)</f>
        <v>4670.3100000000004</v>
      </c>
      <c r="L340">
        <f>_xlfn.XLOOKUP($A340,ALGLIB_SSA_XAUUSD!$J$2:$J$1000,ALGLIB_SSA_XAUUSD!$N$2:$N$1000,"",0)</f>
        <v>4667.8014400000002</v>
      </c>
      <c r="M340">
        <f>_xlfn.XLOOKUP($A340,ALGLIB_SSA_XAUUSD!$J$2:$J$1000,ALGLIB_SSA_XAUUSD!$O$2:$O$1000,"",0)</f>
        <v>4667.1208999999999</v>
      </c>
      <c r="N340">
        <f>_xlfn.XLOOKUP($A340,ALGLIB_SSA_XAUUSD!$J$2:$J$1000,ALGLIB_SSA_XAUUSD!$P$2:$P$1000,"",0)</f>
        <v>4670.3847500000002</v>
      </c>
      <c r="O340">
        <f>_xlfn.XLOOKUP($A340,ALGLIB_SSA_XAUUSD!$J$2:$J$1000,ALGLIB_SSA_XAUUSD!$Q$2:$Q$1000,"",0)</f>
        <v>4664.4207399999996</v>
      </c>
      <c r="R340">
        <f t="shared" si="55"/>
        <v>1775491800</v>
      </c>
      <c r="S340" t="str">
        <f t="shared" si="56"/>
        <v>XAUUSD</v>
      </c>
      <c r="T340" t="str">
        <f t="shared" si="57"/>
        <v>M5</v>
      </c>
      <c r="U340">
        <f t="shared" si="58"/>
        <v>4670.3100000000004</v>
      </c>
      <c r="V340">
        <v>4662.3042299999997</v>
      </c>
      <c r="W340">
        <v>4666.5446899999997</v>
      </c>
      <c r="X340">
        <v>4667.8014400000002</v>
      </c>
      <c r="Y340">
        <v>4667.1208999999999</v>
      </c>
      <c r="Z340">
        <f t="shared" si="59"/>
        <v>4672.1008750000001</v>
      </c>
      <c r="AA340">
        <f t="shared" si="60"/>
        <v>4670.3847500000002</v>
      </c>
      <c r="AB340">
        <f t="shared" si="61"/>
        <v>4651.5931783333335</v>
      </c>
      <c r="AC340">
        <f t="shared" si="62"/>
        <v>4664.4207399999996</v>
      </c>
      <c r="AF340">
        <f t="shared" si="63"/>
        <v>4667.8014400000002</v>
      </c>
      <c r="AG340">
        <f t="shared" si="64"/>
        <v>4672.1008750000001</v>
      </c>
      <c r="AH340">
        <f t="shared" si="65"/>
        <v>4651.5931783333335</v>
      </c>
    </row>
    <row r="341" spans="1:34" x14ac:dyDescent="0.55000000000000004">
      <c r="A341">
        <f>ALGLIB_SSA_XAUUSD!J341</f>
        <v>1775492100</v>
      </c>
      <c r="B341" t="str">
        <f>_xlfn.XLOOKUP($A341,ALGLIB_SSA_XAUUSD!$A$2:$A$1000,ALGLIB_SSA_XAUUSD!$B$2:$B$1000,"",0)</f>
        <v/>
      </c>
      <c r="C341" t="str">
        <f>_xlfn.XLOOKUP($A341,ALGLIB_SSA_XAUUSD!$A$2:$A$1000,ALGLIB_SSA_XAUUSD!$C$2:$C$1000,"",0)</f>
        <v/>
      </c>
      <c r="D341" s="1">
        <f>D338+(D350-D338)*3/12</f>
        <v>4658.8</v>
      </c>
      <c r="E341" s="1">
        <f>E338+(E350-E338)*3/12</f>
        <v>4662.0631700000004</v>
      </c>
      <c r="F341" s="1">
        <f>F338+(F350-F338)*3/12</f>
        <v>4666.2423625000001</v>
      </c>
      <c r="G341" s="1">
        <f>G338+(G350-G338)*3/12</f>
        <v>4671.7673875</v>
      </c>
      <c r="H341" s="1">
        <f>H338+(H350-H338)*3/12</f>
        <v>4651.4779075000006</v>
      </c>
      <c r="I341" t="str">
        <f>_xlfn.XLOOKUP($A341,ALGLIB_SSA_XAUUSD!$J$2:$J$1000,ALGLIB_SSA_XAUUSD!$K$2:$K$1000,"",0)</f>
        <v>XAUUSD</v>
      </c>
      <c r="J341" t="str">
        <f>_xlfn.XLOOKUP($A341,ALGLIB_SSA_XAUUSD!$J$2:$J$1000,ALGLIB_SSA_XAUUSD!$L$2:$L$1000,"",0)</f>
        <v>M5</v>
      </c>
      <c r="K341">
        <f>_xlfn.XLOOKUP($A341,ALGLIB_SSA_XAUUSD!$J$2:$J$1000,ALGLIB_SSA_XAUUSD!$M$2:$M$1000,"",0)</f>
        <v>4668.67</v>
      </c>
      <c r="L341">
        <f>_xlfn.XLOOKUP($A341,ALGLIB_SSA_XAUUSD!$J$2:$J$1000,ALGLIB_SSA_XAUUSD!$N$2:$N$1000,"",0)</f>
        <v>4668.0696699999999</v>
      </c>
      <c r="M341">
        <f>_xlfn.XLOOKUP($A341,ALGLIB_SSA_XAUUSD!$J$2:$J$1000,ALGLIB_SSA_XAUUSD!$O$2:$O$1000,"",0)</f>
        <v>4667.5952900000002</v>
      </c>
      <c r="N341">
        <f>_xlfn.XLOOKUP($A341,ALGLIB_SSA_XAUUSD!$J$2:$J$1000,ALGLIB_SSA_XAUUSD!$P$2:$P$1000,"",0)</f>
        <v>4670.7742200000002</v>
      </c>
      <c r="O341">
        <f>_xlfn.XLOOKUP($A341,ALGLIB_SSA_XAUUSD!$J$2:$J$1000,ALGLIB_SSA_XAUUSD!$Q$2:$Q$1000,"",0)</f>
        <v>4665.22919</v>
      </c>
      <c r="R341">
        <f t="shared" si="55"/>
        <v>1775492100</v>
      </c>
      <c r="S341" t="str">
        <f t="shared" si="56"/>
        <v>XAUUSD</v>
      </c>
      <c r="T341" t="str">
        <f t="shared" si="57"/>
        <v>M5</v>
      </c>
      <c r="U341">
        <f t="shared" si="58"/>
        <v>4668.67</v>
      </c>
      <c r="V341">
        <v>4662.0631700000004</v>
      </c>
      <c r="W341">
        <v>4666.2423600000002</v>
      </c>
      <c r="X341">
        <v>4668.0696699999999</v>
      </c>
      <c r="Y341">
        <v>4667.5952900000002</v>
      </c>
      <c r="Z341">
        <f t="shared" si="59"/>
        <v>4671.7673875</v>
      </c>
      <c r="AA341">
        <f t="shared" si="60"/>
        <v>4670.7742200000002</v>
      </c>
      <c r="AB341">
        <f t="shared" si="61"/>
        <v>4651.4779075000006</v>
      </c>
      <c r="AC341">
        <f t="shared" si="62"/>
        <v>4665.22919</v>
      </c>
      <c r="AF341">
        <f t="shared" si="63"/>
        <v>4668.0696699999999</v>
      </c>
      <c r="AG341">
        <f t="shared" si="64"/>
        <v>4671.7673875</v>
      </c>
      <c r="AH341">
        <f t="shared" si="65"/>
        <v>4651.4779075000006</v>
      </c>
    </row>
    <row r="342" spans="1:34" x14ac:dyDescent="0.55000000000000004">
      <c r="A342">
        <f>ALGLIB_SSA_XAUUSD!J342</f>
        <v>1775492400</v>
      </c>
      <c r="B342" t="str">
        <f>_xlfn.XLOOKUP($A342,ALGLIB_SSA_XAUUSD!$A$2:$A$1000,ALGLIB_SSA_XAUUSD!$B$2:$B$1000,"",0)</f>
        <v/>
      </c>
      <c r="C342" t="str">
        <f>_xlfn.XLOOKUP($A342,ALGLIB_SSA_XAUUSD!$A$2:$A$1000,ALGLIB_SSA_XAUUSD!$C$2:$C$1000,"",0)</f>
        <v/>
      </c>
      <c r="D342" s="1">
        <f>D338+(D350-D338)*4/12</f>
        <v>4658.213333333334</v>
      </c>
      <c r="E342" s="1">
        <f>E338+(E350-E338)*4/12</f>
        <v>4661.8221066666665</v>
      </c>
      <c r="F342" s="1">
        <f>F338+(F350-F338)*4/12</f>
        <v>4665.9400400000004</v>
      </c>
      <c r="G342" s="1">
        <f>G338+(G350-G338)*4/12</f>
        <v>4671.4339</v>
      </c>
      <c r="H342" s="1">
        <f>H338+(H350-H338)*4/12</f>
        <v>4651.3626366666667</v>
      </c>
      <c r="I342" t="str">
        <f>_xlfn.XLOOKUP($A342,ALGLIB_SSA_XAUUSD!$J$2:$J$1000,ALGLIB_SSA_XAUUSD!$K$2:$K$1000,"",0)</f>
        <v>XAUUSD</v>
      </c>
      <c r="J342" t="str">
        <f>_xlfn.XLOOKUP($A342,ALGLIB_SSA_XAUUSD!$J$2:$J$1000,ALGLIB_SSA_XAUUSD!$L$2:$L$1000,"",0)</f>
        <v>M5</v>
      </c>
      <c r="K342">
        <f>_xlfn.XLOOKUP($A342,ALGLIB_SSA_XAUUSD!$J$2:$J$1000,ALGLIB_SSA_XAUUSD!$M$2:$M$1000,"",0)</f>
        <v>4668.5600000000004</v>
      </c>
      <c r="L342">
        <f>_xlfn.XLOOKUP($A342,ALGLIB_SSA_XAUUSD!$J$2:$J$1000,ALGLIB_SSA_XAUUSD!$N$2:$N$1000,"",0)</f>
        <v>4667.95784</v>
      </c>
      <c r="M342">
        <f>_xlfn.XLOOKUP($A342,ALGLIB_SSA_XAUUSD!$J$2:$J$1000,ALGLIB_SSA_XAUUSD!$O$2:$O$1000,"",0)</f>
        <v>4667.7765600000002</v>
      </c>
      <c r="N342">
        <f>_xlfn.XLOOKUP($A342,ALGLIB_SSA_XAUUSD!$J$2:$J$1000,ALGLIB_SSA_XAUUSD!$P$2:$P$1000,"",0)</f>
        <v>4670.8331500000004</v>
      </c>
      <c r="O342">
        <f>_xlfn.XLOOKUP($A342,ALGLIB_SSA_XAUUSD!$J$2:$J$1000,ALGLIB_SSA_XAUUSD!$Q$2:$Q$1000,"",0)</f>
        <v>4665.7840399999995</v>
      </c>
      <c r="R342">
        <f t="shared" si="55"/>
        <v>1775492400</v>
      </c>
      <c r="S342" t="str">
        <f t="shared" si="56"/>
        <v>XAUUSD</v>
      </c>
      <c r="T342" t="str">
        <f t="shared" si="57"/>
        <v>M5</v>
      </c>
      <c r="U342">
        <f t="shared" si="58"/>
        <v>4668.5600000000004</v>
      </c>
      <c r="V342">
        <v>4661.8221100000001</v>
      </c>
      <c r="W342">
        <v>4665.9400400000004</v>
      </c>
      <c r="X342">
        <v>4667.95784</v>
      </c>
      <c r="Y342">
        <v>4667.7765600000002</v>
      </c>
      <c r="Z342">
        <f t="shared" si="59"/>
        <v>4671.4339</v>
      </c>
      <c r="AA342">
        <f t="shared" si="60"/>
        <v>4670.8331500000004</v>
      </c>
      <c r="AB342">
        <f t="shared" si="61"/>
        <v>4651.3626366666667</v>
      </c>
      <c r="AC342">
        <f t="shared" si="62"/>
        <v>4665.7840399999995</v>
      </c>
      <c r="AF342">
        <f t="shared" si="63"/>
        <v>4667.95784</v>
      </c>
      <c r="AG342">
        <f t="shared" si="64"/>
        <v>4671.4339</v>
      </c>
      <c r="AH342">
        <f t="shared" si="65"/>
        <v>4651.3626366666667</v>
      </c>
    </row>
    <row r="343" spans="1:34" x14ac:dyDescent="0.55000000000000004">
      <c r="A343">
        <f>ALGLIB_SSA_XAUUSD!J343</f>
        <v>1775492700</v>
      </c>
      <c r="B343" t="str">
        <f>_xlfn.XLOOKUP($A343,ALGLIB_SSA_XAUUSD!$A$2:$A$1000,ALGLIB_SSA_XAUUSD!$B$2:$B$1000,"",0)</f>
        <v/>
      </c>
      <c r="C343" t="str">
        <f>_xlfn.XLOOKUP($A343,ALGLIB_SSA_XAUUSD!$A$2:$A$1000,ALGLIB_SSA_XAUUSD!$C$2:$C$1000,"",0)</f>
        <v/>
      </c>
      <c r="D343" s="1">
        <f>D338+(D350-D338)*5/12</f>
        <v>4657.626666666667</v>
      </c>
      <c r="E343" s="1">
        <f>E338+(E350-E338)*5/12</f>
        <v>4661.5810433333336</v>
      </c>
      <c r="F343" s="1">
        <f>F338+(F350-F338)*5/12</f>
        <v>4665.6377174999998</v>
      </c>
      <c r="G343" s="1">
        <f>G338+(G350-G338)*5/12</f>
        <v>4671.1004124999999</v>
      </c>
      <c r="H343" s="1">
        <f>H338+(H350-H338)*5/12</f>
        <v>4651.2473658333329</v>
      </c>
      <c r="I343" t="str">
        <f>_xlfn.XLOOKUP($A343,ALGLIB_SSA_XAUUSD!$J$2:$J$1000,ALGLIB_SSA_XAUUSD!$K$2:$K$1000,"",0)</f>
        <v>XAUUSD</v>
      </c>
      <c r="J343" t="str">
        <f>_xlfn.XLOOKUP($A343,ALGLIB_SSA_XAUUSD!$J$2:$J$1000,ALGLIB_SSA_XAUUSD!$L$2:$L$1000,"",0)</f>
        <v>M5</v>
      </c>
      <c r="K343">
        <f>_xlfn.XLOOKUP($A343,ALGLIB_SSA_XAUUSD!$J$2:$J$1000,ALGLIB_SSA_XAUUSD!$M$2:$M$1000,"",0)</f>
        <v>4665.7299999999996</v>
      </c>
      <c r="L343">
        <f>_xlfn.XLOOKUP($A343,ALGLIB_SSA_XAUUSD!$J$2:$J$1000,ALGLIB_SSA_XAUUSD!$N$2:$N$1000,"",0)</f>
        <v>4667.4089899999999</v>
      </c>
      <c r="M343">
        <f>_xlfn.XLOOKUP($A343,ALGLIB_SSA_XAUUSD!$J$2:$J$1000,ALGLIB_SSA_XAUUSD!$O$2:$O$1000,"",0)</f>
        <v>4667.5927700000002</v>
      </c>
      <c r="N343">
        <f>_xlfn.XLOOKUP($A343,ALGLIB_SSA_XAUUSD!$J$2:$J$1000,ALGLIB_SSA_XAUUSD!$P$2:$P$1000,"",0)</f>
        <v>4670.4983400000001</v>
      </c>
      <c r="O343">
        <f>_xlfn.XLOOKUP($A343,ALGLIB_SSA_XAUUSD!$J$2:$J$1000,ALGLIB_SSA_XAUUSD!$Q$2:$Q$1000,"",0)</f>
        <v>4665.9255199999998</v>
      </c>
      <c r="R343">
        <f t="shared" si="55"/>
        <v>1775492700</v>
      </c>
      <c r="S343" t="str">
        <f t="shared" si="56"/>
        <v>XAUUSD</v>
      </c>
      <c r="T343" t="str">
        <f t="shared" si="57"/>
        <v>M5</v>
      </c>
      <c r="U343">
        <f t="shared" si="58"/>
        <v>4665.7299999999996</v>
      </c>
      <c r="V343">
        <v>4661.58104</v>
      </c>
      <c r="W343">
        <v>4665.6377199999997</v>
      </c>
      <c r="X343">
        <v>4667.4089899999999</v>
      </c>
      <c r="Y343">
        <v>4667.5927700000002</v>
      </c>
      <c r="Z343">
        <f t="shared" si="59"/>
        <v>4671.1004124999999</v>
      </c>
      <c r="AA343">
        <f t="shared" si="60"/>
        <v>4670.4983400000001</v>
      </c>
      <c r="AB343">
        <f t="shared" si="61"/>
        <v>4651.2473658333329</v>
      </c>
      <c r="AC343">
        <f t="shared" si="62"/>
        <v>4665.9255199999998</v>
      </c>
      <c r="AF343">
        <f t="shared" si="63"/>
        <v>4667.4089899999999</v>
      </c>
      <c r="AG343">
        <f t="shared" si="64"/>
        <v>4671.1004124999999</v>
      </c>
      <c r="AH343">
        <f t="shared" si="65"/>
        <v>4651.2473658333329</v>
      </c>
    </row>
    <row r="344" spans="1:34" x14ac:dyDescent="0.55000000000000004">
      <c r="A344">
        <f>ALGLIB_SSA_XAUUSD!J344</f>
        <v>1775493000</v>
      </c>
      <c r="B344" t="str">
        <f>_xlfn.XLOOKUP($A344,ALGLIB_SSA_XAUUSD!$A$2:$A$1000,ALGLIB_SSA_XAUUSD!$B$2:$B$1000,"",0)</f>
        <v/>
      </c>
      <c r="C344" t="str">
        <f>_xlfn.XLOOKUP($A344,ALGLIB_SSA_XAUUSD!$A$2:$A$1000,ALGLIB_SSA_XAUUSD!$C$2:$C$1000,"",0)</f>
        <v/>
      </c>
      <c r="D344" s="1">
        <f>D338+(D350-D338)*6/12</f>
        <v>4657.0400000000009</v>
      </c>
      <c r="E344" s="1">
        <f>E338+(E350-E338)*6/12</f>
        <v>4661.3399800000007</v>
      </c>
      <c r="F344" s="1">
        <f>F338+(F350-F338)*6/12</f>
        <v>4665.3353950000001</v>
      </c>
      <c r="G344" s="1">
        <f>G338+(G350-G338)*6/12</f>
        <v>4670.7669249999999</v>
      </c>
      <c r="H344" s="1">
        <f>H338+(H350-H338)*6/12</f>
        <v>4651.1320949999999</v>
      </c>
      <c r="I344" t="str">
        <f>_xlfn.XLOOKUP($A344,ALGLIB_SSA_XAUUSD!$J$2:$J$1000,ALGLIB_SSA_XAUUSD!$K$2:$K$1000,"",0)</f>
        <v>XAUUSD</v>
      </c>
      <c r="J344" t="str">
        <f>_xlfn.XLOOKUP($A344,ALGLIB_SSA_XAUUSD!$J$2:$J$1000,ALGLIB_SSA_XAUUSD!$L$2:$L$1000,"",0)</f>
        <v>M5</v>
      </c>
      <c r="K344">
        <f>_xlfn.XLOOKUP($A344,ALGLIB_SSA_XAUUSD!$J$2:$J$1000,ALGLIB_SSA_XAUUSD!$M$2:$M$1000,"",0)</f>
        <v>4666.74</v>
      </c>
      <c r="L344">
        <f>_xlfn.XLOOKUP($A344,ALGLIB_SSA_XAUUSD!$J$2:$J$1000,ALGLIB_SSA_XAUUSD!$N$2:$N$1000,"",0)</f>
        <v>4666.4958999999999</v>
      </c>
      <c r="M344">
        <f>_xlfn.XLOOKUP($A344,ALGLIB_SSA_XAUUSD!$J$2:$J$1000,ALGLIB_SSA_XAUUSD!$O$2:$O$1000,"",0)</f>
        <v>4667.0443400000004</v>
      </c>
      <c r="N344">
        <f>_xlfn.XLOOKUP($A344,ALGLIB_SSA_XAUUSD!$J$2:$J$1000,ALGLIB_SSA_XAUUSD!$P$2:$P$1000,"",0)</f>
        <v>4669.7212200000004</v>
      </c>
      <c r="O344">
        <f>_xlfn.XLOOKUP($A344,ALGLIB_SSA_XAUUSD!$J$2:$J$1000,ALGLIB_SSA_XAUUSD!$Q$2:$Q$1000,"",0)</f>
        <v>4665.5379199999998</v>
      </c>
      <c r="R344">
        <f t="shared" si="55"/>
        <v>1775493000</v>
      </c>
      <c r="S344" t="str">
        <f t="shared" si="56"/>
        <v>XAUUSD</v>
      </c>
      <c r="T344" t="str">
        <f t="shared" si="57"/>
        <v>M5</v>
      </c>
      <c r="U344">
        <f t="shared" si="58"/>
        <v>4666.74</v>
      </c>
      <c r="V344">
        <v>4661.3399799999997</v>
      </c>
      <c r="W344">
        <v>4665.3353999999999</v>
      </c>
      <c r="X344">
        <v>4666.4958999999999</v>
      </c>
      <c r="Y344">
        <v>4667.0443400000004</v>
      </c>
      <c r="Z344">
        <f t="shared" si="59"/>
        <v>4670.7669249999999</v>
      </c>
      <c r="AA344">
        <f t="shared" si="60"/>
        <v>4669.7212200000004</v>
      </c>
      <c r="AB344">
        <f t="shared" si="61"/>
        <v>4651.1320949999999</v>
      </c>
      <c r="AC344">
        <f t="shared" si="62"/>
        <v>4665.5379199999998</v>
      </c>
      <c r="AF344">
        <f t="shared" si="63"/>
        <v>4666.4958999999999</v>
      </c>
      <c r="AG344">
        <f t="shared" si="64"/>
        <v>4670.7669249999999</v>
      </c>
      <c r="AH344">
        <f t="shared" si="65"/>
        <v>4651.1320949999999</v>
      </c>
    </row>
    <row r="345" spans="1:34" x14ac:dyDescent="0.55000000000000004">
      <c r="A345">
        <f>ALGLIB_SSA_XAUUSD!J345</f>
        <v>1775493300</v>
      </c>
      <c r="B345" t="str">
        <f>_xlfn.XLOOKUP($A345,ALGLIB_SSA_XAUUSD!$A$2:$A$1000,ALGLIB_SSA_XAUUSD!$B$2:$B$1000,"",0)</f>
        <v/>
      </c>
      <c r="C345" t="str">
        <f>_xlfn.XLOOKUP($A345,ALGLIB_SSA_XAUUSD!$A$2:$A$1000,ALGLIB_SSA_XAUUSD!$C$2:$C$1000,"",0)</f>
        <v/>
      </c>
      <c r="D345" s="1">
        <f>D338+(D350-D338)*7/12</f>
        <v>4656.4533333333338</v>
      </c>
      <c r="E345" s="1">
        <f>E338+(E350-E338)*7/12</f>
        <v>4661.0989166666668</v>
      </c>
      <c r="F345" s="1">
        <f>F338+(F350-F338)*7/12</f>
        <v>4665.0330725000003</v>
      </c>
      <c r="G345" s="1">
        <f>G338+(G350-G338)*7/12</f>
        <v>4670.4334374999999</v>
      </c>
      <c r="H345" s="1">
        <f>H338+(H350-H338)*7/12</f>
        <v>4651.016824166667</v>
      </c>
      <c r="I345" t="str">
        <f>_xlfn.XLOOKUP($A345,ALGLIB_SSA_XAUUSD!$J$2:$J$1000,ALGLIB_SSA_XAUUSD!$K$2:$K$1000,"",0)</f>
        <v>XAUUSD</v>
      </c>
      <c r="J345" t="str">
        <f>_xlfn.XLOOKUP($A345,ALGLIB_SSA_XAUUSD!$J$2:$J$1000,ALGLIB_SSA_XAUUSD!$L$2:$L$1000,"",0)</f>
        <v>M5</v>
      </c>
      <c r="K345">
        <f>_xlfn.XLOOKUP($A345,ALGLIB_SSA_XAUUSD!$J$2:$J$1000,ALGLIB_SSA_XAUUSD!$M$2:$M$1000,"",0)</f>
        <v>4664.32</v>
      </c>
      <c r="L345">
        <f>_xlfn.XLOOKUP($A345,ALGLIB_SSA_XAUUSD!$J$2:$J$1000,ALGLIB_SSA_XAUUSD!$N$2:$N$1000,"",0)</f>
        <v>4665.2749199999998</v>
      </c>
      <c r="M345">
        <f>_xlfn.XLOOKUP($A345,ALGLIB_SSA_XAUUSD!$J$2:$J$1000,ALGLIB_SSA_XAUUSD!$O$2:$O$1000,"",0)</f>
        <v>4666.1596300000001</v>
      </c>
      <c r="N345">
        <f>_xlfn.XLOOKUP($A345,ALGLIB_SSA_XAUUSD!$J$2:$J$1000,ALGLIB_SSA_XAUUSD!$P$2:$P$1000,"",0)</f>
        <v>4668.5707700000003</v>
      </c>
      <c r="O345">
        <f>_xlfn.XLOOKUP($A345,ALGLIB_SSA_XAUUSD!$J$2:$J$1000,ALGLIB_SSA_XAUUSD!$Q$2:$Q$1000,"",0)</f>
        <v>4664.5756700000002</v>
      </c>
      <c r="R345">
        <f t="shared" si="55"/>
        <v>1775493300</v>
      </c>
      <c r="S345" t="str">
        <f t="shared" si="56"/>
        <v>XAUUSD</v>
      </c>
      <c r="T345" t="str">
        <f t="shared" si="57"/>
        <v>M5</v>
      </c>
      <c r="U345">
        <f t="shared" si="58"/>
        <v>4664.32</v>
      </c>
      <c r="V345">
        <v>4661.0989200000004</v>
      </c>
      <c r="W345">
        <v>4665.0330700000004</v>
      </c>
      <c r="X345">
        <v>4665.2749199999998</v>
      </c>
      <c r="Y345">
        <v>4666.1596300000001</v>
      </c>
      <c r="Z345">
        <f t="shared" si="59"/>
        <v>4670.4334374999999</v>
      </c>
      <c r="AA345">
        <f t="shared" si="60"/>
        <v>4668.5707700000003</v>
      </c>
      <c r="AB345">
        <f t="shared" si="61"/>
        <v>4651.016824166667</v>
      </c>
      <c r="AC345">
        <f t="shared" si="62"/>
        <v>4664.5756700000002</v>
      </c>
      <c r="AF345">
        <f t="shared" si="63"/>
        <v>4665.2749199999998</v>
      </c>
      <c r="AG345">
        <f t="shared" si="64"/>
        <v>4670.4334374999999</v>
      </c>
      <c r="AH345">
        <f t="shared" si="65"/>
        <v>4651.016824166667</v>
      </c>
    </row>
    <row r="346" spans="1:34" x14ac:dyDescent="0.55000000000000004">
      <c r="A346">
        <f>ALGLIB_SSA_XAUUSD!J346</f>
        <v>1775493600</v>
      </c>
      <c r="B346" t="str">
        <f>_xlfn.XLOOKUP($A346,ALGLIB_SSA_XAUUSD!$A$2:$A$1000,ALGLIB_SSA_XAUUSD!$B$2:$B$1000,"",0)</f>
        <v/>
      </c>
      <c r="C346" t="str">
        <f>_xlfn.XLOOKUP($A346,ALGLIB_SSA_XAUUSD!$A$2:$A$1000,ALGLIB_SSA_XAUUSD!$C$2:$C$1000,"",0)</f>
        <v/>
      </c>
      <c r="D346" s="1">
        <f>D338+(D350-D338)*8/12</f>
        <v>4655.8666666666668</v>
      </c>
      <c r="E346" s="1">
        <f>E338+(E350-E338)*8/12</f>
        <v>4660.8578533333339</v>
      </c>
      <c r="F346" s="1">
        <f>F338+(F350-F338)*8/12</f>
        <v>4664.7307499999997</v>
      </c>
      <c r="G346" s="1">
        <f>G338+(G350-G338)*8/12</f>
        <v>4670.0999499999998</v>
      </c>
      <c r="H346" s="1">
        <f>H338+(H350-H338)*8/12</f>
        <v>4650.9015533333331</v>
      </c>
      <c r="I346" t="str">
        <f>_xlfn.XLOOKUP($A346,ALGLIB_SSA_XAUUSD!$J$2:$J$1000,ALGLIB_SSA_XAUUSD!$K$2:$K$1000,"",0)</f>
        <v>XAUUSD</v>
      </c>
      <c r="J346" t="str">
        <f>_xlfn.XLOOKUP($A346,ALGLIB_SSA_XAUUSD!$J$2:$J$1000,ALGLIB_SSA_XAUUSD!$L$2:$L$1000,"",0)</f>
        <v>M5</v>
      </c>
      <c r="K346">
        <f>_xlfn.XLOOKUP($A346,ALGLIB_SSA_XAUUSD!$J$2:$J$1000,ALGLIB_SSA_XAUUSD!$M$2:$M$1000,"",0)</f>
        <v>4663.16</v>
      </c>
      <c r="L346">
        <f>_xlfn.XLOOKUP($A346,ALGLIB_SSA_XAUUSD!$J$2:$J$1000,ALGLIB_SSA_XAUUSD!$N$2:$N$1000,"",0)</f>
        <v>4663.9276300000001</v>
      </c>
      <c r="M346">
        <f>_xlfn.XLOOKUP($A346,ALGLIB_SSA_XAUUSD!$J$2:$J$1000,ALGLIB_SSA_XAUUSD!$O$2:$O$1000,"",0)</f>
        <v>4665.0436300000001</v>
      </c>
      <c r="N346">
        <f>_xlfn.XLOOKUP($A346,ALGLIB_SSA_XAUUSD!$J$2:$J$1000,ALGLIB_SSA_XAUUSD!$P$2:$P$1000,"",0)</f>
        <v>4667.0899900000004</v>
      </c>
      <c r="O346">
        <f>_xlfn.XLOOKUP($A346,ALGLIB_SSA_XAUUSD!$J$2:$J$1000,ALGLIB_SSA_XAUUSD!$Q$2:$Q$1000,"",0)</f>
        <v>4663.0913300000002</v>
      </c>
      <c r="R346">
        <f t="shared" si="55"/>
        <v>1775493600</v>
      </c>
      <c r="S346" t="str">
        <f t="shared" si="56"/>
        <v>XAUUSD</v>
      </c>
      <c r="T346" t="str">
        <f t="shared" si="57"/>
        <v>M5</v>
      </c>
      <c r="U346">
        <f t="shared" si="58"/>
        <v>4663.16</v>
      </c>
      <c r="V346">
        <v>4660.8578500000003</v>
      </c>
      <c r="W346">
        <v>4664.7307499999997</v>
      </c>
      <c r="X346">
        <v>4663.9276300000001</v>
      </c>
      <c r="Y346">
        <v>4665.0436300000001</v>
      </c>
      <c r="Z346">
        <f t="shared" si="59"/>
        <v>4670.0999499999998</v>
      </c>
      <c r="AA346">
        <f t="shared" si="60"/>
        <v>4667.0899900000004</v>
      </c>
      <c r="AB346">
        <f t="shared" si="61"/>
        <v>4650.9015533333331</v>
      </c>
      <c r="AC346">
        <f t="shared" si="62"/>
        <v>4663.0913300000002</v>
      </c>
      <c r="AF346">
        <f t="shared" si="63"/>
        <v>4663.9276300000001</v>
      </c>
      <c r="AG346">
        <f t="shared" si="64"/>
        <v>4670.0999499999998</v>
      </c>
      <c r="AH346">
        <f t="shared" si="65"/>
        <v>4650.9015533333331</v>
      </c>
    </row>
    <row r="347" spans="1:34" x14ac:dyDescent="0.55000000000000004">
      <c r="A347">
        <f>ALGLIB_SSA_XAUUSD!J347</f>
        <v>1775493900</v>
      </c>
      <c r="B347" t="str">
        <f>_xlfn.XLOOKUP($A347,ALGLIB_SSA_XAUUSD!$A$2:$A$1000,ALGLIB_SSA_XAUUSD!$B$2:$B$1000,"",0)</f>
        <v/>
      </c>
      <c r="C347" t="str">
        <f>_xlfn.XLOOKUP($A347,ALGLIB_SSA_XAUUSD!$A$2:$A$1000,ALGLIB_SSA_XAUUSD!$C$2:$C$1000,"",0)</f>
        <v/>
      </c>
      <c r="D347" s="1">
        <f>D338+(D350-D338)*9/12</f>
        <v>4655.2800000000007</v>
      </c>
      <c r="E347" s="1">
        <f>E338+(E350-E338)*9/12</f>
        <v>4660.61679</v>
      </c>
      <c r="F347" s="1">
        <f>F338+(F350-F338)*9/12</f>
        <v>4664.4284275</v>
      </c>
      <c r="G347" s="1">
        <f>G338+(G350-G338)*9/12</f>
        <v>4669.7664624999998</v>
      </c>
      <c r="H347" s="1">
        <f>H338+(H350-H338)*9/12</f>
        <v>4650.7862824999993</v>
      </c>
      <c r="I347" t="str">
        <f>_xlfn.XLOOKUP($A347,ALGLIB_SSA_XAUUSD!$J$2:$J$1000,ALGLIB_SSA_XAUUSD!$K$2:$K$1000,"",0)</f>
        <v>XAUUSD</v>
      </c>
      <c r="J347" t="str">
        <f>_xlfn.XLOOKUP($A347,ALGLIB_SSA_XAUUSD!$J$2:$J$1000,ALGLIB_SSA_XAUUSD!$L$2:$L$1000,"",0)</f>
        <v>M5</v>
      </c>
      <c r="K347">
        <f>_xlfn.XLOOKUP($A347,ALGLIB_SSA_XAUUSD!$J$2:$J$1000,ALGLIB_SSA_XAUUSD!$M$2:$M$1000,"",0)</f>
        <v>4664.8999999999996</v>
      </c>
      <c r="L347">
        <f>_xlfn.XLOOKUP($A347,ALGLIB_SSA_XAUUSD!$J$2:$J$1000,ALGLIB_SSA_XAUUSD!$N$2:$N$1000,"",0)</f>
        <v>4662.60653</v>
      </c>
      <c r="M347">
        <f>_xlfn.XLOOKUP($A347,ALGLIB_SSA_XAUUSD!$J$2:$J$1000,ALGLIB_SSA_XAUUSD!$O$2:$O$1000,"",0)</f>
        <v>4663.8250799999996</v>
      </c>
      <c r="N347">
        <f>_xlfn.XLOOKUP($A347,ALGLIB_SSA_XAUUSD!$J$2:$J$1000,ALGLIB_SSA_XAUUSD!$P$2:$P$1000,"",0)</f>
        <v>4665.5596299999997</v>
      </c>
      <c r="O347">
        <f>_xlfn.XLOOKUP($A347,ALGLIB_SSA_XAUUSD!$J$2:$J$1000,ALGLIB_SSA_XAUUSD!$Q$2:$Q$1000,"",0)</f>
        <v>4661.2314500000002</v>
      </c>
      <c r="R347">
        <f t="shared" si="55"/>
        <v>1775493900</v>
      </c>
      <c r="S347" t="str">
        <f t="shared" si="56"/>
        <v>XAUUSD</v>
      </c>
      <c r="T347" t="str">
        <f t="shared" si="57"/>
        <v>M5</v>
      </c>
      <c r="U347">
        <f t="shared" si="58"/>
        <v>4664.8999999999996</v>
      </c>
      <c r="V347">
        <v>4660.61679</v>
      </c>
      <c r="W347">
        <v>4664.4284299999999</v>
      </c>
      <c r="X347">
        <v>4662.60653</v>
      </c>
      <c r="Y347">
        <v>4663.8250799999996</v>
      </c>
      <c r="Z347">
        <f t="shared" si="59"/>
        <v>4669.7664624999998</v>
      </c>
      <c r="AA347">
        <f t="shared" si="60"/>
        <v>4665.5596299999997</v>
      </c>
      <c r="AB347">
        <f t="shared" si="61"/>
        <v>4650.7862824999993</v>
      </c>
      <c r="AC347">
        <f t="shared" si="62"/>
        <v>4661.2314500000002</v>
      </c>
      <c r="AF347">
        <f t="shared" si="63"/>
        <v>4662.60653</v>
      </c>
      <c r="AG347">
        <f t="shared" si="64"/>
        <v>4669.7664624999998</v>
      </c>
      <c r="AH347">
        <f t="shared" si="65"/>
        <v>4650.7862824999993</v>
      </c>
    </row>
    <row r="348" spans="1:34" x14ac:dyDescent="0.55000000000000004">
      <c r="A348">
        <f>ALGLIB_SSA_XAUUSD!J348</f>
        <v>1775494200</v>
      </c>
      <c r="B348" t="str">
        <f>_xlfn.XLOOKUP($A348,ALGLIB_SSA_XAUUSD!$A$2:$A$1000,ALGLIB_SSA_XAUUSD!$B$2:$B$1000,"",0)</f>
        <v/>
      </c>
      <c r="C348" t="str">
        <f>_xlfn.XLOOKUP($A348,ALGLIB_SSA_XAUUSD!$A$2:$A$1000,ALGLIB_SSA_XAUUSD!$C$2:$C$1000,"",0)</f>
        <v/>
      </c>
      <c r="D348" s="1">
        <f>D338+(D350-D338)*10/12</f>
        <v>4654.6933333333336</v>
      </c>
      <c r="E348" s="1">
        <f>E338+(E350-E338)*10/12</f>
        <v>4660.3757266666671</v>
      </c>
      <c r="F348" s="1">
        <f>F338+(F350-F338)*10/12</f>
        <v>4664.1261050000003</v>
      </c>
      <c r="G348" s="1">
        <f>G338+(G350-G338)*10/12</f>
        <v>4669.4329749999997</v>
      </c>
      <c r="H348" s="1">
        <f>H338+(H350-H338)*10/12</f>
        <v>4650.6710116666663</v>
      </c>
      <c r="I348" t="str">
        <f>_xlfn.XLOOKUP($A348,ALGLIB_SSA_XAUUSD!$J$2:$J$1000,ALGLIB_SSA_XAUUSD!$K$2:$K$1000,"",0)</f>
        <v>XAUUSD</v>
      </c>
      <c r="J348" t="str">
        <f>_xlfn.XLOOKUP($A348,ALGLIB_SSA_XAUUSD!$J$2:$J$1000,ALGLIB_SSA_XAUUSD!$L$2:$L$1000,"",0)</f>
        <v>M5</v>
      </c>
      <c r="K348">
        <f>_xlfn.XLOOKUP($A348,ALGLIB_SSA_XAUUSD!$J$2:$J$1000,ALGLIB_SSA_XAUUSD!$M$2:$M$1000,"",0)</f>
        <v>4662.88</v>
      </c>
      <c r="L348">
        <f>_xlfn.XLOOKUP($A348,ALGLIB_SSA_XAUUSD!$J$2:$J$1000,ALGLIB_SSA_XAUUSD!$N$2:$N$1000,"",0)</f>
        <v>4661.3651499999996</v>
      </c>
      <c r="M348">
        <f>_xlfn.XLOOKUP($A348,ALGLIB_SSA_XAUUSD!$J$2:$J$1000,ALGLIB_SSA_XAUUSD!$O$2:$O$1000,"",0)</f>
        <v>4662.5951100000002</v>
      </c>
      <c r="N348">
        <f>_xlfn.XLOOKUP($A348,ALGLIB_SSA_XAUUSD!$J$2:$J$1000,ALGLIB_SSA_XAUUSD!$P$2:$P$1000,"",0)</f>
        <v>4664.1372899999997</v>
      </c>
      <c r="O348">
        <f>_xlfn.XLOOKUP($A348,ALGLIB_SSA_XAUUSD!$J$2:$J$1000,ALGLIB_SSA_XAUUSD!$Q$2:$Q$1000,"",0)</f>
        <v>4659.2022900000002</v>
      </c>
      <c r="R348">
        <f t="shared" si="55"/>
        <v>1775494200</v>
      </c>
      <c r="S348" t="str">
        <f t="shared" si="56"/>
        <v>XAUUSD</v>
      </c>
      <c r="T348" t="str">
        <f t="shared" si="57"/>
        <v>M5</v>
      </c>
      <c r="U348">
        <f t="shared" si="58"/>
        <v>4662.88</v>
      </c>
      <c r="V348">
        <v>4660.3757299999997</v>
      </c>
      <c r="W348">
        <v>4664.1261100000002</v>
      </c>
      <c r="X348">
        <v>4661.3651499999996</v>
      </c>
      <c r="Y348">
        <v>4662.5951100000002</v>
      </c>
      <c r="Z348">
        <f t="shared" si="59"/>
        <v>4669.4329749999997</v>
      </c>
      <c r="AA348">
        <f t="shared" si="60"/>
        <v>4664.1372899999997</v>
      </c>
      <c r="AB348">
        <f t="shared" si="61"/>
        <v>4650.6710116666663</v>
      </c>
      <c r="AC348">
        <f t="shared" si="62"/>
        <v>4659.2022900000002</v>
      </c>
      <c r="AF348">
        <f t="shared" si="63"/>
        <v>4661.3651499999996</v>
      </c>
      <c r="AG348">
        <f t="shared" si="64"/>
        <v>4669.4329749999997</v>
      </c>
      <c r="AH348">
        <f t="shared" si="65"/>
        <v>4650.6710116666663</v>
      </c>
    </row>
    <row r="349" spans="1:34" x14ac:dyDescent="0.55000000000000004">
      <c r="A349">
        <f>ALGLIB_SSA_XAUUSD!J349</f>
        <v>1775494500</v>
      </c>
      <c r="B349" t="str">
        <f>_xlfn.XLOOKUP($A349,ALGLIB_SSA_XAUUSD!$A$2:$A$1000,ALGLIB_SSA_XAUUSD!$B$2:$B$1000,"",0)</f>
        <v/>
      </c>
      <c r="C349" t="str">
        <f>_xlfn.XLOOKUP($A349,ALGLIB_SSA_XAUUSD!$A$2:$A$1000,ALGLIB_SSA_XAUUSD!$C$2:$C$1000,"",0)</f>
        <v/>
      </c>
      <c r="D349" s="1">
        <f>D338+(D350-D338)*11/12</f>
        <v>4654.1066666666675</v>
      </c>
      <c r="E349" s="1">
        <f>E338+(E350-E338)*11/12</f>
        <v>4660.1346633333333</v>
      </c>
      <c r="F349" s="1">
        <f>F338+(F350-F338)*11/12</f>
        <v>4663.8237824999997</v>
      </c>
      <c r="G349" s="1">
        <f>G338+(G350-G338)*11/12</f>
        <v>4669.0994874999997</v>
      </c>
      <c r="H349" s="1">
        <f>H338+(H350-H338)*11/12</f>
        <v>4650.5557408333334</v>
      </c>
      <c r="I349" t="str">
        <f>_xlfn.XLOOKUP($A349,ALGLIB_SSA_XAUUSD!$J$2:$J$1000,ALGLIB_SSA_XAUUSD!$K$2:$K$1000,"",0)</f>
        <v>XAUUSD</v>
      </c>
      <c r="J349" t="str">
        <f>_xlfn.XLOOKUP($A349,ALGLIB_SSA_XAUUSD!$J$2:$J$1000,ALGLIB_SSA_XAUUSD!$L$2:$L$1000,"",0)</f>
        <v>M5</v>
      </c>
      <c r="K349">
        <f>_xlfn.XLOOKUP($A349,ALGLIB_SSA_XAUUSD!$J$2:$J$1000,ALGLIB_SSA_XAUUSD!$M$2:$M$1000,"",0)</f>
        <v>4660.5600000000004</v>
      </c>
      <c r="L349">
        <f>_xlfn.XLOOKUP($A349,ALGLIB_SSA_XAUUSD!$J$2:$J$1000,ALGLIB_SSA_XAUUSD!$N$2:$N$1000,"",0)</f>
        <v>4660.32521</v>
      </c>
      <c r="M349">
        <f>_xlfn.XLOOKUP($A349,ALGLIB_SSA_XAUUSD!$J$2:$J$1000,ALGLIB_SSA_XAUUSD!$O$2:$O$1000,"",0)</f>
        <v>4661.4601599999996</v>
      </c>
      <c r="N349">
        <f>_xlfn.XLOOKUP($A349,ALGLIB_SSA_XAUUSD!$J$2:$J$1000,ALGLIB_SSA_XAUUSD!$P$2:$P$1000,"",0)</f>
        <v>4662.8912899999996</v>
      </c>
      <c r="O349">
        <f>_xlfn.XLOOKUP($A349,ALGLIB_SSA_XAUUSD!$J$2:$J$1000,ALGLIB_SSA_XAUUSD!$Q$2:$Q$1000,"",0)</f>
        <v>4657.1738500000001</v>
      </c>
      <c r="R349">
        <f t="shared" si="55"/>
        <v>1775494500</v>
      </c>
      <c r="S349" t="str">
        <f t="shared" si="56"/>
        <v>XAUUSD</v>
      </c>
      <c r="T349" t="str">
        <f t="shared" si="57"/>
        <v>M5</v>
      </c>
      <c r="U349">
        <f t="shared" si="58"/>
        <v>4660.5600000000004</v>
      </c>
      <c r="V349">
        <v>4660.1346599999997</v>
      </c>
      <c r="W349">
        <v>4663.8237799999997</v>
      </c>
      <c r="X349">
        <v>4660.32521</v>
      </c>
      <c r="Y349">
        <v>4661.4601599999996</v>
      </c>
      <c r="Z349">
        <f t="shared" si="59"/>
        <v>4669.0994874999997</v>
      </c>
      <c r="AA349">
        <f t="shared" si="60"/>
        <v>4662.8912899999996</v>
      </c>
      <c r="AB349">
        <f t="shared" si="61"/>
        <v>4650.5557408333334</v>
      </c>
      <c r="AC349">
        <f t="shared" si="62"/>
        <v>4657.1738500000001</v>
      </c>
      <c r="AF349">
        <f t="shared" si="63"/>
        <v>4660.32521</v>
      </c>
      <c r="AG349">
        <f t="shared" si="64"/>
        <v>4669.0994874999997</v>
      </c>
      <c r="AH349">
        <f t="shared" si="65"/>
        <v>4650.5557408333334</v>
      </c>
    </row>
    <row r="350" spans="1:34" x14ac:dyDescent="0.55000000000000004">
      <c r="A350">
        <f>ALGLIB_SSA_XAUUSD!J350</f>
        <v>1775494800</v>
      </c>
      <c r="B350" t="str">
        <f>_xlfn.XLOOKUP($A350,ALGLIB_SSA_XAUUSD!$A$2:$A$1000,ALGLIB_SSA_XAUUSD!$B$2:$B$1000,"",0)</f>
        <v>XAUUSD</v>
      </c>
      <c r="C350" t="str">
        <f>_xlfn.XLOOKUP($A350,ALGLIB_SSA_XAUUSD!$A$2:$A$1000,ALGLIB_SSA_XAUUSD!$C$2:$C$1000,"",0)</f>
        <v>H1</v>
      </c>
      <c r="D350" s="2">
        <f>_xlfn.XLOOKUP($A350,ALGLIB_SSA_XAUUSD!$A$2:$A$1000,ALGLIB_SSA_XAUUSD!$D$2:$D$1000,"",0)</f>
        <v>4653.5200000000004</v>
      </c>
      <c r="E350" s="2">
        <f>_xlfn.XLOOKUP($A350,ALGLIB_SSA_XAUUSD!$A$2:$A$1000,ALGLIB_SSA_XAUUSD!$E$2:$E$1000,"",0)</f>
        <v>4659.8936000000003</v>
      </c>
      <c r="F350" s="2">
        <f>_xlfn.XLOOKUP($A350,ALGLIB_SSA_XAUUSD!$A$2:$A$1000,ALGLIB_SSA_XAUUSD!$F$2:$F$1000,"",0)</f>
        <v>4663.5214599999999</v>
      </c>
      <c r="G350" s="2">
        <f>_xlfn.XLOOKUP($A350,ALGLIB_SSA_XAUUSD!$A$2:$A$1000,ALGLIB_SSA_XAUUSD!$G$2:$G$1000,"",0)</f>
        <v>4668.7659999999996</v>
      </c>
      <c r="H350" s="2">
        <f>_xlfn.XLOOKUP($A350,ALGLIB_SSA_XAUUSD!$A$2:$A$1000,ALGLIB_SSA_XAUUSD!$H$2:$H$1000,"",0)</f>
        <v>4650.4404699999996</v>
      </c>
      <c r="I350" t="str">
        <f>_xlfn.XLOOKUP($A350,ALGLIB_SSA_XAUUSD!$J$2:$J$1000,ALGLIB_SSA_XAUUSD!$K$2:$K$1000,"",0)</f>
        <v>XAUUSD</v>
      </c>
      <c r="J350" t="str">
        <f>_xlfn.XLOOKUP($A350,ALGLIB_SSA_XAUUSD!$J$2:$J$1000,ALGLIB_SSA_XAUUSD!$L$2:$L$1000,"",0)</f>
        <v>M5</v>
      </c>
      <c r="K350">
        <f>_xlfn.XLOOKUP($A350,ALGLIB_SSA_XAUUSD!$J$2:$J$1000,ALGLIB_SSA_XAUUSD!$M$2:$M$1000,"",0)</f>
        <v>4659.1099999999997</v>
      </c>
      <c r="L350">
        <f>_xlfn.XLOOKUP($A350,ALGLIB_SSA_XAUUSD!$J$2:$J$1000,ALGLIB_SSA_XAUUSD!$N$2:$N$1000,"",0)</f>
        <v>4659.5567600000004</v>
      </c>
      <c r="M350">
        <f>_xlfn.XLOOKUP($A350,ALGLIB_SSA_XAUUSD!$J$2:$J$1000,ALGLIB_SSA_XAUUSD!$O$2:$O$1000,"",0)</f>
        <v>4660.50846</v>
      </c>
      <c r="N350">
        <f>_xlfn.XLOOKUP($A350,ALGLIB_SSA_XAUUSD!$J$2:$J$1000,ALGLIB_SSA_XAUUSD!$P$2:$P$1000,"",0)</f>
        <v>4661.9460200000003</v>
      </c>
      <c r="O350">
        <f>_xlfn.XLOOKUP($A350,ALGLIB_SSA_XAUUSD!$J$2:$J$1000,ALGLIB_SSA_XAUUSD!$Q$2:$Q$1000,"",0)</f>
        <v>4655.4384899999995</v>
      </c>
      <c r="R350">
        <f t="shared" si="55"/>
        <v>1775494800</v>
      </c>
      <c r="S350" t="str">
        <f t="shared" si="56"/>
        <v>XAUUSD</v>
      </c>
      <c r="T350" t="str">
        <f t="shared" si="57"/>
        <v>M5</v>
      </c>
      <c r="U350">
        <f t="shared" si="58"/>
        <v>4659.1099999999997</v>
      </c>
      <c r="V350">
        <v>4659.8936000000003</v>
      </c>
      <c r="W350">
        <v>4663.5214599999999</v>
      </c>
      <c r="X350">
        <v>4659.5567600000004</v>
      </c>
      <c r="Y350">
        <v>4660.50846</v>
      </c>
      <c r="Z350">
        <f t="shared" si="59"/>
        <v>4668.7659999999996</v>
      </c>
      <c r="AA350">
        <f t="shared" si="60"/>
        <v>4661.9460200000003</v>
      </c>
      <c r="AB350">
        <f t="shared" si="61"/>
        <v>4650.4404699999996</v>
      </c>
      <c r="AC350">
        <f t="shared" si="62"/>
        <v>4655.4384899999995</v>
      </c>
      <c r="AF350">
        <f t="shared" si="63"/>
        <v>4659.5567600000004</v>
      </c>
      <c r="AG350">
        <f t="shared" si="64"/>
        <v>4668.7659999999996</v>
      </c>
      <c r="AH350">
        <f t="shared" si="65"/>
        <v>4650.4404699999996</v>
      </c>
    </row>
    <row r="351" spans="1:34" x14ac:dyDescent="0.55000000000000004">
      <c r="A351">
        <f>ALGLIB_SSA_XAUUSD!J351</f>
        <v>1775495100</v>
      </c>
      <c r="B351" t="str">
        <f>_xlfn.XLOOKUP($A351,ALGLIB_SSA_XAUUSD!$A$2:$A$1000,ALGLIB_SSA_XAUUSD!$B$2:$B$1000,"",0)</f>
        <v/>
      </c>
      <c r="C351" t="str">
        <f>_xlfn.XLOOKUP($A351,ALGLIB_SSA_XAUUSD!$A$2:$A$1000,ALGLIB_SSA_XAUUSD!$C$2:$C$1000,"",0)</f>
        <v/>
      </c>
      <c r="D351" s="1">
        <f>D350+(D362-D350)*1/12</f>
        <v>4653.9225000000006</v>
      </c>
      <c r="E351" s="1">
        <f>E350+(E362-E350)*1/12</f>
        <v>4659.7405991666674</v>
      </c>
      <c r="F351" s="1">
        <f>F350+(F362-F350)*1/12</f>
        <v>4663.2937991666668</v>
      </c>
      <c r="G351" s="1">
        <f>G350+(G362-G350)*1/12</f>
        <v>4668.5480908333329</v>
      </c>
      <c r="H351" s="1">
        <f>H350+(H362-H350)*1/12</f>
        <v>4650.3933324999998</v>
      </c>
      <c r="I351" t="str">
        <f>_xlfn.XLOOKUP($A351,ALGLIB_SSA_XAUUSD!$J$2:$J$1000,ALGLIB_SSA_XAUUSD!$K$2:$K$1000,"",0)</f>
        <v>XAUUSD</v>
      </c>
      <c r="J351" t="str">
        <f>_xlfn.XLOOKUP($A351,ALGLIB_SSA_XAUUSD!$J$2:$J$1000,ALGLIB_SSA_XAUUSD!$L$2:$L$1000,"",0)</f>
        <v>M5</v>
      </c>
      <c r="K351">
        <f>_xlfn.XLOOKUP($A351,ALGLIB_SSA_XAUUSD!$J$2:$J$1000,ALGLIB_SSA_XAUUSD!$M$2:$M$1000,"",0)</f>
        <v>4658.37</v>
      </c>
      <c r="L351">
        <f>_xlfn.XLOOKUP($A351,ALGLIB_SSA_XAUUSD!$J$2:$J$1000,ALGLIB_SSA_XAUUSD!$N$2:$N$1000,"",0)</f>
        <v>4659.0348000000004</v>
      </c>
      <c r="M351">
        <f>_xlfn.XLOOKUP($A351,ALGLIB_SSA_XAUUSD!$J$2:$J$1000,ALGLIB_SSA_XAUUSD!$O$2:$O$1000,"",0)</f>
        <v>4659.7716300000002</v>
      </c>
      <c r="N351">
        <f>_xlfn.XLOOKUP($A351,ALGLIB_SSA_XAUUSD!$J$2:$J$1000,ALGLIB_SSA_XAUUSD!$P$2:$P$1000,"",0)</f>
        <v>4661.3068800000001</v>
      </c>
      <c r="O351">
        <f>_xlfn.XLOOKUP($A351,ALGLIB_SSA_XAUUSD!$J$2:$J$1000,ALGLIB_SSA_XAUUSD!$Q$2:$Q$1000,"",0)</f>
        <v>4654.1845700000003</v>
      </c>
      <c r="R351">
        <f t="shared" si="55"/>
        <v>1775495100</v>
      </c>
      <c r="S351" t="str">
        <f t="shared" si="56"/>
        <v>XAUUSD</v>
      </c>
      <c r="T351" t="str">
        <f t="shared" si="57"/>
        <v>M5</v>
      </c>
      <c r="U351">
        <f t="shared" si="58"/>
        <v>4658.37</v>
      </c>
      <c r="V351">
        <v>4659.7406000000001</v>
      </c>
      <c r="W351">
        <v>4663.2938000000004</v>
      </c>
      <c r="X351">
        <v>4659.0348000000004</v>
      </c>
      <c r="Y351">
        <v>4659.7716300000002</v>
      </c>
      <c r="Z351">
        <f t="shared" si="59"/>
        <v>4668.5480908333329</v>
      </c>
      <c r="AA351">
        <f t="shared" si="60"/>
        <v>4661.3068800000001</v>
      </c>
      <c r="AB351">
        <f t="shared" si="61"/>
        <v>4650.3933324999998</v>
      </c>
      <c r="AC351">
        <f t="shared" si="62"/>
        <v>4654.1845700000003</v>
      </c>
      <c r="AF351">
        <f t="shared" si="63"/>
        <v>4659.0348000000004</v>
      </c>
      <c r="AG351">
        <f t="shared" si="64"/>
        <v>4668.5480908333329</v>
      </c>
      <c r="AH351">
        <f t="shared" si="65"/>
        <v>4650.3933324999998</v>
      </c>
    </row>
    <row r="352" spans="1:34" x14ac:dyDescent="0.55000000000000004">
      <c r="A352">
        <f>ALGLIB_SSA_XAUUSD!J352</f>
        <v>1775495400</v>
      </c>
      <c r="B352" t="str">
        <f>_xlfn.XLOOKUP($A352,ALGLIB_SSA_XAUUSD!$A$2:$A$1000,ALGLIB_SSA_XAUUSD!$B$2:$B$1000,"",0)</f>
        <v/>
      </c>
      <c r="C352" t="str">
        <f>_xlfn.XLOOKUP($A352,ALGLIB_SSA_XAUUSD!$A$2:$A$1000,ALGLIB_SSA_XAUUSD!$C$2:$C$1000,"",0)</f>
        <v/>
      </c>
      <c r="D352" s="1">
        <f>D350+(D362-D350)*2/12</f>
        <v>4654.3250000000007</v>
      </c>
      <c r="E352" s="1">
        <f>E350+(E362-E350)*2/12</f>
        <v>4659.5875983333335</v>
      </c>
      <c r="F352" s="1">
        <f>F350+(F362-F350)*2/12</f>
        <v>4663.0661383333336</v>
      </c>
      <c r="G352" s="1">
        <f>G350+(G362-G350)*2/12</f>
        <v>4668.3301816666662</v>
      </c>
      <c r="H352" s="1">
        <f>H350+(H362-H350)*2/12</f>
        <v>4650.3461950000001</v>
      </c>
      <c r="I352" t="str">
        <f>_xlfn.XLOOKUP($A352,ALGLIB_SSA_XAUUSD!$J$2:$J$1000,ALGLIB_SSA_XAUUSD!$K$2:$K$1000,"",0)</f>
        <v>XAUUSD</v>
      </c>
      <c r="J352" t="str">
        <f>_xlfn.XLOOKUP($A352,ALGLIB_SSA_XAUUSD!$J$2:$J$1000,ALGLIB_SSA_XAUUSD!$L$2:$L$1000,"",0)</f>
        <v>M5</v>
      </c>
      <c r="K352">
        <f>_xlfn.XLOOKUP($A352,ALGLIB_SSA_XAUUSD!$J$2:$J$1000,ALGLIB_SSA_XAUUSD!$M$2:$M$1000,"",0)</f>
        <v>4654</v>
      </c>
      <c r="L352">
        <f>_xlfn.XLOOKUP($A352,ALGLIB_SSA_XAUUSD!$J$2:$J$1000,ALGLIB_SSA_XAUUSD!$N$2:$N$1000,"",0)</f>
        <v>4658.6833999999999</v>
      </c>
      <c r="M352">
        <f>_xlfn.XLOOKUP($A352,ALGLIB_SSA_XAUUSD!$J$2:$J$1000,ALGLIB_SSA_XAUUSD!$O$2:$O$1000,"",0)</f>
        <v>4659.2275200000004</v>
      </c>
      <c r="N352">
        <f>_xlfn.XLOOKUP($A352,ALGLIB_SSA_XAUUSD!$J$2:$J$1000,ALGLIB_SSA_XAUUSD!$P$2:$P$1000,"",0)</f>
        <v>4660.8867200000004</v>
      </c>
      <c r="O352">
        <f>_xlfn.XLOOKUP($A352,ALGLIB_SSA_XAUUSD!$J$2:$J$1000,ALGLIB_SSA_XAUUSD!$Q$2:$Q$1000,"",0)</f>
        <v>4653.4153100000003</v>
      </c>
      <c r="R352">
        <f t="shared" si="55"/>
        <v>1775495400</v>
      </c>
      <c r="S352" t="str">
        <f t="shared" si="56"/>
        <v>XAUUSD</v>
      </c>
      <c r="T352" t="str">
        <f t="shared" si="57"/>
        <v>M5</v>
      </c>
      <c r="U352">
        <f t="shared" si="58"/>
        <v>4654</v>
      </c>
      <c r="V352">
        <v>4659.5875999999998</v>
      </c>
      <c r="W352">
        <v>4663.0661399999999</v>
      </c>
      <c r="X352">
        <v>4658.6833999999999</v>
      </c>
      <c r="Y352">
        <v>4659.2275200000004</v>
      </c>
      <c r="Z352">
        <f t="shared" si="59"/>
        <v>4668.3301816666662</v>
      </c>
      <c r="AA352">
        <f t="shared" si="60"/>
        <v>4660.8867200000004</v>
      </c>
      <c r="AB352">
        <f t="shared" si="61"/>
        <v>4650.3461950000001</v>
      </c>
      <c r="AC352">
        <f t="shared" si="62"/>
        <v>4653.4153100000003</v>
      </c>
      <c r="AF352">
        <f t="shared" si="63"/>
        <v>4658.6833999999999</v>
      </c>
      <c r="AG352">
        <f t="shared" si="64"/>
        <v>4668.3301816666662</v>
      </c>
      <c r="AH352">
        <f t="shared" si="65"/>
        <v>4650.3461950000001</v>
      </c>
    </row>
    <row r="353" spans="1:34" x14ac:dyDescent="0.55000000000000004">
      <c r="A353">
        <f>ALGLIB_SSA_XAUUSD!J353</f>
        <v>1775495700</v>
      </c>
      <c r="B353" t="str">
        <f>_xlfn.XLOOKUP($A353,ALGLIB_SSA_XAUUSD!$A$2:$A$1000,ALGLIB_SSA_XAUUSD!$B$2:$B$1000,"",0)</f>
        <v/>
      </c>
      <c r="C353" t="str">
        <f>_xlfn.XLOOKUP($A353,ALGLIB_SSA_XAUUSD!$A$2:$A$1000,ALGLIB_SSA_XAUUSD!$C$2:$C$1000,"",0)</f>
        <v/>
      </c>
      <c r="D353" s="1">
        <f>D350+(D362-D350)*3/12</f>
        <v>4654.7275000000009</v>
      </c>
      <c r="E353" s="1">
        <f>E350+(E362-E350)*3/12</f>
        <v>4659.4345975000006</v>
      </c>
      <c r="F353" s="1">
        <f>F350+(F362-F350)*3/12</f>
        <v>4662.8384774999995</v>
      </c>
      <c r="G353" s="1">
        <f>G350+(G362-G350)*3/12</f>
        <v>4668.1122724999996</v>
      </c>
      <c r="H353" s="1">
        <f>H350+(H362-H350)*3/12</f>
        <v>4650.2990574999994</v>
      </c>
      <c r="I353" t="str">
        <f>_xlfn.XLOOKUP($A353,ALGLIB_SSA_XAUUSD!$J$2:$J$1000,ALGLIB_SSA_XAUUSD!$K$2:$K$1000,"",0)</f>
        <v>XAUUSD</v>
      </c>
      <c r="J353" t="str">
        <f>_xlfn.XLOOKUP($A353,ALGLIB_SSA_XAUUSD!$J$2:$J$1000,ALGLIB_SSA_XAUUSD!$L$2:$L$1000,"",0)</f>
        <v>M5</v>
      </c>
      <c r="K353">
        <f>_xlfn.XLOOKUP($A353,ALGLIB_SSA_XAUUSD!$J$2:$J$1000,ALGLIB_SSA_XAUUSD!$M$2:$M$1000,"",0)</f>
        <v>4659.6099999999997</v>
      </c>
      <c r="L353">
        <f>_xlfn.XLOOKUP($A353,ALGLIB_SSA_XAUUSD!$J$2:$J$1000,ALGLIB_SSA_XAUUSD!$N$2:$N$1000,"",0)</f>
        <v>4658.4777599999998</v>
      </c>
      <c r="M353">
        <f>_xlfn.XLOOKUP($A353,ALGLIB_SSA_XAUUSD!$J$2:$J$1000,ALGLIB_SSA_XAUUSD!$O$2:$O$1000,"",0)</f>
        <v>4658.8526400000001</v>
      </c>
      <c r="N353">
        <f>_xlfn.XLOOKUP($A353,ALGLIB_SSA_XAUUSD!$J$2:$J$1000,ALGLIB_SSA_XAUUSD!$P$2:$P$1000,"",0)</f>
        <v>4660.5579200000002</v>
      </c>
      <c r="O353">
        <f>_xlfn.XLOOKUP($A353,ALGLIB_SSA_XAUUSD!$J$2:$J$1000,ALGLIB_SSA_XAUUSD!$Q$2:$Q$1000,"",0)</f>
        <v>4653.2919199999997</v>
      </c>
      <c r="R353">
        <f t="shared" si="55"/>
        <v>1775495700</v>
      </c>
      <c r="S353" t="str">
        <f t="shared" si="56"/>
        <v>XAUUSD</v>
      </c>
      <c r="T353" t="str">
        <f t="shared" si="57"/>
        <v>M5</v>
      </c>
      <c r="U353">
        <f t="shared" si="58"/>
        <v>4659.6099999999997</v>
      </c>
      <c r="V353">
        <v>4659.4345999999996</v>
      </c>
      <c r="W353">
        <v>4662.8384800000003</v>
      </c>
      <c r="X353">
        <v>4658.4777599999998</v>
      </c>
      <c r="Y353">
        <v>4658.8526400000001</v>
      </c>
      <c r="Z353">
        <f t="shared" si="59"/>
        <v>4668.1122724999996</v>
      </c>
      <c r="AA353">
        <f t="shared" si="60"/>
        <v>4660.5579200000002</v>
      </c>
      <c r="AB353">
        <f t="shared" si="61"/>
        <v>4650.2990574999994</v>
      </c>
      <c r="AC353">
        <f t="shared" si="62"/>
        <v>4653.2919199999997</v>
      </c>
      <c r="AF353">
        <f t="shared" si="63"/>
        <v>4658.4777599999998</v>
      </c>
      <c r="AG353">
        <f t="shared" si="64"/>
        <v>4668.1122724999996</v>
      </c>
      <c r="AH353">
        <f t="shared" si="65"/>
        <v>4650.2990574999994</v>
      </c>
    </row>
    <row r="354" spans="1:34" x14ac:dyDescent="0.55000000000000004">
      <c r="A354">
        <f>ALGLIB_SSA_XAUUSD!J354</f>
        <v>1775496000</v>
      </c>
      <c r="B354" t="str">
        <f>_xlfn.XLOOKUP($A354,ALGLIB_SSA_XAUUSD!$A$2:$A$1000,ALGLIB_SSA_XAUUSD!$B$2:$B$1000,"",0)</f>
        <v/>
      </c>
      <c r="C354" t="str">
        <f>_xlfn.XLOOKUP($A354,ALGLIB_SSA_XAUUSD!$A$2:$A$1000,ALGLIB_SSA_XAUUSD!$C$2:$C$1000,"",0)</f>
        <v/>
      </c>
      <c r="D354" s="1">
        <f>D350+(D362-D350)*4/12</f>
        <v>4655.13</v>
      </c>
      <c r="E354" s="1">
        <f>E350+(E362-E350)*4/12</f>
        <v>4659.2815966666667</v>
      </c>
      <c r="F354" s="1">
        <f>F350+(F362-F350)*4/12</f>
        <v>4662.6108166666663</v>
      </c>
      <c r="G354" s="1">
        <f>G350+(G362-G350)*4/12</f>
        <v>4667.8943633333329</v>
      </c>
      <c r="H354" s="1">
        <f>H350+(H362-H350)*4/12</f>
        <v>4650.2519199999997</v>
      </c>
      <c r="I354" t="str">
        <f>_xlfn.XLOOKUP($A354,ALGLIB_SSA_XAUUSD!$J$2:$J$1000,ALGLIB_SSA_XAUUSD!$K$2:$K$1000,"",0)</f>
        <v>XAUUSD</v>
      </c>
      <c r="J354" t="str">
        <f>_xlfn.XLOOKUP($A354,ALGLIB_SSA_XAUUSD!$J$2:$J$1000,ALGLIB_SSA_XAUUSD!$L$2:$L$1000,"",0)</f>
        <v>M5</v>
      </c>
      <c r="K354">
        <f>_xlfn.XLOOKUP($A354,ALGLIB_SSA_XAUUSD!$J$2:$J$1000,ALGLIB_SSA_XAUUSD!$M$2:$M$1000,"",0)</f>
        <v>4659.75</v>
      </c>
      <c r="L354">
        <f>_xlfn.XLOOKUP($A354,ALGLIB_SSA_XAUUSD!$J$2:$J$1000,ALGLIB_SSA_XAUUSD!$N$2:$N$1000,"",0)</f>
        <v>4658.1496299999999</v>
      </c>
      <c r="M354">
        <f>_xlfn.XLOOKUP($A354,ALGLIB_SSA_XAUUSD!$J$2:$J$1000,ALGLIB_SSA_XAUUSD!$O$2:$O$1000,"",0)</f>
        <v>4658.5011299999996</v>
      </c>
      <c r="N354">
        <f>_xlfn.XLOOKUP($A354,ALGLIB_SSA_XAUUSD!$J$2:$J$1000,ALGLIB_SSA_XAUUSD!$P$2:$P$1000,"",0)</f>
        <v>4660.18966</v>
      </c>
      <c r="O354">
        <f>_xlfn.XLOOKUP($A354,ALGLIB_SSA_XAUUSD!$J$2:$J$1000,ALGLIB_SSA_XAUUSD!$Q$2:$Q$1000,"",0)</f>
        <v>4653.5242200000002</v>
      </c>
      <c r="R354">
        <f t="shared" si="55"/>
        <v>1775496000</v>
      </c>
      <c r="S354" t="str">
        <f t="shared" si="56"/>
        <v>XAUUSD</v>
      </c>
      <c r="T354" t="str">
        <f t="shared" si="57"/>
        <v>M5</v>
      </c>
      <c r="U354">
        <f t="shared" si="58"/>
        <v>4659.75</v>
      </c>
      <c r="V354">
        <v>4659.2816000000003</v>
      </c>
      <c r="W354">
        <v>4662.6108199999999</v>
      </c>
      <c r="X354">
        <v>4658.1496299999999</v>
      </c>
      <c r="Y354">
        <v>4658.5011299999996</v>
      </c>
      <c r="Z354">
        <f t="shared" si="59"/>
        <v>4667.8943633333329</v>
      </c>
      <c r="AA354">
        <f t="shared" si="60"/>
        <v>4660.18966</v>
      </c>
      <c r="AB354">
        <f t="shared" si="61"/>
        <v>4650.2519199999997</v>
      </c>
      <c r="AC354">
        <f t="shared" si="62"/>
        <v>4653.5242200000002</v>
      </c>
      <c r="AF354">
        <f t="shared" si="63"/>
        <v>4658.1496299999999</v>
      </c>
      <c r="AG354">
        <f t="shared" si="64"/>
        <v>4667.8943633333329</v>
      </c>
      <c r="AH354">
        <f t="shared" si="65"/>
        <v>4650.2519199999997</v>
      </c>
    </row>
    <row r="355" spans="1:34" x14ac:dyDescent="0.55000000000000004">
      <c r="A355">
        <f>ALGLIB_SSA_XAUUSD!J355</f>
        <v>1775496300</v>
      </c>
      <c r="B355" t="str">
        <f>_xlfn.XLOOKUP($A355,ALGLIB_SSA_XAUUSD!$A$2:$A$1000,ALGLIB_SSA_XAUUSD!$B$2:$B$1000,"",0)</f>
        <v/>
      </c>
      <c r="C355" t="str">
        <f>_xlfn.XLOOKUP($A355,ALGLIB_SSA_XAUUSD!$A$2:$A$1000,ALGLIB_SSA_XAUUSD!$C$2:$C$1000,"",0)</f>
        <v/>
      </c>
      <c r="D355" s="1">
        <f>D350+(D362-D350)*5/12</f>
        <v>4655.5325000000003</v>
      </c>
      <c r="E355" s="1">
        <f>E350+(E362-E350)*5/12</f>
        <v>4659.1285958333337</v>
      </c>
      <c r="F355" s="1">
        <f>F350+(F362-F350)*5/12</f>
        <v>4662.3831558333331</v>
      </c>
      <c r="G355" s="1">
        <f>G350+(G362-G350)*5/12</f>
        <v>4667.6764541666662</v>
      </c>
      <c r="H355" s="1">
        <f>H350+(H362-H350)*5/12</f>
        <v>4650.2047825</v>
      </c>
      <c r="I355" t="str">
        <f>_xlfn.XLOOKUP($A355,ALGLIB_SSA_XAUUSD!$J$2:$J$1000,ALGLIB_SSA_XAUUSD!$K$2:$K$1000,"",0)</f>
        <v>XAUUSD</v>
      </c>
      <c r="J355" t="str">
        <f>_xlfn.XLOOKUP($A355,ALGLIB_SSA_XAUUSD!$J$2:$J$1000,ALGLIB_SSA_XAUUSD!$L$2:$L$1000,"",0)</f>
        <v>M5</v>
      </c>
      <c r="K355">
        <f>_xlfn.XLOOKUP($A355,ALGLIB_SSA_XAUUSD!$J$2:$J$1000,ALGLIB_SSA_XAUUSD!$M$2:$M$1000,"",0)</f>
        <v>4656.26</v>
      </c>
      <c r="L355">
        <f>_xlfn.XLOOKUP($A355,ALGLIB_SSA_XAUUSD!$J$2:$J$1000,ALGLIB_SSA_XAUUSD!$N$2:$N$1000,"",0)</f>
        <v>4657.6184599999997</v>
      </c>
      <c r="M355">
        <f>_xlfn.XLOOKUP($A355,ALGLIB_SSA_XAUUSD!$J$2:$J$1000,ALGLIB_SSA_XAUUSD!$O$2:$O$1000,"",0)</f>
        <v>4658.0598</v>
      </c>
      <c r="N355">
        <f>_xlfn.XLOOKUP($A355,ALGLIB_SSA_XAUUSD!$J$2:$J$1000,ALGLIB_SSA_XAUUSD!$P$2:$P$1000,"",0)</f>
        <v>4659.6799600000004</v>
      </c>
      <c r="O355">
        <f>_xlfn.XLOOKUP($A355,ALGLIB_SSA_XAUUSD!$J$2:$J$1000,ALGLIB_SSA_XAUUSD!$Q$2:$Q$1000,"",0)</f>
        <v>4653.7188999999998</v>
      </c>
      <c r="R355">
        <f t="shared" si="55"/>
        <v>1775496300</v>
      </c>
      <c r="S355" t="str">
        <f t="shared" si="56"/>
        <v>XAUUSD</v>
      </c>
      <c r="T355" t="str">
        <f t="shared" si="57"/>
        <v>M5</v>
      </c>
      <c r="U355">
        <f t="shared" si="58"/>
        <v>4656.26</v>
      </c>
      <c r="V355">
        <v>4659.1286</v>
      </c>
      <c r="W355">
        <v>4662.3831600000003</v>
      </c>
      <c r="X355">
        <v>4657.6184599999997</v>
      </c>
      <c r="Y355">
        <v>4658.0598</v>
      </c>
      <c r="Z355">
        <f t="shared" si="59"/>
        <v>4667.6764541666662</v>
      </c>
      <c r="AA355">
        <f t="shared" si="60"/>
        <v>4659.6799600000004</v>
      </c>
      <c r="AB355">
        <f t="shared" si="61"/>
        <v>4650.2047825</v>
      </c>
      <c r="AC355">
        <f t="shared" si="62"/>
        <v>4653.7188999999998</v>
      </c>
      <c r="AF355">
        <f t="shared" si="63"/>
        <v>4657.6184599999997</v>
      </c>
      <c r="AG355">
        <f t="shared" si="64"/>
        <v>4667.6764541666662</v>
      </c>
      <c r="AH355">
        <f t="shared" si="65"/>
        <v>4650.2047825</v>
      </c>
    </row>
    <row r="356" spans="1:34" x14ac:dyDescent="0.55000000000000004">
      <c r="A356">
        <f>ALGLIB_SSA_XAUUSD!J356</f>
        <v>1775496600</v>
      </c>
      <c r="B356" t="str">
        <f>_xlfn.XLOOKUP($A356,ALGLIB_SSA_XAUUSD!$A$2:$A$1000,ALGLIB_SSA_XAUUSD!$B$2:$B$1000,"",0)</f>
        <v/>
      </c>
      <c r="C356" t="str">
        <f>_xlfn.XLOOKUP($A356,ALGLIB_SSA_XAUUSD!$A$2:$A$1000,ALGLIB_SSA_XAUUSD!$C$2:$C$1000,"",0)</f>
        <v/>
      </c>
      <c r="D356" s="1">
        <f>D350+(D362-D350)*6/12</f>
        <v>4655.9350000000004</v>
      </c>
      <c r="E356" s="1">
        <f>E350+(E362-E350)*6/12</f>
        <v>4658.9755949999999</v>
      </c>
      <c r="F356" s="1">
        <f>F350+(F362-F350)*6/12</f>
        <v>4662.155495</v>
      </c>
      <c r="G356" s="1">
        <f>G350+(G362-G350)*6/12</f>
        <v>4667.4585449999995</v>
      </c>
      <c r="H356" s="1">
        <f>H350+(H362-H350)*6/12</f>
        <v>4650.1576449999993</v>
      </c>
      <c r="I356" t="str">
        <f>_xlfn.XLOOKUP($A356,ALGLIB_SSA_XAUUSD!$J$2:$J$1000,ALGLIB_SSA_XAUUSD!$K$2:$K$1000,"",0)</f>
        <v>XAUUSD</v>
      </c>
      <c r="J356" t="str">
        <f>_xlfn.XLOOKUP($A356,ALGLIB_SSA_XAUUSD!$J$2:$J$1000,ALGLIB_SSA_XAUUSD!$L$2:$L$1000,"",0)</f>
        <v>M5</v>
      </c>
      <c r="K356">
        <f>_xlfn.XLOOKUP($A356,ALGLIB_SSA_XAUUSD!$J$2:$J$1000,ALGLIB_SSA_XAUUSD!$M$2:$M$1000,"",0)</f>
        <v>4659.2</v>
      </c>
      <c r="L356">
        <f>_xlfn.XLOOKUP($A356,ALGLIB_SSA_XAUUSD!$J$2:$J$1000,ALGLIB_SSA_XAUUSD!$N$2:$N$1000,"",0)</f>
        <v>4656.98398</v>
      </c>
      <c r="M356">
        <f>_xlfn.XLOOKUP($A356,ALGLIB_SSA_XAUUSD!$J$2:$J$1000,ALGLIB_SSA_XAUUSD!$O$2:$O$1000,"",0)</f>
        <v>4657.52189</v>
      </c>
      <c r="N356">
        <f>_xlfn.XLOOKUP($A356,ALGLIB_SSA_XAUUSD!$J$2:$J$1000,ALGLIB_SSA_XAUUSD!$P$2:$P$1000,"",0)</f>
        <v>4659.0195999999996</v>
      </c>
      <c r="O356">
        <f>_xlfn.XLOOKUP($A356,ALGLIB_SSA_XAUUSD!$J$2:$J$1000,ALGLIB_SSA_XAUUSD!$Q$2:$Q$1000,"",0)</f>
        <v>4653.7873900000004</v>
      </c>
      <c r="R356">
        <f t="shared" si="55"/>
        <v>1775496600</v>
      </c>
      <c r="S356" t="str">
        <f t="shared" si="56"/>
        <v>XAUUSD</v>
      </c>
      <c r="T356" t="str">
        <f t="shared" si="57"/>
        <v>M5</v>
      </c>
      <c r="U356">
        <f t="shared" si="58"/>
        <v>4659.2</v>
      </c>
      <c r="V356">
        <v>4658.9755999999998</v>
      </c>
      <c r="W356">
        <v>4662.1554999999998</v>
      </c>
      <c r="X356">
        <v>4656.98398</v>
      </c>
      <c r="Y356">
        <v>4657.52189</v>
      </c>
      <c r="Z356">
        <f t="shared" si="59"/>
        <v>4667.4585449999995</v>
      </c>
      <c r="AA356">
        <f t="shared" si="60"/>
        <v>4659.0195999999996</v>
      </c>
      <c r="AB356">
        <f t="shared" si="61"/>
        <v>4650.1576449999993</v>
      </c>
      <c r="AC356">
        <f t="shared" si="62"/>
        <v>4653.7873900000004</v>
      </c>
      <c r="AF356">
        <f t="shared" si="63"/>
        <v>4656.98398</v>
      </c>
      <c r="AG356">
        <f t="shared" si="64"/>
        <v>4667.4585449999995</v>
      </c>
      <c r="AH356">
        <f t="shared" si="65"/>
        <v>4650.1576449999993</v>
      </c>
    </row>
    <row r="357" spans="1:34" x14ac:dyDescent="0.55000000000000004">
      <c r="A357">
        <f>ALGLIB_SSA_XAUUSD!J357</f>
        <v>1775496900</v>
      </c>
      <c r="B357" t="str">
        <f>_xlfn.XLOOKUP($A357,ALGLIB_SSA_XAUUSD!$A$2:$A$1000,ALGLIB_SSA_XAUUSD!$B$2:$B$1000,"",0)</f>
        <v/>
      </c>
      <c r="C357" t="str">
        <f>_xlfn.XLOOKUP($A357,ALGLIB_SSA_XAUUSD!$A$2:$A$1000,ALGLIB_SSA_XAUUSD!$C$2:$C$1000,"",0)</f>
        <v/>
      </c>
      <c r="D357" s="1">
        <f>D350+(D362-D350)*7/12</f>
        <v>4656.3375000000005</v>
      </c>
      <c r="E357" s="1">
        <f>E350+(E362-E350)*7/12</f>
        <v>4658.8225941666669</v>
      </c>
      <c r="F357" s="1">
        <f>F350+(F362-F350)*7/12</f>
        <v>4661.9278341666668</v>
      </c>
      <c r="G357" s="1">
        <f>G350+(G362-G350)*7/12</f>
        <v>4667.2406358333337</v>
      </c>
      <c r="H357" s="1">
        <f>H350+(H362-H350)*7/12</f>
        <v>4650.1105074999996</v>
      </c>
      <c r="I357" t="str">
        <f>_xlfn.XLOOKUP($A357,ALGLIB_SSA_XAUUSD!$J$2:$J$1000,ALGLIB_SSA_XAUUSD!$K$2:$K$1000,"",0)</f>
        <v>XAUUSD</v>
      </c>
      <c r="J357" t="str">
        <f>_xlfn.XLOOKUP($A357,ALGLIB_SSA_XAUUSD!$J$2:$J$1000,ALGLIB_SSA_XAUUSD!$L$2:$L$1000,"",0)</f>
        <v>M5</v>
      </c>
      <c r="K357">
        <f>_xlfn.XLOOKUP($A357,ALGLIB_SSA_XAUUSD!$J$2:$J$1000,ALGLIB_SSA_XAUUSD!$M$2:$M$1000,"",0)</f>
        <v>4659.6499999999996</v>
      </c>
      <c r="L357">
        <f>_xlfn.XLOOKUP($A357,ALGLIB_SSA_XAUUSD!$J$2:$J$1000,ALGLIB_SSA_XAUUSD!$N$2:$N$1000,"",0)</f>
        <v>4656.2706200000002</v>
      </c>
      <c r="M357">
        <f>_xlfn.XLOOKUP($A357,ALGLIB_SSA_XAUUSD!$J$2:$J$1000,ALGLIB_SSA_XAUUSD!$O$2:$O$1000,"",0)</f>
        <v>4656.8962600000004</v>
      </c>
      <c r="N357">
        <f>_xlfn.XLOOKUP($A357,ALGLIB_SSA_XAUUSD!$J$2:$J$1000,ALGLIB_SSA_XAUUSD!$P$2:$P$1000,"",0)</f>
        <v>4658.3023400000002</v>
      </c>
      <c r="O357">
        <f>_xlfn.XLOOKUP($A357,ALGLIB_SSA_XAUUSD!$J$2:$J$1000,ALGLIB_SSA_XAUUSD!$Q$2:$Q$1000,"",0)</f>
        <v>4653.7411599999996</v>
      </c>
      <c r="R357">
        <f t="shared" si="55"/>
        <v>1775496900</v>
      </c>
      <c r="S357" t="str">
        <f t="shared" si="56"/>
        <v>XAUUSD</v>
      </c>
      <c r="T357" t="str">
        <f t="shared" si="57"/>
        <v>M5</v>
      </c>
      <c r="U357">
        <f t="shared" si="58"/>
        <v>4659.6499999999996</v>
      </c>
      <c r="V357">
        <v>4658.8225899999998</v>
      </c>
      <c r="W357">
        <v>4661.9278299999996</v>
      </c>
      <c r="X357">
        <v>4656.2706200000002</v>
      </c>
      <c r="Y357">
        <v>4656.8962600000004</v>
      </c>
      <c r="Z357">
        <f t="shared" si="59"/>
        <v>4667.2406358333337</v>
      </c>
      <c r="AA357">
        <f t="shared" si="60"/>
        <v>4658.3023400000002</v>
      </c>
      <c r="AB357">
        <f t="shared" si="61"/>
        <v>4650.1105074999996</v>
      </c>
      <c r="AC357">
        <f t="shared" si="62"/>
        <v>4653.7411599999996</v>
      </c>
      <c r="AF357">
        <f t="shared" si="63"/>
        <v>4656.2706200000002</v>
      </c>
      <c r="AG357">
        <f t="shared" si="64"/>
        <v>4667.2406358333337</v>
      </c>
      <c r="AH357">
        <f t="shared" si="65"/>
        <v>4650.1105074999996</v>
      </c>
    </row>
    <row r="358" spans="1:34" x14ac:dyDescent="0.55000000000000004">
      <c r="A358">
        <f>ALGLIB_SSA_XAUUSD!J358</f>
        <v>1775497200</v>
      </c>
      <c r="B358" t="str">
        <f>_xlfn.XLOOKUP($A358,ALGLIB_SSA_XAUUSD!$A$2:$A$1000,ALGLIB_SSA_XAUUSD!$B$2:$B$1000,"",0)</f>
        <v/>
      </c>
      <c r="C358" t="str">
        <f>_xlfn.XLOOKUP($A358,ALGLIB_SSA_XAUUSD!$A$2:$A$1000,ALGLIB_SSA_XAUUSD!$C$2:$C$1000,"",0)</f>
        <v/>
      </c>
      <c r="D358" s="1">
        <f>D350+(D362-D350)*8/12</f>
        <v>4656.7400000000007</v>
      </c>
      <c r="E358" s="1">
        <f>E350+(E362-E350)*8/12</f>
        <v>4658.669593333334</v>
      </c>
      <c r="F358" s="1">
        <f>F350+(F362-F350)*8/12</f>
        <v>4661.7001733333336</v>
      </c>
      <c r="G358" s="1">
        <f>G350+(G362-G350)*8/12</f>
        <v>4667.022726666667</v>
      </c>
      <c r="H358" s="1">
        <f>H350+(H362-H350)*8/12</f>
        <v>4650.0633699999998</v>
      </c>
      <c r="I358" t="str">
        <f>_xlfn.XLOOKUP($A358,ALGLIB_SSA_XAUUSD!$J$2:$J$1000,ALGLIB_SSA_XAUUSD!$K$2:$K$1000,"",0)</f>
        <v>XAUUSD</v>
      </c>
      <c r="J358" t="str">
        <f>_xlfn.XLOOKUP($A358,ALGLIB_SSA_XAUUSD!$J$2:$J$1000,ALGLIB_SSA_XAUUSD!$L$2:$L$1000,"",0)</f>
        <v>M5</v>
      </c>
      <c r="K358">
        <f>_xlfn.XLOOKUP($A358,ALGLIB_SSA_XAUUSD!$J$2:$J$1000,ALGLIB_SSA_XAUUSD!$M$2:$M$1000,"",0)</f>
        <v>4656.3100000000004</v>
      </c>
      <c r="L358">
        <f>_xlfn.XLOOKUP($A358,ALGLIB_SSA_XAUUSD!$J$2:$J$1000,ALGLIB_SSA_XAUUSD!$N$2:$N$1000,"",0)</f>
        <v>4655.6137799999997</v>
      </c>
      <c r="M358">
        <f>_xlfn.XLOOKUP($A358,ALGLIB_SSA_XAUUSD!$J$2:$J$1000,ALGLIB_SSA_XAUUSD!$O$2:$O$1000,"",0)</f>
        <v>4656.2550199999996</v>
      </c>
      <c r="N358">
        <f>_xlfn.XLOOKUP($A358,ALGLIB_SSA_XAUUSD!$J$2:$J$1000,ALGLIB_SSA_XAUUSD!$P$2:$P$1000,"",0)</f>
        <v>4657.7051700000002</v>
      </c>
      <c r="O358">
        <f>_xlfn.XLOOKUP($A358,ALGLIB_SSA_XAUUSD!$J$2:$J$1000,ALGLIB_SSA_XAUUSD!$Q$2:$Q$1000,"",0)</f>
        <v>4653.4922299999998</v>
      </c>
      <c r="R358">
        <f t="shared" si="55"/>
        <v>1775497200</v>
      </c>
      <c r="S358" t="str">
        <f t="shared" si="56"/>
        <v>XAUUSD</v>
      </c>
      <c r="T358" t="str">
        <f t="shared" si="57"/>
        <v>M5</v>
      </c>
      <c r="U358">
        <f t="shared" si="58"/>
        <v>4656.3100000000004</v>
      </c>
      <c r="V358">
        <v>4658.6695900000004</v>
      </c>
      <c r="W358">
        <v>4661.7001700000001</v>
      </c>
      <c r="X358">
        <v>4655.6137799999997</v>
      </c>
      <c r="Y358">
        <v>4656.2550199999996</v>
      </c>
      <c r="Z358">
        <f t="shared" si="59"/>
        <v>4667.022726666667</v>
      </c>
      <c r="AA358">
        <f t="shared" si="60"/>
        <v>4657.7051700000002</v>
      </c>
      <c r="AB358">
        <f t="shared" si="61"/>
        <v>4650.0633699999998</v>
      </c>
      <c r="AC358">
        <f t="shared" si="62"/>
        <v>4653.4922299999998</v>
      </c>
      <c r="AF358">
        <f t="shared" si="63"/>
        <v>4655.6137799999997</v>
      </c>
      <c r="AG358">
        <f t="shared" si="64"/>
        <v>4667.022726666667</v>
      </c>
      <c r="AH358">
        <f t="shared" si="65"/>
        <v>4650.0633699999998</v>
      </c>
    </row>
    <row r="359" spans="1:34" x14ac:dyDescent="0.55000000000000004">
      <c r="A359">
        <f>ALGLIB_SSA_XAUUSD!J359</f>
        <v>1775497500</v>
      </c>
      <c r="B359" t="str">
        <f>_xlfn.XLOOKUP($A359,ALGLIB_SSA_XAUUSD!$A$2:$A$1000,ALGLIB_SSA_XAUUSD!$B$2:$B$1000,"",0)</f>
        <v/>
      </c>
      <c r="C359" t="str">
        <f>_xlfn.XLOOKUP($A359,ALGLIB_SSA_XAUUSD!$A$2:$A$1000,ALGLIB_SSA_XAUUSD!$C$2:$C$1000,"",0)</f>
        <v/>
      </c>
      <c r="D359" s="1">
        <f>D350+(D362-D350)*9/12</f>
        <v>4657.1424999999999</v>
      </c>
      <c r="E359" s="1">
        <f>E350+(E362-E350)*9/12</f>
        <v>4658.5165925000001</v>
      </c>
      <c r="F359" s="1">
        <f>F350+(F362-F350)*9/12</f>
        <v>4661.4725125000004</v>
      </c>
      <c r="G359" s="1">
        <f>G350+(G362-G350)*9/12</f>
        <v>4666.8048175000004</v>
      </c>
      <c r="H359" s="1">
        <f>H350+(H362-H350)*9/12</f>
        <v>4650.0162325000001</v>
      </c>
      <c r="I359" t="str">
        <f>_xlfn.XLOOKUP($A359,ALGLIB_SSA_XAUUSD!$J$2:$J$1000,ALGLIB_SSA_XAUUSD!$K$2:$K$1000,"",0)</f>
        <v>XAUUSD</v>
      </c>
      <c r="J359" t="str">
        <f>_xlfn.XLOOKUP($A359,ALGLIB_SSA_XAUUSD!$J$2:$J$1000,ALGLIB_SSA_XAUUSD!$L$2:$L$1000,"",0)</f>
        <v>M5</v>
      </c>
      <c r="K359">
        <f>_xlfn.XLOOKUP($A359,ALGLIB_SSA_XAUUSD!$J$2:$J$1000,ALGLIB_SSA_XAUUSD!$M$2:$M$1000,"",0)</f>
        <v>4652.38</v>
      </c>
      <c r="L359">
        <f>_xlfn.XLOOKUP($A359,ALGLIB_SSA_XAUUSD!$J$2:$J$1000,ALGLIB_SSA_XAUUSD!$N$2:$N$1000,"",0)</f>
        <v>4655.2493400000003</v>
      </c>
      <c r="M359">
        <f>_xlfn.XLOOKUP($A359,ALGLIB_SSA_XAUUSD!$J$2:$J$1000,ALGLIB_SSA_XAUUSD!$O$2:$O$1000,"",0)</f>
        <v>4655.7521800000004</v>
      </c>
      <c r="N359">
        <f>_xlfn.XLOOKUP($A359,ALGLIB_SSA_XAUUSD!$J$2:$J$1000,ALGLIB_SSA_XAUUSD!$P$2:$P$1000,"",0)</f>
        <v>4657.3944600000004</v>
      </c>
      <c r="O359">
        <f>_xlfn.XLOOKUP($A359,ALGLIB_SSA_XAUUSD!$J$2:$J$1000,ALGLIB_SSA_XAUUSD!$Q$2:$Q$1000,"",0)</f>
        <v>4653.2456599999996</v>
      </c>
      <c r="R359">
        <f t="shared" si="55"/>
        <v>1775497500</v>
      </c>
      <c r="S359" t="str">
        <f t="shared" si="56"/>
        <v>XAUUSD</v>
      </c>
      <c r="T359" t="str">
        <f t="shared" si="57"/>
        <v>M5</v>
      </c>
      <c r="U359">
        <f t="shared" si="58"/>
        <v>4652.38</v>
      </c>
      <c r="V359">
        <v>4658.5165900000002</v>
      </c>
      <c r="W359">
        <v>4661.4725099999996</v>
      </c>
      <c r="X359">
        <v>4655.2493400000003</v>
      </c>
      <c r="Y359">
        <v>4655.7521800000004</v>
      </c>
      <c r="Z359">
        <f t="shared" si="59"/>
        <v>4666.8048175000004</v>
      </c>
      <c r="AA359">
        <f t="shared" si="60"/>
        <v>4657.3944600000004</v>
      </c>
      <c r="AB359">
        <f t="shared" si="61"/>
        <v>4650.0162325000001</v>
      </c>
      <c r="AC359">
        <f t="shared" si="62"/>
        <v>4653.2456599999996</v>
      </c>
      <c r="AF359">
        <f t="shared" si="63"/>
        <v>4655.2493400000003</v>
      </c>
      <c r="AG359">
        <f t="shared" si="64"/>
        <v>4666.8048175000004</v>
      </c>
      <c r="AH359">
        <f t="shared" si="65"/>
        <v>4650.0162325000001</v>
      </c>
    </row>
    <row r="360" spans="1:34" x14ac:dyDescent="0.55000000000000004">
      <c r="A360">
        <f>ALGLIB_SSA_XAUUSD!J360</f>
        <v>1775497800</v>
      </c>
      <c r="B360" t="str">
        <f>_xlfn.XLOOKUP($A360,ALGLIB_SSA_XAUUSD!$A$2:$A$1000,ALGLIB_SSA_XAUUSD!$B$2:$B$1000,"",0)</f>
        <v/>
      </c>
      <c r="C360" t="str">
        <f>_xlfn.XLOOKUP($A360,ALGLIB_SSA_XAUUSD!$A$2:$A$1000,ALGLIB_SSA_XAUUSD!$C$2:$C$1000,"",0)</f>
        <v/>
      </c>
      <c r="D360" s="1">
        <f>D350+(D362-D350)*10/12</f>
        <v>4657.5450000000001</v>
      </c>
      <c r="E360" s="1">
        <f>E350+(E362-E350)*10/12</f>
        <v>4658.3635916666672</v>
      </c>
      <c r="F360" s="1">
        <f>F350+(F362-F350)*10/12</f>
        <v>4661.2448516666664</v>
      </c>
      <c r="G360" s="1">
        <f>G350+(G362-G350)*10/12</f>
        <v>4666.5869083333337</v>
      </c>
      <c r="H360" s="1">
        <f>H350+(H362-H350)*10/12</f>
        <v>4649.9690950000004</v>
      </c>
      <c r="I360" t="str">
        <f>_xlfn.XLOOKUP($A360,ALGLIB_SSA_XAUUSD!$J$2:$J$1000,ALGLIB_SSA_XAUUSD!$K$2:$K$1000,"",0)</f>
        <v>XAUUSD</v>
      </c>
      <c r="J360" t="str">
        <f>_xlfn.XLOOKUP($A360,ALGLIB_SSA_XAUUSD!$J$2:$J$1000,ALGLIB_SSA_XAUUSD!$L$2:$L$1000,"",0)</f>
        <v>M5</v>
      </c>
      <c r="K360">
        <f>_xlfn.XLOOKUP($A360,ALGLIB_SSA_XAUUSD!$J$2:$J$1000,ALGLIB_SSA_XAUUSD!$M$2:$M$1000,"",0)</f>
        <v>4655.76</v>
      </c>
      <c r="L360">
        <f>_xlfn.XLOOKUP($A360,ALGLIB_SSA_XAUUSD!$J$2:$J$1000,ALGLIB_SSA_XAUUSD!$N$2:$N$1000,"",0)</f>
        <v>4655.3725999999997</v>
      </c>
      <c r="M360">
        <f>_xlfn.XLOOKUP($A360,ALGLIB_SSA_XAUUSD!$J$2:$J$1000,ALGLIB_SSA_XAUUSD!$O$2:$O$1000,"",0)</f>
        <v>4655.5623900000001</v>
      </c>
      <c r="N360">
        <f>_xlfn.XLOOKUP($A360,ALGLIB_SSA_XAUUSD!$J$2:$J$1000,ALGLIB_SSA_XAUUSD!$P$2:$P$1000,"",0)</f>
        <v>4657.5559999999996</v>
      </c>
      <c r="O360">
        <f>_xlfn.XLOOKUP($A360,ALGLIB_SSA_XAUUSD!$J$2:$J$1000,ALGLIB_SSA_XAUUSD!$Q$2:$Q$1000,"",0)</f>
        <v>4653.2380999999996</v>
      </c>
      <c r="R360">
        <f t="shared" si="55"/>
        <v>1775497800</v>
      </c>
      <c r="S360" t="str">
        <f t="shared" si="56"/>
        <v>XAUUSD</v>
      </c>
      <c r="T360" t="str">
        <f t="shared" si="57"/>
        <v>M5</v>
      </c>
      <c r="U360">
        <f t="shared" si="58"/>
        <v>4655.76</v>
      </c>
      <c r="V360">
        <v>4658.3635899999999</v>
      </c>
      <c r="W360">
        <v>4661.24485</v>
      </c>
      <c r="X360">
        <v>4655.3725999999997</v>
      </c>
      <c r="Y360">
        <v>4655.5623900000001</v>
      </c>
      <c r="Z360">
        <f t="shared" si="59"/>
        <v>4666.5869083333337</v>
      </c>
      <c r="AA360">
        <f t="shared" si="60"/>
        <v>4657.5559999999996</v>
      </c>
      <c r="AB360">
        <f t="shared" si="61"/>
        <v>4649.9690950000004</v>
      </c>
      <c r="AC360">
        <f t="shared" si="62"/>
        <v>4653.2380999999996</v>
      </c>
      <c r="AF360">
        <f t="shared" si="63"/>
        <v>4655.3725999999997</v>
      </c>
      <c r="AG360">
        <f t="shared" si="64"/>
        <v>4666.5869083333337</v>
      </c>
      <c r="AH360">
        <f t="shared" si="65"/>
        <v>4649.9690950000004</v>
      </c>
    </row>
    <row r="361" spans="1:34" x14ac:dyDescent="0.55000000000000004">
      <c r="A361">
        <f>ALGLIB_SSA_XAUUSD!J361</f>
        <v>1775498100</v>
      </c>
      <c r="B361" t="str">
        <f>_xlfn.XLOOKUP($A361,ALGLIB_SSA_XAUUSD!$A$2:$A$1000,ALGLIB_SSA_XAUUSD!$B$2:$B$1000,"",0)</f>
        <v/>
      </c>
      <c r="C361" t="str">
        <f>_xlfn.XLOOKUP($A361,ALGLIB_SSA_XAUUSD!$A$2:$A$1000,ALGLIB_SSA_XAUUSD!$C$2:$C$1000,"",0)</f>
        <v/>
      </c>
      <c r="D361" s="1">
        <f>D350+(D362-D350)*11/12</f>
        <v>4657.9475000000002</v>
      </c>
      <c r="E361" s="1">
        <f>E350+(E362-E350)*11/12</f>
        <v>4658.2105908333333</v>
      </c>
      <c r="F361" s="1">
        <f>F350+(F362-F350)*11/12</f>
        <v>4661.0171908333332</v>
      </c>
      <c r="G361" s="1">
        <f>G350+(G362-G350)*11/12</f>
        <v>4666.368999166667</v>
      </c>
      <c r="H361" s="1">
        <f>H350+(H362-H350)*11/12</f>
        <v>4649.9219574999997</v>
      </c>
      <c r="I361" t="str">
        <f>_xlfn.XLOOKUP($A361,ALGLIB_SSA_XAUUSD!$J$2:$J$1000,ALGLIB_SSA_XAUUSD!$K$2:$K$1000,"",0)</f>
        <v>XAUUSD</v>
      </c>
      <c r="J361" t="str">
        <f>_xlfn.XLOOKUP($A361,ALGLIB_SSA_XAUUSD!$J$2:$J$1000,ALGLIB_SSA_XAUUSD!$L$2:$L$1000,"",0)</f>
        <v>M5</v>
      </c>
      <c r="K361">
        <f>_xlfn.XLOOKUP($A361,ALGLIB_SSA_XAUUSD!$J$2:$J$1000,ALGLIB_SSA_XAUUSD!$M$2:$M$1000,"",0)</f>
        <v>4653.5200000000004</v>
      </c>
      <c r="L361">
        <f>_xlfn.XLOOKUP($A361,ALGLIB_SSA_XAUUSD!$J$2:$J$1000,ALGLIB_SSA_XAUUSD!$N$2:$N$1000,"",0)</f>
        <v>4655.9016499999998</v>
      </c>
      <c r="M361">
        <f>_xlfn.XLOOKUP($A361,ALGLIB_SSA_XAUUSD!$J$2:$J$1000,ALGLIB_SSA_XAUUSD!$O$2:$O$1000,"",0)</f>
        <v>4655.7320200000004</v>
      </c>
      <c r="N361">
        <f>_xlfn.XLOOKUP($A361,ALGLIB_SSA_XAUUSD!$J$2:$J$1000,ALGLIB_SSA_XAUUSD!$P$2:$P$1000,"",0)</f>
        <v>4658.22307</v>
      </c>
      <c r="O361">
        <f>_xlfn.XLOOKUP($A361,ALGLIB_SSA_XAUUSD!$J$2:$J$1000,ALGLIB_SSA_XAUUSD!$Q$2:$Q$1000,"",0)</f>
        <v>4653.5670600000003</v>
      </c>
      <c r="R361">
        <f t="shared" si="55"/>
        <v>1775498100</v>
      </c>
      <c r="S361" t="str">
        <f t="shared" si="56"/>
        <v>XAUUSD</v>
      </c>
      <c r="T361" t="str">
        <f t="shared" si="57"/>
        <v>M5</v>
      </c>
      <c r="U361">
        <f t="shared" si="58"/>
        <v>4653.5200000000004</v>
      </c>
      <c r="V361">
        <v>4658.2105899999997</v>
      </c>
      <c r="W361">
        <v>4661.0171899999996</v>
      </c>
      <c r="X361">
        <v>4655.9016499999998</v>
      </c>
      <c r="Y361">
        <v>4655.7320200000004</v>
      </c>
      <c r="Z361">
        <f t="shared" si="59"/>
        <v>4666.368999166667</v>
      </c>
      <c r="AA361">
        <f t="shared" si="60"/>
        <v>4658.22307</v>
      </c>
      <c r="AB361">
        <f t="shared" si="61"/>
        <v>4649.9219574999997</v>
      </c>
      <c r="AC361">
        <f t="shared" si="62"/>
        <v>4653.5670600000003</v>
      </c>
      <c r="AF361">
        <f t="shared" si="63"/>
        <v>4655.9016499999998</v>
      </c>
      <c r="AG361">
        <f t="shared" si="64"/>
        <v>4666.368999166667</v>
      </c>
      <c r="AH361">
        <f t="shared" si="65"/>
        <v>4649.9219574999997</v>
      </c>
    </row>
    <row r="362" spans="1:34" x14ac:dyDescent="0.55000000000000004">
      <c r="A362">
        <f>ALGLIB_SSA_XAUUSD!J362</f>
        <v>1775498400</v>
      </c>
      <c r="B362" t="str">
        <f>_xlfn.XLOOKUP($A362,ALGLIB_SSA_XAUUSD!$A$2:$A$1000,ALGLIB_SSA_XAUUSD!$B$2:$B$1000,"",0)</f>
        <v>XAUUSD</v>
      </c>
      <c r="C362" t="str">
        <f>_xlfn.XLOOKUP($A362,ALGLIB_SSA_XAUUSD!$A$2:$A$1000,ALGLIB_SSA_XAUUSD!$C$2:$C$1000,"",0)</f>
        <v>H1</v>
      </c>
      <c r="D362" s="2">
        <f>_xlfn.XLOOKUP($A362,ALGLIB_SSA_XAUUSD!$A$2:$A$1000,ALGLIB_SSA_XAUUSD!$D$2:$D$1000,"",0)</f>
        <v>4658.3500000000004</v>
      </c>
      <c r="E362" s="2">
        <f>_xlfn.XLOOKUP($A362,ALGLIB_SSA_XAUUSD!$A$2:$A$1000,ALGLIB_SSA_XAUUSD!$E$2:$E$1000,"",0)</f>
        <v>4658.0575900000003</v>
      </c>
      <c r="F362" s="2">
        <f>_xlfn.XLOOKUP($A362,ALGLIB_SSA_XAUUSD!$A$2:$A$1000,ALGLIB_SSA_XAUUSD!$F$2:$F$1000,"",0)</f>
        <v>4660.78953</v>
      </c>
      <c r="G362" s="2">
        <f>_xlfn.XLOOKUP($A362,ALGLIB_SSA_XAUUSD!$A$2:$A$1000,ALGLIB_SSA_XAUUSD!$G$2:$G$1000,"",0)</f>
        <v>4666.1510900000003</v>
      </c>
      <c r="H362" s="2">
        <f>_xlfn.XLOOKUP($A362,ALGLIB_SSA_XAUUSD!$A$2:$A$1000,ALGLIB_SSA_XAUUSD!$H$2:$H$1000,"",0)</f>
        <v>4649.87482</v>
      </c>
      <c r="I362" t="str">
        <f>_xlfn.XLOOKUP($A362,ALGLIB_SSA_XAUUSD!$J$2:$J$1000,ALGLIB_SSA_XAUUSD!$K$2:$K$1000,"",0)</f>
        <v>XAUUSD</v>
      </c>
      <c r="J362" t="str">
        <f>_xlfn.XLOOKUP($A362,ALGLIB_SSA_XAUUSD!$J$2:$J$1000,ALGLIB_SSA_XAUUSD!$L$2:$L$1000,"",0)</f>
        <v>M5</v>
      </c>
      <c r="K362">
        <f>_xlfn.XLOOKUP($A362,ALGLIB_SSA_XAUUSD!$J$2:$J$1000,ALGLIB_SSA_XAUUSD!$M$2:$M$1000,"",0)</f>
        <v>4652.88</v>
      </c>
      <c r="L362">
        <f>_xlfn.XLOOKUP($A362,ALGLIB_SSA_XAUUSD!$J$2:$J$1000,ALGLIB_SSA_XAUUSD!$N$2:$N$1000,"",0)</f>
        <v>4656.7877600000002</v>
      </c>
      <c r="M362">
        <f>_xlfn.XLOOKUP($A362,ALGLIB_SSA_XAUUSD!$J$2:$J$1000,ALGLIB_SSA_XAUUSD!$O$2:$O$1000,"",0)</f>
        <v>4656.2598900000003</v>
      </c>
      <c r="N362">
        <f>_xlfn.XLOOKUP($A362,ALGLIB_SSA_XAUUSD!$J$2:$J$1000,ALGLIB_SSA_XAUUSD!$P$2:$P$1000,"",0)</f>
        <v>4659.3208100000002</v>
      </c>
      <c r="O362">
        <f>_xlfn.XLOOKUP($A362,ALGLIB_SSA_XAUUSD!$J$2:$J$1000,ALGLIB_SSA_XAUUSD!$Q$2:$Q$1000,"",0)</f>
        <v>4654.2160199999998</v>
      </c>
      <c r="R362">
        <f t="shared" si="55"/>
        <v>1775498400</v>
      </c>
      <c r="S362" t="str">
        <f t="shared" si="56"/>
        <v>XAUUSD</v>
      </c>
      <c r="T362" t="str">
        <f t="shared" si="57"/>
        <v>M5</v>
      </c>
      <c r="U362">
        <f t="shared" si="58"/>
        <v>4652.88</v>
      </c>
      <c r="V362">
        <v>4658.0575900000003</v>
      </c>
      <c r="W362">
        <v>4660.78953</v>
      </c>
      <c r="X362">
        <v>4656.7877600000002</v>
      </c>
      <c r="Y362">
        <v>4656.2598900000003</v>
      </c>
      <c r="Z362">
        <f t="shared" si="59"/>
        <v>4666.1510900000003</v>
      </c>
      <c r="AA362">
        <f t="shared" si="60"/>
        <v>4659.3208100000002</v>
      </c>
      <c r="AB362">
        <f t="shared" si="61"/>
        <v>4649.87482</v>
      </c>
      <c r="AC362">
        <f t="shared" si="62"/>
        <v>4654.2160199999998</v>
      </c>
      <c r="AF362">
        <f t="shared" si="63"/>
        <v>4656.7877600000002</v>
      </c>
      <c r="AG362">
        <f t="shared" si="64"/>
        <v>4666.1510900000003</v>
      </c>
      <c r="AH362">
        <f t="shared" si="65"/>
        <v>4649.87482</v>
      </c>
    </row>
    <row r="363" spans="1:34" x14ac:dyDescent="0.55000000000000004">
      <c r="A363">
        <f>ALGLIB_SSA_XAUUSD!J363</f>
        <v>1775498700</v>
      </c>
      <c r="B363" t="str">
        <f>_xlfn.XLOOKUP($A363,ALGLIB_SSA_XAUUSD!$A$2:$A$1000,ALGLIB_SSA_XAUUSD!$B$2:$B$1000,"",0)</f>
        <v/>
      </c>
      <c r="C363" t="str">
        <f>_xlfn.XLOOKUP($A363,ALGLIB_SSA_XAUUSD!$A$2:$A$1000,ALGLIB_SSA_XAUUSD!$C$2:$C$1000,"",0)</f>
        <v/>
      </c>
      <c r="D363" s="1">
        <f>D362+(D374-D362)*1/12</f>
        <v>4658.1208333333334</v>
      </c>
      <c r="E363" s="1">
        <f>E362+(E374-E362)*1/12</f>
        <v>4657.9454816666666</v>
      </c>
      <c r="F363" s="1">
        <f>F362+(F374-F362)*1/12</f>
        <v>4660.6196449999998</v>
      </c>
      <c r="G363" s="1">
        <f>G362+(G374-G362)*1/12</f>
        <v>4666.0130316666673</v>
      </c>
      <c r="H363" s="1">
        <f>H362+(H374-H362)*1/12</f>
        <v>4649.8344591666664</v>
      </c>
      <c r="I363" t="str">
        <f>_xlfn.XLOOKUP($A363,ALGLIB_SSA_XAUUSD!$J$2:$J$1000,ALGLIB_SSA_XAUUSD!$K$2:$K$1000,"",0)</f>
        <v>XAUUSD</v>
      </c>
      <c r="J363" t="str">
        <f>_xlfn.XLOOKUP($A363,ALGLIB_SSA_XAUUSD!$J$2:$J$1000,ALGLIB_SSA_XAUUSD!$L$2:$L$1000,"",0)</f>
        <v>M5</v>
      </c>
      <c r="K363">
        <f>_xlfn.XLOOKUP($A363,ALGLIB_SSA_XAUUSD!$J$2:$J$1000,ALGLIB_SSA_XAUUSD!$M$2:$M$1000,"",0)</f>
        <v>4658.1899999999996</v>
      </c>
      <c r="L363">
        <f>_xlfn.XLOOKUP($A363,ALGLIB_SSA_XAUUSD!$J$2:$J$1000,ALGLIB_SSA_XAUUSD!$N$2:$N$1000,"",0)</f>
        <v>4657.85905</v>
      </c>
      <c r="M363">
        <f>_xlfn.XLOOKUP($A363,ALGLIB_SSA_XAUUSD!$J$2:$J$1000,ALGLIB_SSA_XAUUSD!$O$2:$O$1000,"",0)</f>
        <v>4657.0594700000001</v>
      </c>
      <c r="N363">
        <f>_xlfn.XLOOKUP($A363,ALGLIB_SSA_XAUUSD!$J$2:$J$1000,ALGLIB_SSA_XAUUSD!$P$2:$P$1000,"",0)</f>
        <v>4660.6778599999998</v>
      </c>
      <c r="O363">
        <f>_xlfn.XLOOKUP($A363,ALGLIB_SSA_XAUUSD!$J$2:$J$1000,ALGLIB_SSA_XAUUSD!$Q$2:$Q$1000,"",0)</f>
        <v>4655.1519900000003</v>
      </c>
      <c r="R363">
        <f t="shared" si="55"/>
        <v>1775498700</v>
      </c>
      <c r="S363" t="str">
        <f t="shared" si="56"/>
        <v>XAUUSD</v>
      </c>
      <c r="T363" t="str">
        <f t="shared" si="57"/>
        <v>M5</v>
      </c>
      <c r="U363">
        <f t="shared" si="58"/>
        <v>4658.1899999999996</v>
      </c>
      <c r="V363">
        <v>4657.9454800000003</v>
      </c>
      <c r="W363">
        <v>4660.6196499999996</v>
      </c>
      <c r="X363">
        <v>4657.85905</v>
      </c>
      <c r="Y363">
        <v>4657.0594700000001</v>
      </c>
      <c r="Z363">
        <f t="shared" si="59"/>
        <v>4666.0130316666673</v>
      </c>
      <c r="AA363">
        <f t="shared" si="60"/>
        <v>4660.6778599999998</v>
      </c>
      <c r="AB363">
        <f t="shared" si="61"/>
        <v>4649.8344591666664</v>
      </c>
      <c r="AC363">
        <f t="shared" si="62"/>
        <v>4655.1519900000003</v>
      </c>
      <c r="AF363">
        <f t="shared" si="63"/>
        <v>4657.85905</v>
      </c>
      <c r="AG363">
        <f t="shared" si="64"/>
        <v>4666.0130316666673</v>
      </c>
      <c r="AH363">
        <f t="shared" si="65"/>
        <v>4649.8344591666664</v>
      </c>
    </row>
    <row r="364" spans="1:34" x14ac:dyDescent="0.55000000000000004">
      <c r="A364">
        <f>ALGLIB_SSA_XAUUSD!J364</f>
        <v>1775499000</v>
      </c>
      <c r="B364" t="str">
        <f>_xlfn.XLOOKUP($A364,ALGLIB_SSA_XAUUSD!$A$2:$A$1000,ALGLIB_SSA_XAUUSD!$B$2:$B$1000,"",0)</f>
        <v/>
      </c>
      <c r="C364" t="str">
        <f>_xlfn.XLOOKUP($A364,ALGLIB_SSA_XAUUSD!$A$2:$A$1000,ALGLIB_SSA_XAUUSD!$C$2:$C$1000,"",0)</f>
        <v/>
      </c>
      <c r="D364" s="1">
        <f>D362+(D374-D362)*2/12</f>
        <v>4657.8916666666673</v>
      </c>
      <c r="E364" s="1">
        <f>E362+(E374-E362)*2/12</f>
        <v>4657.8333733333338</v>
      </c>
      <c r="F364" s="1">
        <f>F362+(F374-F362)*2/12</f>
        <v>4660.4497599999995</v>
      </c>
      <c r="G364" s="1">
        <f>G362+(G374-G362)*2/12</f>
        <v>4665.8749733333334</v>
      </c>
      <c r="H364" s="1">
        <f>H362+(H374-H362)*2/12</f>
        <v>4649.7940983333337</v>
      </c>
      <c r="I364" t="str">
        <f>_xlfn.XLOOKUP($A364,ALGLIB_SSA_XAUUSD!$J$2:$J$1000,ALGLIB_SSA_XAUUSD!$K$2:$K$1000,"",0)</f>
        <v>XAUUSD</v>
      </c>
      <c r="J364" t="str">
        <f>_xlfn.XLOOKUP($A364,ALGLIB_SSA_XAUUSD!$J$2:$J$1000,ALGLIB_SSA_XAUUSD!$L$2:$L$1000,"",0)</f>
        <v>M5</v>
      </c>
      <c r="K364">
        <f>_xlfn.XLOOKUP($A364,ALGLIB_SSA_XAUUSD!$J$2:$J$1000,ALGLIB_SSA_XAUUSD!$M$2:$M$1000,"",0)</f>
        <v>4659.3999999999996</v>
      </c>
      <c r="L364">
        <f>_xlfn.XLOOKUP($A364,ALGLIB_SSA_XAUUSD!$J$2:$J$1000,ALGLIB_SSA_XAUUSD!$N$2:$N$1000,"",0)</f>
        <v>4658.7716499999997</v>
      </c>
      <c r="M364">
        <f>_xlfn.XLOOKUP($A364,ALGLIB_SSA_XAUUSD!$J$2:$J$1000,ALGLIB_SSA_XAUUSD!$O$2:$O$1000,"",0)</f>
        <v>4657.9155600000004</v>
      </c>
      <c r="N364">
        <f>_xlfn.XLOOKUP($A364,ALGLIB_SSA_XAUUSD!$J$2:$J$1000,ALGLIB_SSA_XAUUSD!$P$2:$P$1000,"",0)</f>
        <v>4661.9489400000002</v>
      </c>
      <c r="O364">
        <f>_xlfn.XLOOKUP($A364,ALGLIB_SSA_XAUUSD!$J$2:$J$1000,ALGLIB_SSA_XAUUSD!$Q$2:$Q$1000,"",0)</f>
        <v>4656.1814800000002</v>
      </c>
      <c r="R364">
        <f t="shared" si="55"/>
        <v>1775499000</v>
      </c>
      <c r="S364" t="str">
        <f t="shared" si="56"/>
        <v>XAUUSD</v>
      </c>
      <c r="T364" t="str">
        <f t="shared" si="57"/>
        <v>M5</v>
      </c>
      <c r="U364">
        <f t="shared" si="58"/>
        <v>4659.3999999999996</v>
      </c>
      <c r="V364">
        <v>4657.8333700000003</v>
      </c>
      <c r="W364">
        <v>4660.4497600000004</v>
      </c>
      <c r="X364">
        <v>4658.7716499999997</v>
      </c>
      <c r="Y364">
        <v>4657.9155600000004</v>
      </c>
      <c r="Z364">
        <f t="shared" si="59"/>
        <v>4665.8749733333334</v>
      </c>
      <c r="AA364">
        <f t="shared" si="60"/>
        <v>4661.9489400000002</v>
      </c>
      <c r="AB364">
        <f t="shared" si="61"/>
        <v>4649.7940983333337</v>
      </c>
      <c r="AC364">
        <f t="shared" si="62"/>
        <v>4656.1814800000002</v>
      </c>
      <c r="AF364">
        <f t="shared" si="63"/>
        <v>4658.7716499999997</v>
      </c>
      <c r="AG364">
        <f t="shared" si="64"/>
        <v>4665.8749733333334</v>
      </c>
      <c r="AH364">
        <f t="shared" si="65"/>
        <v>4649.7940983333337</v>
      </c>
    </row>
    <row r="365" spans="1:34" x14ac:dyDescent="0.55000000000000004">
      <c r="A365">
        <f>ALGLIB_SSA_XAUUSD!J365</f>
        <v>1775499300</v>
      </c>
      <c r="B365" t="str">
        <f>_xlfn.XLOOKUP($A365,ALGLIB_SSA_XAUUSD!$A$2:$A$1000,ALGLIB_SSA_XAUUSD!$B$2:$B$1000,"",0)</f>
        <v/>
      </c>
      <c r="C365" t="str">
        <f>_xlfn.XLOOKUP($A365,ALGLIB_SSA_XAUUSD!$A$2:$A$1000,ALGLIB_SSA_XAUUSD!$C$2:$C$1000,"",0)</f>
        <v/>
      </c>
      <c r="D365" s="1">
        <f>D362+(D374-D362)*3/12</f>
        <v>4657.6625000000004</v>
      </c>
      <c r="E365" s="1">
        <f>E362+(E374-E362)*3/12</f>
        <v>4657.7212650000001</v>
      </c>
      <c r="F365" s="1">
        <f>F362+(F374-F362)*3/12</f>
        <v>4660.2798750000002</v>
      </c>
      <c r="G365" s="1">
        <f>G362+(G374-G362)*3/12</f>
        <v>4665.7369150000004</v>
      </c>
      <c r="H365" s="1">
        <f>H362+(H374-H362)*3/12</f>
        <v>4649.7537375000002</v>
      </c>
      <c r="I365" t="str">
        <f>_xlfn.XLOOKUP($A365,ALGLIB_SSA_XAUUSD!$J$2:$J$1000,ALGLIB_SSA_XAUUSD!$K$2:$K$1000,"",0)</f>
        <v>XAUUSD</v>
      </c>
      <c r="J365" t="str">
        <f>_xlfn.XLOOKUP($A365,ALGLIB_SSA_XAUUSD!$J$2:$J$1000,ALGLIB_SSA_XAUUSD!$L$2:$L$1000,"",0)</f>
        <v>M5</v>
      </c>
      <c r="K365">
        <f>_xlfn.XLOOKUP($A365,ALGLIB_SSA_XAUUSD!$J$2:$J$1000,ALGLIB_SSA_XAUUSD!$M$2:$M$1000,"",0)</f>
        <v>4662.9399999999996</v>
      </c>
      <c r="L365">
        <f>_xlfn.XLOOKUP($A365,ALGLIB_SSA_XAUUSD!$J$2:$J$1000,ALGLIB_SSA_XAUUSD!$N$2:$N$1000,"",0)</f>
        <v>4659.28035</v>
      </c>
      <c r="M365">
        <f>_xlfn.XLOOKUP($A365,ALGLIB_SSA_XAUUSD!$J$2:$J$1000,ALGLIB_SSA_XAUUSD!$O$2:$O$1000,"",0)</f>
        <v>4658.5979500000003</v>
      </c>
      <c r="N365">
        <f>_xlfn.XLOOKUP($A365,ALGLIB_SSA_XAUUSD!$J$2:$J$1000,ALGLIB_SSA_XAUUSD!$P$2:$P$1000,"",0)</f>
        <v>4662.7121200000001</v>
      </c>
      <c r="O365">
        <f>_xlfn.XLOOKUP($A365,ALGLIB_SSA_XAUUSD!$J$2:$J$1000,ALGLIB_SSA_XAUUSD!$Q$2:$Q$1000,"",0)</f>
        <v>4656.9423699999998</v>
      </c>
      <c r="R365">
        <f t="shared" si="55"/>
        <v>1775499300</v>
      </c>
      <c r="S365" t="str">
        <f t="shared" si="56"/>
        <v>XAUUSD</v>
      </c>
      <c r="T365" t="str">
        <f t="shared" si="57"/>
        <v>M5</v>
      </c>
      <c r="U365">
        <f t="shared" si="58"/>
        <v>4662.9399999999996</v>
      </c>
      <c r="V365">
        <v>4657.72127</v>
      </c>
      <c r="W365">
        <v>4660.27988</v>
      </c>
      <c r="X365">
        <v>4659.28035</v>
      </c>
      <c r="Y365">
        <v>4658.5979500000003</v>
      </c>
      <c r="Z365">
        <f t="shared" si="59"/>
        <v>4665.7369150000004</v>
      </c>
      <c r="AA365">
        <f t="shared" si="60"/>
        <v>4662.7121200000001</v>
      </c>
      <c r="AB365">
        <f t="shared" si="61"/>
        <v>4649.7537375000002</v>
      </c>
      <c r="AC365">
        <f t="shared" si="62"/>
        <v>4656.9423699999998</v>
      </c>
      <c r="AF365">
        <f t="shared" si="63"/>
        <v>4659.28035</v>
      </c>
      <c r="AG365">
        <f t="shared" si="64"/>
        <v>4665.7369150000004</v>
      </c>
      <c r="AH365">
        <f t="shared" si="65"/>
        <v>4649.7537375000002</v>
      </c>
    </row>
    <row r="366" spans="1:34" x14ac:dyDescent="0.55000000000000004">
      <c r="A366">
        <f>ALGLIB_SSA_XAUUSD!J366</f>
        <v>1775499600</v>
      </c>
      <c r="B366" t="str">
        <f>_xlfn.XLOOKUP($A366,ALGLIB_SSA_XAUUSD!$A$2:$A$1000,ALGLIB_SSA_XAUUSD!$B$2:$B$1000,"",0)</f>
        <v/>
      </c>
      <c r="C366" t="str">
        <f>_xlfn.XLOOKUP($A366,ALGLIB_SSA_XAUUSD!$A$2:$A$1000,ALGLIB_SSA_XAUUSD!$C$2:$C$1000,"",0)</f>
        <v/>
      </c>
      <c r="D366" s="1">
        <f>D362+(D374-D362)*4/12</f>
        <v>4657.4333333333334</v>
      </c>
      <c r="E366" s="1">
        <f>E362+(E374-E362)*4/12</f>
        <v>4657.6091566666673</v>
      </c>
      <c r="F366" s="1">
        <f>F362+(F374-F362)*4/12</f>
        <v>4660.1099899999999</v>
      </c>
      <c r="G366" s="1">
        <f>G362+(G374-G362)*4/12</f>
        <v>4665.5988566666665</v>
      </c>
      <c r="H366" s="1">
        <f>H362+(H374-H362)*4/12</f>
        <v>4649.7133766666666</v>
      </c>
      <c r="I366" t="str">
        <f>_xlfn.XLOOKUP($A366,ALGLIB_SSA_XAUUSD!$J$2:$J$1000,ALGLIB_SSA_XAUUSD!$K$2:$K$1000,"",0)</f>
        <v>XAUUSD</v>
      </c>
      <c r="J366" t="str">
        <f>_xlfn.XLOOKUP($A366,ALGLIB_SSA_XAUUSD!$J$2:$J$1000,ALGLIB_SSA_XAUUSD!$L$2:$L$1000,"",0)</f>
        <v>M5</v>
      </c>
      <c r="K366">
        <f>_xlfn.XLOOKUP($A366,ALGLIB_SSA_XAUUSD!$J$2:$J$1000,ALGLIB_SSA_XAUUSD!$M$2:$M$1000,"",0)</f>
        <v>4662.55</v>
      </c>
      <c r="L366">
        <f>_xlfn.XLOOKUP($A366,ALGLIB_SSA_XAUUSD!$J$2:$J$1000,ALGLIB_SSA_XAUUSD!$N$2:$N$1000,"",0)</f>
        <v>4659.1694699999998</v>
      </c>
      <c r="M366">
        <f>_xlfn.XLOOKUP($A366,ALGLIB_SSA_XAUUSD!$J$2:$J$1000,ALGLIB_SSA_XAUUSD!$O$2:$O$1000,"",0)</f>
        <v>4658.8837100000001</v>
      </c>
      <c r="N366">
        <f>_xlfn.XLOOKUP($A366,ALGLIB_SSA_XAUUSD!$J$2:$J$1000,ALGLIB_SSA_XAUUSD!$P$2:$P$1000,"",0)</f>
        <v>4662.8626599999998</v>
      </c>
      <c r="O366">
        <f>_xlfn.XLOOKUP($A366,ALGLIB_SSA_XAUUSD!$J$2:$J$1000,ALGLIB_SSA_XAUUSD!$Q$2:$Q$1000,"",0)</f>
        <v>4657.1799899999996</v>
      </c>
      <c r="R366">
        <f t="shared" si="55"/>
        <v>1775499600</v>
      </c>
      <c r="S366" t="str">
        <f t="shared" si="56"/>
        <v>XAUUSD</v>
      </c>
      <c r="T366" t="str">
        <f t="shared" si="57"/>
        <v>M5</v>
      </c>
      <c r="U366">
        <f t="shared" si="58"/>
        <v>4662.55</v>
      </c>
      <c r="V366">
        <v>4657.60916</v>
      </c>
      <c r="W366">
        <v>4660.1099899999999</v>
      </c>
      <c r="X366">
        <v>4659.1694699999998</v>
      </c>
      <c r="Y366">
        <v>4658.8837100000001</v>
      </c>
      <c r="Z366">
        <f t="shared" si="59"/>
        <v>4665.5988566666665</v>
      </c>
      <c r="AA366">
        <f t="shared" si="60"/>
        <v>4662.8626599999998</v>
      </c>
      <c r="AB366">
        <f t="shared" si="61"/>
        <v>4649.7133766666666</v>
      </c>
      <c r="AC366">
        <f t="shared" si="62"/>
        <v>4657.1799899999996</v>
      </c>
      <c r="AF366">
        <f t="shared" si="63"/>
        <v>4659.1694699999998</v>
      </c>
      <c r="AG366">
        <f t="shared" si="64"/>
        <v>4665.5988566666665</v>
      </c>
      <c r="AH366">
        <f t="shared" si="65"/>
        <v>4649.7133766666666</v>
      </c>
    </row>
    <row r="367" spans="1:34" x14ac:dyDescent="0.55000000000000004">
      <c r="A367">
        <f>ALGLIB_SSA_XAUUSD!J367</f>
        <v>1775499900</v>
      </c>
      <c r="B367" t="str">
        <f>_xlfn.XLOOKUP($A367,ALGLIB_SSA_XAUUSD!$A$2:$A$1000,ALGLIB_SSA_XAUUSD!$B$2:$B$1000,"",0)</f>
        <v/>
      </c>
      <c r="C367" t="str">
        <f>_xlfn.XLOOKUP($A367,ALGLIB_SSA_XAUUSD!$A$2:$A$1000,ALGLIB_SSA_XAUUSD!$C$2:$C$1000,"",0)</f>
        <v/>
      </c>
      <c r="D367" s="1">
        <f>D362+(D374-D362)*5/12</f>
        <v>4657.2041666666673</v>
      </c>
      <c r="E367" s="1">
        <f>E362+(E374-E362)*5/12</f>
        <v>4657.4970483333336</v>
      </c>
      <c r="F367" s="1">
        <f>F362+(F374-F362)*5/12</f>
        <v>4659.9401049999997</v>
      </c>
      <c r="G367" s="1">
        <f>G362+(G374-G362)*5/12</f>
        <v>4665.4607983333335</v>
      </c>
      <c r="H367" s="1">
        <f>H362+(H374-H362)*5/12</f>
        <v>4649.673015833333</v>
      </c>
      <c r="I367" t="str">
        <f>_xlfn.XLOOKUP($A367,ALGLIB_SSA_XAUUSD!$J$2:$J$1000,ALGLIB_SSA_XAUUSD!$K$2:$K$1000,"",0)</f>
        <v>XAUUSD</v>
      </c>
      <c r="J367" t="str">
        <f>_xlfn.XLOOKUP($A367,ALGLIB_SSA_XAUUSD!$J$2:$J$1000,ALGLIB_SSA_XAUUSD!$L$2:$L$1000,"",0)</f>
        <v>M5</v>
      </c>
      <c r="K367">
        <f>_xlfn.XLOOKUP($A367,ALGLIB_SSA_XAUUSD!$J$2:$J$1000,ALGLIB_SSA_XAUUSD!$M$2:$M$1000,"",0)</f>
        <v>4660.3599999999997</v>
      </c>
      <c r="L367">
        <f>_xlfn.XLOOKUP($A367,ALGLIB_SSA_XAUUSD!$J$2:$J$1000,ALGLIB_SSA_XAUUSD!$N$2:$N$1000,"",0)</f>
        <v>4658.4362899999996</v>
      </c>
      <c r="M367">
        <f>_xlfn.XLOOKUP($A367,ALGLIB_SSA_XAUUSD!$J$2:$J$1000,ALGLIB_SSA_XAUUSD!$O$2:$O$1000,"",0)</f>
        <v>4658.66</v>
      </c>
      <c r="N367">
        <f>_xlfn.XLOOKUP($A367,ALGLIB_SSA_XAUUSD!$J$2:$J$1000,ALGLIB_SSA_XAUUSD!$P$2:$P$1000,"",0)</f>
        <v>4662.3530199999996</v>
      </c>
      <c r="O367">
        <f>_xlfn.XLOOKUP($A367,ALGLIB_SSA_XAUUSD!$J$2:$J$1000,ALGLIB_SSA_XAUUSD!$Q$2:$Q$1000,"",0)</f>
        <v>4656.7460199999996</v>
      </c>
      <c r="R367">
        <f t="shared" si="55"/>
        <v>1775499900</v>
      </c>
      <c r="S367" t="str">
        <f t="shared" si="56"/>
        <v>XAUUSD</v>
      </c>
      <c r="T367" t="str">
        <f t="shared" si="57"/>
        <v>M5</v>
      </c>
      <c r="U367">
        <f t="shared" si="58"/>
        <v>4660.3599999999997</v>
      </c>
      <c r="V367">
        <v>4657.4970499999999</v>
      </c>
      <c r="W367">
        <v>4659.9400999999998</v>
      </c>
      <c r="X367">
        <v>4658.4362899999996</v>
      </c>
      <c r="Y367">
        <v>4658.66</v>
      </c>
      <c r="Z367">
        <f t="shared" si="59"/>
        <v>4665.4607983333335</v>
      </c>
      <c r="AA367">
        <f t="shared" si="60"/>
        <v>4662.3530199999996</v>
      </c>
      <c r="AB367">
        <f t="shared" si="61"/>
        <v>4649.673015833333</v>
      </c>
      <c r="AC367">
        <f t="shared" si="62"/>
        <v>4656.7460199999996</v>
      </c>
      <c r="AF367">
        <f t="shared" si="63"/>
        <v>4658.4362899999996</v>
      </c>
      <c r="AG367">
        <f t="shared" si="64"/>
        <v>4665.4607983333335</v>
      </c>
      <c r="AH367">
        <f t="shared" si="65"/>
        <v>4649.673015833333</v>
      </c>
    </row>
    <row r="368" spans="1:34" x14ac:dyDescent="0.55000000000000004">
      <c r="A368">
        <f>ALGLIB_SSA_XAUUSD!J368</f>
        <v>1775500200</v>
      </c>
      <c r="B368" t="str">
        <f>_xlfn.XLOOKUP($A368,ALGLIB_SSA_XAUUSD!$A$2:$A$1000,ALGLIB_SSA_XAUUSD!$B$2:$B$1000,"",0)</f>
        <v/>
      </c>
      <c r="C368" t="str">
        <f>_xlfn.XLOOKUP($A368,ALGLIB_SSA_XAUUSD!$A$2:$A$1000,ALGLIB_SSA_XAUUSD!$C$2:$C$1000,"",0)</f>
        <v/>
      </c>
      <c r="D368" s="1">
        <f>D362+(D374-D362)*6/12</f>
        <v>4656.9750000000004</v>
      </c>
      <c r="E368" s="1">
        <f>E362+(E374-E362)*6/12</f>
        <v>4657.3849399999999</v>
      </c>
      <c r="F368" s="1">
        <f>F362+(F374-F362)*6/12</f>
        <v>4659.7702200000003</v>
      </c>
      <c r="G368" s="1">
        <f>G362+(G374-G362)*6/12</f>
        <v>4665.3227399999996</v>
      </c>
      <c r="H368" s="1">
        <f>H362+(H374-H362)*6/12</f>
        <v>4649.6326549999994</v>
      </c>
      <c r="I368" t="str">
        <f>_xlfn.XLOOKUP($A368,ALGLIB_SSA_XAUUSD!$J$2:$J$1000,ALGLIB_SSA_XAUUSD!$K$2:$K$1000,"",0)</f>
        <v>XAUUSD</v>
      </c>
      <c r="J368" t="str">
        <f>_xlfn.XLOOKUP($A368,ALGLIB_SSA_XAUUSD!$J$2:$J$1000,ALGLIB_SSA_XAUUSD!$L$2:$L$1000,"",0)</f>
        <v>M5</v>
      </c>
      <c r="K368">
        <f>_xlfn.XLOOKUP($A368,ALGLIB_SSA_XAUUSD!$J$2:$J$1000,ALGLIB_SSA_XAUUSD!$M$2:$M$1000,"",0)</f>
        <v>4659.16</v>
      </c>
      <c r="L368">
        <f>_xlfn.XLOOKUP($A368,ALGLIB_SSA_XAUUSD!$J$2:$J$1000,ALGLIB_SSA_XAUUSD!$N$2:$N$1000,"",0)</f>
        <v>4657.2427900000002</v>
      </c>
      <c r="M368">
        <f>_xlfn.XLOOKUP($A368,ALGLIB_SSA_XAUUSD!$J$2:$J$1000,ALGLIB_SSA_XAUUSD!$O$2:$O$1000,"",0)</f>
        <v>4657.9513900000002</v>
      </c>
      <c r="N368">
        <f>_xlfn.XLOOKUP($A368,ALGLIB_SSA_XAUUSD!$J$2:$J$1000,ALGLIB_SSA_XAUUSD!$P$2:$P$1000,"",0)</f>
        <v>4661.2453100000002</v>
      </c>
      <c r="O368">
        <f>_xlfn.XLOOKUP($A368,ALGLIB_SSA_XAUUSD!$J$2:$J$1000,ALGLIB_SSA_XAUUSD!$Q$2:$Q$1000,"",0)</f>
        <v>4655.6776900000004</v>
      </c>
      <c r="R368">
        <f t="shared" si="55"/>
        <v>1775500200</v>
      </c>
      <c r="S368" t="str">
        <f t="shared" si="56"/>
        <v>XAUUSD</v>
      </c>
      <c r="T368" t="str">
        <f t="shared" si="57"/>
        <v>M5</v>
      </c>
      <c r="U368">
        <f t="shared" si="58"/>
        <v>4659.16</v>
      </c>
      <c r="V368">
        <v>4657.3849399999999</v>
      </c>
      <c r="W368">
        <v>4659.7702200000003</v>
      </c>
      <c r="X368">
        <v>4657.2427900000002</v>
      </c>
      <c r="Y368">
        <v>4657.9513900000002</v>
      </c>
      <c r="Z368">
        <f t="shared" si="59"/>
        <v>4665.3227399999996</v>
      </c>
      <c r="AA368">
        <f t="shared" si="60"/>
        <v>4661.2453100000002</v>
      </c>
      <c r="AB368">
        <f t="shared" si="61"/>
        <v>4649.6326549999994</v>
      </c>
      <c r="AC368">
        <f t="shared" si="62"/>
        <v>4655.6776900000004</v>
      </c>
      <c r="AF368">
        <f t="shared" si="63"/>
        <v>4657.2427900000002</v>
      </c>
      <c r="AG368">
        <f t="shared" si="64"/>
        <v>4665.3227399999996</v>
      </c>
      <c r="AH368">
        <f t="shared" si="65"/>
        <v>4649.6326549999994</v>
      </c>
    </row>
    <row r="369" spans="1:34" x14ac:dyDescent="0.55000000000000004">
      <c r="A369">
        <f>ALGLIB_SSA_XAUUSD!J369</f>
        <v>1775500500</v>
      </c>
      <c r="B369" t="str">
        <f>_xlfn.XLOOKUP($A369,ALGLIB_SSA_XAUUSD!$A$2:$A$1000,ALGLIB_SSA_XAUUSD!$B$2:$B$1000,"",0)</f>
        <v/>
      </c>
      <c r="C369" t="str">
        <f>_xlfn.XLOOKUP($A369,ALGLIB_SSA_XAUUSD!$A$2:$A$1000,ALGLIB_SSA_XAUUSD!$C$2:$C$1000,"",0)</f>
        <v/>
      </c>
      <c r="D369" s="1">
        <f>D362+(D374-D362)*7/12</f>
        <v>4656.7458333333334</v>
      </c>
      <c r="E369" s="1">
        <f>E362+(E374-E362)*7/12</f>
        <v>4657.2728316666671</v>
      </c>
      <c r="F369" s="1">
        <f>F362+(F374-F362)*7/12</f>
        <v>4659.6003350000001</v>
      </c>
      <c r="G369" s="1">
        <f>G362+(G374-G362)*7/12</f>
        <v>4665.1846816666666</v>
      </c>
      <c r="H369" s="1">
        <f>H362+(H374-H362)*7/12</f>
        <v>4649.5922941666668</v>
      </c>
      <c r="I369" t="str">
        <f>_xlfn.XLOOKUP($A369,ALGLIB_SSA_XAUUSD!$J$2:$J$1000,ALGLIB_SSA_XAUUSD!$K$2:$K$1000,"",0)</f>
        <v>XAUUSD</v>
      </c>
      <c r="J369" t="str">
        <f>_xlfn.XLOOKUP($A369,ALGLIB_SSA_XAUUSD!$J$2:$J$1000,ALGLIB_SSA_XAUUSD!$L$2:$L$1000,"",0)</f>
        <v>M5</v>
      </c>
      <c r="K369">
        <f>_xlfn.XLOOKUP($A369,ALGLIB_SSA_XAUUSD!$J$2:$J$1000,ALGLIB_SSA_XAUUSD!$M$2:$M$1000,"",0)</f>
        <v>4649.76</v>
      </c>
      <c r="L369">
        <f>_xlfn.XLOOKUP($A369,ALGLIB_SSA_XAUUSD!$J$2:$J$1000,ALGLIB_SSA_XAUUSD!$N$2:$N$1000,"",0)</f>
        <v>4655.7980200000002</v>
      </c>
      <c r="M369">
        <f>_xlfn.XLOOKUP($A369,ALGLIB_SSA_XAUUSD!$J$2:$J$1000,ALGLIB_SSA_XAUUSD!$O$2:$O$1000,"",0)</f>
        <v>4656.8747100000001</v>
      </c>
      <c r="N369">
        <f>_xlfn.XLOOKUP($A369,ALGLIB_SSA_XAUUSD!$J$2:$J$1000,ALGLIB_SSA_XAUUSD!$P$2:$P$1000,"",0)</f>
        <v>4659.71288</v>
      </c>
      <c r="O369">
        <f>_xlfn.XLOOKUP($A369,ALGLIB_SSA_XAUUSD!$J$2:$J$1000,ALGLIB_SSA_XAUUSD!$Q$2:$Q$1000,"",0)</f>
        <v>4654.1870900000004</v>
      </c>
      <c r="R369">
        <f t="shared" si="55"/>
        <v>1775500500</v>
      </c>
      <c r="S369" t="str">
        <f t="shared" si="56"/>
        <v>XAUUSD</v>
      </c>
      <c r="T369" t="str">
        <f t="shared" si="57"/>
        <v>M5</v>
      </c>
      <c r="U369">
        <f t="shared" si="58"/>
        <v>4649.76</v>
      </c>
      <c r="V369">
        <v>4657.2728299999999</v>
      </c>
      <c r="W369">
        <v>4659.60034</v>
      </c>
      <c r="X369">
        <v>4655.7980200000002</v>
      </c>
      <c r="Y369">
        <v>4656.8747100000001</v>
      </c>
      <c r="Z369">
        <f t="shared" si="59"/>
        <v>4665.1846816666666</v>
      </c>
      <c r="AA369">
        <f t="shared" si="60"/>
        <v>4659.71288</v>
      </c>
      <c r="AB369">
        <f t="shared" si="61"/>
        <v>4649.5922941666668</v>
      </c>
      <c r="AC369">
        <f t="shared" si="62"/>
        <v>4654.1870900000004</v>
      </c>
      <c r="AF369">
        <f t="shared" si="63"/>
        <v>4655.7980200000002</v>
      </c>
      <c r="AG369">
        <f t="shared" si="64"/>
        <v>4665.1846816666666</v>
      </c>
      <c r="AH369">
        <f t="shared" si="65"/>
        <v>4649.5922941666668</v>
      </c>
    </row>
    <row r="370" spans="1:34" x14ac:dyDescent="0.55000000000000004">
      <c r="A370">
        <f>ALGLIB_SSA_XAUUSD!J370</f>
        <v>1775500800</v>
      </c>
      <c r="B370" t="str">
        <f>_xlfn.XLOOKUP($A370,ALGLIB_SSA_XAUUSD!$A$2:$A$1000,ALGLIB_SSA_XAUUSD!$B$2:$B$1000,"",0)</f>
        <v/>
      </c>
      <c r="C370" t="str">
        <f>_xlfn.XLOOKUP($A370,ALGLIB_SSA_XAUUSD!$A$2:$A$1000,ALGLIB_SSA_XAUUSD!$C$2:$C$1000,"",0)</f>
        <v/>
      </c>
      <c r="D370" s="1">
        <f>D362+(D374-D362)*8/12</f>
        <v>4656.5166666666673</v>
      </c>
      <c r="E370" s="1">
        <f>E362+(E374-E362)*8/12</f>
        <v>4657.1607233333334</v>
      </c>
      <c r="F370" s="1">
        <f>F362+(F374-F362)*8/12</f>
        <v>4659.4304499999998</v>
      </c>
      <c r="G370" s="1">
        <f>G362+(G374-G362)*8/12</f>
        <v>4665.0466233333336</v>
      </c>
      <c r="H370" s="1">
        <f>H362+(H374-H362)*8/12</f>
        <v>4649.5519333333332</v>
      </c>
      <c r="I370" t="str">
        <f>_xlfn.XLOOKUP($A370,ALGLIB_SSA_XAUUSD!$J$2:$J$1000,ALGLIB_SSA_XAUUSD!$K$2:$K$1000,"",0)</f>
        <v>XAUUSD</v>
      </c>
      <c r="J370" t="str">
        <f>_xlfn.XLOOKUP($A370,ALGLIB_SSA_XAUUSD!$J$2:$J$1000,ALGLIB_SSA_XAUUSD!$L$2:$L$1000,"",0)</f>
        <v>M5</v>
      </c>
      <c r="K370">
        <f>_xlfn.XLOOKUP($A370,ALGLIB_SSA_XAUUSD!$J$2:$J$1000,ALGLIB_SSA_XAUUSD!$M$2:$M$1000,"",0)</f>
        <v>4650.55</v>
      </c>
      <c r="L370">
        <f>_xlfn.XLOOKUP($A370,ALGLIB_SSA_XAUUSD!$J$2:$J$1000,ALGLIB_SSA_XAUUSD!$N$2:$N$1000,"",0)</f>
        <v>4654.5413500000004</v>
      </c>
      <c r="M370">
        <f>_xlfn.XLOOKUP($A370,ALGLIB_SSA_XAUUSD!$J$2:$J$1000,ALGLIB_SSA_XAUUSD!$O$2:$O$1000,"",0)</f>
        <v>4655.7080299999998</v>
      </c>
      <c r="N370">
        <f>_xlfn.XLOOKUP($A370,ALGLIB_SSA_XAUUSD!$J$2:$J$1000,ALGLIB_SSA_XAUUSD!$P$2:$P$1000,"",0)</f>
        <v>4658.0696900000003</v>
      </c>
      <c r="O370">
        <f>_xlfn.XLOOKUP($A370,ALGLIB_SSA_XAUUSD!$J$2:$J$1000,ALGLIB_SSA_XAUUSD!$Q$2:$Q$1000,"",0)</f>
        <v>4652.6658399999997</v>
      </c>
      <c r="R370">
        <f t="shared" si="55"/>
        <v>1775500800</v>
      </c>
      <c r="S370" t="str">
        <f t="shared" si="56"/>
        <v>XAUUSD</v>
      </c>
      <c r="T370" t="str">
        <f t="shared" si="57"/>
        <v>M5</v>
      </c>
      <c r="U370">
        <f t="shared" si="58"/>
        <v>4650.55</v>
      </c>
      <c r="V370">
        <v>4657.1607199999999</v>
      </c>
      <c r="W370">
        <v>4659.4304499999998</v>
      </c>
      <c r="X370">
        <v>4654.5413500000004</v>
      </c>
      <c r="Y370">
        <v>4655.7080299999998</v>
      </c>
      <c r="Z370">
        <f t="shared" si="59"/>
        <v>4665.0466233333336</v>
      </c>
      <c r="AA370">
        <f t="shared" si="60"/>
        <v>4658.0696900000003</v>
      </c>
      <c r="AB370">
        <f t="shared" si="61"/>
        <v>4649.5519333333332</v>
      </c>
      <c r="AC370">
        <f t="shared" si="62"/>
        <v>4652.6658399999997</v>
      </c>
      <c r="AF370">
        <f t="shared" si="63"/>
        <v>4654.5413500000004</v>
      </c>
      <c r="AG370">
        <f t="shared" si="64"/>
        <v>4665.0466233333336</v>
      </c>
      <c r="AH370">
        <f t="shared" si="65"/>
        <v>4649.5519333333332</v>
      </c>
    </row>
    <row r="371" spans="1:34" x14ac:dyDescent="0.55000000000000004">
      <c r="A371">
        <f>ALGLIB_SSA_XAUUSD!J371</f>
        <v>1775501100</v>
      </c>
      <c r="B371" t="str">
        <f>_xlfn.XLOOKUP($A371,ALGLIB_SSA_XAUUSD!$A$2:$A$1000,ALGLIB_SSA_XAUUSD!$B$2:$B$1000,"",0)</f>
        <v/>
      </c>
      <c r="C371" t="str">
        <f>_xlfn.XLOOKUP($A371,ALGLIB_SSA_XAUUSD!$A$2:$A$1000,ALGLIB_SSA_XAUUSD!$C$2:$C$1000,"",0)</f>
        <v/>
      </c>
      <c r="D371" s="1">
        <f>D362+(D374-D362)*9/12</f>
        <v>4656.2875000000004</v>
      </c>
      <c r="E371" s="1">
        <f>E362+(E374-E362)*9/12</f>
        <v>4657.0486150000006</v>
      </c>
      <c r="F371" s="1">
        <f>F362+(F374-F362)*9/12</f>
        <v>4659.2605649999996</v>
      </c>
      <c r="G371" s="1">
        <f>G362+(G374-G362)*9/12</f>
        <v>4664.9085649999997</v>
      </c>
      <c r="H371" s="1">
        <f>H362+(H374-H362)*9/12</f>
        <v>4649.5115724999996</v>
      </c>
      <c r="I371" t="str">
        <f>_xlfn.XLOOKUP($A371,ALGLIB_SSA_XAUUSD!$J$2:$J$1000,ALGLIB_SSA_XAUUSD!$K$2:$K$1000,"",0)</f>
        <v>XAUUSD</v>
      </c>
      <c r="J371" t="str">
        <f>_xlfn.XLOOKUP($A371,ALGLIB_SSA_XAUUSD!$J$2:$J$1000,ALGLIB_SSA_XAUUSD!$L$2:$L$1000,"",0)</f>
        <v>M5</v>
      </c>
      <c r="K371">
        <f>_xlfn.XLOOKUP($A371,ALGLIB_SSA_XAUUSD!$J$2:$J$1000,ALGLIB_SSA_XAUUSD!$M$2:$M$1000,"",0)</f>
        <v>4650.84</v>
      </c>
      <c r="L371">
        <f>_xlfn.XLOOKUP($A371,ALGLIB_SSA_XAUUSD!$J$2:$J$1000,ALGLIB_SSA_XAUUSD!$N$2:$N$1000,"",0)</f>
        <v>4653.5935099999997</v>
      </c>
      <c r="M371">
        <f>_xlfn.XLOOKUP($A371,ALGLIB_SSA_XAUUSD!$J$2:$J$1000,ALGLIB_SSA_XAUUSD!$O$2:$O$1000,"",0)</f>
        <v>4654.6507700000002</v>
      </c>
      <c r="N371">
        <f>_xlfn.XLOOKUP($A371,ALGLIB_SSA_XAUUSD!$J$2:$J$1000,ALGLIB_SSA_XAUUSD!$P$2:$P$1000,"",0)</f>
        <v>4656.7276899999997</v>
      </c>
      <c r="O371">
        <f>_xlfn.XLOOKUP($A371,ALGLIB_SSA_XAUUSD!$J$2:$J$1000,ALGLIB_SSA_XAUUSD!$Q$2:$Q$1000,"",0)</f>
        <v>4651.3221199999998</v>
      </c>
      <c r="R371">
        <f t="shared" si="55"/>
        <v>1775501100</v>
      </c>
      <c r="S371" t="str">
        <f t="shared" si="56"/>
        <v>XAUUSD</v>
      </c>
      <c r="T371" t="str">
        <f t="shared" si="57"/>
        <v>M5</v>
      </c>
      <c r="U371">
        <f t="shared" si="58"/>
        <v>4650.84</v>
      </c>
      <c r="V371">
        <v>4657.0486199999996</v>
      </c>
      <c r="W371">
        <v>4659.2605599999997</v>
      </c>
      <c r="X371">
        <v>4653.5935099999997</v>
      </c>
      <c r="Y371">
        <v>4654.6507700000002</v>
      </c>
      <c r="Z371">
        <f t="shared" si="59"/>
        <v>4664.9085649999997</v>
      </c>
      <c r="AA371">
        <f t="shared" si="60"/>
        <v>4656.7276899999997</v>
      </c>
      <c r="AB371">
        <f t="shared" si="61"/>
        <v>4649.5115724999996</v>
      </c>
      <c r="AC371">
        <f t="shared" si="62"/>
        <v>4651.3221199999998</v>
      </c>
      <c r="AF371">
        <f t="shared" si="63"/>
        <v>4653.5935099999997</v>
      </c>
      <c r="AG371">
        <f t="shared" si="64"/>
        <v>4664.9085649999997</v>
      </c>
      <c r="AH371">
        <f t="shared" si="65"/>
        <v>4649.5115724999996</v>
      </c>
    </row>
    <row r="372" spans="1:34" x14ac:dyDescent="0.55000000000000004">
      <c r="A372">
        <f>ALGLIB_SSA_XAUUSD!J372</f>
        <v>1775501400</v>
      </c>
      <c r="B372" t="str">
        <f>_xlfn.XLOOKUP($A372,ALGLIB_SSA_XAUUSD!$A$2:$A$1000,ALGLIB_SSA_XAUUSD!$B$2:$B$1000,"",0)</f>
        <v/>
      </c>
      <c r="C372" t="str">
        <f>_xlfn.XLOOKUP($A372,ALGLIB_SSA_XAUUSD!$A$2:$A$1000,ALGLIB_SSA_XAUUSD!$C$2:$C$1000,"",0)</f>
        <v/>
      </c>
      <c r="D372" s="1">
        <f>D362+(D374-D362)*10/12</f>
        <v>4656.0583333333334</v>
      </c>
      <c r="E372" s="1">
        <f>E362+(E374-E362)*10/12</f>
        <v>4656.9365066666669</v>
      </c>
      <c r="F372" s="1">
        <f>F362+(F374-F362)*10/12</f>
        <v>4659.0906799999993</v>
      </c>
      <c r="G372" s="1">
        <f>G362+(G374-G362)*10/12</f>
        <v>4664.7705066666667</v>
      </c>
      <c r="H372" s="1">
        <f>H362+(H374-H362)*10/12</f>
        <v>4649.4712116666669</v>
      </c>
      <c r="I372" t="str">
        <f>_xlfn.XLOOKUP($A372,ALGLIB_SSA_XAUUSD!$J$2:$J$1000,ALGLIB_SSA_XAUUSD!$K$2:$K$1000,"",0)</f>
        <v>XAUUSD</v>
      </c>
      <c r="J372" t="str">
        <f>_xlfn.XLOOKUP($A372,ALGLIB_SSA_XAUUSD!$J$2:$J$1000,ALGLIB_SSA_XAUUSD!$L$2:$L$1000,"",0)</f>
        <v>M5</v>
      </c>
      <c r="K372">
        <f>_xlfn.XLOOKUP($A372,ALGLIB_SSA_XAUUSD!$J$2:$J$1000,ALGLIB_SSA_XAUUSD!$M$2:$M$1000,"",0)</f>
        <v>4651.3999999999996</v>
      </c>
      <c r="L372">
        <f>_xlfn.XLOOKUP($A372,ALGLIB_SSA_XAUUSD!$J$2:$J$1000,ALGLIB_SSA_XAUUSD!$N$2:$N$1000,"",0)</f>
        <v>4652.9905500000004</v>
      </c>
      <c r="M372">
        <f>_xlfn.XLOOKUP($A372,ALGLIB_SSA_XAUUSD!$J$2:$J$1000,ALGLIB_SSA_XAUUSD!$O$2:$O$1000,"",0)</f>
        <v>4653.8206600000003</v>
      </c>
      <c r="N372">
        <f>_xlfn.XLOOKUP($A372,ALGLIB_SSA_XAUUSD!$J$2:$J$1000,ALGLIB_SSA_XAUUSD!$P$2:$P$1000,"",0)</f>
        <v>4655.8178500000004</v>
      </c>
      <c r="O372">
        <f>_xlfn.XLOOKUP($A372,ALGLIB_SSA_XAUUSD!$J$2:$J$1000,ALGLIB_SSA_XAUUSD!$Q$2:$Q$1000,"",0)</f>
        <v>4650.29097</v>
      </c>
      <c r="R372">
        <f t="shared" si="55"/>
        <v>1775501400</v>
      </c>
      <c r="S372" t="str">
        <f t="shared" si="56"/>
        <v>XAUUSD</v>
      </c>
      <c r="T372" t="str">
        <f t="shared" si="57"/>
        <v>M5</v>
      </c>
      <c r="U372">
        <f t="shared" si="58"/>
        <v>4651.3999999999996</v>
      </c>
      <c r="V372">
        <v>4656.9365100000005</v>
      </c>
      <c r="W372">
        <v>4659.0906800000002</v>
      </c>
      <c r="X372">
        <v>4652.9905500000004</v>
      </c>
      <c r="Y372">
        <v>4653.8206600000003</v>
      </c>
      <c r="Z372">
        <f t="shared" si="59"/>
        <v>4664.7705066666667</v>
      </c>
      <c r="AA372">
        <f t="shared" si="60"/>
        <v>4655.8178500000004</v>
      </c>
      <c r="AB372">
        <f t="shared" si="61"/>
        <v>4649.4712116666669</v>
      </c>
      <c r="AC372">
        <f t="shared" si="62"/>
        <v>4650.29097</v>
      </c>
      <c r="AF372">
        <f t="shared" si="63"/>
        <v>4652.9905500000004</v>
      </c>
      <c r="AG372">
        <f t="shared" si="64"/>
        <v>4664.7705066666667</v>
      </c>
      <c r="AH372">
        <f t="shared" si="65"/>
        <v>4649.4712116666669</v>
      </c>
    </row>
    <row r="373" spans="1:34" x14ac:dyDescent="0.55000000000000004">
      <c r="A373">
        <f>ALGLIB_SSA_XAUUSD!J373</f>
        <v>1775501700</v>
      </c>
      <c r="B373" t="str">
        <f>_xlfn.XLOOKUP($A373,ALGLIB_SSA_XAUUSD!$A$2:$A$1000,ALGLIB_SSA_XAUUSD!$B$2:$B$1000,"",0)</f>
        <v/>
      </c>
      <c r="C373" t="str">
        <f>_xlfn.XLOOKUP($A373,ALGLIB_SSA_XAUUSD!$A$2:$A$1000,ALGLIB_SSA_XAUUSD!$C$2:$C$1000,"",0)</f>
        <v/>
      </c>
      <c r="D373" s="1">
        <f>D362+(D374-D362)*11/12</f>
        <v>4655.8291666666673</v>
      </c>
      <c r="E373" s="1">
        <f>E362+(E374-E362)*11/12</f>
        <v>4656.8243983333341</v>
      </c>
      <c r="F373" s="1">
        <f>F362+(F374-F362)*11/12</f>
        <v>4658.920795</v>
      </c>
      <c r="G373" s="1">
        <f>G362+(G374-G362)*11/12</f>
        <v>4664.6324483333328</v>
      </c>
      <c r="H373" s="1">
        <f>H362+(H374-H362)*11/12</f>
        <v>4649.4308508333334</v>
      </c>
      <c r="I373" t="str">
        <f>_xlfn.XLOOKUP($A373,ALGLIB_SSA_XAUUSD!$J$2:$J$1000,ALGLIB_SSA_XAUUSD!$K$2:$K$1000,"",0)</f>
        <v>XAUUSD</v>
      </c>
      <c r="J373" t="str">
        <f>_xlfn.XLOOKUP($A373,ALGLIB_SSA_XAUUSD!$J$2:$J$1000,ALGLIB_SSA_XAUUSD!$L$2:$L$1000,"",0)</f>
        <v>M5</v>
      </c>
      <c r="K373">
        <f>_xlfn.XLOOKUP($A373,ALGLIB_SSA_XAUUSD!$J$2:$J$1000,ALGLIB_SSA_XAUUSD!$M$2:$M$1000,"",0)</f>
        <v>4658.3500000000004</v>
      </c>
      <c r="L373">
        <f>_xlfn.XLOOKUP($A373,ALGLIB_SSA_XAUUSD!$J$2:$J$1000,ALGLIB_SSA_XAUUSD!$N$2:$N$1000,"",0)</f>
        <v>4652.6651300000003</v>
      </c>
      <c r="M373">
        <f>_xlfn.XLOOKUP($A373,ALGLIB_SSA_XAUUSD!$J$2:$J$1000,ALGLIB_SSA_XAUUSD!$O$2:$O$1000,"",0)</f>
        <v>4653.2428900000004</v>
      </c>
      <c r="N373">
        <f>_xlfn.XLOOKUP($A373,ALGLIB_SSA_XAUUSD!$J$2:$J$1000,ALGLIB_SSA_XAUUSD!$P$2:$P$1000,"",0)</f>
        <v>4655.3218200000001</v>
      </c>
      <c r="O373">
        <f>_xlfn.XLOOKUP($A373,ALGLIB_SSA_XAUUSD!$J$2:$J$1000,ALGLIB_SSA_XAUUSD!$Q$2:$Q$1000,"",0)</f>
        <v>4649.6294399999997</v>
      </c>
      <c r="R373">
        <f t="shared" si="55"/>
        <v>1775501700</v>
      </c>
      <c r="S373" t="str">
        <f t="shared" si="56"/>
        <v>XAUUSD</v>
      </c>
      <c r="T373" t="str">
        <f t="shared" si="57"/>
        <v>M5</v>
      </c>
      <c r="U373">
        <f t="shared" si="58"/>
        <v>4658.3500000000004</v>
      </c>
      <c r="V373">
        <v>4656.8244000000004</v>
      </c>
      <c r="W373">
        <v>4658.9207999999999</v>
      </c>
      <c r="X373">
        <v>4652.6651300000003</v>
      </c>
      <c r="Y373">
        <v>4653.2428900000004</v>
      </c>
      <c r="Z373">
        <f t="shared" si="59"/>
        <v>4664.6324483333328</v>
      </c>
      <c r="AA373">
        <f t="shared" si="60"/>
        <v>4655.3218200000001</v>
      </c>
      <c r="AB373">
        <f t="shared" si="61"/>
        <v>4649.4308508333334</v>
      </c>
      <c r="AC373">
        <f t="shared" si="62"/>
        <v>4649.6294399999997</v>
      </c>
      <c r="AF373">
        <f t="shared" si="63"/>
        <v>4652.6651300000003</v>
      </c>
      <c r="AG373">
        <f t="shared" si="64"/>
        <v>4664.6324483333328</v>
      </c>
      <c r="AH373">
        <f t="shared" si="65"/>
        <v>4649.4308508333334</v>
      </c>
    </row>
    <row r="374" spans="1:34" x14ac:dyDescent="0.55000000000000004">
      <c r="A374">
        <f>ALGLIB_SSA_XAUUSD!J374</f>
        <v>1775502000</v>
      </c>
      <c r="B374" t="str">
        <f>_xlfn.XLOOKUP($A374,ALGLIB_SSA_XAUUSD!$A$2:$A$1000,ALGLIB_SSA_XAUUSD!$B$2:$B$1000,"",0)</f>
        <v>XAUUSD</v>
      </c>
      <c r="C374" t="str">
        <f>_xlfn.XLOOKUP($A374,ALGLIB_SSA_XAUUSD!$A$2:$A$1000,ALGLIB_SSA_XAUUSD!$C$2:$C$1000,"",0)</f>
        <v>H1</v>
      </c>
      <c r="D374" s="2">
        <f>_xlfn.XLOOKUP($A374,ALGLIB_SSA_XAUUSD!$A$2:$A$1000,ALGLIB_SSA_XAUUSD!$D$2:$D$1000,"",0)</f>
        <v>4655.6000000000004</v>
      </c>
      <c r="E374" s="2">
        <f>_xlfn.XLOOKUP($A374,ALGLIB_SSA_XAUUSD!$A$2:$A$1000,ALGLIB_SSA_XAUUSD!$E$2:$E$1000,"",0)</f>
        <v>4656.7122900000004</v>
      </c>
      <c r="F374" s="2">
        <f>_xlfn.XLOOKUP($A374,ALGLIB_SSA_XAUUSD!$A$2:$A$1000,ALGLIB_SSA_XAUUSD!$F$2:$F$1000,"",0)</f>
        <v>4658.7509099999997</v>
      </c>
      <c r="G374" s="2">
        <f>_xlfn.XLOOKUP($A374,ALGLIB_SSA_XAUUSD!$A$2:$A$1000,ALGLIB_SSA_XAUUSD!$G$2:$G$1000,"",0)</f>
        <v>4664.4943899999998</v>
      </c>
      <c r="H374" s="2">
        <f>_xlfn.XLOOKUP($A374,ALGLIB_SSA_XAUUSD!$A$2:$A$1000,ALGLIB_SSA_XAUUSD!$H$2:$H$1000,"",0)</f>
        <v>4649.3904899999998</v>
      </c>
      <c r="I374" t="str">
        <f>_xlfn.XLOOKUP($A374,ALGLIB_SSA_XAUUSD!$J$2:$J$1000,ALGLIB_SSA_XAUUSD!$K$2:$K$1000,"",0)</f>
        <v>XAUUSD</v>
      </c>
      <c r="J374" t="str">
        <f>_xlfn.XLOOKUP($A374,ALGLIB_SSA_XAUUSD!$J$2:$J$1000,ALGLIB_SSA_XAUUSD!$L$2:$L$1000,"",0)</f>
        <v>M5</v>
      </c>
      <c r="K374">
        <f>_xlfn.XLOOKUP($A374,ALGLIB_SSA_XAUUSD!$J$2:$J$1000,ALGLIB_SSA_XAUUSD!$M$2:$M$1000,"",0)</f>
        <v>4658.47</v>
      </c>
      <c r="L374">
        <f>_xlfn.XLOOKUP($A374,ALGLIB_SSA_XAUUSD!$J$2:$J$1000,ALGLIB_SSA_XAUUSD!$N$2:$N$1000,"",0)</f>
        <v>4652.32287</v>
      </c>
      <c r="M374">
        <f>_xlfn.XLOOKUP($A374,ALGLIB_SSA_XAUUSD!$J$2:$J$1000,ALGLIB_SSA_XAUUSD!$O$2:$O$1000,"",0)</f>
        <v>4652.7828799999997</v>
      </c>
      <c r="N374">
        <f>_xlfn.XLOOKUP($A374,ALGLIB_SSA_XAUUSD!$J$2:$J$1000,ALGLIB_SSA_XAUUSD!$P$2:$P$1000,"",0)</f>
        <v>4654.9682700000003</v>
      </c>
      <c r="O374">
        <f>_xlfn.XLOOKUP($A374,ALGLIB_SSA_XAUUSD!$J$2:$J$1000,ALGLIB_SSA_XAUUSD!$Q$2:$Q$1000,"",0)</f>
        <v>4649.2996800000001</v>
      </c>
      <c r="R374">
        <f t="shared" si="55"/>
        <v>1775502000</v>
      </c>
      <c r="S374" t="str">
        <f t="shared" si="56"/>
        <v>XAUUSD</v>
      </c>
      <c r="T374" t="str">
        <f t="shared" si="57"/>
        <v>M5</v>
      </c>
      <c r="U374">
        <f t="shared" si="58"/>
        <v>4658.47</v>
      </c>
      <c r="V374">
        <v>4656.7122900000004</v>
      </c>
      <c r="W374">
        <v>4658.7509099999997</v>
      </c>
      <c r="X374">
        <v>4652.32287</v>
      </c>
      <c r="Y374">
        <v>4652.7828799999997</v>
      </c>
      <c r="Z374">
        <f t="shared" si="59"/>
        <v>4664.4943899999998</v>
      </c>
      <c r="AA374">
        <f t="shared" si="60"/>
        <v>4654.9682700000003</v>
      </c>
      <c r="AB374">
        <f t="shared" si="61"/>
        <v>4649.3904899999998</v>
      </c>
      <c r="AC374">
        <f t="shared" si="62"/>
        <v>4649.2996800000001</v>
      </c>
      <c r="AF374">
        <f t="shared" si="63"/>
        <v>4652.32287</v>
      </c>
      <c r="AG374">
        <f t="shared" si="64"/>
        <v>4664.4943899999998</v>
      </c>
      <c r="AH374">
        <f t="shared" si="65"/>
        <v>4649.3904899999998</v>
      </c>
    </row>
    <row r="375" spans="1:34" x14ac:dyDescent="0.55000000000000004">
      <c r="A375">
        <f>ALGLIB_SSA_XAUUSD!J375</f>
        <v>1775502300</v>
      </c>
      <c r="B375" t="str">
        <f>_xlfn.XLOOKUP($A375,ALGLIB_SSA_XAUUSD!$A$2:$A$1000,ALGLIB_SSA_XAUUSD!$B$2:$B$1000,"",0)</f>
        <v/>
      </c>
      <c r="C375" t="str">
        <f>_xlfn.XLOOKUP($A375,ALGLIB_SSA_XAUUSD!$A$2:$A$1000,ALGLIB_SSA_XAUUSD!$C$2:$C$1000,"",0)</f>
        <v/>
      </c>
      <c r="D375" s="1">
        <f>D374+(D386-D374)*1/12</f>
        <v>4655.189166666667</v>
      </c>
      <c r="E375" s="1">
        <f>E374+(E386-E374)*1/12</f>
        <v>4656.6045883333336</v>
      </c>
      <c r="F375" s="1">
        <f>F374+(F386-F374)*1/12</f>
        <v>4658.6121166666662</v>
      </c>
      <c r="G375" s="1">
        <f>G374+(G386-G374)*1/12</f>
        <v>4664.4131566666665</v>
      </c>
      <c r="H375" s="1">
        <f>H374+(H386-H374)*1/12</f>
        <v>4649.3116833333333</v>
      </c>
      <c r="I375" t="str">
        <f>_xlfn.XLOOKUP($A375,ALGLIB_SSA_XAUUSD!$J$2:$J$1000,ALGLIB_SSA_XAUUSD!$K$2:$K$1000,"",0)</f>
        <v>XAUUSD</v>
      </c>
      <c r="J375" t="str">
        <f>_xlfn.XLOOKUP($A375,ALGLIB_SSA_XAUUSD!$J$2:$J$1000,ALGLIB_SSA_XAUUSD!$L$2:$L$1000,"",0)</f>
        <v>M5</v>
      </c>
      <c r="K375">
        <f>_xlfn.XLOOKUP($A375,ALGLIB_SSA_XAUUSD!$J$2:$J$1000,ALGLIB_SSA_XAUUSD!$M$2:$M$1000,"",0)</f>
        <v>4651.45</v>
      </c>
      <c r="L375">
        <f>_xlfn.XLOOKUP($A375,ALGLIB_SSA_XAUUSD!$J$2:$J$1000,ALGLIB_SSA_XAUUSD!$N$2:$N$1000,"",0)</f>
        <v>4651.8481899999997</v>
      </c>
      <c r="M375">
        <f>_xlfn.XLOOKUP($A375,ALGLIB_SSA_XAUUSD!$J$2:$J$1000,ALGLIB_SSA_XAUUSD!$O$2:$O$1000,"",0)</f>
        <v>4652.3155399999996</v>
      </c>
      <c r="N375">
        <f>_xlfn.XLOOKUP($A375,ALGLIB_SSA_XAUUSD!$J$2:$J$1000,ALGLIB_SSA_XAUUSD!$P$2:$P$1000,"",0)</f>
        <v>4654.5974999999999</v>
      </c>
      <c r="O375">
        <f>_xlfn.XLOOKUP($A375,ALGLIB_SSA_XAUUSD!$J$2:$J$1000,ALGLIB_SSA_XAUUSD!$Q$2:$Q$1000,"",0)</f>
        <v>4649.03053</v>
      </c>
      <c r="R375">
        <f t="shared" si="55"/>
        <v>1775502300</v>
      </c>
      <c r="S375" t="str">
        <f t="shared" si="56"/>
        <v>XAUUSD</v>
      </c>
      <c r="T375" t="str">
        <f t="shared" si="57"/>
        <v>M5</v>
      </c>
      <c r="U375">
        <f t="shared" si="58"/>
        <v>4651.45</v>
      </c>
      <c r="V375">
        <v>4656.6045899999999</v>
      </c>
      <c r="W375">
        <v>4658.6121199999998</v>
      </c>
      <c r="X375">
        <v>4651.8481899999997</v>
      </c>
      <c r="Y375">
        <v>4652.3155399999996</v>
      </c>
      <c r="Z375">
        <f t="shared" si="59"/>
        <v>4664.4131566666665</v>
      </c>
      <c r="AA375">
        <f t="shared" si="60"/>
        <v>4654.5974999999999</v>
      </c>
      <c r="AB375">
        <f t="shared" si="61"/>
        <v>4649.3116833333333</v>
      </c>
      <c r="AC375">
        <f t="shared" si="62"/>
        <v>4649.03053</v>
      </c>
      <c r="AF375">
        <f t="shared" si="63"/>
        <v>4651.8481899999997</v>
      </c>
      <c r="AG375">
        <f t="shared" si="64"/>
        <v>4664.4131566666665</v>
      </c>
      <c r="AH375">
        <f t="shared" si="65"/>
        <v>4649.3116833333333</v>
      </c>
    </row>
    <row r="376" spans="1:34" x14ac:dyDescent="0.55000000000000004">
      <c r="A376">
        <f>ALGLIB_SSA_XAUUSD!J376</f>
        <v>1775502600</v>
      </c>
      <c r="B376" t="str">
        <f>_xlfn.XLOOKUP($A376,ALGLIB_SSA_XAUUSD!$A$2:$A$1000,ALGLIB_SSA_XAUUSD!$B$2:$B$1000,"",0)</f>
        <v/>
      </c>
      <c r="C376" t="str">
        <f>_xlfn.XLOOKUP($A376,ALGLIB_SSA_XAUUSD!$A$2:$A$1000,ALGLIB_SSA_XAUUSD!$C$2:$C$1000,"",0)</f>
        <v/>
      </c>
      <c r="D376" s="1">
        <f>D374+(D386-D374)*2/12</f>
        <v>4654.7783333333336</v>
      </c>
      <c r="E376" s="1">
        <f>E374+(E386-E374)*2/12</f>
        <v>4656.4968866666668</v>
      </c>
      <c r="F376" s="1">
        <f>F374+(F386-F374)*2/12</f>
        <v>4658.4733233333336</v>
      </c>
      <c r="G376" s="1">
        <f>G374+(G386-G374)*2/12</f>
        <v>4664.3319233333332</v>
      </c>
      <c r="H376" s="1">
        <f>H374+(H386-H374)*2/12</f>
        <v>4649.2328766666669</v>
      </c>
      <c r="I376" t="str">
        <f>_xlfn.XLOOKUP($A376,ALGLIB_SSA_XAUUSD!$J$2:$J$1000,ALGLIB_SSA_XAUUSD!$K$2:$K$1000,"",0)</f>
        <v>XAUUSD</v>
      </c>
      <c r="J376" t="str">
        <f>_xlfn.XLOOKUP($A376,ALGLIB_SSA_XAUUSD!$J$2:$J$1000,ALGLIB_SSA_XAUUSD!$L$2:$L$1000,"",0)</f>
        <v>M5</v>
      </c>
      <c r="K376">
        <f>_xlfn.XLOOKUP($A376,ALGLIB_SSA_XAUUSD!$J$2:$J$1000,ALGLIB_SSA_XAUUSD!$M$2:$M$1000,"",0)</f>
        <v>4650.8500000000004</v>
      </c>
      <c r="L376">
        <f>_xlfn.XLOOKUP($A376,ALGLIB_SSA_XAUUSD!$J$2:$J$1000,ALGLIB_SSA_XAUUSD!$N$2:$N$1000,"",0)</f>
        <v>4651.3575199999996</v>
      </c>
      <c r="M376">
        <f>_xlfn.XLOOKUP($A376,ALGLIB_SSA_XAUUSD!$J$2:$J$1000,ALGLIB_SSA_XAUUSD!$O$2:$O$1000,"",0)</f>
        <v>4651.8365299999996</v>
      </c>
      <c r="N376">
        <f>_xlfn.XLOOKUP($A376,ALGLIB_SSA_XAUUSD!$J$2:$J$1000,ALGLIB_SSA_XAUUSD!$P$2:$P$1000,"",0)</f>
        <v>4654.08061</v>
      </c>
      <c r="O376">
        <f>_xlfn.XLOOKUP($A376,ALGLIB_SSA_XAUUSD!$J$2:$J$1000,ALGLIB_SSA_XAUUSD!$Q$2:$Q$1000,"",0)</f>
        <v>4648.85545</v>
      </c>
      <c r="R376">
        <f t="shared" si="55"/>
        <v>1775502600</v>
      </c>
      <c r="S376" t="str">
        <f t="shared" si="56"/>
        <v>XAUUSD</v>
      </c>
      <c r="T376" t="str">
        <f t="shared" si="57"/>
        <v>M5</v>
      </c>
      <c r="U376">
        <f t="shared" si="58"/>
        <v>4650.8500000000004</v>
      </c>
      <c r="V376">
        <v>4656.4968900000003</v>
      </c>
      <c r="W376">
        <v>4658.4733200000001</v>
      </c>
      <c r="X376">
        <v>4651.3575199999996</v>
      </c>
      <c r="Y376">
        <v>4651.8365299999996</v>
      </c>
      <c r="Z376">
        <f t="shared" si="59"/>
        <v>4664.3319233333332</v>
      </c>
      <c r="AA376">
        <f t="shared" si="60"/>
        <v>4654.08061</v>
      </c>
      <c r="AB376">
        <f t="shared" si="61"/>
        <v>4649.2328766666669</v>
      </c>
      <c r="AC376">
        <f t="shared" si="62"/>
        <v>4648.85545</v>
      </c>
      <c r="AF376">
        <f t="shared" si="63"/>
        <v>4651.3575199999996</v>
      </c>
      <c r="AG376">
        <f t="shared" si="64"/>
        <v>4664.3319233333332</v>
      </c>
      <c r="AH376">
        <f t="shared" si="65"/>
        <v>4649.2328766666669</v>
      </c>
    </row>
    <row r="377" spans="1:34" x14ac:dyDescent="0.55000000000000004">
      <c r="A377">
        <f>ALGLIB_SSA_XAUUSD!J377</f>
        <v>1775502900</v>
      </c>
      <c r="B377" t="str">
        <f>_xlfn.XLOOKUP($A377,ALGLIB_SSA_XAUUSD!$A$2:$A$1000,ALGLIB_SSA_XAUUSD!$B$2:$B$1000,"",0)</f>
        <v/>
      </c>
      <c r="C377" t="str">
        <f>_xlfn.XLOOKUP($A377,ALGLIB_SSA_XAUUSD!$A$2:$A$1000,ALGLIB_SSA_XAUUSD!$C$2:$C$1000,"",0)</f>
        <v/>
      </c>
      <c r="D377" s="1">
        <f>D374+(D386-D374)*3/12</f>
        <v>4654.3675000000003</v>
      </c>
      <c r="E377" s="1">
        <f>E374+(E386-E374)*3/12</f>
        <v>4656.389185</v>
      </c>
      <c r="F377" s="1">
        <f>F374+(F386-F374)*3/12</f>
        <v>4658.3345300000001</v>
      </c>
      <c r="G377" s="1">
        <f>G374+(G386-G374)*3/12</f>
        <v>4664.2506899999998</v>
      </c>
      <c r="H377" s="1">
        <f>H374+(H386-H374)*3/12</f>
        <v>4649.1540699999996</v>
      </c>
      <c r="I377" t="str">
        <f>_xlfn.XLOOKUP($A377,ALGLIB_SSA_XAUUSD!$J$2:$J$1000,ALGLIB_SSA_XAUUSD!$K$2:$K$1000,"",0)</f>
        <v>XAUUSD</v>
      </c>
      <c r="J377" t="str">
        <f>_xlfn.XLOOKUP($A377,ALGLIB_SSA_XAUUSD!$J$2:$J$1000,ALGLIB_SSA_XAUUSD!$L$2:$L$1000,"",0)</f>
        <v>M5</v>
      </c>
      <c r="K377">
        <f>_xlfn.XLOOKUP($A377,ALGLIB_SSA_XAUUSD!$J$2:$J$1000,ALGLIB_SSA_XAUUSD!$M$2:$M$1000,"",0)</f>
        <v>4647.9399999999996</v>
      </c>
      <c r="L377">
        <f>_xlfn.XLOOKUP($A377,ALGLIB_SSA_XAUUSD!$J$2:$J$1000,ALGLIB_SSA_XAUUSD!$N$2:$N$1000,"",0)</f>
        <v>4650.8649599999999</v>
      </c>
      <c r="M377">
        <f>_xlfn.XLOOKUP($A377,ALGLIB_SSA_XAUUSD!$J$2:$J$1000,ALGLIB_SSA_XAUUSD!$O$2:$O$1000,"",0)</f>
        <v>4651.3507499999996</v>
      </c>
      <c r="N377">
        <f>_xlfn.XLOOKUP($A377,ALGLIB_SSA_XAUUSD!$J$2:$J$1000,ALGLIB_SSA_XAUUSD!$P$2:$P$1000,"",0)</f>
        <v>4653.5109599999996</v>
      </c>
      <c r="O377">
        <f>_xlfn.XLOOKUP($A377,ALGLIB_SSA_XAUUSD!$J$2:$J$1000,ALGLIB_SSA_XAUUSD!$Q$2:$Q$1000,"",0)</f>
        <v>4648.6971800000001</v>
      </c>
      <c r="R377">
        <f t="shared" si="55"/>
        <v>1775502900</v>
      </c>
      <c r="S377" t="str">
        <f t="shared" si="56"/>
        <v>XAUUSD</v>
      </c>
      <c r="T377" t="str">
        <f t="shared" si="57"/>
        <v>M5</v>
      </c>
      <c r="U377">
        <f t="shared" si="58"/>
        <v>4647.9399999999996</v>
      </c>
      <c r="V377">
        <v>4656.3891899999999</v>
      </c>
      <c r="W377">
        <v>4658.3345300000001</v>
      </c>
      <c r="X377">
        <v>4650.8649599999999</v>
      </c>
      <c r="Y377">
        <v>4651.3507499999996</v>
      </c>
      <c r="Z377">
        <f t="shared" si="59"/>
        <v>4664.2506899999998</v>
      </c>
      <c r="AA377">
        <f t="shared" si="60"/>
        <v>4653.5109599999996</v>
      </c>
      <c r="AB377">
        <f t="shared" si="61"/>
        <v>4649.1540699999996</v>
      </c>
      <c r="AC377">
        <f t="shared" si="62"/>
        <v>4648.6971800000001</v>
      </c>
      <c r="AF377">
        <f t="shared" si="63"/>
        <v>4650.8649599999999</v>
      </c>
      <c r="AG377">
        <f t="shared" si="64"/>
        <v>4664.2506899999998</v>
      </c>
      <c r="AH377">
        <f t="shared" si="65"/>
        <v>4649.1540699999996</v>
      </c>
    </row>
    <row r="378" spans="1:34" x14ac:dyDescent="0.55000000000000004">
      <c r="A378">
        <f>ALGLIB_SSA_XAUUSD!J378</f>
        <v>1775503200</v>
      </c>
      <c r="B378" t="str">
        <f>_xlfn.XLOOKUP($A378,ALGLIB_SSA_XAUUSD!$A$2:$A$1000,ALGLIB_SSA_XAUUSD!$B$2:$B$1000,"",0)</f>
        <v/>
      </c>
      <c r="C378" t="str">
        <f>_xlfn.XLOOKUP($A378,ALGLIB_SSA_XAUUSD!$A$2:$A$1000,ALGLIB_SSA_XAUUSD!$C$2:$C$1000,"",0)</f>
        <v/>
      </c>
      <c r="D378" s="1">
        <f>D374+(D386-D374)*4/12</f>
        <v>4653.9566666666669</v>
      </c>
      <c r="E378" s="1">
        <f>E374+(E386-E374)*4/12</f>
        <v>4656.2814833333332</v>
      </c>
      <c r="F378" s="1">
        <f>F374+(F386-F374)*4/12</f>
        <v>4658.1957366666666</v>
      </c>
      <c r="G378" s="1">
        <f>G374+(G386-G374)*4/12</f>
        <v>4664.1694566666665</v>
      </c>
      <c r="H378" s="1">
        <f>H374+(H386-H374)*4/12</f>
        <v>4649.0752633333332</v>
      </c>
      <c r="I378" t="str">
        <f>_xlfn.XLOOKUP($A378,ALGLIB_SSA_XAUUSD!$J$2:$J$1000,ALGLIB_SSA_XAUUSD!$K$2:$K$1000,"",0)</f>
        <v>XAUUSD</v>
      </c>
      <c r="J378" t="str">
        <f>_xlfn.XLOOKUP($A378,ALGLIB_SSA_XAUUSD!$J$2:$J$1000,ALGLIB_SSA_XAUUSD!$L$2:$L$1000,"",0)</f>
        <v>M5</v>
      </c>
      <c r="K378">
        <f>_xlfn.XLOOKUP($A378,ALGLIB_SSA_XAUUSD!$J$2:$J$1000,ALGLIB_SSA_XAUUSD!$M$2:$M$1000,"",0)</f>
        <v>4647.3900000000003</v>
      </c>
      <c r="L378">
        <f>_xlfn.XLOOKUP($A378,ALGLIB_SSA_XAUUSD!$J$2:$J$1000,ALGLIB_SSA_XAUUSD!$N$2:$N$1000,"",0)</f>
        <v>4650.4910600000003</v>
      </c>
      <c r="M378">
        <f>_xlfn.XLOOKUP($A378,ALGLIB_SSA_XAUUSD!$J$2:$J$1000,ALGLIB_SSA_XAUUSD!$O$2:$O$1000,"",0)</f>
        <v>4650.9209099999998</v>
      </c>
      <c r="N378">
        <f>_xlfn.XLOOKUP($A378,ALGLIB_SSA_XAUUSD!$J$2:$J$1000,ALGLIB_SSA_XAUUSD!$P$2:$P$1000,"",0)</f>
        <v>4652.9633700000004</v>
      </c>
      <c r="O378">
        <f>_xlfn.XLOOKUP($A378,ALGLIB_SSA_XAUUSD!$J$2:$J$1000,ALGLIB_SSA_XAUUSD!$Q$2:$Q$1000,"",0)</f>
        <v>4648.6421600000003</v>
      </c>
      <c r="R378">
        <f t="shared" si="55"/>
        <v>1775503200</v>
      </c>
      <c r="S378" t="str">
        <f t="shared" si="56"/>
        <v>XAUUSD</v>
      </c>
      <c r="T378" t="str">
        <f t="shared" si="57"/>
        <v>M5</v>
      </c>
      <c r="U378">
        <f t="shared" si="58"/>
        <v>4647.3900000000003</v>
      </c>
      <c r="V378">
        <v>4656.2814799999996</v>
      </c>
      <c r="W378">
        <v>4658.1957400000001</v>
      </c>
      <c r="X378">
        <v>4650.4910600000003</v>
      </c>
      <c r="Y378">
        <v>4650.9209099999998</v>
      </c>
      <c r="Z378">
        <f t="shared" si="59"/>
        <v>4664.1694566666665</v>
      </c>
      <c r="AA378">
        <f t="shared" si="60"/>
        <v>4652.9633700000004</v>
      </c>
      <c r="AB378">
        <f t="shared" si="61"/>
        <v>4649.0752633333332</v>
      </c>
      <c r="AC378">
        <f t="shared" si="62"/>
        <v>4648.6421600000003</v>
      </c>
      <c r="AF378">
        <f t="shared" si="63"/>
        <v>4650.4910600000003</v>
      </c>
      <c r="AG378">
        <f t="shared" si="64"/>
        <v>4664.1694566666665</v>
      </c>
      <c r="AH378">
        <f t="shared" si="65"/>
        <v>4649.0752633333332</v>
      </c>
    </row>
    <row r="379" spans="1:34" x14ac:dyDescent="0.55000000000000004">
      <c r="A379">
        <f>ALGLIB_SSA_XAUUSD!J379</f>
        <v>1775503500</v>
      </c>
      <c r="B379" t="str">
        <f>_xlfn.XLOOKUP($A379,ALGLIB_SSA_XAUUSD!$A$2:$A$1000,ALGLIB_SSA_XAUUSD!$B$2:$B$1000,"",0)</f>
        <v/>
      </c>
      <c r="C379" t="str">
        <f>_xlfn.XLOOKUP($A379,ALGLIB_SSA_XAUUSD!$A$2:$A$1000,ALGLIB_SSA_XAUUSD!$C$2:$C$1000,"",0)</f>
        <v/>
      </c>
      <c r="D379" s="1">
        <f>D374+(D386-D374)*5/12</f>
        <v>4653.5458333333336</v>
      </c>
      <c r="E379" s="1">
        <f>E374+(E386-E374)*5/12</f>
        <v>4656.1737816666664</v>
      </c>
      <c r="F379" s="1">
        <f>F374+(F386-F374)*5/12</f>
        <v>4658.056943333333</v>
      </c>
      <c r="G379" s="1">
        <f>G374+(G386-G374)*5/12</f>
        <v>4664.0882233333332</v>
      </c>
      <c r="H379" s="1">
        <f>H374+(H386-H374)*5/12</f>
        <v>4648.9964566666667</v>
      </c>
      <c r="I379" t="str">
        <f>_xlfn.XLOOKUP($A379,ALGLIB_SSA_XAUUSD!$J$2:$J$1000,ALGLIB_SSA_XAUUSD!$K$2:$K$1000,"",0)</f>
        <v>XAUUSD</v>
      </c>
      <c r="J379" t="str">
        <f>_xlfn.XLOOKUP($A379,ALGLIB_SSA_XAUUSD!$J$2:$J$1000,ALGLIB_SSA_XAUUSD!$L$2:$L$1000,"",0)</f>
        <v>M5</v>
      </c>
      <c r="K379">
        <f>_xlfn.XLOOKUP($A379,ALGLIB_SSA_XAUUSD!$J$2:$J$1000,ALGLIB_SSA_XAUUSD!$M$2:$M$1000,"",0)</f>
        <v>4650.38</v>
      </c>
      <c r="L379">
        <f>_xlfn.XLOOKUP($A379,ALGLIB_SSA_XAUUSD!$J$2:$J$1000,ALGLIB_SSA_XAUUSD!$N$2:$N$1000,"",0)</f>
        <v>4650.3474399999996</v>
      </c>
      <c r="M379">
        <f>_xlfn.XLOOKUP($A379,ALGLIB_SSA_XAUUSD!$J$2:$J$1000,ALGLIB_SSA_XAUUSD!$O$2:$O$1000,"",0)</f>
        <v>4650.6341700000003</v>
      </c>
      <c r="N379">
        <f>_xlfn.XLOOKUP($A379,ALGLIB_SSA_XAUUSD!$J$2:$J$1000,ALGLIB_SSA_XAUUSD!$P$2:$P$1000,"",0)</f>
        <v>4652.5781500000003</v>
      </c>
      <c r="O379">
        <f>_xlfn.XLOOKUP($A379,ALGLIB_SSA_XAUUSD!$J$2:$J$1000,ALGLIB_SSA_XAUUSD!$Q$2:$Q$1000,"",0)</f>
        <v>4648.6860299999998</v>
      </c>
      <c r="R379">
        <f t="shared" si="55"/>
        <v>1775503500</v>
      </c>
      <c r="S379" t="str">
        <f t="shared" si="56"/>
        <v>XAUUSD</v>
      </c>
      <c r="T379" t="str">
        <f t="shared" si="57"/>
        <v>M5</v>
      </c>
      <c r="U379">
        <f t="shared" si="58"/>
        <v>4650.38</v>
      </c>
      <c r="V379">
        <v>4656.1737800000001</v>
      </c>
      <c r="W379">
        <v>4658.0569400000004</v>
      </c>
      <c r="X379">
        <v>4650.3474399999996</v>
      </c>
      <c r="Y379">
        <v>4650.6341700000003</v>
      </c>
      <c r="Z379">
        <f t="shared" si="59"/>
        <v>4664.0882233333332</v>
      </c>
      <c r="AA379">
        <f t="shared" si="60"/>
        <v>4652.5781500000003</v>
      </c>
      <c r="AB379">
        <f t="shared" si="61"/>
        <v>4648.9964566666667</v>
      </c>
      <c r="AC379">
        <f t="shared" si="62"/>
        <v>4648.6860299999998</v>
      </c>
      <c r="AF379">
        <f t="shared" si="63"/>
        <v>4650.3474399999996</v>
      </c>
      <c r="AG379">
        <f t="shared" si="64"/>
        <v>4664.0882233333332</v>
      </c>
      <c r="AH379">
        <f t="shared" si="65"/>
        <v>4648.9964566666667</v>
      </c>
    </row>
    <row r="380" spans="1:34" x14ac:dyDescent="0.55000000000000004">
      <c r="A380">
        <f>ALGLIB_SSA_XAUUSD!J380</f>
        <v>1775503800</v>
      </c>
      <c r="B380" t="str">
        <f>_xlfn.XLOOKUP($A380,ALGLIB_SSA_XAUUSD!$A$2:$A$1000,ALGLIB_SSA_XAUUSD!$B$2:$B$1000,"",0)</f>
        <v/>
      </c>
      <c r="C380" t="str">
        <f>_xlfn.XLOOKUP($A380,ALGLIB_SSA_XAUUSD!$A$2:$A$1000,ALGLIB_SSA_XAUUSD!$C$2:$C$1000,"",0)</f>
        <v/>
      </c>
      <c r="D380" s="1">
        <f>D374+(D386-D374)*6/12</f>
        <v>4653.1350000000002</v>
      </c>
      <c r="E380" s="1">
        <f>E374+(E386-E374)*6/12</f>
        <v>4656.0660800000005</v>
      </c>
      <c r="F380" s="1">
        <f>F374+(F386-F374)*6/12</f>
        <v>4657.9181499999995</v>
      </c>
      <c r="G380" s="1">
        <f>G374+(G386-G374)*6/12</f>
        <v>4664.0069899999999</v>
      </c>
      <c r="H380" s="1">
        <f>H374+(H386-H374)*6/12</f>
        <v>4648.9176499999994</v>
      </c>
      <c r="I380" t="str">
        <f>_xlfn.XLOOKUP($A380,ALGLIB_SSA_XAUUSD!$J$2:$J$1000,ALGLIB_SSA_XAUUSD!$K$2:$K$1000,"",0)</f>
        <v>XAUUSD</v>
      </c>
      <c r="J380" t="str">
        <f>_xlfn.XLOOKUP($A380,ALGLIB_SSA_XAUUSD!$J$2:$J$1000,ALGLIB_SSA_XAUUSD!$L$2:$L$1000,"",0)</f>
        <v>M5</v>
      </c>
      <c r="K380">
        <f>_xlfn.XLOOKUP($A380,ALGLIB_SSA_XAUUSD!$J$2:$J$1000,ALGLIB_SSA_XAUUSD!$M$2:$M$1000,"",0)</f>
        <v>4651.51</v>
      </c>
      <c r="L380">
        <f>_xlfn.XLOOKUP($A380,ALGLIB_SSA_XAUUSD!$J$2:$J$1000,ALGLIB_SSA_XAUUSD!$N$2:$N$1000,"",0)</f>
        <v>4650.4634400000004</v>
      </c>
      <c r="M380">
        <f>_xlfn.XLOOKUP($A380,ALGLIB_SSA_XAUUSD!$J$2:$J$1000,ALGLIB_SSA_XAUUSD!$O$2:$O$1000,"",0)</f>
        <v>4650.5487999999996</v>
      </c>
      <c r="N380">
        <f>_xlfn.XLOOKUP($A380,ALGLIB_SSA_XAUUSD!$J$2:$J$1000,ALGLIB_SSA_XAUUSD!$P$2:$P$1000,"",0)</f>
        <v>4652.4500900000003</v>
      </c>
      <c r="O380">
        <f>_xlfn.XLOOKUP($A380,ALGLIB_SSA_XAUUSD!$J$2:$J$1000,ALGLIB_SSA_XAUUSD!$Q$2:$Q$1000,"",0)</f>
        <v>4648.89426</v>
      </c>
      <c r="R380">
        <f t="shared" si="55"/>
        <v>1775503800</v>
      </c>
      <c r="S380" t="str">
        <f t="shared" si="56"/>
        <v>XAUUSD</v>
      </c>
      <c r="T380" t="str">
        <f t="shared" si="57"/>
        <v>M5</v>
      </c>
      <c r="U380">
        <f t="shared" si="58"/>
        <v>4651.51</v>
      </c>
      <c r="V380">
        <v>4656.0660799999996</v>
      </c>
      <c r="W380">
        <v>4657.9181500000004</v>
      </c>
      <c r="X380">
        <v>4650.4634400000004</v>
      </c>
      <c r="Y380">
        <v>4650.5487999999996</v>
      </c>
      <c r="Z380">
        <f t="shared" si="59"/>
        <v>4664.0069899999999</v>
      </c>
      <c r="AA380">
        <f t="shared" si="60"/>
        <v>4652.4500900000003</v>
      </c>
      <c r="AB380">
        <f t="shared" si="61"/>
        <v>4648.9176499999994</v>
      </c>
      <c r="AC380">
        <f t="shared" si="62"/>
        <v>4648.89426</v>
      </c>
      <c r="AF380">
        <f t="shared" si="63"/>
        <v>4650.4634400000004</v>
      </c>
      <c r="AG380">
        <f t="shared" si="64"/>
        <v>4664.0069899999999</v>
      </c>
      <c r="AH380">
        <f t="shared" si="65"/>
        <v>4648.9176499999994</v>
      </c>
    </row>
    <row r="381" spans="1:34" x14ac:dyDescent="0.55000000000000004">
      <c r="A381">
        <f>ALGLIB_SSA_XAUUSD!J381</f>
        <v>1775504100</v>
      </c>
      <c r="B381" t="str">
        <f>_xlfn.XLOOKUP($A381,ALGLIB_SSA_XAUUSD!$A$2:$A$1000,ALGLIB_SSA_XAUUSD!$B$2:$B$1000,"",0)</f>
        <v/>
      </c>
      <c r="C381" t="str">
        <f>_xlfn.XLOOKUP($A381,ALGLIB_SSA_XAUUSD!$A$2:$A$1000,ALGLIB_SSA_XAUUSD!$C$2:$C$1000,"",0)</f>
        <v/>
      </c>
      <c r="D381" s="1">
        <f>D374+(D386-D374)*7/12</f>
        <v>4652.7241666666669</v>
      </c>
      <c r="E381" s="1">
        <f>E374+(E386-E374)*7/12</f>
        <v>4655.9583783333337</v>
      </c>
      <c r="F381" s="1">
        <f>F374+(F386-F374)*7/12</f>
        <v>4657.7793566666669</v>
      </c>
      <c r="G381" s="1">
        <f>G374+(G386-G374)*7/12</f>
        <v>4663.9257566666665</v>
      </c>
      <c r="H381" s="1">
        <f>H374+(H386-H374)*7/12</f>
        <v>4648.838843333333</v>
      </c>
      <c r="I381" t="str">
        <f>_xlfn.XLOOKUP($A381,ALGLIB_SSA_XAUUSD!$J$2:$J$1000,ALGLIB_SSA_XAUUSD!$K$2:$K$1000,"",0)</f>
        <v>XAUUSD</v>
      </c>
      <c r="J381" t="str">
        <f>_xlfn.XLOOKUP($A381,ALGLIB_SSA_XAUUSD!$J$2:$J$1000,ALGLIB_SSA_XAUUSD!$L$2:$L$1000,"",0)</f>
        <v>M5</v>
      </c>
      <c r="K381">
        <f>_xlfn.XLOOKUP($A381,ALGLIB_SSA_XAUUSD!$J$2:$J$1000,ALGLIB_SSA_XAUUSD!$M$2:$M$1000,"",0)</f>
        <v>4650.84</v>
      </c>
      <c r="L381">
        <f>_xlfn.XLOOKUP($A381,ALGLIB_SSA_XAUUSD!$J$2:$J$1000,ALGLIB_SSA_XAUUSD!$N$2:$N$1000,"",0)</f>
        <v>4650.8965699999999</v>
      </c>
      <c r="M381">
        <f>_xlfn.XLOOKUP($A381,ALGLIB_SSA_XAUUSD!$J$2:$J$1000,ALGLIB_SSA_XAUUSD!$O$2:$O$1000,"",0)</f>
        <v>4650.7226899999996</v>
      </c>
      <c r="N381">
        <f>_xlfn.XLOOKUP($A381,ALGLIB_SSA_XAUUSD!$J$2:$J$1000,ALGLIB_SSA_XAUUSD!$P$2:$P$1000,"",0)</f>
        <v>4652.6142799999998</v>
      </c>
      <c r="O381">
        <f>_xlfn.XLOOKUP($A381,ALGLIB_SSA_XAUUSD!$J$2:$J$1000,ALGLIB_SSA_XAUUSD!$Q$2:$Q$1000,"",0)</f>
        <v>4649.24881</v>
      </c>
      <c r="R381">
        <f t="shared" si="55"/>
        <v>1775504100</v>
      </c>
      <c r="S381" t="str">
        <f t="shared" si="56"/>
        <v>XAUUSD</v>
      </c>
      <c r="T381" t="str">
        <f t="shared" si="57"/>
        <v>M5</v>
      </c>
      <c r="U381">
        <f t="shared" si="58"/>
        <v>4650.84</v>
      </c>
      <c r="V381">
        <v>4655.95838</v>
      </c>
      <c r="W381">
        <v>4657.7793600000005</v>
      </c>
      <c r="X381">
        <v>4650.8965699999999</v>
      </c>
      <c r="Y381">
        <v>4650.7226899999996</v>
      </c>
      <c r="Z381">
        <f t="shared" si="59"/>
        <v>4663.9257566666665</v>
      </c>
      <c r="AA381">
        <f t="shared" si="60"/>
        <v>4652.6142799999998</v>
      </c>
      <c r="AB381">
        <f t="shared" si="61"/>
        <v>4648.838843333333</v>
      </c>
      <c r="AC381">
        <f t="shared" si="62"/>
        <v>4649.24881</v>
      </c>
      <c r="AF381">
        <f t="shared" si="63"/>
        <v>4650.8965699999999</v>
      </c>
      <c r="AG381">
        <f t="shared" si="64"/>
        <v>4663.9257566666665</v>
      </c>
      <c r="AH381">
        <f t="shared" si="65"/>
        <v>4648.838843333333</v>
      </c>
    </row>
    <row r="382" spans="1:34" x14ac:dyDescent="0.55000000000000004">
      <c r="A382">
        <f>ALGLIB_SSA_XAUUSD!J382</f>
        <v>1775504400</v>
      </c>
      <c r="B382" t="str">
        <f>_xlfn.XLOOKUP($A382,ALGLIB_SSA_XAUUSD!$A$2:$A$1000,ALGLIB_SSA_XAUUSD!$B$2:$B$1000,"",0)</f>
        <v/>
      </c>
      <c r="C382" t="str">
        <f>_xlfn.XLOOKUP($A382,ALGLIB_SSA_XAUUSD!$A$2:$A$1000,ALGLIB_SSA_XAUUSD!$C$2:$C$1000,"",0)</f>
        <v/>
      </c>
      <c r="D382" s="1">
        <f>D374+(D386-D374)*8/12</f>
        <v>4652.3133333333335</v>
      </c>
      <c r="E382" s="1">
        <f>E374+(E386-E374)*8/12</f>
        <v>4655.8506766666669</v>
      </c>
      <c r="F382" s="1">
        <f>F374+(F386-F374)*8/12</f>
        <v>4657.6405633333334</v>
      </c>
      <c r="G382" s="1">
        <f>G374+(G386-G374)*8/12</f>
        <v>4663.8445233333332</v>
      </c>
      <c r="H382" s="1">
        <f>H374+(H386-H374)*8/12</f>
        <v>4648.7600366666666</v>
      </c>
      <c r="I382" t="str">
        <f>_xlfn.XLOOKUP($A382,ALGLIB_SSA_XAUUSD!$J$2:$J$1000,ALGLIB_SSA_XAUUSD!$K$2:$K$1000,"",0)</f>
        <v>XAUUSD</v>
      </c>
      <c r="J382" t="str">
        <f>_xlfn.XLOOKUP($A382,ALGLIB_SSA_XAUUSD!$J$2:$J$1000,ALGLIB_SSA_XAUUSD!$L$2:$L$1000,"",0)</f>
        <v>M5</v>
      </c>
      <c r="K382">
        <f>_xlfn.XLOOKUP($A382,ALGLIB_SSA_XAUUSD!$J$2:$J$1000,ALGLIB_SSA_XAUUSD!$M$2:$M$1000,"",0)</f>
        <v>4651.8599999999997</v>
      </c>
      <c r="L382">
        <f>_xlfn.XLOOKUP($A382,ALGLIB_SSA_XAUUSD!$J$2:$J$1000,ALGLIB_SSA_XAUUSD!$N$2:$N$1000,"",0)</f>
        <v>4651.7039000000004</v>
      </c>
      <c r="M382">
        <f>_xlfn.XLOOKUP($A382,ALGLIB_SSA_XAUUSD!$J$2:$J$1000,ALGLIB_SSA_XAUUSD!$O$2:$O$1000,"",0)</f>
        <v>4651.2133000000003</v>
      </c>
      <c r="N382">
        <f>_xlfn.XLOOKUP($A382,ALGLIB_SSA_XAUUSD!$J$2:$J$1000,ALGLIB_SSA_XAUUSD!$P$2:$P$1000,"",0)</f>
        <v>4653.1696000000002</v>
      </c>
      <c r="O382">
        <f>_xlfn.XLOOKUP($A382,ALGLIB_SSA_XAUUSD!$J$2:$J$1000,ALGLIB_SSA_XAUUSD!$Q$2:$Q$1000,"",0)</f>
        <v>4649.8019400000003</v>
      </c>
      <c r="R382">
        <f t="shared" si="55"/>
        <v>1775504400</v>
      </c>
      <c r="S382" t="str">
        <f t="shared" si="56"/>
        <v>XAUUSD</v>
      </c>
      <c r="T382" t="str">
        <f t="shared" si="57"/>
        <v>M5</v>
      </c>
      <c r="U382">
        <f t="shared" si="58"/>
        <v>4651.8599999999997</v>
      </c>
      <c r="V382">
        <v>4655.8506799999996</v>
      </c>
      <c r="W382">
        <v>4657.6405599999998</v>
      </c>
      <c r="X382">
        <v>4651.7039000000004</v>
      </c>
      <c r="Y382">
        <v>4651.2133000000003</v>
      </c>
      <c r="Z382">
        <f t="shared" si="59"/>
        <v>4663.8445233333332</v>
      </c>
      <c r="AA382">
        <f t="shared" si="60"/>
        <v>4653.1696000000002</v>
      </c>
      <c r="AB382">
        <f t="shared" si="61"/>
        <v>4648.7600366666666</v>
      </c>
      <c r="AC382">
        <f t="shared" si="62"/>
        <v>4649.8019400000003</v>
      </c>
      <c r="AF382">
        <f t="shared" si="63"/>
        <v>4651.7039000000004</v>
      </c>
      <c r="AG382">
        <f t="shared" si="64"/>
        <v>4663.8445233333332</v>
      </c>
      <c r="AH382">
        <f t="shared" si="65"/>
        <v>4648.7600366666666</v>
      </c>
    </row>
    <row r="383" spans="1:34" x14ac:dyDescent="0.55000000000000004">
      <c r="A383">
        <f>ALGLIB_SSA_XAUUSD!J383</f>
        <v>1775504700</v>
      </c>
      <c r="B383" t="str">
        <f>_xlfn.XLOOKUP($A383,ALGLIB_SSA_XAUUSD!$A$2:$A$1000,ALGLIB_SSA_XAUUSD!$B$2:$B$1000,"",0)</f>
        <v/>
      </c>
      <c r="C383" t="str">
        <f>_xlfn.XLOOKUP($A383,ALGLIB_SSA_XAUUSD!$A$2:$A$1000,ALGLIB_SSA_XAUUSD!$C$2:$C$1000,"",0)</f>
        <v/>
      </c>
      <c r="D383" s="1">
        <f>D374+(D386-D374)*9/12</f>
        <v>4651.9025000000001</v>
      </c>
      <c r="E383" s="1">
        <f>E374+(E386-E374)*9/12</f>
        <v>4655.7429750000001</v>
      </c>
      <c r="F383" s="1">
        <f>F374+(F386-F374)*9/12</f>
        <v>4657.5017699999999</v>
      </c>
      <c r="G383" s="1">
        <f>G374+(G386-G374)*9/12</f>
        <v>4663.7632899999999</v>
      </c>
      <c r="H383" s="1">
        <f>H374+(H386-H374)*9/12</f>
        <v>4648.6812300000001</v>
      </c>
      <c r="I383" t="str">
        <f>_xlfn.XLOOKUP($A383,ALGLIB_SSA_XAUUSD!$J$2:$J$1000,ALGLIB_SSA_XAUUSD!$K$2:$K$1000,"",0)</f>
        <v>XAUUSD</v>
      </c>
      <c r="J383" t="str">
        <f>_xlfn.XLOOKUP($A383,ALGLIB_SSA_XAUUSD!$J$2:$J$1000,ALGLIB_SSA_XAUUSD!$L$2:$L$1000,"",0)</f>
        <v>M5</v>
      </c>
      <c r="K383">
        <f>_xlfn.XLOOKUP($A383,ALGLIB_SSA_XAUUSD!$J$2:$J$1000,ALGLIB_SSA_XAUUSD!$M$2:$M$1000,"",0)</f>
        <v>4655.57</v>
      </c>
      <c r="L383">
        <f>_xlfn.XLOOKUP($A383,ALGLIB_SSA_XAUUSD!$J$2:$J$1000,ALGLIB_SSA_XAUUSD!$N$2:$N$1000,"",0)</f>
        <v>4652.8321299999998</v>
      </c>
      <c r="M383">
        <f>_xlfn.XLOOKUP($A383,ALGLIB_SSA_XAUUSD!$J$2:$J$1000,ALGLIB_SSA_XAUUSD!$O$2:$O$1000,"",0)</f>
        <v>4652.0227100000002</v>
      </c>
      <c r="N383">
        <f>_xlfn.XLOOKUP($A383,ALGLIB_SSA_XAUUSD!$J$2:$J$1000,ALGLIB_SSA_XAUUSD!$P$2:$P$1000,"",0)</f>
        <v>4654.1382199999998</v>
      </c>
      <c r="O383">
        <f>_xlfn.XLOOKUP($A383,ALGLIB_SSA_XAUUSD!$J$2:$J$1000,ALGLIB_SSA_XAUUSD!$Q$2:$Q$1000,"",0)</f>
        <v>4650.6502700000001</v>
      </c>
      <c r="R383">
        <f t="shared" si="55"/>
        <v>1775504700</v>
      </c>
      <c r="S383" t="str">
        <f t="shared" si="56"/>
        <v>XAUUSD</v>
      </c>
      <c r="T383" t="str">
        <f t="shared" si="57"/>
        <v>M5</v>
      </c>
      <c r="U383">
        <f t="shared" si="58"/>
        <v>4655.57</v>
      </c>
      <c r="V383">
        <v>4655.74298</v>
      </c>
      <c r="W383">
        <v>4657.5017699999999</v>
      </c>
      <c r="X383">
        <v>4652.8321299999998</v>
      </c>
      <c r="Y383">
        <v>4652.0227100000002</v>
      </c>
      <c r="Z383">
        <f t="shared" si="59"/>
        <v>4663.7632899999999</v>
      </c>
      <c r="AA383">
        <f t="shared" si="60"/>
        <v>4654.1382199999998</v>
      </c>
      <c r="AB383">
        <f t="shared" si="61"/>
        <v>4648.6812300000001</v>
      </c>
      <c r="AC383">
        <f t="shared" si="62"/>
        <v>4650.6502700000001</v>
      </c>
      <c r="AF383">
        <f t="shared" si="63"/>
        <v>4652.8321299999998</v>
      </c>
      <c r="AG383">
        <f t="shared" si="64"/>
        <v>4663.7632899999999</v>
      </c>
      <c r="AH383">
        <f t="shared" si="65"/>
        <v>4648.6812300000001</v>
      </c>
    </row>
    <row r="384" spans="1:34" x14ac:dyDescent="0.55000000000000004">
      <c r="A384">
        <f>ALGLIB_SSA_XAUUSD!J384</f>
        <v>1775505000</v>
      </c>
      <c r="B384" t="str">
        <f>_xlfn.XLOOKUP($A384,ALGLIB_SSA_XAUUSD!$A$2:$A$1000,ALGLIB_SSA_XAUUSD!$B$2:$B$1000,"",0)</f>
        <v/>
      </c>
      <c r="C384" t="str">
        <f>_xlfn.XLOOKUP($A384,ALGLIB_SSA_XAUUSD!$A$2:$A$1000,ALGLIB_SSA_XAUUSD!$C$2:$C$1000,"",0)</f>
        <v/>
      </c>
      <c r="D384" s="1">
        <f>D374+(D386-D374)*10/12</f>
        <v>4651.4916666666668</v>
      </c>
      <c r="E384" s="1">
        <f>E374+(E386-E374)*10/12</f>
        <v>4655.6352733333333</v>
      </c>
      <c r="F384" s="1">
        <f>F374+(F386-F374)*10/12</f>
        <v>4657.3629766666672</v>
      </c>
      <c r="G384" s="1">
        <f>G374+(G386-G374)*10/12</f>
        <v>4663.6820566666665</v>
      </c>
      <c r="H384" s="1">
        <f>H374+(H386-H374)*10/12</f>
        <v>4648.6024233333337</v>
      </c>
      <c r="I384" t="str">
        <f>_xlfn.XLOOKUP($A384,ALGLIB_SSA_XAUUSD!$J$2:$J$1000,ALGLIB_SSA_XAUUSD!$K$2:$K$1000,"",0)</f>
        <v>XAUUSD</v>
      </c>
      <c r="J384" t="str">
        <f>_xlfn.XLOOKUP($A384,ALGLIB_SSA_XAUUSD!$J$2:$J$1000,ALGLIB_SSA_XAUUSD!$L$2:$L$1000,"",0)</f>
        <v>M5</v>
      </c>
      <c r="K384">
        <f>_xlfn.XLOOKUP($A384,ALGLIB_SSA_XAUUSD!$J$2:$J$1000,ALGLIB_SSA_XAUUSD!$M$2:$M$1000,"",0)</f>
        <v>4654.33</v>
      </c>
      <c r="L384">
        <f>_xlfn.XLOOKUP($A384,ALGLIB_SSA_XAUUSD!$J$2:$J$1000,ALGLIB_SSA_XAUUSD!$N$2:$N$1000,"",0)</f>
        <v>4654.0720600000004</v>
      </c>
      <c r="M384">
        <f>_xlfn.XLOOKUP($A384,ALGLIB_SSA_XAUUSD!$J$2:$J$1000,ALGLIB_SSA_XAUUSD!$O$2:$O$1000,"",0)</f>
        <v>4653.0473899999997</v>
      </c>
      <c r="N384">
        <f>_xlfn.XLOOKUP($A384,ALGLIB_SSA_XAUUSD!$J$2:$J$1000,ALGLIB_SSA_XAUUSD!$P$2:$P$1000,"",0)</f>
        <v>4655.3504199999998</v>
      </c>
      <c r="O384">
        <f>_xlfn.XLOOKUP($A384,ALGLIB_SSA_XAUUSD!$J$2:$J$1000,ALGLIB_SSA_XAUUSD!$Q$2:$Q$1000,"",0)</f>
        <v>4651.7011499999999</v>
      </c>
      <c r="R384">
        <f t="shared" si="55"/>
        <v>1775505000</v>
      </c>
      <c r="S384" t="str">
        <f t="shared" si="56"/>
        <v>XAUUSD</v>
      </c>
      <c r="T384" t="str">
        <f t="shared" si="57"/>
        <v>M5</v>
      </c>
      <c r="U384">
        <f t="shared" si="58"/>
        <v>4654.33</v>
      </c>
      <c r="V384">
        <v>4655.6352699999998</v>
      </c>
      <c r="W384">
        <v>4657.3629799999999</v>
      </c>
      <c r="X384">
        <v>4654.0720600000004</v>
      </c>
      <c r="Y384">
        <v>4653.0473899999997</v>
      </c>
      <c r="Z384">
        <f t="shared" si="59"/>
        <v>4663.6820566666665</v>
      </c>
      <c r="AA384">
        <f t="shared" si="60"/>
        <v>4655.3504199999998</v>
      </c>
      <c r="AB384">
        <f t="shared" si="61"/>
        <v>4648.6024233333337</v>
      </c>
      <c r="AC384">
        <f t="shared" si="62"/>
        <v>4651.7011499999999</v>
      </c>
      <c r="AF384">
        <f t="shared" si="63"/>
        <v>4654.0720600000004</v>
      </c>
      <c r="AG384">
        <f t="shared" si="64"/>
        <v>4663.6820566666665</v>
      </c>
      <c r="AH384">
        <f t="shared" si="65"/>
        <v>4648.6024233333337</v>
      </c>
    </row>
    <row r="385" spans="1:34" x14ac:dyDescent="0.55000000000000004">
      <c r="A385">
        <f>ALGLIB_SSA_XAUUSD!J385</f>
        <v>1775505300</v>
      </c>
      <c r="B385" t="str">
        <f>_xlfn.XLOOKUP($A385,ALGLIB_SSA_XAUUSD!$A$2:$A$1000,ALGLIB_SSA_XAUUSD!$B$2:$B$1000,"",0)</f>
        <v/>
      </c>
      <c r="C385" t="str">
        <f>_xlfn.XLOOKUP($A385,ALGLIB_SSA_XAUUSD!$A$2:$A$1000,ALGLIB_SSA_XAUUSD!$C$2:$C$1000,"",0)</f>
        <v/>
      </c>
      <c r="D385" s="1">
        <f>D374+(D386-D374)*11/12</f>
        <v>4651.0808333333334</v>
      </c>
      <c r="E385" s="1">
        <f>E374+(E386-E374)*11/12</f>
        <v>4655.5275716666665</v>
      </c>
      <c r="F385" s="1">
        <f>F374+(F386-F374)*11/12</f>
        <v>4657.2241833333337</v>
      </c>
      <c r="G385" s="1">
        <f>G374+(G386-G374)*11/12</f>
        <v>4663.6008233333332</v>
      </c>
      <c r="H385" s="1">
        <f>H374+(H386-H374)*11/12</f>
        <v>4648.5236166666664</v>
      </c>
      <c r="I385" t="str">
        <f>_xlfn.XLOOKUP($A385,ALGLIB_SSA_XAUUSD!$J$2:$J$1000,ALGLIB_SSA_XAUUSD!$K$2:$K$1000,"",0)</f>
        <v>XAUUSD</v>
      </c>
      <c r="J385" t="str">
        <f>_xlfn.XLOOKUP($A385,ALGLIB_SSA_XAUUSD!$J$2:$J$1000,ALGLIB_SSA_XAUUSD!$L$2:$L$1000,"",0)</f>
        <v>M5</v>
      </c>
      <c r="K385">
        <f>_xlfn.XLOOKUP($A385,ALGLIB_SSA_XAUUSD!$J$2:$J$1000,ALGLIB_SSA_XAUUSD!$M$2:$M$1000,"",0)</f>
        <v>4655.6000000000004</v>
      </c>
      <c r="L385">
        <f>_xlfn.XLOOKUP($A385,ALGLIB_SSA_XAUUSD!$J$2:$J$1000,ALGLIB_SSA_XAUUSD!$N$2:$N$1000,"",0)</f>
        <v>4655.2972399999999</v>
      </c>
      <c r="M385">
        <f>_xlfn.XLOOKUP($A385,ALGLIB_SSA_XAUUSD!$J$2:$J$1000,ALGLIB_SSA_XAUUSD!$O$2:$O$1000,"",0)</f>
        <v>4654.1723099999999</v>
      </c>
      <c r="N385">
        <f>_xlfn.XLOOKUP($A385,ALGLIB_SSA_XAUUSD!$J$2:$J$1000,ALGLIB_SSA_XAUUSD!$P$2:$P$1000,"",0)</f>
        <v>4656.6181200000001</v>
      </c>
      <c r="O385">
        <f>_xlfn.XLOOKUP($A385,ALGLIB_SSA_XAUUSD!$J$2:$J$1000,ALGLIB_SSA_XAUUSD!$Q$2:$Q$1000,"",0)</f>
        <v>4652.8223600000001</v>
      </c>
      <c r="R385">
        <f t="shared" si="55"/>
        <v>1775505300</v>
      </c>
      <c r="S385" t="str">
        <f t="shared" si="56"/>
        <v>XAUUSD</v>
      </c>
      <c r="T385" t="str">
        <f t="shared" si="57"/>
        <v>M5</v>
      </c>
      <c r="U385">
        <f t="shared" si="58"/>
        <v>4655.6000000000004</v>
      </c>
      <c r="V385">
        <v>4655.5275700000002</v>
      </c>
      <c r="W385">
        <v>4657.2241800000002</v>
      </c>
      <c r="X385">
        <v>4655.2972399999999</v>
      </c>
      <c r="Y385">
        <v>4654.1723099999999</v>
      </c>
      <c r="Z385">
        <f t="shared" si="59"/>
        <v>4663.6008233333332</v>
      </c>
      <c r="AA385">
        <f t="shared" si="60"/>
        <v>4656.6181200000001</v>
      </c>
      <c r="AB385">
        <f t="shared" si="61"/>
        <v>4648.5236166666664</v>
      </c>
      <c r="AC385">
        <f t="shared" si="62"/>
        <v>4652.8223600000001</v>
      </c>
      <c r="AF385">
        <f t="shared" si="63"/>
        <v>4655.2972399999999</v>
      </c>
      <c r="AG385">
        <f t="shared" si="64"/>
        <v>4663.6008233333332</v>
      </c>
      <c r="AH385">
        <f t="shared" si="65"/>
        <v>4648.5236166666664</v>
      </c>
    </row>
    <row r="386" spans="1:34" x14ac:dyDescent="0.55000000000000004">
      <c r="A386">
        <f>ALGLIB_SSA_XAUUSD!J386</f>
        <v>1775505600</v>
      </c>
      <c r="B386" t="str">
        <f>_xlfn.XLOOKUP($A386,ALGLIB_SSA_XAUUSD!$A$2:$A$1000,ALGLIB_SSA_XAUUSD!$B$2:$B$1000,"",0)</f>
        <v>XAUUSD</v>
      </c>
      <c r="C386" t="str">
        <f>_xlfn.XLOOKUP($A386,ALGLIB_SSA_XAUUSD!$A$2:$A$1000,ALGLIB_SSA_XAUUSD!$C$2:$C$1000,"",0)</f>
        <v>H1</v>
      </c>
      <c r="D386" s="2">
        <f>_xlfn.XLOOKUP($A386,ALGLIB_SSA_XAUUSD!$A$2:$A$1000,ALGLIB_SSA_XAUUSD!$D$2:$D$1000,"",0)</f>
        <v>4650.67</v>
      </c>
      <c r="E386" s="2">
        <f>_xlfn.XLOOKUP($A386,ALGLIB_SSA_XAUUSD!$A$2:$A$1000,ALGLIB_SSA_XAUUSD!$E$2:$E$1000,"",0)</f>
        <v>4655.4198699999997</v>
      </c>
      <c r="F386" s="2">
        <f>_xlfn.XLOOKUP($A386,ALGLIB_SSA_XAUUSD!$A$2:$A$1000,ALGLIB_SSA_XAUUSD!$F$2:$F$1000,"",0)</f>
        <v>4657.0853900000002</v>
      </c>
      <c r="G386" s="2">
        <f>_xlfn.XLOOKUP($A386,ALGLIB_SSA_XAUUSD!$A$2:$A$1000,ALGLIB_SSA_XAUUSD!$G$2:$G$1000,"",0)</f>
        <v>4663.5195899999999</v>
      </c>
      <c r="H386" s="2">
        <f>_xlfn.XLOOKUP($A386,ALGLIB_SSA_XAUUSD!$A$2:$A$1000,ALGLIB_SSA_XAUUSD!$H$2:$H$1000,"",0)</f>
        <v>4648.44481</v>
      </c>
      <c r="I386" t="str">
        <f>_xlfn.XLOOKUP($A386,ALGLIB_SSA_XAUUSD!$J$2:$J$1000,ALGLIB_SSA_XAUUSD!$K$2:$K$1000,"",0)</f>
        <v>XAUUSD</v>
      </c>
      <c r="J386" t="str">
        <f>_xlfn.XLOOKUP($A386,ALGLIB_SSA_XAUUSD!$J$2:$J$1000,ALGLIB_SSA_XAUUSD!$L$2:$L$1000,"",0)</f>
        <v>M5</v>
      </c>
      <c r="K386">
        <f>_xlfn.XLOOKUP($A386,ALGLIB_SSA_XAUUSD!$J$2:$J$1000,ALGLIB_SSA_XAUUSD!$M$2:$M$1000,"",0)</f>
        <v>4655.42</v>
      </c>
      <c r="L386">
        <f>_xlfn.XLOOKUP($A386,ALGLIB_SSA_XAUUSD!$J$2:$J$1000,ALGLIB_SSA_XAUUSD!$N$2:$N$1000,"",0)</f>
        <v>4656.2939100000003</v>
      </c>
      <c r="M386">
        <f>_xlfn.XLOOKUP($A386,ALGLIB_SSA_XAUUSD!$J$2:$J$1000,ALGLIB_SSA_XAUUSD!$O$2:$O$1000,"",0)</f>
        <v>4655.2331100000001</v>
      </c>
      <c r="N386">
        <f>_xlfn.XLOOKUP($A386,ALGLIB_SSA_XAUUSD!$J$2:$J$1000,ALGLIB_SSA_XAUUSD!$P$2:$P$1000,"",0)</f>
        <v>4657.6973200000002</v>
      </c>
      <c r="O386">
        <f>_xlfn.XLOOKUP($A386,ALGLIB_SSA_XAUUSD!$J$2:$J$1000,ALGLIB_SSA_XAUUSD!$Q$2:$Q$1000,"",0)</f>
        <v>4653.89066</v>
      </c>
      <c r="R386">
        <f t="shared" si="55"/>
        <v>1775505600</v>
      </c>
      <c r="S386" t="str">
        <f t="shared" si="56"/>
        <v>XAUUSD</v>
      </c>
      <c r="T386" t="str">
        <f t="shared" si="57"/>
        <v>M5</v>
      </c>
      <c r="U386">
        <f t="shared" si="58"/>
        <v>4655.42</v>
      </c>
      <c r="V386">
        <v>4655.4198699999997</v>
      </c>
      <c r="W386">
        <v>4657.0853900000002</v>
      </c>
      <c r="X386">
        <v>4656.2939100000003</v>
      </c>
      <c r="Y386">
        <v>4655.2331100000001</v>
      </c>
      <c r="Z386">
        <f t="shared" si="59"/>
        <v>4663.5195899999999</v>
      </c>
      <c r="AA386">
        <f t="shared" si="60"/>
        <v>4657.6973200000002</v>
      </c>
      <c r="AB386">
        <f t="shared" si="61"/>
        <v>4648.44481</v>
      </c>
      <c r="AC386">
        <f t="shared" si="62"/>
        <v>4653.89066</v>
      </c>
      <c r="AF386">
        <f t="shared" si="63"/>
        <v>4656.2939100000003</v>
      </c>
      <c r="AG386">
        <f t="shared" si="64"/>
        <v>4663.5195899999999</v>
      </c>
      <c r="AH386">
        <f t="shared" si="65"/>
        <v>4648.44481</v>
      </c>
    </row>
    <row r="387" spans="1:34" x14ac:dyDescent="0.55000000000000004">
      <c r="A387">
        <f>ALGLIB_SSA_XAUUSD!J387</f>
        <v>1775505900</v>
      </c>
      <c r="B387" t="str">
        <f>_xlfn.XLOOKUP($A387,ALGLIB_SSA_XAUUSD!$A$2:$A$1000,ALGLIB_SSA_XAUUSD!$B$2:$B$1000,"",0)</f>
        <v/>
      </c>
      <c r="C387" t="str">
        <f>_xlfn.XLOOKUP($A387,ALGLIB_SSA_XAUUSD!$A$2:$A$1000,ALGLIB_SSA_XAUUSD!$C$2:$C$1000,"",0)</f>
        <v/>
      </c>
      <c r="D387" s="1">
        <f>D386+(D398-D386)*1/12</f>
        <v>4651.3050000000003</v>
      </c>
      <c r="E387" s="1">
        <f>E386+(E398-E386)*1/12</f>
        <v>4655.2847183333333</v>
      </c>
      <c r="F387" s="1">
        <f>F386+(F398-F386)*1/12</f>
        <v>4656.9484174999998</v>
      </c>
      <c r="G387" s="1">
        <f>G386+(G398-G386)*1/12</f>
        <v>4663.4475883333334</v>
      </c>
      <c r="H387" s="1">
        <f>H386+(H398-H386)*1/12</f>
        <v>4648.2831291666662</v>
      </c>
      <c r="I387" t="str">
        <f>_xlfn.XLOOKUP($A387,ALGLIB_SSA_XAUUSD!$J$2:$J$1000,ALGLIB_SSA_XAUUSD!$K$2:$K$1000,"",0)</f>
        <v>XAUUSD</v>
      </c>
      <c r="J387" t="str">
        <f>_xlfn.XLOOKUP($A387,ALGLIB_SSA_XAUUSD!$J$2:$J$1000,ALGLIB_SSA_XAUUSD!$L$2:$L$1000,"",0)</f>
        <v>M5</v>
      </c>
      <c r="K387">
        <f>_xlfn.XLOOKUP($A387,ALGLIB_SSA_XAUUSD!$J$2:$J$1000,ALGLIB_SSA_XAUUSD!$M$2:$M$1000,"",0)</f>
        <v>4653.21</v>
      </c>
      <c r="L387">
        <f>_xlfn.XLOOKUP($A387,ALGLIB_SSA_XAUUSD!$J$2:$J$1000,ALGLIB_SSA_XAUUSD!$N$2:$N$1000,"",0)</f>
        <v>4656.8952099999997</v>
      </c>
      <c r="M387">
        <f>_xlfn.XLOOKUP($A387,ALGLIB_SSA_XAUUSD!$J$2:$J$1000,ALGLIB_SSA_XAUUSD!$O$2:$O$1000,"",0)</f>
        <v>4656.0641599999999</v>
      </c>
      <c r="N387">
        <f>_xlfn.XLOOKUP($A387,ALGLIB_SSA_XAUUSD!$J$2:$J$1000,ALGLIB_SSA_XAUUSD!$P$2:$P$1000,"",0)</f>
        <v>4658.4143999999997</v>
      </c>
      <c r="O387">
        <f>_xlfn.XLOOKUP($A387,ALGLIB_SSA_XAUUSD!$J$2:$J$1000,ALGLIB_SSA_XAUUSD!$Q$2:$Q$1000,"",0)</f>
        <v>4654.78755</v>
      </c>
      <c r="R387">
        <f t="shared" ref="R387:R450" si="66">A387</f>
        <v>1775505900</v>
      </c>
      <c r="S387" t="str">
        <f t="shared" ref="S387:S450" si="67">I387</f>
        <v>XAUUSD</v>
      </c>
      <c r="T387" t="str">
        <f t="shared" ref="T387:T450" si="68">J387</f>
        <v>M5</v>
      </c>
      <c r="U387">
        <f t="shared" ref="U387:U450" si="69">K387</f>
        <v>4653.21</v>
      </c>
      <c r="V387">
        <v>4655.2847199999997</v>
      </c>
      <c r="W387">
        <v>4656.9484199999997</v>
      </c>
      <c r="X387">
        <v>4656.8952099999997</v>
      </c>
      <c r="Y387">
        <v>4656.0641599999999</v>
      </c>
      <c r="Z387">
        <f t="shared" ref="Z387:Z450" si="70">G387</f>
        <v>4663.4475883333334</v>
      </c>
      <c r="AA387">
        <f t="shared" ref="AA387:AA450" si="71">N387</f>
        <v>4658.4143999999997</v>
      </c>
      <c r="AB387">
        <f t="shared" ref="AB387:AB450" si="72">H387</f>
        <v>4648.2831291666662</v>
      </c>
      <c r="AC387">
        <f t="shared" ref="AC387:AC450" si="73">O387</f>
        <v>4654.78755</v>
      </c>
      <c r="AF387">
        <f t="shared" ref="AF387:AF450" si="74">X387</f>
        <v>4656.8952099999997</v>
      </c>
      <c r="AG387">
        <f t="shared" ref="AG387:AG450" si="75">Z387</f>
        <v>4663.4475883333334</v>
      </c>
      <c r="AH387">
        <f t="shared" ref="AH387:AH450" si="76">AB387</f>
        <v>4648.2831291666662</v>
      </c>
    </row>
    <row r="388" spans="1:34" x14ac:dyDescent="0.55000000000000004">
      <c r="A388">
        <f>ALGLIB_SSA_XAUUSD!J388</f>
        <v>1775506200</v>
      </c>
      <c r="B388" t="str">
        <f>_xlfn.XLOOKUP($A388,ALGLIB_SSA_XAUUSD!$A$2:$A$1000,ALGLIB_SSA_XAUUSD!$B$2:$B$1000,"",0)</f>
        <v/>
      </c>
      <c r="C388" t="str">
        <f>_xlfn.XLOOKUP($A388,ALGLIB_SSA_XAUUSD!$A$2:$A$1000,ALGLIB_SSA_XAUUSD!$C$2:$C$1000,"",0)</f>
        <v/>
      </c>
      <c r="D388" s="1">
        <f>D386+(D398-D386)*2/12</f>
        <v>4651.9400000000005</v>
      </c>
      <c r="E388" s="1">
        <f>E386+(E398-E386)*2/12</f>
        <v>4655.1495666666669</v>
      </c>
      <c r="F388" s="1">
        <f>F386+(F398-F386)*2/12</f>
        <v>4656.8114450000003</v>
      </c>
      <c r="G388" s="1">
        <f>G386+(G398-G386)*2/12</f>
        <v>4663.375586666667</v>
      </c>
      <c r="H388" s="1">
        <f>H386+(H398-H386)*2/12</f>
        <v>4648.1214483333333</v>
      </c>
      <c r="I388" t="str">
        <f>_xlfn.XLOOKUP($A388,ALGLIB_SSA_XAUUSD!$J$2:$J$1000,ALGLIB_SSA_XAUUSD!$K$2:$K$1000,"",0)</f>
        <v>XAUUSD</v>
      </c>
      <c r="J388" t="str">
        <f>_xlfn.XLOOKUP($A388,ALGLIB_SSA_XAUUSD!$J$2:$J$1000,ALGLIB_SSA_XAUUSD!$L$2:$L$1000,"",0)</f>
        <v>M5</v>
      </c>
      <c r="K388">
        <f>_xlfn.XLOOKUP($A388,ALGLIB_SSA_XAUUSD!$J$2:$J$1000,ALGLIB_SSA_XAUUSD!$M$2:$M$1000,"",0)</f>
        <v>4657.2299999999996</v>
      </c>
      <c r="L388">
        <f>_xlfn.XLOOKUP($A388,ALGLIB_SSA_XAUUSD!$J$2:$J$1000,ALGLIB_SSA_XAUUSD!$N$2:$N$1000,"",0)</f>
        <v>4657.0463300000001</v>
      </c>
      <c r="M388">
        <f>_xlfn.XLOOKUP($A388,ALGLIB_SSA_XAUUSD!$J$2:$J$1000,ALGLIB_SSA_XAUUSD!$O$2:$O$1000,"",0)</f>
        <v>4656.5552399999997</v>
      </c>
      <c r="N388">
        <f>_xlfn.XLOOKUP($A388,ALGLIB_SSA_XAUUSD!$J$2:$J$1000,ALGLIB_SSA_XAUUSD!$P$2:$P$1000,"",0)</f>
        <v>4658.6725299999998</v>
      </c>
      <c r="O388">
        <f>_xlfn.XLOOKUP($A388,ALGLIB_SSA_XAUUSD!$J$2:$J$1000,ALGLIB_SSA_XAUUSD!$Q$2:$Q$1000,"",0)</f>
        <v>4655.3781799999997</v>
      </c>
      <c r="R388">
        <f t="shared" si="66"/>
        <v>1775506200</v>
      </c>
      <c r="S388" t="str">
        <f t="shared" si="67"/>
        <v>XAUUSD</v>
      </c>
      <c r="T388" t="str">
        <f t="shared" si="68"/>
        <v>M5</v>
      </c>
      <c r="U388">
        <f t="shared" si="69"/>
        <v>4657.2299999999996</v>
      </c>
      <c r="V388">
        <v>4655.1495699999996</v>
      </c>
      <c r="W388">
        <v>4656.8114500000001</v>
      </c>
      <c r="X388">
        <v>4657.0463300000001</v>
      </c>
      <c r="Y388">
        <v>4656.5552399999997</v>
      </c>
      <c r="Z388">
        <f t="shared" si="70"/>
        <v>4663.375586666667</v>
      </c>
      <c r="AA388">
        <f t="shared" si="71"/>
        <v>4658.6725299999998</v>
      </c>
      <c r="AB388">
        <f t="shared" si="72"/>
        <v>4648.1214483333333</v>
      </c>
      <c r="AC388">
        <f t="shared" si="73"/>
        <v>4655.3781799999997</v>
      </c>
      <c r="AF388">
        <f t="shared" si="74"/>
        <v>4657.0463300000001</v>
      </c>
      <c r="AG388">
        <f t="shared" si="75"/>
        <v>4663.375586666667</v>
      </c>
      <c r="AH388">
        <f t="shared" si="76"/>
        <v>4648.1214483333333</v>
      </c>
    </row>
    <row r="389" spans="1:34" x14ac:dyDescent="0.55000000000000004">
      <c r="A389">
        <f>ALGLIB_SSA_XAUUSD!J389</f>
        <v>1775506500</v>
      </c>
      <c r="B389" t="str">
        <f>_xlfn.XLOOKUP($A389,ALGLIB_SSA_XAUUSD!$A$2:$A$1000,ALGLIB_SSA_XAUUSD!$B$2:$B$1000,"",0)</f>
        <v/>
      </c>
      <c r="C389" t="str">
        <f>_xlfn.XLOOKUP($A389,ALGLIB_SSA_XAUUSD!$A$2:$A$1000,ALGLIB_SSA_XAUUSD!$C$2:$C$1000,"",0)</f>
        <v/>
      </c>
      <c r="D389" s="1">
        <f>D386+(D398-D386)*3/12</f>
        <v>4652.5749999999998</v>
      </c>
      <c r="E389" s="1">
        <f>E386+(E398-E386)*3/12</f>
        <v>4655.0144149999996</v>
      </c>
      <c r="F389" s="1">
        <f>F386+(F398-F386)*3/12</f>
        <v>4656.6744724999999</v>
      </c>
      <c r="G389" s="1">
        <f>G386+(G398-G386)*3/12</f>
        <v>4663.3035849999997</v>
      </c>
      <c r="H389" s="1">
        <f>H386+(H398-H386)*3/12</f>
        <v>4647.9597675000005</v>
      </c>
      <c r="I389" t="str">
        <f>_xlfn.XLOOKUP($A389,ALGLIB_SSA_XAUUSD!$J$2:$J$1000,ALGLIB_SSA_XAUUSD!$K$2:$K$1000,"",0)</f>
        <v>XAUUSD</v>
      </c>
      <c r="J389" t="str">
        <f>_xlfn.XLOOKUP($A389,ALGLIB_SSA_XAUUSD!$J$2:$J$1000,ALGLIB_SSA_XAUUSD!$L$2:$L$1000,"",0)</f>
        <v>M5</v>
      </c>
      <c r="K389">
        <f>_xlfn.XLOOKUP($A389,ALGLIB_SSA_XAUUSD!$J$2:$J$1000,ALGLIB_SSA_XAUUSD!$M$2:$M$1000,"",0)</f>
        <v>4656.78</v>
      </c>
      <c r="L389">
        <f>_xlfn.XLOOKUP($A389,ALGLIB_SSA_XAUUSD!$J$2:$J$1000,ALGLIB_SSA_XAUUSD!$N$2:$N$1000,"",0)</f>
        <v>4656.6307399999996</v>
      </c>
      <c r="M389">
        <f>_xlfn.XLOOKUP($A389,ALGLIB_SSA_XAUUSD!$J$2:$J$1000,ALGLIB_SSA_XAUUSD!$O$2:$O$1000,"",0)</f>
        <v>4656.5929900000001</v>
      </c>
      <c r="N389">
        <f>_xlfn.XLOOKUP($A389,ALGLIB_SSA_XAUUSD!$J$2:$J$1000,ALGLIB_SSA_XAUUSD!$P$2:$P$1000,"",0)</f>
        <v>4658.3759899999995</v>
      </c>
      <c r="O389">
        <f>_xlfn.XLOOKUP($A389,ALGLIB_SSA_XAUUSD!$J$2:$J$1000,ALGLIB_SSA_XAUUSD!$Q$2:$Q$1000,"",0)</f>
        <v>4655.5305099999996</v>
      </c>
      <c r="R389">
        <f t="shared" si="66"/>
        <v>1775506500</v>
      </c>
      <c r="S389" t="str">
        <f t="shared" si="67"/>
        <v>XAUUSD</v>
      </c>
      <c r="T389" t="str">
        <f t="shared" si="68"/>
        <v>M5</v>
      </c>
      <c r="U389">
        <f t="shared" si="69"/>
        <v>4656.78</v>
      </c>
      <c r="V389">
        <v>4655.0144099999998</v>
      </c>
      <c r="W389">
        <v>4656.6744699999999</v>
      </c>
      <c r="X389">
        <v>4656.6307399999996</v>
      </c>
      <c r="Y389">
        <v>4656.5929900000001</v>
      </c>
      <c r="Z389">
        <f t="shared" si="70"/>
        <v>4663.3035849999997</v>
      </c>
      <c r="AA389">
        <f t="shared" si="71"/>
        <v>4658.3759899999995</v>
      </c>
      <c r="AB389">
        <f t="shared" si="72"/>
        <v>4647.9597675000005</v>
      </c>
      <c r="AC389">
        <f t="shared" si="73"/>
        <v>4655.5305099999996</v>
      </c>
      <c r="AF389">
        <f t="shared" si="74"/>
        <v>4656.6307399999996</v>
      </c>
      <c r="AG389">
        <f t="shared" si="75"/>
        <v>4663.3035849999997</v>
      </c>
      <c r="AH389">
        <f t="shared" si="76"/>
        <v>4647.9597675000005</v>
      </c>
    </row>
    <row r="390" spans="1:34" x14ac:dyDescent="0.55000000000000004">
      <c r="A390">
        <f>ALGLIB_SSA_XAUUSD!J390</f>
        <v>1775506800</v>
      </c>
      <c r="B390" t="str">
        <f>_xlfn.XLOOKUP($A390,ALGLIB_SSA_XAUUSD!$A$2:$A$1000,ALGLIB_SSA_XAUUSD!$B$2:$B$1000,"",0)</f>
        <v/>
      </c>
      <c r="C390" t="str">
        <f>_xlfn.XLOOKUP($A390,ALGLIB_SSA_XAUUSD!$A$2:$A$1000,ALGLIB_SSA_XAUUSD!$C$2:$C$1000,"",0)</f>
        <v/>
      </c>
      <c r="D390" s="1">
        <f>D386+(D398-D386)*4/12</f>
        <v>4653.21</v>
      </c>
      <c r="E390" s="1">
        <f>E386+(E398-E386)*4/12</f>
        <v>4654.8792633333333</v>
      </c>
      <c r="F390" s="1">
        <f>F386+(F398-F386)*4/12</f>
        <v>4656.5375000000004</v>
      </c>
      <c r="G390" s="1">
        <f>G386+(G398-G386)*4/12</f>
        <v>4663.2315833333332</v>
      </c>
      <c r="H390" s="1">
        <f>H386+(H398-H386)*4/12</f>
        <v>4647.7980866666667</v>
      </c>
      <c r="I390" t="str">
        <f>_xlfn.XLOOKUP($A390,ALGLIB_SSA_XAUUSD!$J$2:$J$1000,ALGLIB_SSA_XAUUSD!$K$2:$K$1000,"",0)</f>
        <v>XAUUSD</v>
      </c>
      <c r="J390" t="str">
        <f>_xlfn.XLOOKUP($A390,ALGLIB_SSA_XAUUSD!$J$2:$J$1000,ALGLIB_SSA_XAUUSD!$L$2:$L$1000,"",0)</f>
        <v>M5</v>
      </c>
      <c r="K390">
        <f>_xlfn.XLOOKUP($A390,ALGLIB_SSA_XAUUSD!$J$2:$J$1000,ALGLIB_SSA_XAUUSD!$M$2:$M$1000,"",0)</f>
        <v>4656.43</v>
      </c>
      <c r="L390">
        <f>_xlfn.XLOOKUP($A390,ALGLIB_SSA_XAUUSD!$J$2:$J$1000,ALGLIB_SSA_XAUUSD!$N$2:$N$1000,"",0)</f>
        <v>4655.7565500000001</v>
      </c>
      <c r="M390">
        <f>_xlfn.XLOOKUP($A390,ALGLIB_SSA_XAUUSD!$J$2:$J$1000,ALGLIB_SSA_XAUUSD!$O$2:$O$1000,"",0)</f>
        <v>4656.1747699999996</v>
      </c>
      <c r="N390">
        <f>_xlfn.XLOOKUP($A390,ALGLIB_SSA_XAUUSD!$J$2:$J$1000,ALGLIB_SSA_XAUUSD!$P$2:$P$1000,"",0)</f>
        <v>4657.5968300000004</v>
      </c>
      <c r="O390">
        <f>_xlfn.XLOOKUP($A390,ALGLIB_SSA_XAUUSD!$J$2:$J$1000,ALGLIB_SSA_XAUUSD!$Q$2:$Q$1000,"",0)</f>
        <v>4655.1378400000003</v>
      </c>
      <c r="R390">
        <f t="shared" si="66"/>
        <v>1775506800</v>
      </c>
      <c r="S390" t="str">
        <f t="shared" si="67"/>
        <v>XAUUSD</v>
      </c>
      <c r="T390" t="str">
        <f t="shared" si="68"/>
        <v>M5</v>
      </c>
      <c r="U390">
        <f t="shared" si="69"/>
        <v>4656.43</v>
      </c>
      <c r="V390">
        <v>4654.8792599999997</v>
      </c>
      <c r="W390">
        <v>4656.5375000000004</v>
      </c>
      <c r="X390">
        <v>4655.7565500000001</v>
      </c>
      <c r="Y390">
        <v>4656.1747699999996</v>
      </c>
      <c r="Z390">
        <f t="shared" si="70"/>
        <v>4663.2315833333332</v>
      </c>
      <c r="AA390">
        <f t="shared" si="71"/>
        <v>4657.5968300000004</v>
      </c>
      <c r="AB390">
        <f t="shared" si="72"/>
        <v>4647.7980866666667</v>
      </c>
      <c r="AC390">
        <f t="shared" si="73"/>
        <v>4655.1378400000003</v>
      </c>
      <c r="AF390">
        <f t="shared" si="74"/>
        <v>4655.7565500000001</v>
      </c>
      <c r="AG390">
        <f t="shared" si="75"/>
        <v>4663.2315833333332</v>
      </c>
      <c r="AH390">
        <f t="shared" si="76"/>
        <v>4647.7980866666667</v>
      </c>
    </row>
    <row r="391" spans="1:34" x14ac:dyDescent="0.55000000000000004">
      <c r="A391">
        <f>ALGLIB_SSA_XAUUSD!J391</f>
        <v>1775507100</v>
      </c>
      <c r="B391" t="str">
        <f>_xlfn.XLOOKUP($A391,ALGLIB_SSA_XAUUSD!$A$2:$A$1000,ALGLIB_SSA_XAUUSD!$B$2:$B$1000,"",0)</f>
        <v/>
      </c>
      <c r="C391" t="str">
        <f>_xlfn.XLOOKUP($A391,ALGLIB_SSA_XAUUSD!$A$2:$A$1000,ALGLIB_SSA_XAUUSD!$C$2:$C$1000,"",0)</f>
        <v/>
      </c>
      <c r="D391" s="1">
        <f>D386+(D398-D386)*5/12</f>
        <v>4653.8450000000003</v>
      </c>
      <c r="E391" s="1">
        <f>E386+(E398-E386)*5/12</f>
        <v>4654.7441116666669</v>
      </c>
      <c r="F391" s="1">
        <f>F386+(F398-F386)*5/12</f>
        <v>4656.4005275</v>
      </c>
      <c r="G391" s="1">
        <f>G386+(G398-G386)*5/12</f>
        <v>4663.1595816666668</v>
      </c>
      <c r="H391" s="1">
        <f>H386+(H398-H386)*5/12</f>
        <v>4647.6364058333329</v>
      </c>
      <c r="I391" t="str">
        <f>_xlfn.XLOOKUP($A391,ALGLIB_SSA_XAUUSD!$J$2:$J$1000,ALGLIB_SSA_XAUUSD!$K$2:$K$1000,"",0)</f>
        <v>XAUUSD</v>
      </c>
      <c r="J391" t="str">
        <f>_xlfn.XLOOKUP($A391,ALGLIB_SSA_XAUUSD!$J$2:$J$1000,ALGLIB_SSA_XAUUSD!$L$2:$L$1000,"",0)</f>
        <v>M5</v>
      </c>
      <c r="K391">
        <f>_xlfn.XLOOKUP($A391,ALGLIB_SSA_XAUUSD!$J$2:$J$1000,ALGLIB_SSA_XAUUSD!$M$2:$M$1000,"",0)</f>
        <v>4655.9799999999996</v>
      </c>
      <c r="L391">
        <f>_xlfn.XLOOKUP($A391,ALGLIB_SSA_XAUUSD!$J$2:$J$1000,ALGLIB_SSA_XAUUSD!$N$2:$N$1000,"",0)</f>
        <v>4654.62889</v>
      </c>
      <c r="M391">
        <f>_xlfn.XLOOKUP($A391,ALGLIB_SSA_XAUUSD!$J$2:$J$1000,ALGLIB_SSA_XAUUSD!$O$2:$O$1000,"",0)</f>
        <v>4655.4018299999998</v>
      </c>
      <c r="N391">
        <f>_xlfn.XLOOKUP($A391,ALGLIB_SSA_XAUUSD!$J$2:$J$1000,ALGLIB_SSA_XAUUSD!$P$2:$P$1000,"",0)</f>
        <v>4656.53478</v>
      </c>
      <c r="O391">
        <f>_xlfn.XLOOKUP($A391,ALGLIB_SSA_XAUUSD!$J$2:$J$1000,ALGLIB_SSA_XAUUSD!$Q$2:$Q$1000,"",0)</f>
        <v>4654.2874700000002</v>
      </c>
      <c r="R391">
        <f t="shared" si="66"/>
        <v>1775507100</v>
      </c>
      <c r="S391" t="str">
        <f t="shared" si="67"/>
        <v>XAUUSD</v>
      </c>
      <c r="T391" t="str">
        <f t="shared" si="68"/>
        <v>M5</v>
      </c>
      <c r="U391">
        <f t="shared" si="69"/>
        <v>4655.9799999999996</v>
      </c>
      <c r="V391">
        <v>4654.7441099999996</v>
      </c>
      <c r="W391">
        <v>4656.4005299999999</v>
      </c>
      <c r="X391">
        <v>4654.62889</v>
      </c>
      <c r="Y391">
        <v>4655.4018299999998</v>
      </c>
      <c r="Z391">
        <f t="shared" si="70"/>
        <v>4663.1595816666668</v>
      </c>
      <c r="AA391">
        <f t="shared" si="71"/>
        <v>4656.53478</v>
      </c>
      <c r="AB391">
        <f t="shared" si="72"/>
        <v>4647.6364058333329</v>
      </c>
      <c r="AC391">
        <f t="shared" si="73"/>
        <v>4654.2874700000002</v>
      </c>
      <c r="AF391">
        <f t="shared" si="74"/>
        <v>4654.62889</v>
      </c>
      <c r="AG391">
        <f t="shared" si="75"/>
        <v>4663.1595816666668</v>
      </c>
      <c r="AH391">
        <f t="shared" si="76"/>
        <v>4647.6364058333329</v>
      </c>
    </row>
    <row r="392" spans="1:34" x14ac:dyDescent="0.55000000000000004">
      <c r="A392">
        <f>ALGLIB_SSA_XAUUSD!J392</f>
        <v>1775507400</v>
      </c>
      <c r="B392" t="str">
        <f>_xlfn.XLOOKUP($A392,ALGLIB_SSA_XAUUSD!$A$2:$A$1000,ALGLIB_SSA_XAUUSD!$B$2:$B$1000,"",0)</f>
        <v/>
      </c>
      <c r="C392" t="str">
        <f>_xlfn.XLOOKUP($A392,ALGLIB_SSA_XAUUSD!$A$2:$A$1000,ALGLIB_SSA_XAUUSD!$C$2:$C$1000,"",0)</f>
        <v/>
      </c>
      <c r="D392" s="1">
        <f>D386+(D398-D386)*6/12</f>
        <v>4654.4799999999996</v>
      </c>
      <c r="E392" s="1">
        <f>E386+(E398-E386)*6/12</f>
        <v>4654.6089599999996</v>
      </c>
      <c r="F392" s="1">
        <f>F386+(F398-F386)*6/12</f>
        <v>4656.2635549999995</v>
      </c>
      <c r="G392" s="1">
        <f>G386+(G398-G386)*6/12</f>
        <v>4663.0875799999994</v>
      </c>
      <c r="H392" s="1">
        <f>H386+(H398-H386)*6/12</f>
        <v>4647.474725</v>
      </c>
      <c r="I392" t="str">
        <f>_xlfn.XLOOKUP($A392,ALGLIB_SSA_XAUUSD!$J$2:$J$1000,ALGLIB_SSA_XAUUSD!$K$2:$K$1000,"",0)</f>
        <v>XAUUSD</v>
      </c>
      <c r="J392" t="str">
        <f>_xlfn.XLOOKUP($A392,ALGLIB_SSA_XAUUSD!$J$2:$J$1000,ALGLIB_SSA_XAUUSD!$L$2:$L$1000,"",0)</f>
        <v>M5</v>
      </c>
      <c r="K392">
        <f>_xlfn.XLOOKUP($A392,ALGLIB_SSA_XAUUSD!$J$2:$J$1000,ALGLIB_SSA_XAUUSD!$M$2:$M$1000,"",0)</f>
        <v>4656.87</v>
      </c>
      <c r="L392">
        <f>_xlfn.XLOOKUP($A392,ALGLIB_SSA_XAUUSD!$J$2:$J$1000,ALGLIB_SSA_XAUUSD!$N$2:$N$1000,"",0)</f>
        <v>4653.5383400000001</v>
      </c>
      <c r="M392">
        <f>_xlfn.XLOOKUP($A392,ALGLIB_SSA_XAUUSD!$J$2:$J$1000,ALGLIB_SSA_XAUUSD!$O$2:$O$1000,"",0)</f>
        <v>4654.4700899999998</v>
      </c>
      <c r="N392">
        <f>_xlfn.XLOOKUP($A392,ALGLIB_SSA_XAUUSD!$J$2:$J$1000,ALGLIB_SSA_XAUUSD!$P$2:$P$1000,"",0)</f>
        <v>4655.49982</v>
      </c>
      <c r="O392">
        <f>_xlfn.XLOOKUP($A392,ALGLIB_SSA_XAUUSD!$J$2:$J$1000,ALGLIB_SSA_XAUUSD!$Q$2:$Q$1000,"",0)</f>
        <v>4653.1485499999999</v>
      </c>
      <c r="R392">
        <f t="shared" si="66"/>
        <v>1775507400</v>
      </c>
      <c r="S392" t="str">
        <f t="shared" si="67"/>
        <v>XAUUSD</v>
      </c>
      <c r="T392" t="str">
        <f t="shared" si="68"/>
        <v>M5</v>
      </c>
      <c r="U392">
        <f t="shared" si="69"/>
        <v>4656.87</v>
      </c>
      <c r="V392">
        <v>4654.6089599999996</v>
      </c>
      <c r="W392">
        <v>4656.2635499999997</v>
      </c>
      <c r="X392">
        <v>4653.5383400000001</v>
      </c>
      <c r="Y392">
        <v>4654.4700899999998</v>
      </c>
      <c r="Z392">
        <f t="shared" si="70"/>
        <v>4663.0875799999994</v>
      </c>
      <c r="AA392">
        <f t="shared" si="71"/>
        <v>4655.49982</v>
      </c>
      <c r="AB392">
        <f t="shared" si="72"/>
        <v>4647.474725</v>
      </c>
      <c r="AC392">
        <f t="shared" si="73"/>
        <v>4653.1485499999999</v>
      </c>
      <c r="AF392">
        <f t="shared" si="74"/>
        <v>4653.5383400000001</v>
      </c>
      <c r="AG392">
        <f t="shared" si="75"/>
        <v>4663.0875799999994</v>
      </c>
      <c r="AH392">
        <f t="shared" si="76"/>
        <v>4647.474725</v>
      </c>
    </row>
    <row r="393" spans="1:34" x14ac:dyDescent="0.55000000000000004">
      <c r="A393">
        <f>ALGLIB_SSA_XAUUSD!J393</f>
        <v>1775507700</v>
      </c>
      <c r="B393" t="str">
        <f>_xlfn.XLOOKUP($A393,ALGLIB_SSA_XAUUSD!$A$2:$A$1000,ALGLIB_SSA_XAUUSD!$B$2:$B$1000,"",0)</f>
        <v/>
      </c>
      <c r="C393" t="str">
        <f>_xlfn.XLOOKUP($A393,ALGLIB_SSA_XAUUSD!$A$2:$A$1000,ALGLIB_SSA_XAUUSD!$C$2:$C$1000,"",0)</f>
        <v/>
      </c>
      <c r="D393" s="1">
        <f>D386+(D398-D386)*7/12</f>
        <v>4655.1149999999998</v>
      </c>
      <c r="E393" s="1">
        <f>E386+(E398-E386)*7/12</f>
        <v>4654.4738083333332</v>
      </c>
      <c r="F393" s="1">
        <f>F386+(F398-F386)*7/12</f>
        <v>4656.1265825</v>
      </c>
      <c r="G393" s="1">
        <f>G386+(G398-G386)*7/12</f>
        <v>4663.015578333333</v>
      </c>
      <c r="H393" s="1">
        <f>H386+(H398-H386)*7/12</f>
        <v>4647.3130441666672</v>
      </c>
      <c r="I393" t="str">
        <f>_xlfn.XLOOKUP($A393,ALGLIB_SSA_XAUUSD!$J$2:$J$1000,ALGLIB_SSA_XAUUSD!$K$2:$K$1000,"",0)</f>
        <v>XAUUSD</v>
      </c>
      <c r="J393" t="str">
        <f>_xlfn.XLOOKUP($A393,ALGLIB_SSA_XAUUSD!$J$2:$J$1000,ALGLIB_SSA_XAUUSD!$L$2:$L$1000,"",0)</f>
        <v>M5</v>
      </c>
      <c r="K393">
        <f>_xlfn.XLOOKUP($A393,ALGLIB_SSA_XAUUSD!$J$2:$J$1000,ALGLIB_SSA_XAUUSD!$M$2:$M$1000,"",0)</f>
        <v>4652.55</v>
      </c>
      <c r="L393">
        <f>_xlfn.XLOOKUP($A393,ALGLIB_SSA_XAUUSD!$J$2:$J$1000,ALGLIB_SSA_XAUUSD!$N$2:$N$1000,"",0)</f>
        <v>4652.7583400000003</v>
      </c>
      <c r="M393">
        <f>_xlfn.XLOOKUP($A393,ALGLIB_SSA_XAUUSD!$J$2:$J$1000,ALGLIB_SSA_XAUUSD!$O$2:$O$1000,"",0)</f>
        <v>4653.6142200000004</v>
      </c>
      <c r="N393">
        <f>_xlfn.XLOOKUP($A393,ALGLIB_SSA_XAUUSD!$J$2:$J$1000,ALGLIB_SSA_XAUUSD!$P$2:$P$1000,"",0)</f>
        <v>4654.7878199999996</v>
      </c>
      <c r="O393">
        <f>_xlfn.XLOOKUP($A393,ALGLIB_SSA_XAUUSD!$J$2:$J$1000,ALGLIB_SSA_XAUUSD!$Q$2:$Q$1000,"",0)</f>
        <v>4651.9781899999998</v>
      </c>
      <c r="R393">
        <f t="shared" si="66"/>
        <v>1775507700</v>
      </c>
      <c r="S393" t="str">
        <f t="shared" si="67"/>
        <v>XAUUSD</v>
      </c>
      <c r="T393" t="str">
        <f t="shared" si="68"/>
        <v>M5</v>
      </c>
      <c r="U393">
        <f t="shared" si="69"/>
        <v>4652.55</v>
      </c>
      <c r="V393">
        <v>4654.4738100000004</v>
      </c>
      <c r="W393">
        <v>4656.1265800000001</v>
      </c>
      <c r="X393">
        <v>4652.7583400000003</v>
      </c>
      <c r="Y393">
        <v>4653.6142200000004</v>
      </c>
      <c r="Z393">
        <f t="shared" si="70"/>
        <v>4663.015578333333</v>
      </c>
      <c r="AA393">
        <f t="shared" si="71"/>
        <v>4654.7878199999996</v>
      </c>
      <c r="AB393">
        <f t="shared" si="72"/>
        <v>4647.3130441666672</v>
      </c>
      <c r="AC393">
        <f t="shared" si="73"/>
        <v>4651.9781899999998</v>
      </c>
      <c r="AF393">
        <f t="shared" si="74"/>
        <v>4652.7583400000003</v>
      </c>
      <c r="AG393">
        <f t="shared" si="75"/>
        <v>4663.015578333333</v>
      </c>
      <c r="AH393">
        <f t="shared" si="76"/>
        <v>4647.3130441666672</v>
      </c>
    </row>
    <row r="394" spans="1:34" x14ac:dyDescent="0.55000000000000004">
      <c r="A394">
        <f>ALGLIB_SSA_XAUUSD!J394</f>
        <v>1775508000</v>
      </c>
      <c r="B394" t="str">
        <f>_xlfn.XLOOKUP($A394,ALGLIB_SSA_XAUUSD!$A$2:$A$1000,ALGLIB_SSA_XAUUSD!$B$2:$B$1000,"",0)</f>
        <v/>
      </c>
      <c r="C394" t="str">
        <f>_xlfn.XLOOKUP($A394,ALGLIB_SSA_XAUUSD!$A$2:$A$1000,ALGLIB_SSA_XAUUSD!$C$2:$C$1000,"",0)</f>
        <v/>
      </c>
      <c r="D394" s="1">
        <f>D386+(D398-D386)*8/12</f>
        <v>4655.75</v>
      </c>
      <c r="E394" s="1">
        <f>E386+(E398-E386)*8/12</f>
        <v>4654.3386566666668</v>
      </c>
      <c r="F394" s="1">
        <f>F386+(F398-F386)*8/12</f>
        <v>4655.9896099999996</v>
      </c>
      <c r="G394" s="1">
        <f>G386+(G398-G386)*8/12</f>
        <v>4662.9435766666666</v>
      </c>
      <c r="H394" s="1">
        <f>H386+(H398-H386)*8/12</f>
        <v>4647.1513633333334</v>
      </c>
      <c r="I394" t="str">
        <f>_xlfn.XLOOKUP($A394,ALGLIB_SSA_XAUUSD!$J$2:$J$1000,ALGLIB_SSA_XAUUSD!$K$2:$K$1000,"",0)</f>
        <v>XAUUSD</v>
      </c>
      <c r="J394" t="str">
        <f>_xlfn.XLOOKUP($A394,ALGLIB_SSA_XAUUSD!$J$2:$J$1000,ALGLIB_SSA_XAUUSD!$L$2:$L$1000,"",0)</f>
        <v>M5</v>
      </c>
      <c r="K394">
        <f>_xlfn.XLOOKUP($A394,ALGLIB_SSA_XAUUSD!$J$2:$J$1000,ALGLIB_SSA_XAUUSD!$M$2:$M$1000,"",0)</f>
        <v>4653.28</v>
      </c>
      <c r="L394">
        <f>_xlfn.XLOOKUP($A394,ALGLIB_SSA_XAUUSD!$J$2:$J$1000,ALGLIB_SSA_XAUUSD!$N$2:$N$1000,"",0)</f>
        <v>4652.6294200000002</v>
      </c>
      <c r="M394">
        <f>_xlfn.XLOOKUP($A394,ALGLIB_SSA_XAUUSD!$J$2:$J$1000,ALGLIB_SSA_XAUUSD!$O$2:$O$1000,"",0)</f>
        <v>4653.1218200000003</v>
      </c>
      <c r="N394">
        <f>_xlfn.XLOOKUP($A394,ALGLIB_SSA_XAUUSD!$J$2:$J$1000,ALGLIB_SSA_XAUUSD!$P$2:$P$1000,"",0)</f>
        <v>4654.6930700000003</v>
      </c>
      <c r="O394">
        <f>_xlfn.XLOOKUP($A394,ALGLIB_SSA_XAUUSD!$J$2:$J$1000,ALGLIB_SSA_XAUUSD!$Q$2:$Q$1000,"",0)</f>
        <v>4651.1508100000001</v>
      </c>
      <c r="R394">
        <f t="shared" si="66"/>
        <v>1775508000</v>
      </c>
      <c r="S394" t="str">
        <f t="shared" si="67"/>
        <v>XAUUSD</v>
      </c>
      <c r="T394" t="str">
        <f t="shared" si="68"/>
        <v>M5</v>
      </c>
      <c r="U394">
        <f t="shared" si="69"/>
        <v>4653.28</v>
      </c>
      <c r="V394">
        <v>4654.3386600000003</v>
      </c>
      <c r="W394">
        <v>4655.9896099999996</v>
      </c>
      <c r="X394">
        <v>4652.6294200000002</v>
      </c>
      <c r="Y394">
        <v>4653.1218200000003</v>
      </c>
      <c r="Z394">
        <f t="shared" si="70"/>
        <v>4662.9435766666666</v>
      </c>
      <c r="AA394">
        <f t="shared" si="71"/>
        <v>4654.6930700000003</v>
      </c>
      <c r="AB394">
        <f t="shared" si="72"/>
        <v>4647.1513633333334</v>
      </c>
      <c r="AC394">
        <f t="shared" si="73"/>
        <v>4651.1508100000001</v>
      </c>
      <c r="AF394">
        <f t="shared" si="74"/>
        <v>4652.6294200000002</v>
      </c>
      <c r="AG394">
        <f t="shared" si="75"/>
        <v>4662.9435766666666</v>
      </c>
      <c r="AH394">
        <f t="shared" si="76"/>
        <v>4647.1513633333334</v>
      </c>
    </row>
    <row r="395" spans="1:34" x14ac:dyDescent="0.55000000000000004">
      <c r="A395">
        <f>ALGLIB_SSA_XAUUSD!J395</f>
        <v>1775508300</v>
      </c>
      <c r="B395" t="str">
        <f>_xlfn.XLOOKUP($A395,ALGLIB_SSA_XAUUSD!$A$2:$A$1000,ALGLIB_SSA_XAUUSD!$B$2:$B$1000,"",0)</f>
        <v/>
      </c>
      <c r="C395" t="str">
        <f>_xlfn.XLOOKUP($A395,ALGLIB_SSA_XAUUSD!$A$2:$A$1000,ALGLIB_SSA_XAUUSD!$C$2:$C$1000,"",0)</f>
        <v/>
      </c>
      <c r="D395" s="1">
        <f>D386+(D398-D386)*9/12</f>
        <v>4656.3850000000002</v>
      </c>
      <c r="E395" s="1">
        <f>E386+(E398-E386)*9/12</f>
        <v>4654.2035050000004</v>
      </c>
      <c r="F395" s="1">
        <f>F386+(F398-F386)*9/12</f>
        <v>4655.8526375000001</v>
      </c>
      <c r="G395" s="1">
        <f>G386+(G398-G386)*9/12</f>
        <v>4662.8715750000001</v>
      </c>
      <c r="H395" s="1">
        <f>H386+(H398-H386)*9/12</f>
        <v>4646.9896824999996</v>
      </c>
      <c r="I395" t="str">
        <f>_xlfn.XLOOKUP($A395,ALGLIB_SSA_XAUUSD!$J$2:$J$1000,ALGLIB_SSA_XAUUSD!$K$2:$K$1000,"",0)</f>
        <v>XAUUSD</v>
      </c>
      <c r="J395" t="str">
        <f>_xlfn.XLOOKUP($A395,ALGLIB_SSA_XAUUSD!$J$2:$J$1000,ALGLIB_SSA_XAUUSD!$L$2:$L$1000,"",0)</f>
        <v>M5</v>
      </c>
      <c r="K395">
        <f>_xlfn.XLOOKUP($A395,ALGLIB_SSA_XAUUSD!$J$2:$J$1000,ALGLIB_SSA_XAUUSD!$M$2:$M$1000,"",0)</f>
        <v>4650.3900000000003</v>
      </c>
      <c r="L395">
        <f>_xlfn.XLOOKUP($A395,ALGLIB_SSA_XAUUSD!$J$2:$J$1000,ALGLIB_SSA_XAUUSD!$N$2:$N$1000,"",0)</f>
        <v>4653.2496000000001</v>
      </c>
      <c r="M395">
        <f>_xlfn.XLOOKUP($A395,ALGLIB_SSA_XAUUSD!$J$2:$J$1000,ALGLIB_SSA_XAUUSD!$O$2:$O$1000,"",0)</f>
        <v>4653.1857099999997</v>
      </c>
      <c r="N395">
        <f>_xlfn.XLOOKUP($A395,ALGLIB_SSA_XAUUSD!$J$2:$J$1000,ALGLIB_SSA_XAUUSD!$P$2:$P$1000,"",0)</f>
        <v>4655.4048300000004</v>
      </c>
      <c r="O395">
        <f>_xlfn.XLOOKUP($A395,ALGLIB_SSA_XAUUSD!$J$2:$J$1000,ALGLIB_SSA_XAUUSD!$Q$2:$Q$1000,"",0)</f>
        <v>4650.9196499999998</v>
      </c>
      <c r="R395">
        <f t="shared" si="66"/>
        <v>1775508300</v>
      </c>
      <c r="S395" t="str">
        <f t="shared" si="67"/>
        <v>XAUUSD</v>
      </c>
      <c r="T395" t="str">
        <f t="shared" si="68"/>
        <v>M5</v>
      </c>
      <c r="U395">
        <f t="shared" si="69"/>
        <v>4650.3900000000003</v>
      </c>
      <c r="V395">
        <v>4654.2035100000003</v>
      </c>
      <c r="W395">
        <v>4655.8526400000001</v>
      </c>
      <c r="X395">
        <v>4653.2496000000001</v>
      </c>
      <c r="Y395">
        <v>4653.1857099999997</v>
      </c>
      <c r="Z395">
        <f t="shared" si="70"/>
        <v>4662.8715750000001</v>
      </c>
      <c r="AA395">
        <f t="shared" si="71"/>
        <v>4655.4048300000004</v>
      </c>
      <c r="AB395">
        <f t="shared" si="72"/>
        <v>4646.9896824999996</v>
      </c>
      <c r="AC395">
        <f t="shared" si="73"/>
        <v>4650.9196499999998</v>
      </c>
      <c r="AF395">
        <f t="shared" si="74"/>
        <v>4653.2496000000001</v>
      </c>
      <c r="AG395">
        <f t="shared" si="75"/>
        <v>4662.8715750000001</v>
      </c>
      <c r="AH395">
        <f t="shared" si="76"/>
        <v>4646.9896824999996</v>
      </c>
    </row>
    <row r="396" spans="1:34" x14ac:dyDescent="0.55000000000000004">
      <c r="A396">
        <f>ALGLIB_SSA_XAUUSD!J396</f>
        <v>1775508600</v>
      </c>
      <c r="B396" t="str">
        <f>_xlfn.XLOOKUP($A396,ALGLIB_SSA_XAUUSD!$A$2:$A$1000,ALGLIB_SSA_XAUUSD!$B$2:$B$1000,"",0)</f>
        <v/>
      </c>
      <c r="C396" t="str">
        <f>_xlfn.XLOOKUP($A396,ALGLIB_SSA_XAUUSD!$A$2:$A$1000,ALGLIB_SSA_XAUUSD!$C$2:$C$1000,"",0)</f>
        <v/>
      </c>
      <c r="D396" s="1">
        <f>D386+(D398-D386)*10/12</f>
        <v>4657.0200000000004</v>
      </c>
      <c r="E396" s="1">
        <f>E386+(E398-E386)*10/12</f>
        <v>4654.068353333334</v>
      </c>
      <c r="F396" s="1">
        <f>F386+(F398-F386)*10/12</f>
        <v>4655.7156649999997</v>
      </c>
      <c r="G396" s="1">
        <f>G386+(G398-G386)*10/12</f>
        <v>4662.7995733333337</v>
      </c>
      <c r="H396" s="1">
        <f>H386+(H398-H386)*10/12</f>
        <v>4646.8280016666668</v>
      </c>
      <c r="I396" t="str">
        <f>_xlfn.XLOOKUP($A396,ALGLIB_SSA_XAUUSD!$J$2:$J$1000,ALGLIB_SSA_XAUUSD!$K$2:$K$1000,"",0)</f>
        <v>XAUUSD</v>
      </c>
      <c r="J396" t="str">
        <f>_xlfn.XLOOKUP($A396,ALGLIB_SSA_XAUUSD!$J$2:$J$1000,ALGLIB_SSA_XAUUSD!$L$2:$L$1000,"",0)</f>
        <v>M5</v>
      </c>
      <c r="K396">
        <f>_xlfn.XLOOKUP($A396,ALGLIB_SSA_XAUUSD!$J$2:$J$1000,ALGLIB_SSA_XAUUSD!$M$2:$M$1000,"",0)</f>
        <v>4652.0600000000004</v>
      </c>
      <c r="L396">
        <f>_xlfn.XLOOKUP($A396,ALGLIB_SSA_XAUUSD!$J$2:$J$1000,ALGLIB_SSA_XAUUSD!$N$2:$N$1000,"",0)</f>
        <v>4654.6657100000002</v>
      </c>
      <c r="M396">
        <f>_xlfn.XLOOKUP($A396,ALGLIB_SSA_XAUUSD!$J$2:$J$1000,ALGLIB_SSA_XAUUSD!$O$2:$O$1000,"",0)</f>
        <v>4653.9257100000004</v>
      </c>
      <c r="N396">
        <f>_xlfn.XLOOKUP($A396,ALGLIB_SSA_XAUUSD!$J$2:$J$1000,ALGLIB_SSA_XAUUSD!$P$2:$P$1000,"",0)</f>
        <v>4656.9016799999999</v>
      </c>
      <c r="O396">
        <f>_xlfn.XLOOKUP($A396,ALGLIB_SSA_XAUUSD!$J$2:$J$1000,ALGLIB_SSA_XAUUSD!$Q$2:$Q$1000,"",0)</f>
        <v>4651.4384</v>
      </c>
      <c r="R396">
        <f t="shared" si="66"/>
        <v>1775508600</v>
      </c>
      <c r="S396" t="str">
        <f t="shared" si="67"/>
        <v>XAUUSD</v>
      </c>
      <c r="T396" t="str">
        <f t="shared" si="68"/>
        <v>M5</v>
      </c>
      <c r="U396">
        <f t="shared" si="69"/>
        <v>4652.0600000000004</v>
      </c>
      <c r="V396">
        <v>4654.0683499999996</v>
      </c>
      <c r="W396">
        <v>4655.7156699999996</v>
      </c>
      <c r="X396">
        <v>4654.6657100000002</v>
      </c>
      <c r="Y396">
        <v>4653.9257100000004</v>
      </c>
      <c r="Z396">
        <f t="shared" si="70"/>
        <v>4662.7995733333337</v>
      </c>
      <c r="AA396">
        <f t="shared" si="71"/>
        <v>4656.9016799999999</v>
      </c>
      <c r="AB396">
        <f t="shared" si="72"/>
        <v>4646.8280016666668</v>
      </c>
      <c r="AC396">
        <f t="shared" si="73"/>
        <v>4651.4384</v>
      </c>
      <c r="AF396">
        <f t="shared" si="74"/>
        <v>4654.6657100000002</v>
      </c>
      <c r="AG396">
        <f t="shared" si="75"/>
        <v>4662.7995733333337</v>
      </c>
      <c r="AH396">
        <f t="shared" si="76"/>
        <v>4646.8280016666668</v>
      </c>
    </row>
    <row r="397" spans="1:34" x14ac:dyDescent="0.55000000000000004">
      <c r="A397">
        <f>ALGLIB_SSA_XAUUSD!J397</f>
        <v>1775508900</v>
      </c>
      <c r="B397" t="str">
        <f>_xlfn.XLOOKUP($A397,ALGLIB_SSA_XAUUSD!$A$2:$A$1000,ALGLIB_SSA_XAUUSD!$B$2:$B$1000,"",0)</f>
        <v/>
      </c>
      <c r="C397" t="str">
        <f>_xlfn.XLOOKUP($A397,ALGLIB_SSA_XAUUSD!$A$2:$A$1000,ALGLIB_SSA_XAUUSD!$C$2:$C$1000,"",0)</f>
        <v/>
      </c>
      <c r="D397" s="1">
        <f>D386+(D398-D386)*11/12</f>
        <v>4657.6549999999997</v>
      </c>
      <c r="E397" s="1">
        <f>E386+(E398-E386)*11/12</f>
        <v>4653.9332016666667</v>
      </c>
      <c r="F397" s="1">
        <f>F386+(F398-F386)*11/12</f>
        <v>4655.5786925000002</v>
      </c>
      <c r="G397" s="1">
        <f>G386+(G398-G386)*11/12</f>
        <v>4662.7275716666663</v>
      </c>
      <c r="H397" s="1">
        <f>H386+(H398-H386)*11/12</f>
        <v>4646.6663208333339</v>
      </c>
      <c r="I397" t="str">
        <f>_xlfn.XLOOKUP($A397,ALGLIB_SSA_XAUUSD!$J$2:$J$1000,ALGLIB_SSA_XAUUSD!$K$2:$K$1000,"",0)</f>
        <v>XAUUSD</v>
      </c>
      <c r="J397" t="str">
        <f>_xlfn.XLOOKUP($A397,ALGLIB_SSA_XAUUSD!$J$2:$J$1000,ALGLIB_SSA_XAUUSD!$L$2:$L$1000,"",0)</f>
        <v>M5</v>
      </c>
      <c r="K397">
        <f>_xlfn.XLOOKUP($A397,ALGLIB_SSA_XAUUSD!$J$2:$J$1000,ALGLIB_SSA_XAUUSD!$M$2:$M$1000,"",0)</f>
        <v>4650.67</v>
      </c>
      <c r="L397">
        <f>_xlfn.XLOOKUP($A397,ALGLIB_SSA_XAUUSD!$J$2:$J$1000,ALGLIB_SSA_XAUUSD!$N$2:$N$1000,"",0)</f>
        <v>4656.67058</v>
      </c>
      <c r="M397">
        <f>_xlfn.XLOOKUP($A397,ALGLIB_SSA_XAUUSD!$J$2:$J$1000,ALGLIB_SSA_XAUUSD!$O$2:$O$1000,"",0)</f>
        <v>4655.2981499999996</v>
      </c>
      <c r="N397">
        <f>_xlfn.XLOOKUP($A397,ALGLIB_SSA_XAUUSD!$J$2:$J$1000,ALGLIB_SSA_XAUUSD!$P$2:$P$1000,"",0)</f>
        <v>4659.0718299999999</v>
      </c>
      <c r="O397">
        <f>_xlfn.XLOOKUP($A397,ALGLIB_SSA_XAUUSD!$J$2:$J$1000,ALGLIB_SSA_XAUUSD!$Q$2:$Q$1000,"",0)</f>
        <v>4652.7112999999999</v>
      </c>
      <c r="R397">
        <f t="shared" si="66"/>
        <v>1775508900</v>
      </c>
      <c r="S397" t="str">
        <f t="shared" si="67"/>
        <v>XAUUSD</v>
      </c>
      <c r="T397" t="str">
        <f t="shared" si="68"/>
        <v>M5</v>
      </c>
      <c r="U397">
        <f t="shared" si="69"/>
        <v>4650.67</v>
      </c>
      <c r="V397">
        <v>4653.9332000000004</v>
      </c>
      <c r="W397">
        <v>4655.5786900000003</v>
      </c>
      <c r="X397">
        <v>4656.67058</v>
      </c>
      <c r="Y397">
        <v>4655.2981499999996</v>
      </c>
      <c r="Z397">
        <f t="shared" si="70"/>
        <v>4662.7275716666663</v>
      </c>
      <c r="AA397">
        <f t="shared" si="71"/>
        <v>4659.0718299999999</v>
      </c>
      <c r="AB397">
        <f t="shared" si="72"/>
        <v>4646.6663208333339</v>
      </c>
      <c r="AC397">
        <f t="shared" si="73"/>
        <v>4652.7112999999999</v>
      </c>
      <c r="AF397">
        <f t="shared" si="74"/>
        <v>4656.67058</v>
      </c>
      <c r="AG397">
        <f t="shared" si="75"/>
        <v>4662.7275716666663</v>
      </c>
      <c r="AH397">
        <f t="shared" si="76"/>
        <v>4646.6663208333339</v>
      </c>
    </row>
    <row r="398" spans="1:34" x14ac:dyDescent="0.55000000000000004">
      <c r="A398">
        <f>ALGLIB_SSA_XAUUSD!J398</f>
        <v>1775512800</v>
      </c>
      <c r="B398" t="str">
        <f>_xlfn.XLOOKUP($A398,ALGLIB_SSA_XAUUSD!$A$2:$A$1000,ALGLIB_SSA_XAUUSD!$B$2:$B$1000,"",0)</f>
        <v>XAUUSD</v>
      </c>
      <c r="C398" t="str">
        <f>_xlfn.XLOOKUP($A398,ALGLIB_SSA_XAUUSD!$A$2:$A$1000,ALGLIB_SSA_XAUUSD!$C$2:$C$1000,"",0)</f>
        <v>H1</v>
      </c>
      <c r="D398" s="2">
        <f>_xlfn.XLOOKUP($A398,ALGLIB_SSA_XAUUSD!$A$2:$A$1000,ALGLIB_SSA_XAUUSD!$D$2:$D$1000,"",0)</f>
        <v>4658.29</v>
      </c>
      <c r="E398" s="2">
        <f>_xlfn.XLOOKUP($A398,ALGLIB_SSA_XAUUSD!$A$2:$A$1000,ALGLIB_SSA_XAUUSD!$E$2:$E$1000,"",0)</f>
        <v>4653.7980500000003</v>
      </c>
      <c r="F398" s="2">
        <f>_xlfn.XLOOKUP($A398,ALGLIB_SSA_XAUUSD!$A$2:$A$1000,ALGLIB_SSA_XAUUSD!$F$2:$F$1000,"",0)</f>
        <v>4655.4417199999998</v>
      </c>
      <c r="G398" s="2">
        <f>_xlfn.XLOOKUP($A398,ALGLIB_SSA_XAUUSD!$A$2:$A$1000,ALGLIB_SSA_XAUUSD!$G$2:$G$1000,"",0)</f>
        <v>4662.6555699999999</v>
      </c>
      <c r="H398" s="2">
        <f>_xlfn.XLOOKUP($A398,ALGLIB_SSA_XAUUSD!$A$2:$A$1000,ALGLIB_SSA_XAUUSD!$H$2:$H$1000,"",0)</f>
        <v>4646.5046400000001</v>
      </c>
      <c r="I398" t="str">
        <f>_xlfn.XLOOKUP($A398,ALGLIB_SSA_XAUUSD!$J$2:$J$1000,ALGLIB_SSA_XAUUSD!$K$2:$K$1000,"",0)</f>
        <v>XAUUSD</v>
      </c>
      <c r="J398" t="str">
        <f>_xlfn.XLOOKUP($A398,ALGLIB_SSA_XAUUSD!$J$2:$J$1000,ALGLIB_SSA_XAUUSD!$L$2:$L$1000,"",0)</f>
        <v>M5</v>
      </c>
      <c r="K398">
        <f>_xlfn.XLOOKUP($A398,ALGLIB_SSA_XAUUSD!$J$2:$J$1000,ALGLIB_SSA_XAUUSD!$M$2:$M$1000,"",0)</f>
        <v>4661.8</v>
      </c>
      <c r="L398">
        <f>_xlfn.XLOOKUP($A398,ALGLIB_SSA_XAUUSD!$J$2:$J$1000,ALGLIB_SSA_XAUUSD!$N$2:$N$1000,"",0)</f>
        <v>4659.0190899999998</v>
      </c>
      <c r="M398">
        <f>_xlfn.XLOOKUP($A398,ALGLIB_SSA_XAUUSD!$J$2:$J$1000,ALGLIB_SSA_XAUUSD!$O$2:$O$1000,"",0)</f>
        <v>4657.1586200000002</v>
      </c>
      <c r="N398">
        <f>_xlfn.XLOOKUP($A398,ALGLIB_SSA_XAUUSD!$J$2:$J$1000,ALGLIB_SSA_XAUUSD!$P$2:$P$1000,"",0)</f>
        <v>4661.6051299999999</v>
      </c>
      <c r="O398">
        <f>_xlfn.XLOOKUP($A398,ALGLIB_SSA_XAUUSD!$J$2:$J$1000,ALGLIB_SSA_XAUUSD!$Q$2:$Q$1000,"",0)</f>
        <v>4654.5937999999996</v>
      </c>
      <c r="R398">
        <f t="shared" si="66"/>
        <v>1775512800</v>
      </c>
      <c r="S398" t="str">
        <f t="shared" si="67"/>
        <v>XAUUSD</v>
      </c>
      <c r="T398" t="str">
        <f t="shared" si="68"/>
        <v>M5</v>
      </c>
      <c r="U398">
        <f t="shared" si="69"/>
        <v>4661.8</v>
      </c>
      <c r="V398">
        <v>4653.7980500000003</v>
      </c>
      <c r="W398">
        <v>4655.4417199999998</v>
      </c>
      <c r="X398">
        <v>4659.0190899999998</v>
      </c>
      <c r="Y398">
        <v>4657.1586200000002</v>
      </c>
      <c r="Z398">
        <f t="shared" si="70"/>
        <v>4662.6555699999999</v>
      </c>
      <c r="AA398">
        <f t="shared" si="71"/>
        <v>4661.6051299999999</v>
      </c>
      <c r="AB398">
        <f t="shared" si="72"/>
        <v>4646.5046400000001</v>
      </c>
      <c r="AC398">
        <f t="shared" si="73"/>
        <v>4654.5937999999996</v>
      </c>
      <c r="AF398">
        <f t="shared" si="74"/>
        <v>4659.0190899999998</v>
      </c>
      <c r="AG398">
        <f t="shared" si="75"/>
        <v>4662.6555699999999</v>
      </c>
      <c r="AH398">
        <f t="shared" si="76"/>
        <v>4646.5046400000001</v>
      </c>
    </row>
    <row r="399" spans="1:34" x14ac:dyDescent="0.55000000000000004">
      <c r="A399">
        <f>ALGLIB_SSA_XAUUSD!J399</f>
        <v>1775513100</v>
      </c>
      <c r="B399" t="str">
        <f>_xlfn.XLOOKUP($A399,ALGLIB_SSA_XAUUSD!$A$2:$A$1000,ALGLIB_SSA_XAUUSD!$B$2:$B$1000,"",0)</f>
        <v/>
      </c>
      <c r="C399" t="str">
        <f>_xlfn.XLOOKUP($A399,ALGLIB_SSA_XAUUSD!$A$2:$A$1000,ALGLIB_SSA_XAUUSD!$C$2:$C$1000,"",0)</f>
        <v/>
      </c>
      <c r="D399" s="1">
        <f>D398+(D410-D398)*1/12</f>
        <v>4658.3391666666666</v>
      </c>
      <c r="E399" s="1">
        <f>E398+(E410-E398)*1/12</f>
        <v>4653.5955700000004</v>
      </c>
      <c r="F399" s="1">
        <f>F398+(F410-F398)*1/12</f>
        <v>4655.2719941666664</v>
      </c>
      <c r="G399" s="1">
        <f>G398+(G410-G398)*1/12</f>
        <v>4662.529171666667</v>
      </c>
      <c r="H399" s="1">
        <f>H398+(H410-H398)*1/12</f>
        <v>4646.2395191666665</v>
      </c>
      <c r="I399" t="str">
        <f>_xlfn.XLOOKUP($A399,ALGLIB_SSA_XAUUSD!$J$2:$J$1000,ALGLIB_SSA_XAUUSD!$K$2:$K$1000,"",0)</f>
        <v>XAUUSD</v>
      </c>
      <c r="J399" t="str">
        <f>_xlfn.XLOOKUP($A399,ALGLIB_SSA_XAUUSD!$J$2:$J$1000,ALGLIB_SSA_XAUUSD!$L$2:$L$1000,"",0)</f>
        <v>M5</v>
      </c>
      <c r="K399">
        <f>_xlfn.XLOOKUP($A399,ALGLIB_SSA_XAUUSD!$J$2:$J$1000,ALGLIB_SSA_XAUUSD!$M$2:$M$1000,"",0)</f>
        <v>4667.33</v>
      </c>
      <c r="L399">
        <f>_xlfn.XLOOKUP($A399,ALGLIB_SSA_XAUUSD!$J$2:$J$1000,ALGLIB_SSA_XAUUSD!$N$2:$N$1000,"",0)</f>
        <v>4661.1002900000003</v>
      </c>
      <c r="M399">
        <f>_xlfn.XLOOKUP($A399,ALGLIB_SSA_XAUUSD!$J$2:$J$1000,ALGLIB_SSA_XAUUSD!$O$2:$O$1000,"",0)</f>
        <v>4659.1294500000004</v>
      </c>
      <c r="N399">
        <f>_xlfn.XLOOKUP($A399,ALGLIB_SSA_XAUUSD!$J$2:$J$1000,ALGLIB_SSA_XAUUSD!$P$2:$P$1000,"",0)</f>
        <v>4663.7860499999997</v>
      </c>
      <c r="O399">
        <f>_xlfn.XLOOKUP($A399,ALGLIB_SSA_XAUUSD!$J$2:$J$1000,ALGLIB_SSA_XAUUSD!$Q$2:$Q$1000,"",0)</f>
        <v>4656.8014599999997</v>
      </c>
      <c r="R399">
        <f t="shared" si="66"/>
        <v>1775513100</v>
      </c>
      <c r="S399" t="str">
        <f t="shared" si="67"/>
        <v>XAUUSD</v>
      </c>
      <c r="T399" t="str">
        <f t="shared" si="68"/>
        <v>M5</v>
      </c>
      <c r="U399">
        <f t="shared" si="69"/>
        <v>4667.33</v>
      </c>
      <c r="V399">
        <v>4653.5955700000004</v>
      </c>
      <c r="W399">
        <v>4655.2719900000002</v>
      </c>
      <c r="X399">
        <v>4661.1002900000003</v>
      </c>
      <c r="Y399">
        <v>4659.1294500000004</v>
      </c>
      <c r="Z399">
        <f t="shared" si="70"/>
        <v>4662.529171666667</v>
      </c>
      <c r="AA399">
        <f t="shared" si="71"/>
        <v>4663.7860499999997</v>
      </c>
      <c r="AB399">
        <f t="shared" si="72"/>
        <v>4646.2395191666665</v>
      </c>
      <c r="AC399">
        <f t="shared" si="73"/>
        <v>4656.8014599999997</v>
      </c>
      <c r="AF399">
        <f t="shared" si="74"/>
        <v>4661.1002900000003</v>
      </c>
      <c r="AG399">
        <f t="shared" si="75"/>
        <v>4662.529171666667</v>
      </c>
      <c r="AH399">
        <f t="shared" si="76"/>
        <v>4646.2395191666665</v>
      </c>
    </row>
    <row r="400" spans="1:34" x14ac:dyDescent="0.55000000000000004">
      <c r="A400">
        <f>ALGLIB_SSA_XAUUSD!J400</f>
        <v>1775513400</v>
      </c>
      <c r="B400" t="str">
        <f>_xlfn.XLOOKUP($A400,ALGLIB_SSA_XAUUSD!$A$2:$A$1000,ALGLIB_SSA_XAUUSD!$B$2:$B$1000,"",0)</f>
        <v/>
      </c>
      <c r="C400" t="str">
        <f>_xlfn.XLOOKUP($A400,ALGLIB_SSA_XAUUSD!$A$2:$A$1000,ALGLIB_SSA_XAUUSD!$C$2:$C$1000,"",0)</f>
        <v/>
      </c>
      <c r="D400" s="1">
        <f>D398+(D410-D398)*2/12</f>
        <v>4658.3883333333333</v>
      </c>
      <c r="E400" s="1">
        <f>E398+(E410-E398)*2/12</f>
        <v>4653.3930900000005</v>
      </c>
      <c r="F400" s="1">
        <f>F398+(F410-F398)*2/12</f>
        <v>4655.1022683333331</v>
      </c>
      <c r="G400" s="1">
        <f>G398+(G410-G398)*2/12</f>
        <v>4662.4027733333332</v>
      </c>
      <c r="H400" s="1">
        <f>H398+(H410-H398)*2/12</f>
        <v>4645.9743983333337</v>
      </c>
      <c r="I400" t="str">
        <f>_xlfn.XLOOKUP($A400,ALGLIB_SSA_XAUUSD!$J$2:$J$1000,ALGLIB_SSA_XAUUSD!$K$2:$K$1000,"",0)</f>
        <v>XAUUSD</v>
      </c>
      <c r="J400" t="str">
        <f>_xlfn.XLOOKUP($A400,ALGLIB_SSA_XAUUSD!$J$2:$J$1000,ALGLIB_SSA_XAUUSD!$L$2:$L$1000,"",0)</f>
        <v>M5</v>
      </c>
      <c r="K400">
        <f>_xlfn.XLOOKUP($A400,ALGLIB_SSA_XAUUSD!$J$2:$J$1000,ALGLIB_SSA_XAUUSD!$M$2:$M$1000,"",0)</f>
        <v>4663.66</v>
      </c>
      <c r="L400">
        <f>_xlfn.XLOOKUP($A400,ALGLIB_SSA_XAUUSD!$J$2:$J$1000,ALGLIB_SSA_XAUUSD!$N$2:$N$1000,"",0)</f>
        <v>4662.5143399999997</v>
      </c>
      <c r="M400">
        <f>_xlfn.XLOOKUP($A400,ALGLIB_SSA_XAUUSD!$J$2:$J$1000,ALGLIB_SSA_XAUUSD!$O$2:$O$1000,"",0)</f>
        <v>4660.8218900000002</v>
      </c>
      <c r="N400">
        <f>_xlfn.XLOOKUP($A400,ALGLIB_SSA_XAUUSD!$J$2:$J$1000,ALGLIB_SSA_XAUUSD!$P$2:$P$1000,"",0)</f>
        <v>4665.2850600000002</v>
      </c>
      <c r="O400">
        <f>_xlfn.XLOOKUP($A400,ALGLIB_SSA_XAUUSD!$J$2:$J$1000,ALGLIB_SSA_XAUUSD!$Q$2:$Q$1000,"",0)</f>
        <v>4658.7492499999998</v>
      </c>
      <c r="R400">
        <f t="shared" si="66"/>
        <v>1775513400</v>
      </c>
      <c r="S400" t="str">
        <f t="shared" si="67"/>
        <v>XAUUSD</v>
      </c>
      <c r="T400" t="str">
        <f t="shared" si="68"/>
        <v>M5</v>
      </c>
      <c r="U400">
        <f t="shared" si="69"/>
        <v>4663.66</v>
      </c>
      <c r="V400">
        <v>4653.3930899999996</v>
      </c>
      <c r="W400">
        <v>4655.1022700000003</v>
      </c>
      <c r="X400">
        <v>4662.5143399999997</v>
      </c>
      <c r="Y400">
        <v>4660.8218900000002</v>
      </c>
      <c r="Z400">
        <f t="shared" si="70"/>
        <v>4662.4027733333332</v>
      </c>
      <c r="AA400">
        <f t="shared" si="71"/>
        <v>4665.2850600000002</v>
      </c>
      <c r="AB400">
        <f t="shared" si="72"/>
        <v>4645.9743983333337</v>
      </c>
      <c r="AC400">
        <f t="shared" si="73"/>
        <v>4658.7492499999998</v>
      </c>
      <c r="AF400">
        <f t="shared" si="74"/>
        <v>4662.5143399999997</v>
      </c>
      <c r="AG400">
        <f t="shared" si="75"/>
        <v>4662.4027733333332</v>
      </c>
      <c r="AH400">
        <f t="shared" si="76"/>
        <v>4645.9743983333337</v>
      </c>
    </row>
    <row r="401" spans="1:34" x14ac:dyDescent="0.55000000000000004">
      <c r="A401">
        <f>ALGLIB_SSA_XAUUSD!J401</f>
        <v>1775513700</v>
      </c>
      <c r="B401" t="str">
        <f>_xlfn.XLOOKUP($A401,ALGLIB_SSA_XAUUSD!$A$2:$A$1000,ALGLIB_SSA_XAUUSD!$B$2:$B$1000,"",0)</f>
        <v/>
      </c>
      <c r="C401" t="str">
        <f>_xlfn.XLOOKUP($A401,ALGLIB_SSA_XAUUSD!$A$2:$A$1000,ALGLIB_SSA_XAUUSD!$C$2:$C$1000,"",0)</f>
        <v/>
      </c>
      <c r="D401" s="1">
        <f>D398+(D410-D398)*3/12</f>
        <v>4658.4375</v>
      </c>
      <c r="E401" s="1">
        <f>E398+(E410-E398)*3/12</f>
        <v>4653.1906100000006</v>
      </c>
      <c r="F401" s="1">
        <f>F398+(F410-F398)*3/12</f>
        <v>4654.9325424999997</v>
      </c>
      <c r="G401" s="1">
        <f>G398+(G410-G398)*3/12</f>
        <v>4662.2763749999995</v>
      </c>
      <c r="H401" s="1">
        <f>H398+(H410-H398)*3/12</f>
        <v>4645.7092775000001</v>
      </c>
      <c r="I401" t="str">
        <f>_xlfn.XLOOKUP($A401,ALGLIB_SSA_XAUUSD!$J$2:$J$1000,ALGLIB_SSA_XAUUSD!$K$2:$K$1000,"",0)</f>
        <v>XAUUSD</v>
      </c>
      <c r="J401" t="str">
        <f>_xlfn.XLOOKUP($A401,ALGLIB_SSA_XAUUSD!$J$2:$J$1000,ALGLIB_SSA_XAUUSD!$L$2:$L$1000,"",0)</f>
        <v>M5</v>
      </c>
      <c r="K401">
        <f>_xlfn.XLOOKUP($A401,ALGLIB_SSA_XAUUSD!$J$2:$J$1000,ALGLIB_SSA_XAUUSD!$M$2:$M$1000,"",0)</f>
        <v>4664.7</v>
      </c>
      <c r="L401">
        <f>_xlfn.XLOOKUP($A401,ALGLIB_SSA_XAUUSD!$J$2:$J$1000,ALGLIB_SSA_XAUUSD!$N$2:$N$1000,"",0)</f>
        <v>4663.2135399999997</v>
      </c>
      <c r="M401">
        <f>_xlfn.XLOOKUP($A401,ALGLIB_SSA_XAUUSD!$J$2:$J$1000,ALGLIB_SSA_XAUUSD!$O$2:$O$1000,"",0)</f>
        <v>4662.0177199999998</v>
      </c>
      <c r="N401">
        <f>_xlfn.XLOOKUP($A401,ALGLIB_SSA_XAUUSD!$J$2:$J$1000,ALGLIB_SSA_XAUUSD!$P$2:$P$1000,"",0)</f>
        <v>4665.9584299999997</v>
      </c>
      <c r="O401">
        <f>_xlfn.XLOOKUP($A401,ALGLIB_SSA_XAUUSD!$J$2:$J$1000,ALGLIB_SSA_XAUUSD!$Q$2:$Q$1000,"",0)</f>
        <v>4660.1241900000005</v>
      </c>
      <c r="R401">
        <f t="shared" si="66"/>
        <v>1775513700</v>
      </c>
      <c r="S401" t="str">
        <f t="shared" si="67"/>
        <v>XAUUSD</v>
      </c>
      <c r="T401" t="str">
        <f t="shared" si="68"/>
        <v>M5</v>
      </c>
      <c r="U401">
        <f t="shared" si="69"/>
        <v>4664.7</v>
      </c>
      <c r="V401">
        <v>4653.1906099999997</v>
      </c>
      <c r="W401">
        <v>4654.9325399999998</v>
      </c>
      <c r="X401">
        <v>4663.2135399999997</v>
      </c>
      <c r="Y401">
        <v>4662.0177199999998</v>
      </c>
      <c r="Z401">
        <f t="shared" si="70"/>
        <v>4662.2763749999995</v>
      </c>
      <c r="AA401">
        <f t="shared" si="71"/>
        <v>4665.9584299999997</v>
      </c>
      <c r="AB401">
        <f t="shared" si="72"/>
        <v>4645.7092775000001</v>
      </c>
      <c r="AC401">
        <f t="shared" si="73"/>
        <v>4660.1241900000005</v>
      </c>
      <c r="AF401">
        <f t="shared" si="74"/>
        <v>4663.2135399999997</v>
      </c>
      <c r="AG401">
        <f t="shared" si="75"/>
        <v>4662.2763749999995</v>
      </c>
      <c r="AH401">
        <f t="shared" si="76"/>
        <v>4645.7092775000001</v>
      </c>
    </row>
    <row r="402" spans="1:34" x14ac:dyDescent="0.55000000000000004">
      <c r="A402">
        <f>ALGLIB_SSA_XAUUSD!J402</f>
        <v>1775514000</v>
      </c>
      <c r="B402" t="str">
        <f>_xlfn.XLOOKUP($A402,ALGLIB_SSA_XAUUSD!$A$2:$A$1000,ALGLIB_SSA_XAUUSD!$B$2:$B$1000,"",0)</f>
        <v/>
      </c>
      <c r="C402" t="str">
        <f>_xlfn.XLOOKUP($A402,ALGLIB_SSA_XAUUSD!$A$2:$A$1000,ALGLIB_SSA_XAUUSD!$C$2:$C$1000,"",0)</f>
        <v/>
      </c>
      <c r="D402" s="1">
        <f>D398+(D410-D398)*4/12</f>
        <v>4658.4866666666667</v>
      </c>
      <c r="E402" s="1">
        <f>E398+(E410-E398)*4/12</f>
        <v>4652.9881300000006</v>
      </c>
      <c r="F402" s="1">
        <f>F398+(F410-F398)*4/12</f>
        <v>4654.7628166666664</v>
      </c>
      <c r="G402" s="1">
        <f>G398+(G410-G398)*4/12</f>
        <v>4662.1499766666666</v>
      </c>
      <c r="H402" s="1">
        <f>H398+(H410-H398)*4/12</f>
        <v>4645.4441566666665</v>
      </c>
      <c r="I402" t="str">
        <f>_xlfn.XLOOKUP($A402,ALGLIB_SSA_XAUUSD!$J$2:$J$1000,ALGLIB_SSA_XAUUSD!$K$2:$K$1000,"",0)</f>
        <v>XAUUSD</v>
      </c>
      <c r="J402" t="str">
        <f>_xlfn.XLOOKUP($A402,ALGLIB_SSA_XAUUSD!$J$2:$J$1000,ALGLIB_SSA_XAUUSD!$L$2:$L$1000,"",0)</f>
        <v>M5</v>
      </c>
      <c r="K402">
        <f>_xlfn.XLOOKUP($A402,ALGLIB_SSA_XAUUSD!$J$2:$J$1000,ALGLIB_SSA_XAUUSD!$M$2:$M$1000,"",0)</f>
        <v>4660.88</v>
      </c>
      <c r="L402">
        <f>_xlfn.XLOOKUP($A402,ALGLIB_SSA_XAUUSD!$J$2:$J$1000,ALGLIB_SSA_XAUUSD!$N$2:$N$1000,"",0)</f>
        <v>4663.1814299999996</v>
      </c>
      <c r="M402">
        <f>_xlfn.XLOOKUP($A402,ALGLIB_SSA_XAUUSD!$J$2:$J$1000,ALGLIB_SSA_XAUUSD!$O$2:$O$1000,"",0)</f>
        <v>4662.5995800000001</v>
      </c>
      <c r="N402">
        <f>_xlfn.XLOOKUP($A402,ALGLIB_SSA_XAUUSD!$J$2:$J$1000,ALGLIB_SSA_XAUUSD!$P$2:$P$1000,"",0)</f>
        <v>4665.8425900000002</v>
      </c>
      <c r="O402">
        <f>_xlfn.XLOOKUP($A402,ALGLIB_SSA_XAUUSD!$J$2:$J$1000,ALGLIB_SSA_XAUUSD!$Q$2:$Q$1000,"",0)</f>
        <v>4660.8329999999996</v>
      </c>
      <c r="R402">
        <f t="shared" si="66"/>
        <v>1775514000</v>
      </c>
      <c r="S402" t="str">
        <f t="shared" si="67"/>
        <v>XAUUSD</v>
      </c>
      <c r="T402" t="str">
        <f t="shared" si="68"/>
        <v>M5</v>
      </c>
      <c r="U402">
        <f t="shared" si="69"/>
        <v>4660.88</v>
      </c>
      <c r="V402">
        <v>4652.9881299999997</v>
      </c>
      <c r="W402">
        <v>4654.7628199999999</v>
      </c>
      <c r="X402">
        <v>4663.1814299999996</v>
      </c>
      <c r="Y402">
        <v>4662.5995800000001</v>
      </c>
      <c r="Z402">
        <f t="shared" si="70"/>
        <v>4662.1499766666666</v>
      </c>
      <c r="AA402">
        <f t="shared" si="71"/>
        <v>4665.8425900000002</v>
      </c>
      <c r="AB402">
        <f t="shared" si="72"/>
        <v>4645.4441566666665</v>
      </c>
      <c r="AC402">
        <f t="shared" si="73"/>
        <v>4660.8329999999996</v>
      </c>
      <c r="AF402">
        <f t="shared" si="74"/>
        <v>4663.1814299999996</v>
      </c>
      <c r="AG402">
        <f t="shared" si="75"/>
        <v>4662.1499766666666</v>
      </c>
      <c r="AH402">
        <f t="shared" si="76"/>
        <v>4645.4441566666665</v>
      </c>
    </row>
    <row r="403" spans="1:34" x14ac:dyDescent="0.55000000000000004">
      <c r="A403">
        <f>ALGLIB_SSA_XAUUSD!J403</f>
        <v>1775514300</v>
      </c>
      <c r="B403" t="str">
        <f>_xlfn.XLOOKUP($A403,ALGLIB_SSA_XAUUSD!$A$2:$A$1000,ALGLIB_SSA_XAUUSD!$B$2:$B$1000,"",0)</f>
        <v/>
      </c>
      <c r="C403" t="str">
        <f>_xlfn.XLOOKUP($A403,ALGLIB_SSA_XAUUSD!$A$2:$A$1000,ALGLIB_SSA_XAUUSD!$C$2:$C$1000,"",0)</f>
        <v/>
      </c>
      <c r="D403" s="1">
        <f>D398+(D410-D398)*5/12</f>
        <v>4658.5358333333334</v>
      </c>
      <c r="E403" s="1">
        <f>E398+(E410-E398)*5/12</f>
        <v>4652.7856500000007</v>
      </c>
      <c r="F403" s="1">
        <f>F398+(F410-F398)*5/12</f>
        <v>4654.593090833333</v>
      </c>
      <c r="G403" s="1">
        <f>G398+(G410-G398)*5/12</f>
        <v>4662.0235783333337</v>
      </c>
      <c r="H403" s="1">
        <f>H398+(H410-H398)*5/12</f>
        <v>4645.1790358333337</v>
      </c>
      <c r="I403" t="str">
        <f>_xlfn.XLOOKUP($A403,ALGLIB_SSA_XAUUSD!$J$2:$J$1000,ALGLIB_SSA_XAUUSD!$K$2:$K$1000,"",0)</f>
        <v>XAUUSD</v>
      </c>
      <c r="J403" t="str">
        <f>_xlfn.XLOOKUP($A403,ALGLIB_SSA_XAUUSD!$J$2:$J$1000,ALGLIB_SSA_XAUUSD!$L$2:$L$1000,"",0)</f>
        <v>M5</v>
      </c>
      <c r="K403">
        <f>_xlfn.XLOOKUP($A403,ALGLIB_SSA_XAUUSD!$J$2:$J$1000,ALGLIB_SSA_XAUUSD!$M$2:$M$1000,"",0)</f>
        <v>4662.25</v>
      </c>
      <c r="L403">
        <f>_xlfn.XLOOKUP($A403,ALGLIB_SSA_XAUUSD!$J$2:$J$1000,ALGLIB_SSA_XAUUSD!$N$2:$N$1000,"",0)</f>
        <v>4662.6431599999996</v>
      </c>
      <c r="M403">
        <f>_xlfn.XLOOKUP($A403,ALGLIB_SSA_XAUUSD!$J$2:$J$1000,ALGLIB_SSA_XAUUSD!$O$2:$O$1000,"",0)</f>
        <v>4662.6213699999998</v>
      </c>
      <c r="N403">
        <f>_xlfn.XLOOKUP($A403,ALGLIB_SSA_XAUUSD!$J$2:$J$1000,ALGLIB_SSA_XAUUSD!$P$2:$P$1000,"",0)</f>
        <v>4665.0964199999999</v>
      </c>
      <c r="O403">
        <f>_xlfn.XLOOKUP($A403,ALGLIB_SSA_XAUUSD!$J$2:$J$1000,ALGLIB_SSA_XAUUSD!$Q$2:$Q$1000,"",0)</f>
        <v>4660.94085</v>
      </c>
      <c r="R403">
        <f t="shared" si="66"/>
        <v>1775514300</v>
      </c>
      <c r="S403" t="str">
        <f t="shared" si="67"/>
        <v>XAUUSD</v>
      </c>
      <c r="T403" t="str">
        <f t="shared" si="68"/>
        <v>M5</v>
      </c>
      <c r="U403">
        <f t="shared" si="69"/>
        <v>4662.25</v>
      </c>
      <c r="V403">
        <v>4652.7856499999998</v>
      </c>
      <c r="W403">
        <v>4654.5930900000003</v>
      </c>
      <c r="X403">
        <v>4662.6431599999996</v>
      </c>
      <c r="Y403">
        <v>4662.6213699999998</v>
      </c>
      <c r="Z403">
        <f t="shared" si="70"/>
        <v>4662.0235783333337</v>
      </c>
      <c r="AA403">
        <f t="shared" si="71"/>
        <v>4665.0964199999999</v>
      </c>
      <c r="AB403">
        <f t="shared" si="72"/>
        <v>4645.1790358333337</v>
      </c>
      <c r="AC403">
        <f t="shared" si="73"/>
        <v>4660.94085</v>
      </c>
      <c r="AF403">
        <f t="shared" si="74"/>
        <v>4662.6431599999996</v>
      </c>
      <c r="AG403">
        <f t="shared" si="75"/>
        <v>4662.0235783333337</v>
      </c>
      <c r="AH403">
        <f t="shared" si="76"/>
        <v>4645.1790358333337</v>
      </c>
    </row>
    <row r="404" spans="1:34" x14ac:dyDescent="0.55000000000000004">
      <c r="A404">
        <f>ALGLIB_SSA_XAUUSD!J404</f>
        <v>1775514600</v>
      </c>
      <c r="B404" t="str">
        <f>_xlfn.XLOOKUP($A404,ALGLIB_SSA_XAUUSD!$A$2:$A$1000,ALGLIB_SSA_XAUUSD!$B$2:$B$1000,"",0)</f>
        <v/>
      </c>
      <c r="C404" t="str">
        <f>_xlfn.XLOOKUP($A404,ALGLIB_SSA_XAUUSD!$A$2:$A$1000,ALGLIB_SSA_XAUUSD!$C$2:$C$1000,"",0)</f>
        <v/>
      </c>
      <c r="D404" s="1">
        <f>D398+(D410-D398)*6/12</f>
        <v>4658.585</v>
      </c>
      <c r="E404" s="1">
        <f>E398+(E410-E398)*6/12</f>
        <v>4652.5831699999999</v>
      </c>
      <c r="F404" s="1">
        <f>F398+(F410-F398)*6/12</f>
        <v>4654.4233650000006</v>
      </c>
      <c r="G404" s="1">
        <f>G398+(G410-G398)*6/12</f>
        <v>4661.8971799999999</v>
      </c>
      <c r="H404" s="1">
        <f>H398+(H410-H398)*6/12</f>
        <v>4644.9139150000001</v>
      </c>
      <c r="I404" t="str">
        <f>_xlfn.XLOOKUP($A404,ALGLIB_SSA_XAUUSD!$J$2:$J$1000,ALGLIB_SSA_XAUUSD!$K$2:$K$1000,"",0)</f>
        <v>XAUUSD</v>
      </c>
      <c r="J404" t="str">
        <f>_xlfn.XLOOKUP($A404,ALGLIB_SSA_XAUUSD!$J$2:$J$1000,ALGLIB_SSA_XAUUSD!$L$2:$L$1000,"",0)</f>
        <v>M5</v>
      </c>
      <c r="K404">
        <f>_xlfn.XLOOKUP($A404,ALGLIB_SSA_XAUUSD!$J$2:$J$1000,ALGLIB_SSA_XAUUSD!$M$2:$M$1000,"",0)</f>
        <v>4660.1099999999997</v>
      </c>
      <c r="L404">
        <f>_xlfn.XLOOKUP($A404,ALGLIB_SSA_XAUUSD!$J$2:$J$1000,ALGLIB_SSA_XAUUSD!$N$2:$N$1000,"",0)</f>
        <v>4661.7600400000001</v>
      </c>
      <c r="M404">
        <f>_xlfn.XLOOKUP($A404,ALGLIB_SSA_XAUUSD!$J$2:$J$1000,ALGLIB_SSA_XAUUSD!$O$2:$O$1000,"",0)</f>
        <v>4662.1907099999999</v>
      </c>
      <c r="N404">
        <f>_xlfn.XLOOKUP($A404,ALGLIB_SSA_XAUUSD!$J$2:$J$1000,ALGLIB_SSA_XAUUSD!$P$2:$P$1000,"",0)</f>
        <v>4663.9898700000003</v>
      </c>
      <c r="O404">
        <f>_xlfn.XLOOKUP($A404,ALGLIB_SSA_XAUUSD!$J$2:$J$1000,ALGLIB_SSA_XAUUSD!$Q$2:$Q$1000,"",0)</f>
        <v>4660.5215200000002</v>
      </c>
      <c r="R404">
        <f t="shared" si="66"/>
        <v>1775514600</v>
      </c>
      <c r="S404" t="str">
        <f t="shared" si="67"/>
        <v>XAUUSD</v>
      </c>
      <c r="T404" t="str">
        <f t="shared" si="68"/>
        <v>M5</v>
      </c>
      <c r="U404">
        <f t="shared" si="69"/>
        <v>4660.1099999999997</v>
      </c>
      <c r="V404">
        <v>4652.5831699999999</v>
      </c>
      <c r="W404">
        <v>4654.4233700000004</v>
      </c>
      <c r="X404">
        <v>4661.7600400000001</v>
      </c>
      <c r="Y404">
        <v>4662.1907099999999</v>
      </c>
      <c r="Z404">
        <f t="shared" si="70"/>
        <v>4661.8971799999999</v>
      </c>
      <c r="AA404">
        <f t="shared" si="71"/>
        <v>4663.9898700000003</v>
      </c>
      <c r="AB404">
        <f t="shared" si="72"/>
        <v>4644.9139150000001</v>
      </c>
      <c r="AC404">
        <f t="shared" si="73"/>
        <v>4660.5215200000002</v>
      </c>
      <c r="AF404">
        <f t="shared" si="74"/>
        <v>4661.7600400000001</v>
      </c>
      <c r="AG404">
        <f t="shared" si="75"/>
        <v>4661.8971799999999</v>
      </c>
      <c r="AH404">
        <f t="shared" si="76"/>
        <v>4644.9139150000001</v>
      </c>
    </row>
    <row r="405" spans="1:34" x14ac:dyDescent="0.55000000000000004">
      <c r="A405">
        <f>ALGLIB_SSA_XAUUSD!J405</f>
        <v>1775514900</v>
      </c>
      <c r="B405" t="str">
        <f>_xlfn.XLOOKUP($A405,ALGLIB_SSA_XAUUSD!$A$2:$A$1000,ALGLIB_SSA_XAUUSD!$B$2:$B$1000,"",0)</f>
        <v/>
      </c>
      <c r="C405" t="str">
        <f>_xlfn.XLOOKUP($A405,ALGLIB_SSA_XAUUSD!$A$2:$A$1000,ALGLIB_SSA_XAUUSD!$C$2:$C$1000,"",0)</f>
        <v/>
      </c>
      <c r="D405" s="1">
        <f>D398+(D410-D398)*7/12</f>
        <v>4658.6341666666667</v>
      </c>
      <c r="E405" s="1">
        <f>E398+(E410-E398)*7/12</f>
        <v>4652.38069</v>
      </c>
      <c r="F405" s="1">
        <f>F398+(F410-F398)*7/12</f>
        <v>4654.2536391666672</v>
      </c>
      <c r="G405" s="1">
        <f>G398+(G410-G398)*7/12</f>
        <v>4661.7707816666662</v>
      </c>
      <c r="H405" s="1">
        <f>H398+(H410-H398)*7/12</f>
        <v>4644.6487941666664</v>
      </c>
      <c r="I405" t="str">
        <f>_xlfn.XLOOKUP($A405,ALGLIB_SSA_XAUUSD!$J$2:$J$1000,ALGLIB_SSA_XAUUSD!$K$2:$K$1000,"",0)</f>
        <v>XAUUSD</v>
      </c>
      <c r="J405" t="str">
        <f>_xlfn.XLOOKUP($A405,ALGLIB_SSA_XAUUSD!$J$2:$J$1000,ALGLIB_SSA_XAUUSD!$L$2:$L$1000,"",0)</f>
        <v>M5</v>
      </c>
      <c r="K405">
        <f>_xlfn.XLOOKUP($A405,ALGLIB_SSA_XAUUSD!$J$2:$J$1000,ALGLIB_SSA_XAUUSD!$M$2:$M$1000,"",0)</f>
        <v>4660.41</v>
      </c>
      <c r="L405">
        <f>_xlfn.XLOOKUP($A405,ALGLIB_SSA_XAUUSD!$J$2:$J$1000,ALGLIB_SSA_XAUUSD!$N$2:$N$1000,"",0)</f>
        <v>4660.7992999999997</v>
      </c>
      <c r="M405">
        <f>_xlfn.XLOOKUP($A405,ALGLIB_SSA_XAUUSD!$J$2:$J$1000,ALGLIB_SSA_XAUUSD!$O$2:$O$1000,"",0)</f>
        <v>4661.4949999999999</v>
      </c>
      <c r="N405">
        <f>_xlfn.XLOOKUP($A405,ALGLIB_SSA_XAUUSD!$J$2:$J$1000,ALGLIB_SSA_XAUUSD!$P$2:$P$1000,"",0)</f>
        <v>4662.7609899999998</v>
      </c>
      <c r="O405">
        <f>_xlfn.XLOOKUP($A405,ALGLIB_SSA_XAUUSD!$J$2:$J$1000,ALGLIB_SSA_XAUUSD!$Q$2:$Q$1000,"",0)</f>
        <v>4659.8108599999996</v>
      </c>
      <c r="R405">
        <f t="shared" si="66"/>
        <v>1775514900</v>
      </c>
      <c r="S405" t="str">
        <f t="shared" si="67"/>
        <v>XAUUSD</v>
      </c>
      <c r="T405" t="str">
        <f t="shared" si="68"/>
        <v>M5</v>
      </c>
      <c r="U405">
        <f t="shared" si="69"/>
        <v>4660.41</v>
      </c>
      <c r="V405">
        <v>4652.38069</v>
      </c>
      <c r="W405">
        <v>4654.2536399999999</v>
      </c>
      <c r="X405">
        <v>4660.7992999999997</v>
      </c>
      <c r="Y405">
        <v>4661.4949999999999</v>
      </c>
      <c r="Z405">
        <f t="shared" si="70"/>
        <v>4661.7707816666662</v>
      </c>
      <c r="AA405">
        <f t="shared" si="71"/>
        <v>4662.7609899999998</v>
      </c>
      <c r="AB405">
        <f t="shared" si="72"/>
        <v>4644.6487941666664</v>
      </c>
      <c r="AC405">
        <f t="shared" si="73"/>
        <v>4659.8108599999996</v>
      </c>
      <c r="AF405">
        <f t="shared" si="74"/>
        <v>4660.7992999999997</v>
      </c>
      <c r="AG405">
        <f t="shared" si="75"/>
        <v>4661.7707816666662</v>
      </c>
      <c r="AH405">
        <f t="shared" si="76"/>
        <v>4644.6487941666664</v>
      </c>
    </row>
    <row r="406" spans="1:34" x14ac:dyDescent="0.55000000000000004">
      <c r="A406">
        <f>ALGLIB_SSA_XAUUSD!J406</f>
        <v>1775515200</v>
      </c>
      <c r="B406" t="str">
        <f>_xlfn.XLOOKUP($A406,ALGLIB_SSA_XAUUSD!$A$2:$A$1000,ALGLIB_SSA_XAUUSD!$B$2:$B$1000,"",0)</f>
        <v/>
      </c>
      <c r="C406" t="str">
        <f>_xlfn.XLOOKUP($A406,ALGLIB_SSA_XAUUSD!$A$2:$A$1000,ALGLIB_SSA_XAUUSD!$C$2:$C$1000,"",0)</f>
        <v/>
      </c>
      <c r="D406" s="1">
        <f>D398+(D410-D398)*8/12</f>
        <v>4658.6833333333334</v>
      </c>
      <c r="E406" s="1">
        <f>E398+(E410-E398)*8/12</f>
        <v>4652.17821</v>
      </c>
      <c r="F406" s="1">
        <f>F398+(F410-F398)*8/12</f>
        <v>4654.0839133333338</v>
      </c>
      <c r="G406" s="1">
        <f>G398+(G410-G398)*8/12</f>
        <v>4661.6443833333333</v>
      </c>
      <c r="H406" s="1">
        <f>H398+(H410-H398)*8/12</f>
        <v>4644.3836733333337</v>
      </c>
      <c r="I406" t="str">
        <f>_xlfn.XLOOKUP($A406,ALGLIB_SSA_XAUUSD!$J$2:$J$1000,ALGLIB_SSA_XAUUSD!$K$2:$K$1000,"",0)</f>
        <v>XAUUSD</v>
      </c>
      <c r="J406" t="str">
        <f>_xlfn.XLOOKUP($A406,ALGLIB_SSA_XAUUSD!$J$2:$J$1000,ALGLIB_SSA_XAUUSD!$L$2:$L$1000,"",0)</f>
        <v>M5</v>
      </c>
      <c r="K406">
        <f>_xlfn.XLOOKUP($A406,ALGLIB_SSA_XAUUSD!$J$2:$J$1000,ALGLIB_SSA_XAUUSD!$M$2:$M$1000,"",0)</f>
        <v>4659.13</v>
      </c>
      <c r="L406">
        <f>_xlfn.XLOOKUP($A406,ALGLIB_SSA_XAUUSD!$J$2:$J$1000,ALGLIB_SSA_XAUUSD!$N$2:$N$1000,"",0)</f>
        <v>4659.96389</v>
      </c>
      <c r="M406">
        <f>_xlfn.XLOOKUP($A406,ALGLIB_SSA_XAUUSD!$J$2:$J$1000,ALGLIB_SSA_XAUUSD!$O$2:$O$1000,"",0)</f>
        <v>4660.7294499999998</v>
      </c>
      <c r="N406">
        <f>_xlfn.XLOOKUP($A406,ALGLIB_SSA_XAUUSD!$J$2:$J$1000,ALGLIB_SSA_XAUUSD!$P$2:$P$1000,"",0)</f>
        <v>4661.6581399999995</v>
      </c>
      <c r="O406">
        <f>_xlfn.XLOOKUP($A406,ALGLIB_SSA_XAUUSD!$J$2:$J$1000,ALGLIB_SSA_XAUUSD!$Q$2:$Q$1000,"",0)</f>
        <v>4659.0070900000001</v>
      </c>
      <c r="R406">
        <f t="shared" si="66"/>
        <v>1775515200</v>
      </c>
      <c r="S406" t="str">
        <f t="shared" si="67"/>
        <v>XAUUSD</v>
      </c>
      <c r="T406" t="str">
        <f t="shared" si="68"/>
        <v>M5</v>
      </c>
      <c r="U406">
        <f t="shared" si="69"/>
        <v>4659.13</v>
      </c>
      <c r="V406">
        <v>4652.17821</v>
      </c>
      <c r="W406">
        <v>4654.0839100000003</v>
      </c>
      <c r="X406">
        <v>4659.96389</v>
      </c>
      <c r="Y406">
        <v>4660.7294499999998</v>
      </c>
      <c r="Z406">
        <f t="shared" si="70"/>
        <v>4661.6443833333333</v>
      </c>
      <c r="AA406">
        <f t="shared" si="71"/>
        <v>4661.6581399999995</v>
      </c>
      <c r="AB406">
        <f t="shared" si="72"/>
        <v>4644.3836733333337</v>
      </c>
      <c r="AC406">
        <f t="shared" si="73"/>
        <v>4659.0070900000001</v>
      </c>
      <c r="AF406">
        <f t="shared" si="74"/>
        <v>4659.96389</v>
      </c>
      <c r="AG406">
        <f t="shared" si="75"/>
        <v>4661.6443833333333</v>
      </c>
      <c r="AH406">
        <f t="shared" si="76"/>
        <v>4644.3836733333337</v>
      </c>
    </row>
    <row r="407" spans="1:34" x14ac:dyDescent="0.55000000000000004">
      <c r="A407">
        <f>ALGLIB_SSA_XAUUSD!J407</f>
        <v>1775515500</v>
      </c>
      <c r="B407" t="str">
        <f>_xlfn.XLOOKUP($A407,ALGLIB_SSA_XAUUSD!$A$2:$A$1000,ALGLIB_SSA_XAUUSD!$B$2:$B$1000,"",0)</f>
        <v/>
      </c>
      <c r="C407" t="str">
        <f>_xlfn.XLOOKUP($A407,ALGLIB_SSA_XAUUSD!$A$2:$A$1000,ALGLIB_SSA_XAUUSD!$C$2:$C$1000,"",0)</f>
        <v/>
      </c>
      <c r="D407" s="1">
        <f>D398+(D410-D398)*9/12</f>
        <v>4658.7325000000001</v>
      </c>
      <c r="E407" s="1">
        <f>E398+(E410-E398)*9/12</f>
        <v>4651.9757300000001</v>
      </c>
      <c r="F407" s="1">
        <f>F398+(F410-F398)*9/12</f>
        <v>4653.9141875000005</v>
      </c>
      <c r="G407" s="1">
        <f>G398+(G410-G398)*9/12</f>
        <v>4661.5179850000004</v>
      </c>
      <c r="H407" s="1">
        <f>H398+(H410-H398)*9/12</f>
        <v>4644.1185525000001</v>
      </c>
      <c r="I407" t="str">
        <f>_xlfn.XLOOKUP($A407,ALGLIB_SSA_XAUUSD!$J$2:$J$1000,ALGLIB_SSA_XAUUSD!$K$2:$K$1000,"",0)</f>
        <v>XAUUSD</v>
      </c>
      <c r="J407" t="str">
        <f>_xlfn.XLOOKUP($A407,ALGLIB_SSA_XAUUSD!$J$2:$J$1000,ALGLIB_SSA_XAUUSD!$L$2:$L$1000,"",0)</f>
        <v>M5</v>
      </c>
      <c r="K407">
        <f>_xlfn.XLOOKUP($A407,ALGLIB_SSA_XAUUSD!$J$2:$J$1000,ALGLIB_SSA_XAUUSD!$M$2:$M$1000,"",0)</f>
        <v>4660.99</v>
      </c>
      <c r="L407">
        <f>_xlfn.XLOOKUP($A407,ALGLIB_SSA_XAUUSD!$J$2:$J$1000,ALGLIB_SSA_XAUUSD!$N$2:$N$1000,"",0)</f>
        <v>4659.38328</v>
      </c>
      <c r="M407">
        <f>_xlfn.XLOOKUP($A407,ALGLIB_SSA_XAUUSD!$J$2:$J$1000,ALGLIB_SSA_XAUUSD!$O$2:$O$1000,"",0)</f>
        <v>4660.0563599999996</v>
      </c>
      <c r="N407">
        <f>_xlfn.XLOOKUP($A407,ALGLIB_SSA_XAUUSD!$J$2:$J$1000,ALGLIB_SSA_XAUUSD!$P$2:$P$1000,"",0)</f>
        <v>4660.8632500000003</v>
      </c>
      <c r="O407">
        <f>_xlfn.XLOOKUP($A407,ALGLIB_SSA_XAUUSD!$J$2:$J$1000,ALGLIB_SSA_XAUUSD!$Q$2:$Q$1000,"",0)</f>
        <v>4658.2694700000002</v>
      </c>
      <c r="R407">
        <f t="shared" si="66"/>
        <v>1775515500</v>
      </c>
      <c r="S407" t="str">
        <f t="shared" si="67"/>
        <v>XAUUSD</v>
      </c>
      <c r="T407" t="str">
        <f t="shared" si="68"/>
        <v>M5</v>
      </c>
      <c r="U407">
        <f t="shared" si="69"/>
        <v>4660.99</v>
      </c>
      <c r="V407">
        <v>4651.9757300000001</v>
      </c>
      <c r="W407">
        <v>4653.9141900000004</v>
      </c>
      <c r="X407">
        <v>4659.38328</v>
      </c>
      <c r="Y407">
        <v>4660.0563599999996</v>
      </c>
      <c r="Z407">
        <f t="shared" si="70"/>
        <v>4661.5179850000004</v>
      </c>
      <c r="AA407">
        <f t="shared" si="71"/>
        <v>4660.8632500000003</v>
      </c>
      <c r="AB407">
        <f t="shared" si="72"/>
        <v>4644.1185525000001</v>
      </c>
      <c r="AC407">
        <f t="shared" si="73"/>
        <v>4658.2694700000002</v>
      </c>
      <c r="AF407">
        <f t="shared" si="74"/>
        <v>4659.38328</v>
      </c>
      <c r="AG407">
        <f t="shared" si="75"/>
        <v>4661.5179850000004</v>
      </c>
      <c r="AH407">
        <f t="shared" si="76"/>
        <v>4644.1185525000001</v>
      </c>
    </row>
    <row r="408" spans="1:34" x14ac:dyDescent="0.55000000000000004">
      <c r="A408">
        <f>ALGLIB_SSA_XAUUSD!J408</f>
        <v>1775515800</v>
      </c>
      <c r="B408" t="str">
        <f>_xlfn.XLOOKUP($A408,ALGLIB_SSA_XAUUSD!$A$2:$A$1000,ALGLIB_SSA_XAUUSD!$B$2:$B$1000,"",0)</f>
        <v/>
      </c>
      <c r="C408" t="str">
        <f>_xlfn.XLOOKUP($A408,ALGLIB_SSA_XAUUSD!$A$2:$A$1000,ALGLIB_SSA_XAUUSD!$C$2:$C$1000,"",0)</f>
        <v/>
      </c>
      <c r="D408" s="1">
        <f>D398+(D410-D398)*10/12</f>
        <v>4658.7816666666668</v>
      </c>
      <c r="E408" s="1">
        <f>E398+(E410-E398)*10/12</f>
        <v>4651.7732500000002</v>
      </c>
      <c r="F408" s="1">
        <f>F398+(F410-F398)*10/12</f>
        <v>4653.7444616666671</v>
      </c>
      <c r="G408" s="1">
        <f>G398+(G410-G398)*10/12</f>
        <v>4661.3915866666666</v>
      </c>
      <c r="H408" s="1">
        <f>H398+(H410-H398)*10/12</f>
        <v>4643.8534316666664</v>
      </c>
      <c r="I408" t="str">
        <f>_xlfn.XLOOKUP($A408,ALGLIB_SSA_XAUUSD!$J$2:$J$1000,ALGLIB_SSA_XAUUSD!$K$2:$K$1000,"",0)</f>
        <v>XAUUSD</v>
      </c>
      <c r="J408" t="str">
        <f>_xlfn.XLOOKUP($A408,ALGLIB_SSA_XAUUSD!$J$2:$J$1000,ALGLIB_SSA_XAUUSD!$L$2:$L$1000,"",0)</f>
        <v>M5</v>
      </c>
      <c r="K408">
        <f>_xlfn.XLOOKUP($A408,ALGLIB_SSA_XAUUSD!$J$2:$J$1000,ALGLIB_SSA_XAUUSD!$M$2:$M$1000,"",0)</f>
        <v>4657.68</v>
      </c>
      <c r="L408">
        <f>_xlfn.XLOOKUP($A408,ALGLIB_SSA_XAUUSD!$J$2:$J$1000,ALGLIB_SSA_XAUUSD!$N$2:$N$1000,"",0)</f>
        <v>4658.9925899999998</v>
      </c>
      <c r="M408">
        <f>_xlfn.XLOOKUP($A408,ALGLIB_SSA_XAUUSD!$J$2:$J$1000,ALGLIB_SSA_XAUUSD!$O$2:$O$1000,"",0)</f>
        <v>4659.52448</v>
      </c>
      <c r="N408">
        <f>_xlfn.XLOOKUP($A408,ALGLIB_SSA_XAUUSD!$J$2:$J$1000,ALGLIB_SSA_XAUUSD!$P$2:$P$1000,"",0)</f>
        <v>4660.3729000000003</v>
      </c>
      <c r="O408">
        <f>_xlfn.XLOOKUP($A408,ALGLIB_SSA_XAUUSD!$J$2:$J$1000,ALGLIB_SSA_XAUUSD!$Q$2:$Q$1000,"",0)</f>
        <v>4657.7040800000004</v>
      </c>
      <c r="R408">
        <f t="shared" si="66"/>
        <v>1775515800</v>
      </c>
      <c r="S408" t="str">
        <f t="shared" si="67"/>
        <v>XAUUSD</v>
      </c>
      <c r="T408" t="str">
        <f t="shared" si="68"/>
        <v>M5</v>
      </c>
      <c r="U408">
        <f t="shared" si="69"/>
        <v>4657.68</v>
      </c>
      <c r="V408">
        <v>4651.7732500000002</v>
      </c>
      <c r="W408">
        <v>4653.7444599999999</v>
      </c>
      <c r="X408">
        <v>4658.9925899999998</v>
      </c>
      <c r="Y408">
        <v>4659.52448</v>
      </c>
      <c r="Z408">
        <f t="shared" si="70"/>
        <v>4661.3915866666666</v>
      </c>
      <c r="AA408">
        <f t="shared" si="71"/>
        <v>4660.3729000000003</v>
      </c>
      <c r="AB408">
        <f t="shared" si="72"/>
        <v>4643.8534316666664</v>
      </c>
      <c r="AC408">
        <f t="shared" si="73"/>
        <v>4657.7040800000004</v>
      </c>
      <c r="AF408">
        <f t="shared" si="74"/>
        <v>4658.9925899999998</v>
      </c>
      <c r="AG408">
        <f t="shared" si="75"/>
        <v>4661.3915866666666</v>
      </c>
      <c r="AH408">
        <f t="shared" si="76"/>
        <v>4643.8534316666664</v>
      </c>
    </row>
    <row r="409" spans="1:34" x14ac:dyDescent="0.55000000000000004">
      <c r="A409">
        <f>ALGLIB_SSA_XAUUSD!J409</f>
        <v>1775516100</v>
      </c>
      <c r="B409" t="str">
        <f>_xlfn.XLOOKUP($A409,ALGLIB_SSA_XAUUSD!$A$2:$A$1000,ALGLIB_SSA_XAUUSD!$B$2:$B$1000,"",0)</f>
        <v/>
      </c>
      <c r="C409" t="str">
        <f>_xlfn.XLOOKUP($A409,ALGLIB_SSA_XAUUSD!$A$2:$A$1000,ALGLIB_SSA_XAUUSD!$C$2:$C$1000,"",0)</f>
        <v/>
      </c>
      <c r="D409" s="1">
        <f>D398+(D410-D398)*11/12</f>
        <v>4658.8308333333334</v>
      </c>
      <c r="E409" s="1">
        <f>E398+(E410-E398)*11/12</f>
        <v>4651.5707700000003</v>
      </c>
      <c r="F409" s="1">
        <f>F398+(F410-F398)*11/12</f>
        <v>4653.5747358333338</v>
      </c>
      <c r="G409" s="1">
        <f>G398+(G410-G398)*11/12</f>
        <v>4661.2651883333328</v>
      </c>
      <c r="H409" s="1">
        <f>H398+(H410-H398)*11/12</f>
        <v>4643.5883108333337</v>
      </c>
      <c r="I409" t="str">
        <f>_xlfn.XLOOKUP($A409,ALGLIB_SSA_XAUUSD!$J$2:$J$1000,ALGLIB_SSA_XAUUSD!$K$2:$K$1000,"",0)</f>
        <v>XAUUSD</v>
      </c>
      <c r="J409" t="str">
        <f>_xlfn.XLOOKUP($A409,ALGLIB_SSA_XAUUSD!$J$2:$J$1000,ALGLIB_SSA_XAUUSD!$L$2:$L$1000,"",0)</f>
        <v>M5</v>
      </c>
      <c r="K409">
        <f>_xlfn.XLOOKUP($A409,ALGLIB_SSA_XAUUSD!$J$2:$J$1000,ALGLIB_SSA_XAUUSD!$M$2:$M$1000,"",0)</f>
        <v>4658.29</v>
      </c>
      <c r="L409">
        <f>_xlfn.XLOOKUP($A409,ALGLIB_SSA_XAUUSD!$J$2:$J$1000,ALGLIB_SSA_XAUUSD!$N$2:$N$1000,"",0)</f>
        <v>4658.7952100000002</v>
      </c>
      <c r="M409">
        <f>_xlfn.XLOOKUP($A409,ALGLIB_SSA_XAUUSD!$J$2:$J$1000,ALGLIB_SSA_XAUUSD!$O$2:$O$1000,"",0)</f>
        <v>4659.1598400000003</v>
      </c>
      <c r="N409">
        <f>_xlfn.XLOOKUP($A409,ALGLIB_SSA_XAUUSD!$J$2:$J$1000,ALGLIB_SSA_XAUUSD!$P$2:$P$1000,"",0)</f>
        <v>4660.1166199999998</v>
      </c>
      <c r="O409">
        <f>_xlfn.XLOOKUP($A409,ALGLIB_SSA_XAUUSD!$J$2:$J$1000,ALGLIB_SSA_XAUUSD!$Q$2:$Q$1000,"",0)</f>
        <v>4657.3250600000001</v>
      </c>
      <c r="R409">
        <f t="shared" si="66"/>
        <v>1775516100</v>
      </c>
      <c r="S409" t="str">
        <f t="shared" si="67"/>
        <v>XAUUSD</v>
      </c>
      <c r="T409" t="str">
        <f t="shared" si="68"/>
        <v>M5</v>
      </c>
      <c r="U409">
        <f t="shared" si="69"/>
        <v>4658.29</v>
      </c>
      <c r="V409">
        <v>4651.5707700000003</v>
      </c>
      <c r="W409">
        <v>4653.57474</v>
      </c>
      <c r="X409">
        <v>4658.7952100000002</v>
      </c>
      <c r="Y409">
        <v>4659.1598400000003</v>
      </c>
      <c r="Z409">
        <f t="shared" si="70"/>
        <v>4661.2651883333328</v>
      </c>
      <c r="AA409">
        <f t="shared" si="71"/>
        <v>4660.1166199999998</v>
      </c>
      <c r="AB409">
        <f t="shared" si="72"/>
        <v>4643.5883108333337</v>
      </c>
      <c r="AC409">
        <f t="shared" si="73"/>
        <v>4657.3250600000001</v>
      </c>
      <c r="AF409">
        <f t="shared" si="74"/>
        <v>4658.7952100000002</v>
      </c>
      <c r="AG409">
        <f t="shared" si="75"/>
        <v>4661.2651883333328</v>
      </c>
      <c r="AH409">
        <f t="shared" si="76"/>
        <v>4643.5883108333337</v>
      </c>
    </row>
    <row r="410" spans="1:34" x14ac:dyDescent="0.55000000000000004">
      <c r="A410">
        <f>ALGLIB_SSA_XAUUSD!J410</f>
        <v>1775516400</v>
      </c>
      <c r="B410" t="str">
        <f>_xlfn.XLOOKUP($A410,ALGLIB_SSA_XAUUSD!$A$2:$A$1000,ALGLIB_SSA_XAUUSD!$B$2:$B$1000,"",0)</f>
        <v>XAUUSD</v>
      </c>
      <c r="C410" t="str">
        <f>_xlfn.XLOOKUP($A410,ALGLIB_SSA_XAUUSD!$A$2:$A$1000,ALGLIB_SSA_XAUUSD!$C$2:$C$1000,"",0)</f>
        <v>H1</v>
      </c>
      <c r="D410" s="2">
        <f>_xlfn.XLOOKUP($A410,ALGLIB_SSA_XAUUSD!$A$2:$A$1000,ALGLIB_SSA_XAUUSD!$D$2:$D$1000,"",0)</f>
        <v>4658.88</v>
      </c>
      <c r="E410" s="2">
        <f>_xlfn.XLOOKUP($A410,ALGLIB_SSA_XAUUSD!$A$2:$A$1000,ALGLIB_SSA_XAUUSD!$E$2:$E$1000,"",0)</f>
        <v>4651.3682900000003</v>
      </c>
      <c r="F410" s="2">
        <f>_xlfn.XLOOKUP($A410,ALGLIB_SSA_XAUUSD!$A$2:$A$1000,ALGLIB_SSA_XAUUSD!$F$2:$F$1000,"",0)</f>
        <v>4653.4050100000004</v>
      </c>
      <c r="G410" s="2">
        <f>_xlfn.XLOOKUP($A410,ALGLIB_SSA_XAUUSD!$A$2:$A$1000,ALGLIB_SSA_XAUUSD!$G$2:$G$1000,"",0)</f>
        <v>4661.13879</v>
      </c>
      <c r="H410" s="2">
        <f>_xlfn.XLOOKUP($A410,ALGLIB_SSA_XAUUSD!$A$2:$A$1000,ALGLIB_SSA_XAUUSD!$H$2:$H$1000,"",0)</f>
        <v>4643.3231900000001</v>
      </c>
      <c r="I410" t="str">
        <f>_xlfn.XLOOKUP($A410,ALGLIB_SSA_XAUUSD!$J$2:$J$1000,ALGLIB_SSA_XAUUSD!$K$2:$K$1000,"",0)</f>
        <v>XAUUSD</v>
      </c>
      <c r="J410" t="str">
        <f>_xlfn.XLOOKUP($A410,ALGLIB_SSA_XAUUSD!$J$2:$J$1000,ALGLIB_SSA_XAUUSD!$L$2:$L$1000,"",0)</f>
        <v>M5</v>
      </c>
      <c r="K410">
        <f>_xlfn.XLOOKUP($A410,ALGLIB_SSA_XAUUSD!$J$2:$J$1000,ALGLIB_SSA_XAUUSD!$M$2:$M$1000,"",0)</f>
        <v>4659.3900000000003</v>
      </c>
      <c r="L410">
        <f>_xlfn.XLOOKUP($A410,ALGLIB_SSA_XAUUSD!$J$2:$J$1000,ALGLIB_SSA_XAUUSD!$N$2:$N$1000,"",0)</f>
        <v>4658.6447900000003</v>
      </c>
      <c r="M410">
        <f>_xlfn.XLOOKUP($A410,ALGLIB_SSA_XAUUSD!$J$2:$J$1000,ALGLIB_SSA_XAUUSD!$O$2:$O$1000,"",0)</f>
        <v>4658.9023200000001</v>
      </c>
      <c r="N410">
        <f>_xlfn.XLOOKUP($A410,ALGLIB_SSA_XAUUSD!$J$2:$J$1000,ALGLIB_SSA_XAUUSD!$P$2:$P$1000,"",0)</f>
        <v>4660.03485</v>
      </c>
      <c r="O410">
        <f>_xlfn.XLOOKUP($A410,ALGLIB_SSA_XAUUSD!$J$2:$J$1000,ALGLIB_SSA_XAUUSD!$Q$2:$Q$1000,"",0)</f>
        <v>4657.0942599999998</v>
      </c>
      <c r="R410">
        <f t="shared" si="66"/>
        <v>1775516400</v>
      </c>
      <c r="S410" t="str">
        <f t="shared" si="67"/>
        <v>XAUUSD</v>
      </c>
      <c r="T410" t="str">
        <f t="shared" si="68"/>
        <v>M5</v>
      </c>
      <c r="U410">
        <f t="shared" si="69"/>
        <v>4659.3900000000003</v>
      </c>
      <c r="V410">
        <v>4651.3682900000003</v>
      </c>
      <c r="W410">
        <v>4653.4050100000004</v>
      </c>
      <c r="X410">
        <v>4658.6447900000003</v>
      </c>
      <c r="Y410">
        <v>4658.9023200000001</v>
      </c>
      <c r="Z410">
        <f t="shared" si="70"/>
        <v>4661.13879</v>
      </c>
      <c r="AA410">
        <f t="shared" si="71"/>
        <v>4660.03485</v>
      </c>
      <c r="AB410">
        <f t="shared" si="72"/>
        <v>4643.3231900000001</v>
      </c>
      <c r="AC410">
        <f t="shared" si="73"/>
        <v>4657.0942599999998</v>
      </c>
      <c r="AF410">
        <f t="shared" si="74"/>
        <v>4658.6447900000003</v>
      </c>
      <c r="AG410">
        <f t="shared" si="75"/>
        <v>4661.13879</v>
      </c>
      <c r="AH410">
        <f t="shared" si="76"/>
        <v>4643.3231900000001</v>
      </c>
    </row>
    <row r="411" spans="1:34" x14ac:dyDescent="0.55000000000000004">
      <c r="A411">
        <f>ALGLIB_SSA_XAUUSD!J411</f>
        <v>1775516700</v>
      </c>
      <c r="B411" t="str">
        <f>_xlfn.XLOOKUP($A411,ALGLIB_SSA_XAUUSD!$A$2:$A$1000,ALGLIB_SSA_XAUUSD!$B$2:$B$1000,"",0)</f>
        <v/>
      </c>
      <c r="C411" t="str">
        <f>_xlfn.XLOOKUP($A411,ALGLIB_SSA_XAUUSD!$A$2:$A$1000,ALGLIB_SSA_XAUUSD!$C$2:$C$1000,"",0)</f>
        <v/>
      </c>
      <c r="D411" s="1">
        <f>D410+(D422-D410)*1/12</f>
        <v>4658.5733333333337</v>
      </c>
      <c r="E411" s="1">
        <f>E410+(E422-E410)*1/12</f>
        <v>4651.1255033333337</v>
      </c>
      <c r="F411" s="1">
        <f>F410+(F422-F410)*1/12</f>
        <v>4653.198753333334</v>
      </c>
      <c r="G411" s="1">
        <f>G410+(G422-G410)*1/12</f>
        <v>4660.974033333333</v>
      </c>
      <c r="H411" s="1">
        <f>H410+(H422-H410)*1/12</f>
        <v>4642.9720525000002</v>
      </c>
      <c r="I411" t="str">
        <f>_xlfn.XLOOKUP($A411,ALGLIB_SSA_XAUUSD!$J$2:$J$1000,ALGLIB_SSA_XAUUSD!$K$2:$K$1000,"",0)</f>
        <v>XAUUSD</v>
      </c>
      <c r="J411" t="str">
        <f>_xlfn.XLOOKUP($A411,ALGLIB_SSA_XAUUSD!$J$2:$J$1000,ALGLIB_SSA_XAUUSD!$L$2:$L$1000,"",0)</f>
        <v>M5</v>
      </c>
      <c r="K411">
        <f>_xlfn.XLOOKUP($A411,ALGLIB_SSA_XAUUSD!$J$2:$J$1000,ALGLIB_SSA_XAUUSD!$M$2:$M$1000,"",0)</f>
        <v>4660.3</v>
      </c>
      <c r="L411">
        <f>_xlfn.XLOOKUP($A411,ALGLIB_SSA_XAUUSD!$J$2:$J$1000,ALGLIB_SSA_XAUUSD!$N$2:$N$1000,"",0)</f>
        <v>4658.3919100000003</v>
      </c>
      <c r="M411">
        <f>_xlfn.XLOOKUP($A411,ALGLIB_SSA_XAUUSD!$J$2:$J$1000,ALGLIB_SSA_XAUUSD!$O$2:$O$1000,"",0)</f>
        <v>4658.6471199999996</v>
      </c>
      <c r="N411">
        <f>_xlfn.XLOOKUP($A411,ALGLIB_SSA_XAUUSD!$J$2:$J$1000,ALGLIB_SSA_XAUUSD!$P$2:$P$1000,"",0)</f>
        <v>4659.9218300000002</v>
      </c>
      <c r="O411">
        <f>_xlfn.XLOOKUP($A411,ALGLIB_SSA_XAUUSD!$J$2:$J$1000,ALGLIB_SSA_XAUUSD!$Q$2:$Q$1000,"",0)</f>
        <v>4656.91021</v>
      </c>
      <c r="R411">
        <f t="shared" si="66"/>
        <v>1775516700</v>
      </c>
      <c r="S411" t="str">
        <f t="shared" si="67"/>
        <v>XAUUSD</v>
      </c>
      <c r="T411" t="str">
        <f t="shared" si="68"/>
        <v>M5</v>
      </c>
      <c r="U411">
        <f t="shared" si="69"/>
        <v>4660.3</v>
      </c>
      <c r="V411">
        <v>4651.1255000000001</v>
      </c>
      <c r="W411">
        <v>4653.1987499999996</v>
      </c>
      <c r="X411">
        <v>4658.3919100000003</v>
      </c>
      <c r="Y411">
        <v>4658.6471199999996</v>
      </c>
      <c r="Z411">
        <f t="shared" si="70"/>
        <v>4660.974033333333</v>
      </c>
      <c r="AA411">
        <f t="shared" si="71"/>
        <v>4659.9218300000002</v>
      </c>
      <c r="AB411">
        <f t="shared" si="72"/>
        <v>4642.9720525000002</v>
      </c>
      <c r="AC411">
        <f t="shared" si="73"/>
        <v>4656.91021</v>
      </c>
      <c r="AF411">
        <f t="shared" si="74"/>
        <v>4658.3919100000003</v>
      </c>
      <c r="AG411">
        <f t="shared" si="75"/>
        <v>4660.974033333333</v>
      </c>
      <c r="AH411">
        <f t="shared" si="76"/>
        <v>4642.9720525000002</v>
      </c>
    </row>
    <row r="412" spans="1:34" x14ac:dyDescent="0.55000000000000004">
      <c r="A412">
        <f>ALGLIB_SSA_XAUUSD!J412</f>
        <v>1775517000</v>
      </c>
      <c r="B412" t="str">
        <f>_xlfn.XLOOKUP($A412,ALGLIB_SSA_XAUUSD!$A$2:$A$1000,ALGLIB_SSA_XAUUSD!$B$2:$B$1000,"",0)</f>
        <v/>
      </c>
      <c r="C412" t="str">
        <f>_xlfn.XLOOKUP($A412,ALGLIB_SSA_XAUUSD!$A$2:$A$1000,ALGLIB_SSA_XAUUSD!$C$2:$C$1000,"",0)</f>
        <v/>
      </c>
      <c r="D412" s="1">
        <f>D410+(D422-D410)*2/12</f>
        <v>4658.2666666666664</v>
      </c>
      <c r="E412" s="1">
        <f>E410+(E422-E410)*2/12</f>
        <v>4650.882716666667</v>
      </c>
      <c r="F412" s="1">
        <f>F410+(F422-F410)*2/12</f>
        <v>4652.9924966666667</v>
      </c>
      <c r="G412" s="1">
        <f>G410+(G422-G410)*2/12</f>
        <v>4660.8092766666668</v>
      </c>
      <c r="H412" s="1">
        <f>H410+(H422-H410)*2/12</f>
        <v>4642.6209150000004</v>
      </c>
      <c r="I412" t="str">
        <f>_xlfn.XLOOKUP($A412,ALGLIB_SSA_XAUUSD!$J$2:$J$1000,ALGLIB_SSA_XAUUSD!$K$2:$K$1000,"",0)</f>
        <v>XAUUSD</v>
      </c>
      <c r="J412" t="str">
        <f>_xlfn.XLOOKUP($A412,ALGLIB_SSA_XAUUSD!$J$2:$J$1000,ALGLIB_SSA_XAUUSD!$L$2:$L$1000,"",0)</f>
        <v>M5</v>
      </c>
      <c r="K412">
        <f>_xlfn.XLOOKUP($A412,ALGLIB_SSA_XAUUSD!$J$2:$J$1000,ALGLIB_SSA_XAUUSD!$M$2:$M$1000,"",0)</f>
        <v>4660.17</v>
      </c>
      <c r="L412">
        <f>_xlfn.XLOOKUP($A412,ALGLIB_SSA_XAUUSD!$J$2:$J$1000,ALGLIB_SSA_XAUUSD!$N$2:$N$1000,"",0)</f>
        <v>4657.9663700000001</v>
      </c>
      <c r="M412">
        <f>_xlfn.XLOOKUP($A412,ALGLIB_SSA_XAUUSD!$J$2:$J$1000,ALGLIB_SSA_XAUUSD!$O$2:$O$1000,"",0)</f>
        <v>4658.30674</v>
      </c>
      <c r="N412">
        <f>_xlfn.XLOOKUP($A412,ALGLIB_SSA_XAUUSD!$J$2:$J$1000,ALGLIB_SSA_XAUUSD!$P$2:$P$1000,"",0)</f>
        <v>4659.6194800000003</v>
      </c>
      <c r="O412">
        <f>_xlfn.XLOOKUP($A412,ALGLIB_SSA_XAUUSD!$J$2:$J$1000,ALGLIB_SSA_XAUUSD!$Q$2:$Q$1000,"",0)</f>
        <v>4656.6643800000002</v>
      </c>
      <c r="R412">
        <f t="shared" si="66"/>
        <v>1775517000</v>
      </c>
      <c r="S412" t="str">
        <f t="shared" si="67"/>
        <v>XAUUSD</v>
      </c>
      <c r="T412" t="str">
        <f t="shared" si="68"/>
        <v>M5</v>
      </c>
      <c r="U412">
        <f t="shared" si="69"/>
        <v>4660.17</v>
      </c>
      <c r="V412">
        <v>4650.8827199999996</v>
      </c>
      <c r="W412">
        <v>4652.9925000000003</v>
      </c>
      <c r="X412">
        <v>4657.9663700000001</v>
      </c>
      <c r="Y412">
        <v>4658.30674</v>
      </c>
      <c r="Z412">
        <f t="shared" si="70"/>
        <v>4660.8092766666668</v>
      </c>
      <c r="AA412">
        <f t="shared" si="71"/>
        <v>4659.6194800000003</v>
      </c>
      <c r="AB412">
        <f t="shared" si="72"/>
        <v>4642.6209150000004</v>
      </c>
      <c r="AC412">
        <f t="shared" si="73"/>
        <v>4656.6643800000002</v>
      </c>
      <c r="AF412">
        <f t="shared" si="74"/>
        <v>4657.9663700000001</v>
      </c>
      <c r="AG412">
        <f t="shared" si="75"/>
        <v>4660.8092766666668</v>
      </c>
      <c r="AH412">
        <f t="shared" si="76"/>
        <v>4642.6209150000004</v>
      </c>
    </row>
    <row r="413" spans="1:34" x14ac:dyDescent="0.55000000000000004">
      <c r="A413">
        <f>ALGLIB_SSA_XAUUSD!J413</f>
        <v>1775517300</v>
      </c>
      <c r="B413" t="str">
        <f>_xlfn.XLOOKUP($A413,ALGLIB_SSA_XAUUSD!$A$2:$A$1000,ALGLIB_SSA_XAUUSD!$B$2:$B$1000,"",0)</f>
        <v/>
      </c>
      <c r="C413" t="str">
        <f>_xlfn.XLOOKUP($A413,ALGLIB_SSA_XAUUSD!$A$2:$A$1000,ALGLIB_SSA_XAUUSD!$C$2:$C$1000,"",0)</f>
        <v/>
      </c>
      <c r="D413" s="1">
        <f>D410+(D422-D410)*3/12</f>
        <v>4657.96</v>
      </c>
      <c r="E413" s="1">
        <f>E410+(E422-E410)*3/12</f>
        <v>4650.6399300000003</v>
      </c>
      <c r="F413" s="1">
        <f>F410+(F422-F410)*3/12</f>
        <v>4652.7862400000004</v>
      </c>
      <c r="G413" s="1">
        <f>G410+(G422-G410)*3/12</f>
        <v>4660.6445199999998</v>
      </c>
      <c r="H413" s="1">
        <f>H410+(H422-H410)*3/12</f>
        <v>4642.2697774999997</v>
      </c>
      <c r="I413" t="str">
        <f>_xlfn.XLOOKUP($A413,ALGLIB_SSA_XAUUSD!$J$2:$J$1000,ALGLIB_SSA_XAUUSD!$K$2:$K$1000,"",0)</f>
        <v>XAUUSD</v>
      </c>
      <c r="J413" t="str">
        <f>_xlfn.XLOOKUP($A413,ALGLIB_SSA_XAUUSD!$J$2:$J$1000,ALGLIB_SSA_XAUUSD!$L$2:$L$1000,"",0)</f>
        <v>M5</v>
      </c>
      <c r="K413">
        <f>_xlfn.XLOOKUP($A413,ALGLIB_SSA_XAUUSD!$J$2:$J$1000,ALGLIB_SSA_XAUUSD!$M$2:$M$1000,"",0)</f>
        <v>4658.43</v>
      </c>
      <c r="L413">
        <f>_xlfn.XLOOKUP($A413,ALGLIB_SSA_XAUUSD!$J$2:$J$1000,ALGLIB_SSA_XAUUSD!$N$2:$N$1000,"",0)</f>
        <v>4657.36301</v>
      </c>
      <c r="M413">
        <f>_xlfn.XLOOKUP($A413,ALGLIB_SSA_XAUUSD!$J$2:$J$1000,ALGLIB_SSA_XAUUSD!$O$2:$O$1000,"",0)</f>
        <v>4657.8348699999997</v>
      </c>
      <c r="N413">
        <f>_xlfn.XLOOKUP($A413,ALGLIB_SSA_XAUUSD!$J$2:$J$1000,ALGLIB_SSA_XAUUSD!$P$2:$P$1000,"",0)</f>
        <v>4659.1038200000003</v>
      </c>
      <c r="O413">
        <f>_xlfn.XLOOKUP($A413,ALGLIB_SSA_XAUUSD!$J$2:$J$1000,ALGLIB_SSA_XAUUSD!$Q$2:$Q$1000,"",0)</f>
        <v>4656.2752700000001</v>
      </c>
      <c r="R413">
        <f t="shared" si="66"/>
        <v>1775517300</v>
      </c>
      <c r="S413" t="str">
        <f t="shared" si="67"/>
        <v>XAUUSD</v>
      </c>
      <c r="T413" t="str">
        <f t="shared" si="68"/>
        <v>M5</v>
      </c>
      <c r="U413">
        <f t="shared" si="69"/>
        <v>4658.43</v>
      </c>
      <c r="V413">
        <v>4650.6399300000003</v>
      </c>
      <c r="W413">
        <v>4652.7862400000004</v>
      </c>
      <c r="X413">
        <v>4657.36301</v>
      </c>
      <c r="Y413">
        <v>4657.8348699999997</v>
      </c>
      <c r="Z413">
        <f t="shared" si="70"/>
        <v>4660.6445199999998</v>
      </c>
      <c r="AA413">
        <f t="shared" si="71"/>
        <v>4659.1038200000003</v>
      </c>
      <c r="AB413">
        <f t="shared" si="72"/>
        <v>4642.2697774999997</v>
      </c>
      <c r="AC413">
        <f t="shared" si="73"/>
        <v>4656.2752700000001</v>
      </c>
      <c r="AF413">
        <f t="shared" si="74"/>
        <v>4657.36301</v>
      </c>
      <c r="AG413">
        <f t="shared" si="75"/>
        <v>4660.6445199999998</v>
      </c>
      <c r="AH413">
        <f t="shared" si="76"/>
        <v>4642.2697774999997</v>
      </c>
    </row>
    <row r="414" spans="1:34" x14ac:dyDescent="0.55000000000000004">
      <c r="A414">
        <f>ALGLIB_SSA_XAUUSD!J414</f>
        <v>1775517600</v>
      </c>
      <c r="B414" t="str">
        <f>_xlfn.XLOOKUP($A414,ALGLIB_SSA_XAUUSD!$A$2:$A$1000,ALGLIB_SSA_XAUUSD!$B$2:$B$1000,"",0)</f>
        <v/>
      </c>
      <c r="C414" t="str">
        <f>_xlfn.XLOOKUP($A414,ALGLIB_SSA_XAUUSD!$A$2:$A$1000,ALGLIB_SSA_XAUUSD!$C$2:$C$1000,"",0)</f>
        <v/>
      </c>
      <c r="D414" s="1">
        <f>D410+(D422-D410)*4/12</f>
        <v>4657.6533333333336</v>
      </c>
      <c r="E414" s="1">
        <f>E410+(E422-E410)*4/12</f>
        <v>4650.3971433333336</v>
      </c>
      <c r="F414" s="1">
        <f>F410+(F422-F410)*4/12</f>
        <v>4652.579983333334</v>
      </c>
      <c r="G414" s="1">
        <f>G410+(G422-G410)*4/12</f>
        <v>4660.4797633333337</v>
      </c>
      <c r="H414" s="1">
        <f>H410+(H422-H410)*4/12</f>
        <v>4641.9186399999999</v>
      </c>
      <c r="I414" t="str">
        <f>_xlfn.XLOOKUP($A414,ALGLIB_SSA_XAUUSD!$J$2:$J$1000,ALGLIB_SSA_XAUUSD!$K$2:$K$1000,"",0)</f>
        <v>XAUUSD</v>
      </c>
      <c r="J414" t="str">
        <f>_xlfn.XLOOKUP($A414,ALGLIB_SSA_XAUUSD!$J$2:$J$1000,ALGLIB_SSA_XAUUSD!$L$2:$L$1000,"",0)</f>
        <v>M5</v>
      </c>
      <c r="K414">
        <f>_xlfn.XLOOKUP($A414,ALGLIB_SSA_XAUUSD!$J$2:$J$1000,ALGLIB_SSA_XAUUSD!$M$2:$M$1000,"",0)</f>
        <v>4653.78</v>
      </c>
      <c r="L414">
        <f>_xlfn.XLOOKUP($A414,ALGLIB_SSA_XAUUSD!$J$2:$J$1000,ALGLIB_SSA_XAUUSD!$N$2:$N$1000,"",0)</f>
        <v>4656.6836199999998</v>
      </c>
      <c r="M414">
        <f>_xlfn.XLOOKUP($A414,ALGLIB_SSA_XAUUSD!$J$2:$J$1000,ALGLIB_SSA_XAUUSD!$O$2:$O$1000,"",0)</f>
        <v>4657.2592500000001</v>
      </c>
      <c r="N414">
        <f>_xlfn.XLOOKUP($A414,ALGLIB_SSA_XAUUSD!$J$2:$J$1000,ALGLIB_SSA_XAUUSD!$P$2:$P$1000,"",0)</f>
        <v>4658.4009100000003</v>
      </c>
      <c r="O414">
        <f>_xlfn.XLOOKUP($A414,ALGLIB_SSA_XAUUSD!$J$2:$J$1000,ALGLIB_SSA_XAUUSD!$Q$2:$Q$1000,"",0)</f>
        <v>4655.74125</v>
      </c>
      <c r="R414">
        <f t="shared" si="66"/>
        <v>1775517600</v>
      </c>
      <c r="S414" t="str">
        <f t="shared" si="67"/>
        <v>XAUUSD</v>
      </c>
      <c r="T414" t="str">
        <f t="shared" si="68"/>
        <v>M5</v>
      </c>
      <c r="U414">
        <f t="shared" si="69"/>
        <v>4653.78</v>
      </c>
      <c r="V414">
        <v>4650.39714</v>
      </c>
      <c r="W414">
        <v>4652.5799800000004</v>
      </c>
      <c r="X414">
        <v>4656.6836199999998</v>
      </c>
      <c r="Y414">
        <v>4657.2592500000001</v>
      </c>
      <c r="Z414">
        <f t="shared" si="70"/>
        <v>4660.4797633333337</v>
      </c>
      <c r="AA414">
        <f t="shared" si="71"/>
        <v>4658.4009100000003</v>
      </c>
      <c r="AB414">
        <f t="shared" si="72"/>
        <v>4641.9186399999999</v>
      </c>
      <c r="AC414">
        <f t="shared" si="73"/>
        <v>4655.74125</v>
      </c>
      <c r="AF414">
        <f t="shared" si="74"/>
        <v>4656.6836199999998</v>
      </c>
      <c r="AG414">
        <f t="shared" si="75"/>
        <v>4660.4797633333337</v>
      </c>
      <c r="AH414">
        <f t="shared" si="76"/>
        <v>4641.9186399999999</v>
      </c>
    </row>
    <row r="415" spans="1:34" x14ac:dyDescent="0.55000000000000004">
      <c r="A415">
        <f>ALGLIB_SSA_XAUUSD!J415</f>
        <v>1775517900</v>
      </c>
      <c r="B415" t="str">
        <f>_xlfn.XLOOKUP($A415,ALGLIB_SSA_XAUUSD!$A$2:$A$1000,ALGLIB_SSA_XAUUSD!$B$2:$B$1000,"",0)</f>
        <v/>
      </c>
      <c r="C415" t="str">
        <f>_xlfn.XLOOKUP($A415,ALGLIB_SSA_XAUUSD!$A$2:$A$1000,ALGLIB_SSA_XAUUSD!$C$2:$C$1000,"",0)</f>
        <v/>
      </c>
      <c r="D415" s="1">
        <f>D410+(D422-D410)*5/12</f>
        <v>4657.3466666666664</v>
      </c>
      <c r="E415" s="1">
        <f>E410+(E422-E410)*5/12</f>
        <v>4650.1543566666669</v>
      </c>
      <c r="F415" s="1">
        <f>F410+(F422-F410)*5/12</f>
        <v>4652.3737266666667</v>
      </c>
      <c r="G415" s="1">
        <f>G410+(G422-G410)*5/12</f>
        <v>4660.3150066666667</v>
      </c>
      <c r="H415" s="1">
        <f>H410+(H422-H410)*5/12</f>
        <v>4641.5675025</v>
      </c>
      <c r="I415" t="str">
        <f>_xlfn.XLOOKUP($A415,ALGLIB_SSA_XAUUSD!$J$2:$J$1000,ALGLIB_SSA_XAUUSD!$K$2:$K$1000,"",0)</f>
        <v>XAUUSD</v>
      </c>
      <c r="J415" t="str">
        <f>_xlfn.XLOOKUP($A415,ALGLIB_SSA_XAUUSD!$J$2:$J$1000,ALGLIB_SSA_XAUUSD!$L$2:$L$1000,"",0)</f>
        <v>M5</v>
      </c>
      <c r="K415">
        <f>_xlfn.XLOOKUP($A415,ALGLIB_SSA_XAUUSD!$J$2:$J$1000,ALGLIB_SSA_XAUUSD!$M$2:$M$1000,"",0)</f>
        <v>4654.49</v>
      </c>
      <c r="L415">
        <f>_xlfn.XLOOKUP($A415,ALGLIB_SSA_XAUUSD!$J$2:$J$1000,ALGLIB_SSA_XAUUSD!$N$2:$N$1000,"",0)</f>
        <v>4656.1345799999999</v>
      </c>
      <c r="M415">
        <f>_xlfn.XLOOKUP($A415,ALGLIB_SSA_XAUUSD!$J$2:$J$1000,ALGLIB_SSA_XAUUSD!$O$2:$O$1000,"",0)</f>
        <v>4656.6969099999997</v>
      </c>
      <c r="N415">
        <f>_xlfn.XLOOKUP($A415,ALGLIB_SSA_XAUUSD!$J$2:$J$1000,ALGLIB_SSA_XAUUSD!$P$2:$P$1000,"",0)</f>
        <v>4657.6696300000003</v>
      </c>
      <c r="O415">
        <f>_xlfn.XLOOKUP($A415,ALGLIB_SSA_XAUUSD!$J$2:$J$1000,ALGLIB_SSA_XAUUSD!$Q$2:$Q$1000,"",0)</f>
        <v>4655.1777599999996</v>
      </c>
      <c r="R415">
        <f t="shared" si="66"/>
        <v>1775517900</v>
      </c>
      <c r="S415" t="str">
        <f t="shared" si="67"/>
        <v>XAUUSD</v>
      </c>
      <c r="T415" t="str">
        <f t="shared" si="68"/>
        <v>M5</v>
      </c>
      <c r="U415">
        <f t="shared" si="69"/>
        <v>4654.49</v>
      </c>
      <c r="V415">
        <v>4650.1543600000005</v>
      </c>
      <c r="W415">
        <v>4652.3737300000003</v>
      </c>
      <c r="X415">
        <v>4656.1345799999999</v>
      </c>
      <c r="Y415">
        <v>4656.6969099999997</v>
      </c>
      <c r="Z415">
        <f t="shared" si="70"/>
        <v>4660.3150066666667</v>
      </c>
      <c r="AA415">
        <f t="shared" si="71"/>
        <v>4657.6696300000003</v>
      </c>
      <c r="AB415">
        <f t="shared" si="72"/>
        <v>4641.5675025</v>
      </c>
      <c r="AC415">
        <f t="shared" si="73"/>
        <v>4655.1777599999996</v>
      </c>
      <c r="AF415">
        <f t="shared" si="74"/>
        <v>4656.1345799999999</v>
      </c>
      <c r="AG415">
        <f t="shared" si="75"/>
        <v>4660.3150066666667</v>
      </c>
      <c r="AH415">
        <f t="shared" si="76"/>
        <v>4641.5675025</v>
      </c>
    </row>
    <row r="416" spans="1:34" x14ac:dyDescent="0.55000000000000004">
      <c r="A416">
        <f>ALGLIB_SSA_XAUUSD!J416</f>
        <v>1775518200</v>
      </c>
      <c r="B416" t="str">
        <f>_xlfn.XLOOKUP($A416,ALGLIB_SSA_XAUUSD!$A$2:$A$1000,ALGLIB_SSA_XAUUSD!$B$2:$B$1000,"",0)</f>
        <v/>
      </c>
      <c r="C416" t="str">
        <f>_xlfn.XLOOKUP($A416,ALGLIB_SSA_XAUUSD!$A$2:$A$1000,ALGLIB_SSA_XAUUSD!$C$2:$C$1000,"",0)</f>
        <v/>
      </c>
      <c r="D416" s="1">
        <f>D410+(D422-D410)*6/12</f>
        <v>4657.04</v>
      </c>
      <c r="E416" s="1">
        <f>E410+(E422-E410)*6/12</f>
        <v>4649.9115700000002</v>
      </c>
      <c r="F416" s="1">
        <f>F410+(F422-F410)*6/12</f>
        <v>4652.1674700000003</v>
      </c>
      <c r="G416" s="1">
        <f>G410+(G422-G410)*6/12</f>
        <v>4660.1502500000006</v>
      </c>
      <c r="H416" s="1">
        <f>H410+(H422-H410)*6/12</f>
        <v>4641.2163650000002</v>
      </c>
      <c r="I416" t="str">
        <f>_xlfn.XLOOKUP($A416,ALGLIB_SSA_XAUUSD!$J$2:$J$1000,ALGLIB_SSA_XAUUSD!$K$2:$K$1000,"",0)</f>
        <v>XAUUSD</v>
      </c>
      <c r="J416" t="str">
        <f>_xlfn.XLOOKUP($A416,ALGLIB_SSA_XAUUSD!$J$2:$J$1000,ALGLIB_SSA_XAUUSD!$L$2:$L$1000,"",0)</f>
        <v>M5</v>
      </c>
      <c r="K416">
        <f>_xlfn.XLOOKUP($A416,ALGLIB_SSA_XAUUSD!$J$2:$J$1000,ALGLIB_SSA_XAUUSD!$M$2:$M$1000,"",0)</f>
        <v>4653.93</v>
      </c>
      <c r="L416">
        <f>_xlfn.XLOOKUP($A416,ALGLIB_SSA_XAUUSD!$J$2:$J$1000,ALGLIB_SSA_XAUUSD!$N$2:$N$1000,"",0)</f>
        <v>4655.7560400000002</v>
      </c>
      <c r="M416">
        <f>_xlfn.XLOOKUP($A416,ALGLIB_SSA_XAUUSD!$J$2:$J$1000,ALGLIB_SSA_XAUUSD!$O$2:$O$1000,"",0)</f>
        <v>4656.2264800000003</v>
      </c>
      <c r="N416">
        <f>_xlfn.XLOOKUP($A416,ALGLIB_SSA_XAUUSD!$J$2:$J$1000,ALGLIB_SSA_XAUUSD!$P$2:$P$1000,"",0)</f>
        <v>4657.1056699999999</v>
      </c>
      <c r="O416">
        <f>_xlfn.XLOOKUP($A416,ALGLIB_SSA_XAUUSD!$J$2:$J$1000,ALGLIB_SSA_XAUUSD!$Q$2:$Q$1000,"",0)</f>
        <v>4654.5855000000001</v>
      </c>
      <c r="R416">
        <f t="shared" si="66"/>
        <v>1775518200</v>
      </c>
      <c r="S416" t="str">
        <f t="shared" si="67"/>
        <v>XAUUSD</v>
      </c>
      <c r="T416" t="str">
        <f t="shared" si="68"/>
        <v>M5</v>
      </c>
      <c r="U416">
        <f t="shared" si="69"/>
        <v>4653.93</v>
      </c>
      <c r="V416">
        <v>4649.9115700000002</v>
      </c>
      <c r="W416">
        <v>4652.1674700000003</v>
      </c>
      <c r="X416">
        <v>4655.7560400000002</v>
      </c>
      <c r="Y416">
        <v>4656.2264800000003</v>
      </c>
      <c r="Z416">
        <f t="shared" si="70"/>
        <v>4660.1502500000006</v>
      </c>
      <c r="AA416">
        <f t="shared" si="71"/>
        <v>4657.1056699999999</v>
      </c>
      <c r="AB416">
        <f t="shared" si="72"/>
        <v>4641.2163650000002</v>
      </c>
      <c r="AC416">
        <f t="shared" si="73"/>
        <v>4654.5855000000001</v>
      </c>
      <c r="AF416">
        <f t="shared" si="74"/>
        <v>4655.7560400000002</v>
      </c>
      <c r="AG416">
        <f t="shared" si="75"/>
        <v>4660.1502500000006</v>
      </c>
      <c r="AH416">
        <f t="shared" si="76"/>
        <v>4641.2163650000002</v>
      </c>
    </row>
    <row r="417" spans="1:34" x14ac:dyDescent="0.55000000000000004">
      <c r="A417">
        <f>ALGLIB_SSA_XAUUSD!J417</f>
        <v>1775518500</v>
      </c>
      <c r="B417" t="str">
        <f>_xlfn.XLOOKUP($A417,ALGLIB_SSA_XAUUSD!$A$2:$A$1000,ALGLIB_SSA_XAUUSD!$B$2:$B$1000,"",0)</f>
        <v/>
      </c>
      <c r="C417" t="str">
        <f>_xlfn.XLOOKUP($A417,ALGLIB_SSA_XAUUSD!$A$2:$A$1000,ALGLIB_SSA_XAUUSD!$C$2:$C$1000,"",0)</f>
        <v/>
      </c>
      <c r="D417" s="1">
        <f>D410+(D422-D410)*7/12</f>
        <v>4656.7333333333336</v>
      </c>
      <c r="E417" s="1">
        <f>E410+(E422-E410)*7/12</f>
        <v>4649.6687833333335</v>
      </c>
      <c r="F417" s="1">
        <f>F410+(F422-F410)*7/12</f>
        <v>4651.9612133333339</v>
      </c>
      <c r="G417" s="1">
        <f>G410+(G422-G410)*7/12</f>
        <v>4659.9854933333336</v>
      </c>
      <c r="H417" s="1">
        <f>H410+(H422-H410)*7/12</f>
        <v>4640.8652275000004</v>
      </c>
      <c r="I417" t="str">
        <f>_xlfn.XLOOKUP($A417,ALGLIB_SSA_XAUUSD!$J$2:$J$1000,ALGLIB_SSA_XAUUSD!$K$2:$K$1000,"",0)</f>
        <v>XAUUSD</v>
      </c>
      <c r="J417" t="str">
        <f>_xlfn.XLOOKUP($A417,ALGLIB_SSA_XAUUSD!$J$2:$J$1000,ALGLIB_SSA_XAUUSD!$L$2:$L$1000,"",0)</f>
        <v>M5</v>
      </c>
      <c r="K417">
        <f>_xlfn.XLOOKUP($A417,ALGLIB_SSA_XAUUSD!$J$2:$J$1000,ALGLIB_SSA_XAUUSD!$M$2:$M$1000,"",0)</f>
        <v>4655.13</v>
      </c>
      <c r="L417">
        <f>_xlfn.XLOOKUP($A417,ALGLIB_SSA_XAUUSD!$J$2:$J$1000,ALGLIB_SSA_XAUUSD!$N$2:$N$1000,"",0)</f>
        <v>4655.5821599999999</v>
      </c>
      <c r="M417">
        <f>_xlfn.XLOOKUP($A417,ALGLIB_SSA_XAUUSD!$J$2:$J$1000,ALGLIB_SSA_XAUUSD!$O$2:$O$1000,"",0)</f>
        <v>4655.9043199999996</v>
      </c>
      <c r="N417">
        <f>_xlfn.XLOOKUP($A417,ALGLIB_SSA_XAUUSD!$J$2:$J$1000,ALGLIB_SSA_XAUUSD!$P$2:$P$1000,"",0)</f>
        <v>4656.7937099999999</v>
      </c>
      <c r="O417">
        <f>_xlfn.XLOOKUP($A417,ALGLIB_SSA_XAUUSD!$J$2:$J$1000,ALGLIB_SSA_XAUUSD!$Q$2:$Q$1000,"",0)</f>
        <v>4653.9447899999996</v>
      </c>
      <c r="R417">
        <f t="shared" si="66"/>
        <v>1775518500</v>
      </c>
      <c r="S417" t="str">
        <f t="shared" si="67"/>
        <v>XAUUSD</v>
      </c>
      <c r="T417" t="str">
        <f t="shared" si="68"/>
        <v>M5</v>
      </c>
      <c r="U417">
        <f t="shared" si="69"/>
        <v>4655.13</v>
      </c>
      <c r="V417">
        <v>4649.66878</v>
      </c>
      <c r="W417">
        <v>4651.9612100000004</v>
      </c>
      <c r="X417">
        <v>4655.5821599999999</v>
      </c>
      <c r="Y417">
        <v>4655.9043199999996</v>
      </c>
      <c r="Z417">
        <f t="shared" si="70"/>
        <v>4659.9854933333336</v>
      </c>
      <c r="AA417">
        <f t="shared" si="71"/>
        <v>4656.7937099999999</v>
      </c>
      <c r="AB417">
        <f t="shared" si="72"/>
        <v>4640.8652275000004</v>
      </c>
      <c r="AC417">
        <f t="shared" si="73"/>
        <v>4653.9447899999996</v>
      </c>
      <c r="AF417">
        <f t="shared" si="74"/>
        <v>4655.5821599999999</v>
      </c>
      <c r="AG417">
        <f t="shared" si="75"/>
        <v>4659.9854933333336</v>
      </c>
      <c r="AH417">
        <f t="shared" si="76"/>
        <v>4640.8652275000004</v>
      </c>
    </row>
    <row r="418" spans="1:34" x14ac:dyDescent="0.55000000000000004">
      <c r="A418">
        <f>ALGLIB_SSA_XAUUSD!J418</f>
        <v>1775518800</v>
      </c>
      <c r="B418" t="str">
        <f>_xlfn.XLOOKUP($A418,ALGLIB_SSA_XAUUSD!$A$2:$A$1000,ALGLIB_SSA_XAUUSD!$B$2:$B$1000,"",0)</f>
        <v/>
      </c>
      <c r="C418" t="str">
        <f>_xlfn.XLOOKUP($A418,ALGLIB_SSA_XAUUSD!$A$2:$A$1000,ALGLIB_SSA_XAUUSD!$C$2:$C$1000,"",0)</f>
        <v/>
      </c>
      <c r="D418" s="1">
        <f>D410+(D422-D410)*8/12</f>
        <v>4656.4266666666663</v>
      </c>
      <c r="E418" s="1">
        <f>E410+(E422-E410)*8/12</f>
        <v>4649.4259966666668</v>
      </c>
      <c r="F418" s="1">
        <f>F410+(F422-F410)*8/12</f>
        <v>4651.7549566666667</v>
      </c>
      <c r="G418" s="1">
        <f>G410+(G422-G410)*8/12</f>
        <v>4659.8207366666666</v>
      </c>
      <c r="H418" s="1">
        <f>H410+(H422-H410)*8/12</f>
        <v>4640.5140900000006</v>
      </c>
      <c r="I418" t="str">
        <f>_xlfn.XLOOKUP($A418,ALGLIB_SSA_XAUUSD!$J$2:$J$1000,ALGLIB_SSA_XAUUSD!$K$2:$K$1000,"",0)</f>
        <v>XAUUSD</v>
      </c>
      <c r="J418" t="str">
        <f>_xlfn.XLOOKUP($A418,ALGLIB_SSA_XAUUSD!$J$2:$J$1000,ALGLIB_SSA_XAUUSD!$L$2:$L$1000,"",0)</f>
        <v>M5</v>
      </c>
      <c r="K418">
        <f>_xlfn.XLOOKUP($A418,ALGLIB_SSA_XAUUSD!$J$2:$J$1000,ALGLIB_SSA_XAUUSD!$M$2:$M$1000,"",0)</f>
        <v>4655.38</v>
      </c>
      <c r="L418">
        <f>_xlfn.XLOOKUP($A418,ALGLIB_SSA_XAUUSD!$J$2:$J$1000,ALGLIB_SSA_XAUUSD!$N$2:$N$1000,"",0)</f>
        <v>4655.57521</v>
      </c>
      <c r="M418">
        <f>_xlfn.XLOOKUP($A418,ALGLIB_SSA_XAUUSD!$J$2:$J$1000,ALGLIB_SSA_XAUUSD!$O$2:$O$1000,"",0)</f>
        <v>4655.7397600000004</v>
      </c>
      <c r="N418">
        <f>_xlfn.XLOOKUP($A418,ALGLIB_SSA_XAUUSD!$J$2:$J$1000,ALGLIB_SSA_XAUUSD!$P$2:$P$1000,"",0)</f>
        <v>4656.7661699999999</v>
      </c>
      <c r="O418">
        <f>_xlfn.XLOOKUP($A418,ALGLIB_SSA_XAUUSD!$J$2:$J$1000,ALGLIB_SSA_XAUUSD!$Q$2:$Q$1000,"",0)</f>
        <v>4653.3311700000004</v>
      </c>
      <c r="R418">
        <f t="shared" si="66"/>
        <v>1775518800</v>
      </c>
      <c r="S418" t="str">
        <f t="shared" si="67"/>
        <v>XAUUSD</v>
      </c>
      <c r="T418" t="str">
        <f t="shared" si="68"/>
        <v>M5</v>
      </c>
      <c r="U418">
        <f t="shared" si="69"/>
        <v>4655.38</v>
      </c>
      <c r="V418">
        <v>4649.4260000000004</v>
      </c>
      <c r="W418">
        <v>4651.7549600000002</v>
      </c>
      <c r="X418">
        <v>4655.57521</v>
      </c>
      <c r="Y418">
        <v>4655.7397600000004</v>
      </c>
      <c r="Z418">
        <f t="shared" si="70"/>
        <v>4659.8207366666666</v>
      </c>
      <c r="AA418">
        <f t="shared" si="71"/>
        <v>4656.7661699999999</v>
      </c>
      <c r="AB418">
        <f t="shared" si="72"/>
        <v>4640.5140900000006</v>
      </c>
      <c r="AC418">
        <f t="shared" si="73"/>
        <v>4653.3311700000004</v>
      </c>
      <c r="AF418">
        <f t="shared" si="74"/>
        <v>4655.57521</v>
      </c>
      <c r="AG418">
        <f t="shared" si="75"/>
        <v>4659.8207366666666</v>
      </c>
      <c r="AH418">
        <f t="shared" si="76"/>
        <v>4640.5140900000006</v>
      </c>
    </row>
    <row r="419" spans="1:34" x14ac:dyDescent="0.55000000000000004">
      <c r="A419">
        <f>ALGLIB_SSA_XAUUSD!J419</f>
        <v>1775519100</v>
      </c>
      <c r="B419" t="str">
        <f>_xlfn.XLOOKUP($A419,ALGLIB_SSA_XAUUSD!$A$2:$A$1000,ALGLIB_SSA_XAUUSD!$B$2:$B$1000,"",0)</f>
        <v/>
      </c>
      <c r="C419" t="str">
        <f>_xlfn.XLOOKUP($A419,ALGLIB_SSA_XAUUSD!$A$2:$A$1000,ALGLIB_SSA_XAUUSD!$C$2:$C$1000,"",0)</f>
        <v/>
      </c>
      <c r="D419" s="1">
        <f>D410+(D422-D410)*9/12</f>
        <v>4656.12</v>
      </c>
      <c r="E419" s="1">
        <f>E410+(E422-E410)*9/12</f>
        <v>4649.1832100000001</v>
      </c>
      <c r="F419" s="1">
        <f>F410+(F422-F410)*9/12</f>
        <v>4651.5487000000003</v>
      </c>
      <c r="G419" s="1">
        <f>G410+(G422-G410)*9/12</f>
        <v>4659.6559800000005</v>
      </c>
      <c r="H419" s="1">
        <f>H410+(H422-H410)*9/12</f>
        <v>4640.1629525000008</v>
      </c>
      <c r="I419" t="str">
        <f>_xlfn.XLOOKUP($A419,ALGLIB_SSA_XAUUSD!$J$2:$J$1000,ALGLIB_SSA_XAUUSD!$K$2:$K$1000,"",0)</f>
        <v>XAUUSD</v>
      </c>
      <c r="J419" t="str">
        <f>_xlfn.XLOOKUP($A419,ALGLIB_SSA_XAUUSD!$J$2:$J$1000,ALGLIB_SSA_XAUUSD!$L$2:$L$1000,"",0)</f>
        <v>M5</v>
      </c>
      <c r="K419">
        <f>_xlfn.XLOOKUP($A419,ALGLIB_SSA_XAUUSD!$J$2:$J$1000,ALGLIB_SSA_XAUUSD!$M$2:$M$1000,"",0)</f>
        <v>4656.54</v>
      </c>
      <c r="L419">
        <f>_xlfn.XLOOKUP($A419,ALGLIB_SSA_XAUUSD!$J$2:$J$1000,ALGLIB_SSA_XAUUSD!$N$2:$N$1000,"",0)</f>
        <v>4655.7082499999997</v>
      </c>
      <c r="M419">
        <f>_xlfn.XLOOKUP($A419,ALGLIB_SSA_XAUUSD!$J$2:$J$1000,ALGLIB_SSA_XAUUSD!$O$2:$O$1000,"",0)</f>
        <v>4655.7240099999999</v>
      </c>
      <c r="N419">
        <f>_xlfn.XLOOKUP($A419,ALGLIB_SSA_XAUUSD!$J$2:$J$1000,ALGLIB_SSA_XAUUSD!$P$2:$P$1000,"",0)</f>
        <v>4656.9847200000004</v>
      </c>
      <c r="O419">
        <f>_xlfn.XLOOKUP($A419,ALGLIB_SSA_XAUUSD!$J$2:$J$1000,ALGLIB_SSA_XAUUSD!$Q$2:$Q$1000,"",0)</f>
        <v>4652.7690000000002</v>
      </c>
      <c r="R419">
        <f t="shared" si="66"/>
        <v>1775519100</v>
      </c>
      <c r="S419" t="str">
        <f t="shared" si="67"/>
        <v>XAUUSD</v>
      </c>
      <c r="T419" t="str">
        <f t="shared" si="68"/>
        <v>M5</v>
      </c>
      <c r="U419">
        <f t="shared" si="69"/>
        <v>4656.54</v>
      </c>
      <c r="V419">
        <v>4649.1832100000001</v>
      </c>
      <c r="W419">
        <v>4651.5487000000003</v>
      </c>
      <c r="X419">
        <v>4655.7082499999997</v>
      </c>
      <c r="Y419">
        <v>4655.7240099999999</v>
      </c>
      <c r="Z419">
        <f t="shared" si="70"/>
        <v>4659.6559800000005</v>
      </c>
      <c r="AA419">
        <f t="shared" si="71"/>
        <v>4656.9847200000004</v>
      </c>
      <c r="AB419">
        <f t="shared" si="72"/>
        <v>4640.1629525000008</v>
      </c>
      <c r="AC419">
        <f t="shared" si="73"/>
        <v>4652.7690000000002</v>
      </c>
      <c r="AF419">
        <f t="shared" si="74"/>
        <v>4655.7082499999997</v>
      </c>
      <c r="AG419">
        <f t="shared" si="75"/>
        <v>4659.6559800000005</v>
      </c>
      <c r="AH419">
        <f t="shared" si="76"/>
        <v>4640.1629525000008</v>
      </c>
    </row>
    <row r="420" spans="1:34" x14ac:dyDescent="0.55000000000000004">
      <c r="A420">
        <f>ALGLIB_SSA_XAUUSD!J420</f>
        <v>1775519400</v>
      </c>
      <c r="B420" t="str">
        <f>_xlfn.XLOOKUP($A420,ALGLIB_SSA_XAUUSD!$A$2:$A$1000,ALGLIB_SSA_XAUUSD!$B$2:$B$1000,"",0)</f>
        <v/>
      </c>
      <c r="C420" t="str">
        <f>_xlfn.XLOOKUP($A420,ALGLIB_SSA_XAUUSD!$A$2:$A$1000,ALGLIB_SSA_XAUUSD!$C$2:$C$1000,"",0)</f>
        <v/>
      </c>
      <c r="D420" s="1">
        <f>D410+(D422-D410)*10/12</f>
        <v>4655.8133333333335</v>
      </c>
      <c r="E420" s="1">
        <f>E410+(E422-E410)*10/12</f>
        <v>4648.9404233333335</v>
      </c>
      <c r="F420" s="1">
        <f>F410+(F422-F410)*10/12</f>
        <v>4651.3424433333339</v>
      </c>
      <c r="G420" s="1">
        <f>G410+(G422-G410)*10/12</f>
        <v>4659.4912233333334</v>
      </c>
      <c r="H420" s="1">
        <f>H410+(H422-H410)*10/12</f>
        <v>4639.811815</v>
      </c>
      <c r="I420" t="str">
        <f>_xlfn.XLOOKUP($A420,ALGLIB_SSA_XAUUSD!$J$2:$J$1000,ALGLIB_SSA_XAUUSD!$K$2:$K$1000,"",0)</f>
        <v>XAUUSD</v>
      </c>
      <c r="J420" t="str">
        <f>_xlfn.XLOOKUP($A420,ALGLIB_SSA_XAUUSD!$J$2:$J$1000,ALGLIB_SSA_XAUUSD!$L$2:$L$1000,"",0)</f>
        <v>M5</v>
      </c>
      <c r="K420">
        <f>_xlfn.XLOOKUP($A420,ALGLIB_SSA_XAUUSD!$J$2:$J$1000,ALGLIB_SSA_XAUUSD!$M$2:$M$1000,"",0)</f>
        <v>4659.8</v>
      </c>
      <c r="L420">
        <f>_xlfn.XLOOKUP($A420,ALGLIB_SSA_XAUUSD!$J$2:$J$1000,ALGLIB_SSA_XAUUSD!$N$2:$N$1000,"",0)</f>
        <v>4655.9291800000001</v>
      </c>
      <c r="M420">
        <f>_xlfn.XLOOKUP($A420,ALGLIB_SSA_XAUUSD!$J$2:$J$1000,ALGLIB_SSA_XAUUSD!$O$2:$O$1000,"",0)</f>
        <v>4655.8265899999997</v>
      </c>
      <c r="N420">
        <f>_xlfn.XLOOKUP($A420,ALGLIB_SSA_XAUUSD!$J$2:$J$1000,ALGLIB_SSA_XAUUSD!$P$2:$P$1000,"",0)</f>
        <v>4657.3849499999997</v>
      </c>
      <c r="O420">
        <f>_xlfn.XLOOKUP($A420,ALGLIB_SSA_XAUUSD!$J$2:$J$1000,ALGLIB_SSA_XAUUSD!$Q$2:$Q$1000,"",0)</f>
        <v>4652.31113</v>
      </c>
      <c r="R420">
        <f t="shared" si="66"/>
        <v>1775519400</v>
      </c>
      <c r="S420" t="str">
        <f t="shared" si="67"/>
        <v>XAUUSD</v>
      </c>
      <c r="T420" t="str">
        <f t="shared" si="68"/>
        <v>M5</v>
      </c>
      <c r="U420">
        <f t="shared" si="69"/>
        <v>4659.8</v>
      </c>
      <c r="V420">
        <v>4648.9404199999999</v>
      </c>
      <c r="W420">
        <v>4651.3424400000004</v>
      </c>
      <c r="X420">
        <v>4655.9291800000001</v>
      </c>
      <c r="Y420">
        <v>4655.8265899999997</v>
      </c>
      <c r="Z420">
        <f t="shared" si="70"/>
        <v>4659.4912233333334</v>
      </c>
      <c r="AA420">
        <f t="shared" si="71"/>
        <v>4657.3849499999997</v>
      </c>
      <c r="AB420">
        <f t="shared" si="72"/>
        <v>4639.811815</v>
      </c>
      <c r="AC420">
        <f t="shared" si="73"/>
        <v>4652.31113</v>
      </c>
      <c r="AF420">
        <f t="shared" si="74"/>
        <v>4655.9291800000001</v>
      </c>
      <c r="AG420">
        <f t="shared" si="75"/>
        <v>4659.4912233333334</v>
      </c>
      <c r="AH420">
        <f t="shared" si="76"/>
        <v>4639.811815</v>
      </c>
    </row>
    <row r="421" spans="1:34" x14ac:dyDescent="0.55000000000000004">
      <c r="A421">
        <f>ALGLIB_SSA_XAUUSD!J421</f>
        <v>1775519700</v>
      </c>
      <c r="B421" t="str">
        <f>_xlfn.XLOOKUP($A421,ALGLIB_SSA_XAUUSD!$A$2:$A$1000,ALGLIB_SSA_XAUUSD!$B$2:$B$1000,"",0)</f>
        <v/>
      </c>
      <c r="C421" t="str">
        <f>_xlfn.XLOOKUP($A421,ALGLIB_SSA_XAUUSD!$A$2:$A$1000,ALGLIB_SSA_XAUUSD!$C$2:$C$1000,"",0)</f>
        <v/>
      </c>
      <c r="D421" s="1">
        <f>D410+(D422-D410)*11/12</f>
        <v>4655.5066666666662</v>
      </c>
      <c r="E421" s="1">
        <f>E410+(E422-E410)*11/12</f>
        <v>4648.6976366666668</v>
      </c>
      <c r="F421" s="1">
        <f>F410+(F422-F410)*11/12</f>
        <v>4651.1361866666666</v>
      </c>
      <c r="G421" s="1">
        <f>G410+(G422-G410)*11/12</f>
        <v>4659.3264666666673</v>
      </c>
      <c r="H421" s="1">
        <f>H410+(H422-H410)*11/12</f>
        <v>4639.4606775000002</v>
      </c>
      <c r="I421" t="str">
        <f>_xlfn.XLOOKUP($A421,ALGLIB_SSA_XAUUSD!$J$2:$J$1000,ALGLIB_SSA_XAUUSD!$K$2:$K$1000,"",0)</f>
        <v>XAUUSD</v>
      </c>
      <c r="J421" t="str">
        <f>_xlfn.XLOOKUP($A421,ALGLIB_SSA_XAUUSD!$J$2:$J$1000,ALGLIB_SSA_XAUUSD!$L$2:$L$1000,"",0)</f>
        <v>M5</v>
      </c>
      <c r="K421">
        <f>_xlfn.XLOOKUP($A421,ALGLIB_SSA_XAUUSD!$J$2:$J$1000,ALGLIB_SSA_XAUUSD!$M$2:$M$1000,"",0)</f>
        <v>4658.88</v>
      </c>
      <c r="L421">
        <f>_xlfn.XLOOKUP($A421,ALGLIB_SSA_XAUUSD!$J$2:$J$1000,ALGLIB_SSA_XAUUSD!$N$2:$N$1000,"",0)</f>
        <v>4656.1626999999999</v>
      </c>
      <c r="M421">
        <f>_xlfn.XLOOKUP($A421,ALGLIB_SSA_XAUUSD!$J$2:$J$1000,ALGLIB_SSA_XAUUSD!$O$2:$O$1000,"",0)</f>
        <v>4655.9946499999996</v>
      </c>
      <c r="N421">
        <f>_xlfn.XLOOKUP($A421,ALGLIB_SSA_XAUUSD!$J$2:$J$1000,ALGLIB_SSA_XAUUSD!$P$2:$P$1000,"",0)</f>
        <v>4657.8641600000001</v>
      </c>
      <c r="O421">
        <f>_xlfn.XLOOKUP($A421,ALGLIB_SSA_XAUUSD!$J$2:$J$1000,ALGLIB_SSA_XAUUSD!$Q$2:$Q$1000,"",0)</f>
        <v>4652.0821599999999</v>
      </c>
      <c r="R421">
        <f t="shared" si="66"/>
        <v>1775519700</v>
      </c>
      <c r="S421" t="str">
        <f t="shared" si="67"/>
        <v>XAUUSD</v>
      </c>
      <c r="T421" t="str">
        <f t="shared" si="68"/>
        <v>M5</v>
      </c>
      <c r="U421">
        <f t="shared" si="69"/>
        <v>4658.88</v>
      </c>
      <c r="V421">
        <v>4648.6976400000003</v>
      </c>
      <c r="W421">
        <v>4651.1361900000002</v>
      </c>
      <c r="X421">
        <v>4656.1626999999999</v>
      </c>
      <c r="Y421">
        <v>4655.9946499999996</v>
      </c>
      <c r="Z421">
        <f t="shared" si="70"/>
        <v>4659.3264666666673</v>
      </c>
      <c r="AA421">
        <f t="shared" si="71"/>
        <v>4657.8641600000001</v>
      </c>
      <c r="AB421">
        <f t="shared" si="72"/>
        <v>4639.4606775000002</v>
      </c>
      <c r="AC421">
        <f t="shared" si="73"/>
        <v>4652.0821599999999</v>
      </c>
      <c r="AF421">
        <f t="shared" si="74"/>
        <v>4656.1626999999999</v>
      </c>
      <c r="AG421">
        <f t="shared" si="75"/>
        <v>4659.3264666666673</v>
      </c>
      <c r="AH421">
        <f t="shared" si="76"/>
        <v>4639.4606775000002</v>
      </c>
    </row>
    <row r="422" spans="1:34" x14ac:dyDescent="0.55000000000000004">
      <c r="A422">
        <f>ALGLIB_SSA_XAUUSD!J422</f>
        <v>1775520000</v>
      </c>
      <c r="B422" t="str">
        <f>_xlfn.XLOOKUP($A422,ALGLIB_SSA_XAUUSD!$A$2:$A$1000,ALGLIB_SSA_XAUUSD!$B$2:$B$1000,"",0)</f>
        <v>XAUUSD</v>
      </c>
      <c r="C422" t="str">
        <f>_xlfn.XLOOKUP($A422,ALGLIB_SSA_XAUUSD!$A$2:$A$1000,ALGLIB_SSA_XAUUSD!$C$2:$C$1000,"",0)</f>
        <v>H1</v>
      </c>
      <c r="D422" s="2">
        <f>_xlfn.XLOOKUP($A422,ALGLIB_SSA_XAUUSD!$A$2:$A$1000,ALGLIB_SSA_XAUUSD!$D$2:$D$1000,"",0)</f>
        <v>4655.2</v>
      </c>
      <c r="E422" s="2">
        <f>_xlfn.XLOOKUP($A422,ALGLIB_SSA_XAUUSD!$A$2:$A$1000,ALGLIB_SSA_XAUUSD!$E$2:$E$1000,"",0)</f>
        <v>4648.4548500000001</v>
      </c>
      <c r="F422" s="2">
        <f>_xlfn.XLOOKUP($A422,ALGLIB_SSA_XAUUSD!$A$2:$A$1000,ALGLIB_SSA_XAUUSD!$F$2:$F$1000,"",0)</f>
        <v>4650.9299300000002</v>
      </c>
      <c r="G422" s="2">
        <f>_xlfn.XLOOKUP($A422,ALGLIB_SSA_XAUUSD!$A$2:$A$1000,ALGLIB_SSA_XAUUSD!$G$2:$G$1000,"",0)</f>
        <v>4659.1617100000003</v>
      </c>
      <c r="H422" s="2">
        <f>_xlfn.XLOOKUP($A422,ALGLIB_SSA_XAUUSD!$A$2:$A$1000,ALGLIB_SSA_XAUUSD!$H$2:$H$1000,"",0)</f>
        <v>4639.1095400000004</v>
      </c>
      <c r="I422" t="str">
        <f>_xlfn.XLOOKUP($A422,ALGLIB_SSA_XAUUSD!$J$2:$J$1000,ALGLIB_SSA_XAUUSD!$K$2:$K$1000,"",0)</f>
        <v>XAUUSD</v>
      </c>
      <c r="J422" t="str">
        <f>_xlfn.XLOOKUP($A422,ALGLIB_SSA_XAUUSD!$J$2:$J$1000,ALGLIB_SSA_XAUUSD!$L$2:$L$1000,"",0)</f>
        <v>M5</v>
      </c>
      <c r="K422">
        <f>_xlfn.XLOOKUP($A422,ALGLIB_SSA_XAUUSD!$J$2:$J$1000,ALGLIB_SSA_XAUUSD!$M$2:$M$1000,"",0)</f>
        <v>4654.95</v>
      </c>
      <c r="L422">
        <f>_xlfn.XLOOKUP($A422,ALGLIB_SSA_XAUUSD!$J$2:$J$1000,ALGLIB_SSA_XAUUSD!$N$2:$N$1000,"",0)</f>
        <v>4656.4670699999997</v>
      </c>
      <c r="M422">
        <f>_xlfn.XLOOKUP($A422,ALGLIB_SSA_XAUUSD!$J$2:$J$1000,ALGLIB_SSA_XAUUSD!$O$2:$O$1000,"",0)</f>
        <v>4656.2308599999997</v>
      </c>
      <c r="N422">
        <f>_xlfn.XLOOKUP($A422,ALGLIB_SSA_XAUUSD!$J$2:$J$1000,ALGLIB_SSA_XAUUSD!$P$2:$P$1000,"",0)</f>
        <v>4658.3867200000004</v>
      </c>
      <c r="O422">
        <f>_xlfn.XLOOKUP($A422,ALGLIB_SSA_XAUUSD!$J$2:$J$1000,ALGLIB_SSA_XAUUSD!$Q$2:$Q$1000,"",0)</f>
        <v>4652.1872000000003</v>
      </c>
      <c r="R422">
        <f t="shared" si="66"/>
        <v>1775520000</v>
      </c>
      <c r="S422" t="str">
        <f t="shared" si="67"/>
        <v>XAUUSD</v>
      </c>
      <c r="T422" t="str">
        <f t="shared" si="68"/>
        <v>M5</v>
      </c>
      <c r="U422">
        <f t="shared" si="69"/>
        <v>4654.95</v>
      </c>
      <c r="V422">
        <v>4648.4548500000001</v>
      </c>
      <c r="W422">
        <v>4650.9299300000002</v>
      </c>
      <c r="X422">
        <v>4656.4670699999997</v>
      </c>
      <c r="Y422">
        <v>4656.2308599999997</v>
      </c>
      <c r="Z422">
        <f t="shared" si="70"/>
        <v>4659.1617100000003</v>
      </c>
      <c r="AA422">
        <f t="shared" si="71"/>
        <v>4658.3867200000004</v>
      </c>
      <c r="AB422">
        <f t="shared" si="72"/>
        <v>4639.1095400000004</v>
      </c>
      <c r="AC422">
        <f t="shared" si="73"/>
        <v>4652.1872000000003</v>
      </c>
      <c r="AF422">
        <f t="shared" si="74"/>
        <v>4656.4670699999997</v>
      </c>
      <c r="AG422">
        <f t="shared" si="75"/>
        <v>4659.1617100000003</v>
      </c>
      <c r="AH422">
        <f t="shared" si="76"/>
        <v>4639.1095400000004</v>
      </c>
    </row>
    <row r="423" spans="1:34" x14ac:dyDescent="0.55000000000000004">
      <c r="A423">
        <f>ALGLIB_SSA_XAUUSD!J423</f>
        <v>1775520300</v>
      </c>
      <c r="B423" t="str">
        <f>_xlfn.XLOOKUP($A423,ALGLIB_SSA_XAUUSD!$A$2:$A$1000,ALGLIB_SSA_XAUUSD!$B$2:$B$1000,"",0)</f>
        <v/>
      </c>
      <c r="C423" t="str">
        <f>_xlfn.XLOOKUP($A423,ALGLIB_SSA_XAUUSD!$A$2:$A$1000,ALGLIB_SSA_XAUUSD!$C$2:$C$1000,"",0)</f>
        <v/>
      </c>
      <c r="D423" s="1">
        <f>D422+(D434-D422)*1/12</f>
        <v>4652.8616666666667</v>
      </c>
      <c r="E423" s="1">
        <f>E422+(E434-E422)*1/12</f>
        <v>4648.2392391666672</v>
      </c>
      <c r="F423" s="1">
        <f>F422+(F434-F422)*1/12</f>
        <v>4650.7189958333338</v>
      </c>
      <c r="G423" s="1">
        <f>G422+(G434-G422)*1/12</f>
        <v>4658.9959333333336</v>
      </c>
      <c r="H423" s="1">
        <f>H422+(H434-H422)*1/12</f>
        <v>4638.7394333333341</v>
      </c>
      <c r="I423" t="str">
        <f>_xlfn.XLOOKUP($A423,ALGLIB_SSA_XAUUSD!$J$2:$J$1000,ALGLIB_SSA_XAUUSD!$K$2:$K$1000,"",0)</f>
        <v>XAUUSD</v>
      </c>
      <c r="J423" t="str">
        <f>_xlfn.XLOOKUP($A423,ALGLIB_SSA_XAUUSD!$J$2:$J$1000,ALGLIB_SSA_XAUUSD!$L$2:$L$1000,"",0)</f>
        <v>M5</v>
      </c>
      <c r="K423">
        <f>_xlfn.XLOOKUP($A423,ALGLIB_SSA_XAUUSD!$J$2:$J$1000,ALGLIB_SSA_XAUUSD!$M$2:$M$1000,"",0)</f>
        <v>4653.8</v>
      </c>
      <c r="L423">
        <f>_xlfn.XLOOKUP($A423,ALGLIB_SSA_XAUUSD!$J$2:$J$1000,ALGLIB_SSA_XAUUSD!$N$2:$N$1000,"",0)</f>
        <v>4656.9921100000001</v>
      </c>
      <c r="M423">
        <f>_xlfn.XLOOKUP($A423,ALGLIB_SSA_XAUUSD!$J$2:$J$1000,ALGLIB_SSA_XAUUSD!$O$2:$O$1000,"",0)</f>
        <v>4656.6114799999996</v>
      </c>
      <c r="N423">
        <f>_xlfn.XLOOKUP($A423,ALGLIB_SSA_XAUUSD!$J$2:$J$1000,ALGLIB_SSA_XAUUSD!$P$2:$P$1000,"",0)</f>
        <v>4658.96443</v>
      </c>
      <c r="O423">
        <f>_xlfn.XLOOKUP($A423,ALGLIB_SSA_XAUUSD!$J$2:$J$1000,ALGLIB_SSA_XAUUSD!$Q$2:$Q$1000,"",0)</f>
        <v>4652.9569300000003</v>
      </c>
      <c r="R423">
        <f t="shared" si="66"/>
        <v>1775520300</v>
      </c>
      <c r="S423" t="str">
        <f t="shared" si="67"/>
        <v>XAUUSD</v>
      </c>
      <c r="T423" t="str">
        <f t="shared" si="68"/>
        <v>M5</v>
      </c>
      <c r="U423">
        <f t="shared" si="69"/>
        <v>4653.8</v>
      </c>
      <c r="V423">
        <v>4648.2392399999999</v>
      </c>
      <c r="W423">
        <v>4650.7190000000001</v>
      </c>
      <c r="X423">
        <v>4656.9921100000001</v>
      </c>
      <c r="Y423">
        <v>4656.6114799999996</v>
      </c>
      <c r="Z423">
        <f t="shared" si="70"/>
        <v>4658.9959333333336</v>
      </c>
      <c r="AA423">
        <f t="shared" si="71"/>
        <v>4658.96443</v>
      </c>
      <c r="AB423">
        <f t="shared" si="72"/>
        <v>4638.7394333333341</v>
      </c>
      <c r="AC423">
        <f t="shared" si="73"/>
        <v>4652.9569300000003</v>
      </c>
      <c r="AF423">
        <f t="shared" si="74"/>
        <v>4656.9921100000001</v>
      </c>
      <c r="AG423">
        <f t="shared" si="75"/>
        <v>4658.9959333333336</v>
      </c>
      <c r="AH423">
        <f t="shared" si="76"/>
        <v>4638.7394333333341</v>
      </c>
    </row>
    <row r="424" spans="1:34" x14ac:dyDescent="0.55000000000000004">
      <c r="A424">
        <f>ALGLIB_SSA_XAUUSD!J424</f>
        <v>1775520600</v>
      </c>
      <c r="B424" t="str">
        <f>_xlfn.XLOOKUP($A424,ALGLIB_SSA_XAUUSD!$A$2:$A$1000,ALGLIB_SSA_XAUUSD!$B$2:$B$1000,"",0)</f>
        <v/>
      </c>
      <c r="C424" t="str">
        <f>_xlfn.XLOOKUP($A424,ALGLIB_SSA_XAUUSD!$A$2:$A$1000,ALGLIB_SSA_XAUUSD!$C$2:$C$1000,"",0)</f>
        <v/>
      </c>
      <c r="D424" s="1">
        <f>D422+(D434-D422)*2/12</f>
        <v>4650.5233333333335</v>
      </c>
      <c r="E424" s="1">
        <f>E422+(E434-E422)*2/12</f>
        <v>4648.0236283333334</v>
      </c>
      <c r="F424" s="1">
        <f>F422+(F434-F422)*2/12</f>
        <v>4650.5080616666673</v>
      </c>
      <c r="G424" s="1">
        <f>G422+(G434-G422)*2/12</f>
        <v>4658.8301566666669</v>
      </c>
      <c r="H424" s="1">
        <f>H422+(H434-H422)*2/12</f>
        <v>4638.3693266666669</v>
      </c>
      <c r="I424" t="str">
        <f>_xlfn.XLOOKUP($A424,ALGLIB_SSA_XAUUSD!$J$2:$J$1000,ALGLIB_SSA_XAUUSD!$K$2:$K$1000,"",0)</f>
        <v>XAUUSD</v>
      </c>
      <c r="J424" t="str">
        <f>_xlfn.XLOOKUP($A424,ALGLIB_SSA_XAUUSD!$J$2:$J$1000,ALGLIB_SSA_XAUUSD!$L$2:$L$1000,"",0)</f>
        <v>M5</v>
      </c>
      <c r="K424">
        <f>_xlfn.XLOOKUP($A424,ALGLIB_SSA_XAUUSD!$J$2:$J$1000,ALGLIB_SSA_XAUUSD!$M$2:$M$1000,"",0)</f>
        <v>4657.66</v>
      </c>
      <c r="L424">
        <f>_xlfn.XLOOKUP($A424,ALGLIB_SSA_XAUUSD!$J$2:$J$1000,ALGLIB_SSA_XAUUSD!$N$2:$N$1000,"",0)</f>
        <v>4657.78586</v>
      </c>
      <c r="M424">
        <f>_xlfn.XLOOKUP($A424,ALGLIB_SSA_XAUUSD!$J$2:$J$1000,ALGLIB_SSA_XAUUSD!$O$2:$O$1000,"",0)</f>
        <v>4657.1986699999998</v>
      </c>
      <c r="N424">
        <f>_xlfn.XLOOKUP($A424,ALGLIB_SSA_XAUUSD!$J$2:$J$1000,ALGLIB_SSA_XAUUSD!$P$2:$P$1000,"",0)</f>
        <v>4659.6688100000001</v>
      </c>
      <c r="O424">
        <f>_xlfn.XLOOKUP($A424,ALGLIB_SSA_XAUUSD!$J$2:$J$1000,ALGLIB_SSA_XAUUSD!$Q$2:$Q$1000,"",0)</f>
        <v>4654.3656199999996</v>
      </c>
      <c r="R424">
        <f t="shared" si="66"/>
        <v>1775520600</v>
      </c>
      <c r="S424" t="str">
        <f t="shared" si="67"/>
        <v>XAUUSD</v>
      </c>
      <c r="T424" t="str">
        <f t="shared" si="68"/>
        <v>M5</v>
      </c>
      <c r="U424">
        <f t="shared" si="69"/>
        <v>4657.66</v>
      </c>
      <c r="V424">
        <v>4648.0236299999997</v>
      </c>
      <c r="W424">
        <v>4650.5080600000001</v>
      </c>
      <c r="X424">
        <v>4657.78586</v>
      </c>
      <c r="Y424">
        <v>4657.1986699999998</v>
      </c>
      <c r="Z424">
        <f t="shared" si="70"/>
        <v>4658.8301566666669</v>
      </c>
      <c r="AA424">
        <f t="shared" si="71"/>
        <v>4659.6688100000001</v>
      </c>
      <c r="AB424">
        <f t="shared" si="72"/>
        <v>4638.3693266666669</v>
      </c>
      <c r="AC424">
        <f t="shared" si="73"/>
        <v>4654.3656199999996</v>
      </c>
      <c r="AF424">
        <f t="shared" si="74"/>
        <v>4657.78586</v>
      </c>
      <c r="AG424">
        <f t="shared" si="75"/>
        <v>4658.8301566666669</v>
      </c>
      <c r="AH424">
        <f t="shared" si="76"/>
        <v>4638.3693266666669</v>
      </c>
    </row>
    <row r="425" spans="1:34" x14ac:dyDescent="0.55000000000000004">
      <c r="A425">
        <f>ALGLIB_SSA_XAUUSD!J425</f>
        <v>1775520900</v>
      </c>
      <c r="B425" t="str">
        <f>_xlfn.XLOOKUP($A425,ALGLIB_SSA_XAUUSD!$A$2:$A$1000,ALGLIB_SSA_XAUUSD!$B$2:$B$1000,"",0)</f>
        <v/>
      </c>
      <c r="C425" t="str">
        <f>_xlfn.XLOOKUP($A425,ALGLIB_SSA_XAUUSD!$A$2:$A$1000,ALGLIB_SSA_XAUUSD!$C$2:$C$1000,"",0)</f>
        <v/>
      </c>
      <c r="D425" s="1">
        <f>D422+(D434-D422)*3/12</f>
        <v>4648.1849999999995</v>
      </c>
      <c r="E425" s="1">
        <f>E422+(E434-E422)*3/12</f>
        <v>4647.8080174999996</v>
      </c>
      <c r="F425" s="1">
        <f>F422+(F434-F422)*3/12</f>
        <v>4650.2971275</v>
      </c>
      <c r="G425" s="1">
        <f>G422+(G434-G422)*3/12</f>
        <v>4658.6643800000002</v>
      </c>
      <c r="H425" s="1">
        <f>H422+(H434-H422)*3/12</f>
        <v>4637.9992200000006</v>
      </c>
      <c r="I425" t="str">
        <f>_xlfn.XLOOKUP($A425,ALGLIB_SSA_XAUUSD!$J$2:$J$1000,ALGLIB_SSA_XAUUSD!$K$2:$K$1000,"",0)</f>
        <v>XAUUSD</v>
      </c>
      <c r="J425" t="str">
        <f>_xlfn.XLOOKUP($A425,ALGLIB_SSA_XAUUSD!$J$2:$J$1000,ALGLIB_SSA_XAUUSD!$L$2:$L$1000,"",0)</f>
        <v>M5</v>
      </c>
      <c r="K425">
        <f>_xlfn.XLOOKUP($A425,ALGLIB_SSA_XAUUSD!$J$2:$J$1000,ALGLIB_SSA_XAUUSD!$M$2:$M$1000,"",0)</f>
        <v>4658.59</v>
      </c>
      <c r="L425">
        <f>_xlfn.XLOOKUP($A425,ALGLIB_SSA_XAUUSD!$J$2:$J$1000,ALGLIB_SSA_XAUUSD!$N$2:$N$1000,"",0)</f>
        <v>4658.6952600000004</v>
      </c>
      <c r="M425">
        <f>_xlfn.XLOOKUP($A425,ALGLIB_SSA_XAUUSD!$J$2:$J$1000,ALGLIB_SSA_XAUUSD!$O$2:$O$1000,"",0)</f>
        <v>4657.9469600000002</v>
      </c>
      <c r="N425">
        <f>_xlfn.XLOOKUP($A425,ALGLIB_SSA_XAUUSD!$J$2:$J$1000,ALGLIB_SSA_XAUUSD!$P$2:$P$1000,"",0)</f>
        <v>4660.3547500000004</v>
      </c>
      <c r="O425">
        <f>_xlfn.XLOOKUP($A425,ALGLIB_SSA_XAUUSD!$J$2:$J$1000,ALGLIB_SSA_XAUUSD!$Q$2:$Q$1000,"",0)</f>
        <v>4656.1934700000002</v>
      </c>
      <c r="R425">
        <f t="shared" si="66"/>
        <v>1775520900</v>
      </c>
      <c r="S425" t="str">
        <f t="shared" si="67"/>
        <v>XAUUSD</v>
      </c>
      <c r="T425" t="str">
        <f t="shared" si="68"/>
        <v>M5</v>
      </c>
      <c r="U425">
        <f t="shared" si="69"/>
        <v>4658.59</v>
      </c>
      <c r="V425">
        <v>4647.8080200000004</v>
      </c>
      <c r="W425">
        <v>4650.2971299999999</v>
      </c>
      <c r="X425">
        <v>4658.6952600000004</v>
      </c>
      <c r="Y425">
        <v>4657.9469600000002</v>
      </c>
      <c r="Z425">
        <f t="shared" si="70"/>
        <v>4658.6643800000002</v>
      </c>
      <c r="AA425">
        <f t="shared" si="71"/>
        <v>4660.3547500000004</v>
      </c>
      <c r="AB425">
        <f t="shared" si="72"/>
        <v>4637.9992200000006</v>
      </c>
      <c r="AC425">
        <f t="shared" si="73"/>
        <v>4656.1934700000002</v>
      </c>
      <c r="AF425">
        <f t="shared" si="74"/>
        <v>4658.6952600000004</v>
      </c>
      <c r="AG425">
        <f t="shared" si="75"/>
        <v>4658.6643800000002</v>
      </c>
      <c r="AH425">
        <f t="shared" si="76"/>
        <v>4637.9992200000006</v>
      </c>
    </row>
    <row r="426" spans="1:34" x14ac:dyDescent="0.55000000000000004">
      <c r="A426">
        <f>ALGLIB_SSA_XAUUSD!J426</f>
        <v>1775521200</v>
      </c>
      <c r="B426" t="str">
        <f>_xlfn.XLOOKUP($A426,ALGLIB_SSA_XAUUSD!$A$2:$A$1000,ALGLIB_SSA_XAUUSD!$B$2:$B$1000,"",0)</f>
        <v/>
      </c>
      <c r="C426" t="str">
        <f>_xlfn.XLOOKUP($A426,ALGLIB_SSA_XAUUSD!$A$2:$A$1000,ALGLIB_SSA_XAUUSD!$C$2:$C$1000,"",0)</f>
        <v/>
      </c>
      <c r="D426" s="1">
        <f>D422+(D434-D422)*4/12</f>
        <v>4645.8466666666664</v>
      </c>
      <c r="E426" s="1">
        <f>E422+(E434-E422)*4/12</f>
        <v>4647.5924066666666</v>
      </c>
      <c r="F426" s="1">
        <f>F422+(F434-F422)*4/12</f>
        <v>4650.0861933333335</v>
      </c>
      <c r="G426" s="1">
        <f>G422+(G434-G422)*4/12</f>
        <v>4658.4986033333334</v>
      </c>
      <c r="H426" s="1">
        <f>H422+(H434-H422)*4/12</f>
        <v>4637.6291133333334</v>
      </c>
      <c r="I426" t="str">
        <f>_xlfn.XLOOKUP($A426,ALGLIB_SSA_XAUUSD!$J$2:$J$1000,ALGLIB_SSA_XAUUSD!$K$2:$K$1000,"",0)</f>
        <v>XAUUSD</v>
      </c>
      <c r="J426" t="str">
        <f>_xlfn.XLOOKUP($A426,ALGLIB_SSA_XAUUSD!$J$2:$J$1000,ALGLIB_SSA_XAUUSD!$L$2:$L$1000,"",0)</f>
        <v>M5</v>
      </c>
      <c r="K426">
        <f>_xlfn.XLOOKUP($A426,ALGLIB_SSA_XAUUSD!$J$2:$J$1000,ALGLIB_SSA_XAUUSD!$M$2:$M$1000,"",0)</f>
        <v>4659.26</v>
      </c>
      <c r="L426">
        <f>_xlfn.XLOOKUP($A426,ALGLIB_SSA_XAUUSD!$J$2:$J$1000,ALGLIB_SSA_XAUUSD!$N$2:$N$1000,"",0)</f>
        <v>4659.5822799999996</v>
      </c>
      <c r="M426">
        <f>_xlfn.XLOOKUP($A426,ALGLIB_SSA_XAUUSD!$J$2:$J$1000,ALGLIB_SSA_XAUUSD!$O$2:$O$1000,"",0)</f>
        <v>4658.7646199999999</v>
      </c>
      <c r="N426">
        <f>_xlfn.XLOOKUP($A426,ALGLIB_SSA_XAUUSD!$J$2:$J$1000,ALGLIB_SSA_XAUUSD!$P$2:$P$1000,"",0)</f>
        <v>4660.9479099999999</v>
      </c>
      <c r="O426">
        <f>_xlfn.XLOOKUP($A426,ALGLIB_SSA_XAUUSD!$J$2:$J$1000,ALGLIB_SSA_XAUUSD!$Q$2:$Q$1000,"",0)</f>
        <v>4657.9968399999998</v>
      </c>
      <c r="R426">
        <f t="shared" si="66"/>
        <v>1775521200</v>
      </c>
      <c r="S426" t="str">
        <f t="shared" si="67"/>
        <v>XAUUSD</v>
      </c>
      <c r="T426" t="str">
        <f t="shared" si="68"/>
        <v>M5</v>
      </c>
      <c r="U426">
        <f t="shared" si="69"/>
        <v>4659.26</v>
      </c>
      <c r="V426">
        <v>4647.5924100000002</v>
      </c>
      <c r="W426">
        <v>4650.08619</v>
      </c>
      <c r="X426">
        <v>4659.5822799999996</v>
      </c>
      <c r="Y426">
        <v>4658.7646199999999</v>
      </c>
      <c r="Z426">
        <f t="shared" si="70"/>
        <v>4658.4986033333334</v>
      </c>
      <c r="AA426">
        <f t="shared" si="71"/>
        <v>4660.9479099999999</v>
      </c>
      <c r="AB426">
        <f t="shared" si="72"/>
        <v>4637.6291133333334</v>
      </c>
      <c r="AC426">
        <f t="shared" si="73"/>
        <v>4657.9968399999998</v>
      </c>
      <c r="AF426">
        <f t="shared" si="74"/>
        <v>4659.5822799999996</v>
      </c>
      <c r="AG426">
        <f t="shared" si="75"/>
        <v>4658.4986033333334</v>
      </c>
      <c r="AH426">
        <f t="shared" si="76"/>
        <v>4637.6291133333334</v>
      </c>
    </row>
    <row r="427" spans="1:34" x14ac:dyDescent="0.55000000000000004">
      <c r="A427">
        <f>ALGLIB_SSA_XAUUSD!J427</f>
        <v>1775521500</v>
      </c>
      <c r="B427" t="str">
        <f>_xlfn.XLOOKUP($A427,ALGLIB_SSA_XAUUSD!$A$2:$A$1000,ALGLIB_SSA_XAUUSD!$B$2:$B$1000,"",0)</f>
        <v/>
      </c>
      <c r="C427" t="str">
        <f>_xlfn.XLOOKUP($A427,ALGLIB_SSA_XAUUSD!$A$2:$A$1000,ALGLIB_SSA_XAUUSD!$C$2:$C$1000,"",0)</f>
        <v/>
      </c>
      <c r="D427" s="1">
        <f>D422+(D434-D422)*5/12</f>
        <v>4643.5083333333332</v>
      </c>
      <c r="E427" s="1">
        <f>E422+(E434-E422)*5/12</f>
        <v>4647.3767958333337</v>
      </c>
      <c r="F427" s="1">
        <f>F422+(F434-F422)*5/12</f>
        <v>4649.8752591666671</v>
      </c>
      <c r="G427" s="1">
        <f>G422+(G434-G422)*5/12</f>
        <v>4658.3328266666667</v>
      </c>
      <c r="H427" s="1">
        <f>H422+(H434-H422)*5/12</f>
        <v>4637.2590066666671</v>
      </c>
      <c r="I427" t="str">
        <f>_xlfn.XLOOKUP($A427,ALGLIB_SSA_XAUUSD!$J$2:$J$1000,ALGLIB_SSA_XAUUSD!$K$2:$K$1000,"",0)</f>
        <v>XAUUSD</v>
      </c>
      <c r="J427" t="str">
        <f>_xlfn.XLOOKUP($A427,ALGLIB_SSA_XAUUSD!$J$2:$J$1000,ALGLIB_SSA_XAUUSD!$L$2:$L$1000,"",0)</f>
        <v>M5</v>
      </c>
      <c r="K427">
        <f>_xlfn.XLOOKUP($A427,ALGLIB_SSA_XAUUSD!$J$2:$J$1000,ALGLIB_SSA_XAUUSD!$M$2:$M$1000,"",0)</f>
        <v>4659.25</v>
      </c>
      <c r="L427">
        <f>_xlfn.XLOOKUP($A427,ALGLIB_SSA_XAUUSD!$J$2:$J$1000,ALGLIB_SSA_XAUUSD!$N$2:$N$1000,"",0)</f>
        <v>4660.2746299999999</v>
      </c>
      <c r="M427">
        <f>_xlfn.XLOOKUP($A427,ALGLIB_SSA_XAUUSD!$J$2:$J$1000,ALGLIB_SSA_XAUUSD!$O$2:$O$1000,"",0)</f>
        <v>4659.51962</v>
      </c>
      <c r="N427">
        <f>_xlfn.XLOOKUP($A427,ALGLIB_SSA_XAUUSD!$J$2:$J$1000,ALGLIB_SSA_XAUUSD!$P$2:$P$1000,"",0)</f>
        <v>4661.4212699999998</v>
      </c>
      <c r="O427">
        <f>_xlfn.XLOOKUP($A427,ALGLIB_SSA_XAUUSD!$J$2:$J$1000,ALGLIB_SSA_XAUUSD!$Q$2:$Q$1000,"",0)</f>
        <v>4659.38382</v>
      </c>
      <c r="R427">
        <f t="shared" si="66"/>
        <v>1775521500</v>
      </c>
      <c r="S427" t="str">
        <f t="shared" si="67"/>
        <v>XAUUSD</v>
      </c>
      <c r="T427" t="str">
        <f t="shared" si="68"/>
        <v>M5</v>
      </c>
      <c r="U427">
        <f t="shared" si="69"/>
        <v>4659.25</v>
      </c>
      <c r="V427">
        <v>4647.3768</v>
      </c>
      <c r="W427">
        <v>4649.8752599999998</v>
      </c>
      <c r="X427">
        <v>4660.2746299999999</v>
      </c>
      <c r="Y427">
        <v>4659.51962</v>
      </c>
      <c r="Z427">
        <f t="shared" si="70"/>
        <v>4658.3328266666667</v>
      </c>
      <c r="AA427">
        <f t="shared" si="71"/>
        <v>4661.4212699999998</v>
      </c>
      <c r="AB427">
        <f t="shared" si="72"/>
        <v>4637.2590066666671</v>
      </c>
      <c r="AC427">
        <f t="shared" si="73"/>
        <v>4659.38382</v>
      </c>
      <c r="AF427">
        <f t="shared" si="74"/>
        <v>4660.2746299999999</v>
      </c>
      <c r="AG427">
        <f t="shared" si="75"/>
        <v>4658.3328266666667</v>
      </c>
      <c r="AH427">
        <f t="shared" si="76"/>
        <v>4637.2590066666671</v>
      </c>
    </row>
    <row r="428" spans="1:34" x14ac:dyDescent="0.55000000000000004">
      <c r="A428">
        <f>ALGLIB_SSA_XAUUSD!J428</f>
        <v>1775521800</v>
      </c>
      <c r="B428" t="str">
        <f>_xlfn.XLOOKUP($A428,ALGLIB_SSA_XAUUSD!$A$2:$A$1000,ALGLIB_SSA_XAUUSD!$B$2:$B$1000,"",0)</f>
        <v/>
      </c>
      <c r="C428" t="str">
        <f>_xlfn.XLOOKUP($A428,ALGLIB_SSA_XAUUSD!$A$2:$A$1000,ALGLIB_SSA_XAUUSD!$C$2:$C$1000,"",0)</f>
        <v/>
      </c>
      <c r="D428" s="1">
        <f>D422+(D434-D422)*6/12</f>
        <v>4641.17</v>
      </c>
      <c r="E428" s="1">
        <f>E422+(E434-E422)*6/12</f>
        <v>4647.1611849999999</v>
      </c>
      <c r="F428" s="1">
        <f>F422+(F434-F422)*6/12</f>
        <v>4649.6643249999997</v>
      </c>
      <c r="G428" s="1">
        <f>G422+(G434-G422)*6/12</f>
        <v>4658.16705</v>
      </c>
      <c r="H428" s="1">
        <f>H422+(H434-H422)*6/12</f>
        <v>4636.8888999999999</v>
      </c>
      <c r="I428" t="str">
        <f>_xlfn.XLOOKUP($A428,ALGLIB_SSA_XAUUSD!$J$2:$J$1000,ALGLIB_SSA_XAUUSD!$K$2:$K$1000,"",0)</f>
        <v>XAUUSD</v>
      </c>
      <c r="J428" t="str">
        <f>_xlfn.XLOOKUP($A428,ALGLIB_SSA_XAUUSD!$J$2:$J$1000,ALGLIB_SSA_XAUUSD!$L$2:$L$1000,"",0)</f>
        <v>M5</v>
      </c>
      <c r="K428">
        <f>_xlfn.XLOOKUP($A428,ALGLIB_SSA_XAUUSD!$J$2:$J$1000,ALGLIB_SSA_XAUUSD!$M$2:$M$1000,"",0)</f>
        <v>4660.8900000000003</v>
      </c>
      <c r="L428">
        <f>_xlfn.XLOOKUP($A428,ALGLIB_SSA_XAUUSD!$J$2:$J$1000,ALGLIB_SSA_XAUUSD!$N$2:$N$1000,"",0)</f>
        <v>4660.6069500000003</v>
      </c>
      <c r="M428">
        <f>_xlfn.XLOOKUP($A428,ALGLIB_SSA_XAUUSD!$J$2:$J$1000,ALGLIB_SSA_XAUUSD!$O$2:$O$1000,"",0)</f>
        <v>4660.0632900000001</v>
      </c>
      <c r="N428">
        <f>_xlfn.XLOOKUP($A428,ALGLIB_SSA_XAUUSD!$J$2:$J$1000,ALGLIB_SSA_XAUUSD!$P$2:$P$1000,"",0)</f>
        <v>4661.6824200000001</v>
      </c>
      <c r="O428">
        <f>_xlfn.XLOOKUP($A428,ALGLIB_SSA_XAUUSD!$J$2:$J$1000,ALGLIB_SSA_XAUUSD!$Q$2:$Q$1000,"",0)</f>
        <v>4659.90535</v>
      </c>
      <c r="R428">
        <f t="shared" si="66"/>
        <v>1775521800</v>
      </c>
      <c r="S428" t="str">
        <f t="shared" si="67"/>
        <v>XAUUSD</v>
      </c>
      <c r="T428" t="str">
        <f t="shared" si="68"/>
        <v>M5</v>
      </c>
      <c r="U428">
        <f t="shared" si="69"/>
        <v>4660.8900000000003</v>
      </c>
      <c r="V428">
        <v>4647.1611899999998</v>
      </c>
      <c r="W428">
        <v>4649.6643299999996</v>
      </c>
      <c r="X428">
        <v>4660.6069500000003</v>
      </c>
      <c r="Y428">
        <v>4660.0632900000001</v>
      </c>
      <c r="Z428">
        <f t="shared" si="70"/>
        <v>4658.16705</v>
      </c>
      <c r="AA428">
        <f t="shared" si="71"/>
        <v>4661.6824200000001</v>
      </c>
      <c r="AB428">
        <f t="shared" si="72"/>
        <v>4636.8888999999999</v>
      </c>
      <c r="AC428">
        <f t="shared" si="73"/>
        <v>4659.90535</v>
      </c>
      <c r="AF428">
        <f t="shared" si="74"/>
        <v>4660.6069500000003</v>
      </c>
      <c r="AG428">
        <f t="shared" si="75"/>
        <v>4658.16705</v>
      </c>
      <c r="AH428">
        <f t="shared" si="76"/>
        <v>4636.8888999999999</v>
      </c>
    </row>
    <row r="429" spans="1:34" x14ac:dyDescent="0.55000000000000004">
      <c r="A429">
        <f>ALGLIB_SSA_XAUUSD!J429</f>
        <v>1775522100</v>
      </c>
      <c r="B429" t="str">
        <f>_xlfn.XLOOKUP($A429,ALGLIB_SSA_XAUUSD!$A$2:$A$1000,ALGLIB_SSA_XAUUSD!$B$2:$B$1000,"",0)</f>
        <v/>
      </c>
      <c r="C429" t="str">
        <f>_xlfn.XLOOKUP($A429,ALGLIB_SSA_XAUUSD!$A$2:$A$1000,ALGLIB_SSA_XAUUSD!$C$2:$C$1000,"",0)</f>
        <v/>
      </c>
      <c r="D429" s="1">
        <f>D422+(D434-D422)*7/12</f>
        <v>4638.8316666666669</v>
      </c>
      <c r="E429" s="1">
        <f>E422+(E434-E422)*7/12</f>
        <v>4646.9455741666661</v>
      </c>
      <c r="F429" s="1">
        <f>F422+(F434-F422)*7/12</f>
        <v>4649.4533908333333</v>
      </c>
      <c r="G429" s="1">
        <f>G422+(G434-G422)*7/12</f>
        <v>4658.0012733333333</v>
      </c>
      <c r="H429" s="1">
        <f>H422+(H434-H422)*7/12</f>
        <v>4636.5187933333336</v>
      </c>
      <c r="I429" t="str">
        <f>_xlfn.XLOOKUP($A429,ALGLIB_SSA_XAUUSD!$J$2:$J$1000,ALGLIB_SSA_XAUUSD!$K$2:$K$1000,"",0)</f>
        <v>XAUUSD</v>
      </c>
      <c r="J429" t="str">
        <f>_xlfn.XLOOKUP($A429,ALGLIB_SSA_XAUUSD!$J$2:$J$1000,ALGLIB_SSA_XAUUSD!$L$2:$L$1000,"",0)</f>
        <v>M5</v>
      </c>
      <c r="K429">
        <f>_xlfn.XLOOKUP($A429,ALGLIB_SSA_XAUUSD!$J$2:$J$1000,ALGLIB_SSA_XAUUSD!$M$2:$M$1000,"",0)</f>
        <v>4660.3999999999996</v>
      </c>
      <c r="L429">
        <f>_xlfn.XLOOKUP($A429,ALGLIB_SSA_XAUUSD!$J$2:$J$1000,ALGLIB_SSA_XAUUSD!$N$2:$N$1000,"",0)</f>
        <v>4660.3906399999996</v>
      </c>
      <c r="M429">
        <f>_xlfn.XLOOKUP($A429,ALGLIB_SSA_XAUUSD!$J$2:$J$1000,ALGLIB_SSA_XAUUSD!$O$2:$O$1000,"",0)</f>
        <v>4660.22696</v>
      </c>
      <c r="N429">
        <f>_xlfn.XLOOKUP($A429,ALGLIB_SSA_XAUUSD!$J$2:$J$1000,ALGLIB_SSA_XAUUSD!$P$2:$P$1000,"",0)</f>
        <v>4661.6199200000001</v>
      </c>
      <c r="O429">
        <f>_xlfn.XLOOKUP($A429,ALGLIB_SSA_XAUUSD!$J$2:$J$1000,ALGLIB_SSA_XAUUSD!$Q$2:$Q$1000,"",0)</f>
        <v>4659.2553600000001</v>
      </c>
      <c r="R429">
        <f t="shared" si="66"/>
        <v>1775522100</v>
      </c>
      <c r="S429" t="str">
        <f t="shared" si="67"/>
        <v>XAUUSD</v>
      </c>
      <c r="T429" t="str">
        <f t="shared" si="68"/>
        <v>M5</v>
      </c>
      <c r="U429">
        <f t="shared" si="69"/>
        <v>4660.3999999999996</v>
      </c>
      <c r="V429">
        <v>4646.9455699999999</v>
      </c>
      <c r="W429">
        <v>4649.4533899999997</v>
      </c>
      <c r="X429">
        <v>4660.3906399999996</v>
      </c>
      <c r="Y429">
        <v>4660.22696</v>
      </c>
      <c r="Z429">
        <f t="shared" si="70"/>
        <v>4658.0012733333333</v>
      </c>
      <c r="AA429">
        <f t="shared" si="71"/>
        <v>4661.6199200000001</v>
      </c>
      <c r="AB429">
        <f t="shared" si="72"/>
        <v>4636.5187933333336</v>
      </c>
      <c r="AC429">
        <f t="shared" si="73"/>
        <v>4659.2553600000001</v>
      </c>
      <c r="AF429">
        <f t="shared" si="74"/>
        <v>4660.3906399999996</v>
      </c>
      <c r="AG429">
        <f t="shared" si="75"/>
        <v>4658.0012733333333</v>
      </c>
      <c r="AH429">
        <f t="shared" si="76"/>
        <v>4636.5187933333336</v>
      </c>
    </row>
    <row r="430" spans="1:34" x14ac:dyDescent="0.55000000000000004">
      <c r="A430">
        <f>ALGLIB_SSA_XAUUSD!J430</f>
        <v>1775522400</v>
      </c>
      <c r="B430" t="str">
        <f>_xlfn.XLOOKUP($A430,ALGLIB_SSA_XAUUSD!$A$2:$A$1000,ALGLIB_SSA_XAUUSD!$B$2:$B$1000,"",0)</f>
        <v/>
      </c>
      <c r="C430" t="str">
        <f>_xlfn.XLOOKUP($A430,ALGLIB_SSA_XAUUSD!$A$2:$A$1000,ALGLIB_SSA_XAUUSD!$C$2:$C$1000,"",0)</f>
        <v/>
      </c>
      <c r="D430" s="1">
        <f>D422+(D434-D422)*8/12</f>
        <v>4636.4933333333338</v>
      </c>
      <c r="E430" s="1">
        <f>E422+(E434-E422)*8/12</f>
        <v>4646.7299633333332</v>
      </c>
      <c r="F430" s="1">
        <f>F422+(F434-F422)*8/12</f>
        <v>4649.2424566666668</v>
      </c>
      <c r="G430" s="1">
        <f>G422+(G434-G422)*8/12</f>
        <v>4657.8354966666666</v>
      </c>
      <c r="H430" s="1">
        <f>H422+(H434-H422)*8/12</f>
        <v>4636.1486866666673</v>
      </c>
      <c r="I430" t="str">
        <f>_xlfn.XLOOKUP($A430,ALGLIB_SSA_XAUUSD!$J$2:$J$1000,ALGLIB_SSA_XAUUSD!$K$2:$K$1000,"",0)</f>
        <v>XAUUSD</v>
      </c>
      <c r="J430" t="str">
        <f>_xlfn.XLOOKUP($A430,ALGLIB_SSA_XAUUSD!$J$2:$J$1000,ALGLIB_SSA_XAUUSD!$L$2:$L$1000,"",0)</f>
        <v>M5</v>
      </c>
      <c r="K430">
        <f>_xlfn.XLOOKUP($A430,ALGLIB_SSA_XAUUSD!$J$2:$J$1000,ALGLIB_SSA_XAUUSD!$M$2:$M$1000,"",0)</f>
        <v>4660.87</v>
      </c>
      <c r="L430">
        <f>_xlfn.XLOOKUP($A430,ALGLIB_SSA_XAUUSD!$J$2:$J$1000,ALGLIB_SSA_XAUUSD!$N$2:$N$1000,"",0)</f>
        <v>4659.5775700000004</v>
      </c>
      <c r="M430">
        <f>_xlfn.XLOOKUP($A430,ALGLIB_SSA_XAUUSD!$J$2:$J$1000,ALGLIB_SSA_XAUUSD!$O$2:$O$1000,"",0)</f>
        <v>4659.9022699999996</v>
      </c>
      <c r="N430">
        <f>_xlfn.XLOOKUP($A430,ALGLIB_SSA_XAUUSD!$J$2:$J$1000,ALGLIB_SSA_XAUUSD!$P$2:$P$1000,"",0)</f>
        <v>4661.2052199999998</v>
      </c>
      <c r="O430">
        <f>_xlfn.XLOOKUP($A430,ALGLIB_SSA_XAUUSD!$J$2:$J$1000,ALGLIB_SSA_XAUUSD!$Q$2:$Q$1000,"",0)</f>
        <v>4657.2602200000001</v>
      </c>
      <c r="R430">
        <f t="shared" si="66"/>
        <v>1775522400</v>
      </c>
      <c r="S430" t="str">
        <f t="shared" si="67"/>
        <v>XAUUSD</v>
      </c>
      <c r="T430" t="str">
        <f t="shared" si="68"/>
        <v>M5</v>
      </c>
      <c r="U430">
        <f t="shared" si="69"/>
        <v>4660.87</v>
      </c>
      <c r="V430">
        <v>4646.7299599999997</v>
      </c>
      <c r="W430">
        <v>4649.2424600000004</v>
      </c>
      <c r="X430">
        <v>4659.5775700000004</v>
      </c>
      <c r="Y430">
        <v>4659.9022699999996</v>
      </c>
      <c r="Z430">
        <f t="shared" si="70"/>
        <v>4657.8354966666666</v>
      </c>
      <c r="AA430">
        <f t="shared" si="71"/>
        <v>4661.2052199999998</v>
      </c>
      <c r="AB430">
        <f t="shared" si="72"/>
        <v>4636.1486866666673</v>
      </c>
      <c r="AC430">
        <f t="shared" si="73"/>
        <v>4657.2602200000001</v>
      </c>
      <c r="AF430">
        <f t="shared" si="74"/>
        <v>4659.5775700000004</v>
      </c>
      <c r="AG430">
        <f t="shared" si="75"/>
        <v>4657.8354966666666</v>
      </c>
      <c r="AH430">
        <f t="shared" si="76"/>
        <v>4636.1486866666673</v>
      </c>
    </row>
    <row r="431" spans="1:34" x14ac:dyDescent="0.55000000000000004">
      <c r="A431">
        <f>ALGLIB_SSA_XAUUSD!J431</f>
        <v>1775522700</v>
      </c>
      <c r="B431" t="str">
        <f>_xlfn.XLOOKUP($A431,ALGLIB_SSA_XAUUSD!$A$2:$A$1000,ALGLIB_SSA_XAUUSD!$B$2:$B$1000,"",0)</f>
        <v/>
      </c>
      <c r="C431" t="str">
        <f>_xlfn.XLOOKUP($A431,ALGLIB_SSA_XAUUSD!$A$2:$A$1000,ALGLIB_SSA_XAUUSD!$C$2:$C$1000,"",0)</f>
        <v/>
      </c>
      <c r="D431" s="1">
        <f>D422+(D434-D422)*9/12</f>
        <v>4634.1550000000007</v>
      </c>
      <c r="E431" s="1">
        <f>E422+(E434-E422)*9/12</f>
        <v>4646.5143525000003</v>
      </c>
      <c r="F431" s="1">
        <f>F422+(F434-F422)*9/12</f>
        <v>4649.0315225000004</v>
      </c>
      <c r="G431" s="1">
        <f>G422+(G434-G422)*9/12</f>
        <v>4657.6697199999999</v>
      </c>
      <c r="H431" s="1">
        <f>H422+(H434-H422)*9/12</f>
        <v>4635.7785800000001</v>
      </c>
      <c r="I431" t="str">
        <f>_xlfn.XLOOKUP($A431,ALGLIB_SSA_XAUUSD!$J$2:$J$1000,ALGLIB_SSA_XAUUSD!$K$2:$K$1000,"",0)</f>
        <v>XAUUSD</v>
      </c>
      <c r="J431" t="str">
        <f>_xlfn.XLOOKUP($A431,ALGLIB_SSA_XAUUSD!$J$2:$J$1000,ALGLIB_SSA_XAUUSD!$L$2:$L$1000,"",0)</f>
        <v>M5</v>
      </c>
      <c r="K431">
        <f>_xlfn.XLOOKUP($A431,ALGLIB_SSA_XAUUSD!$J$2:$J$1000,ALGLIB_SSA_XAUUSD!$M$2:$M$1000,"",0)</f>
        <v>4658.75</v>
      </c>
      <c r="L431">
        <f>_xlfn.XLOOKUP($A431,ALGLIB_SSA_XAUUSD!$J$2:$J$1000,ALGLIB_SSA_XAUUSD!$N$2:$N$1000,"",0)</f>
        <v>4658.2193299999999</v>
      </c>
      <c r="M431">
        <f>_xlfn.XLOOKUP($A431,ALGLIB_SSA_XAUUSD!$J$2:$J$1000,ALGLIB_SSA_XAUUSD!$O$2:$O$1000,"",0)</f>
        <v>4659.0608000000002</v>
      </c>
      <c r="N431">
        <f>_xlfn.XLOOKUP($A431,ALGLIB_SSA_XAUUSD!$J$2:$J$1000,ALGLIB_SSA_XAUUSD!$P$2:$P$1000,"",0)</f>
        <v>4660.4739799999998</v>
      </c>
      <c r="O431">
        <f>_xlfn.XLOOKUP($A431,ALGLIB_SSA_XAUUSD!$J$2:$J$1000,ALGLIB_SSA_XAUUSD!$Q$2:$Q$1000,"",0)</f>
        <v>4654.0951299999997</v>
      </c>
      <c r="R431">
        <f t="shared" si="66"/>
        <v>1775522700</v>
      </c>
      <c r="S431" t="str">
        <f t="shared" si="67"/>
        <v>XAUUSD</v>
      </c>
      <c r="T431" t="str">
        <f t="shared" si="68"/>
        <v>M5</v>
      </c>
      <c r="U431">
        <f t="shared" si="69"/>
        <v>4658.75</v>
      </c>
      <c r="V431">
        <v>4646.5143500000004</v>
      </c>
      <c r="W431">
        <v>4649.0315199999995</v>
      </c>
      <c r="X431">
        <v>4658.2193299999999</v>
      </c>
      <c r="Y431">
        <v>4659.0608000000002</v>
      </c>
      <c r="Z431">
        <f t="shared" si="70"/>
        <v>4657.6697199999999</v>
      </c>
      <c r="AA431">
        <f t="shared" si="71"/>
        <v>4660.4739799999998</v>
      </c>
      <c r="AB431">
        <f t="shared" si="72"/>
        <v>4635.7785800000001</v>
      </c>
      <c r="AC431">
        <f t="shared" si="73"/>
        <v>4654.0951299999997</v>
      </c>
      <c r="AF431">
        <f t="shared" si="74"/>
        <v>4658.2193299999999</v>
      </c>
      <c r="AG431">
        <f t="shared" si="75"/>
        <v>4657.6697199999999</v>
      </c>
      <c r="AH431">
        <f t="shared" si="76"/>
        <v>4635.7785800000001</v>
      </c>
    </row>
    <row r="432" spans="1:34" x14ac:dyDescent="0.55000000000000004">
      <c r="A432">
        <f>ALGLIB_SSA_XAUUSD!J432</f>
        <v>1775523000</v>
      </c>
      <c r="B432" t="str">
        <f>_xlfn.XLOOKUP($A432,ALGLIB_SSA_XAUUSD!$A$2:$A$1000,ALGLIB_SSA_XAUUSD!$B$2:$B$1000,"",0)</f>
        <v/>
      </c>
      <c r="C432" t="str">
        <f>_xlfn.XLOOKUP($A432,ALGLIB_SSA_XAUUSD!$A$2:$A$1000,ALGLIB_SSA_XAUUSD!$C$2:$C$1000,"",0)</f>
        <v/>
      </c>
      <c r="D432" s="1">
        <f>D422+(D434-D422)*10/12</f>
        <v>4631.8166666666666</v>
      </c>
      <c r="E432" s="1">
        <f>E422+(E434-E422)*10/12</f>
        <v>4646.2987416666665</v>
      </c>
      <c r="F432" s="1">
        <f>F422+(F434-F422)*10/12</f>
        <v>4648.8205883333339</v>
      </c>
      <c r="G432" s="1">
        <f>G422+(G434-G422)*10/12</f>
        <v>4657.5039433333332</v>
      </c>
      <c r="H432" s="1">
        <f>H422+(H434-H422)*10/12</f>
        <v>4635.4084733333339</v>
      </c>
      <c r="I432" t="str">
        <f>_xlfn.XLOOKUP($A432,ALGLIB_SSA_XAUUSD!$J$2:$J$1000,ALGLIB_SSA_XAUUSD!$K$2:$K$1000,"",0)</f>
        <v>XAUUSD</v>
      </c>
      <c r="J432" t="str">
        <f>_xlfn.XLOOKUP($A432,ALGLIB_SSA_XAUUSD!$J$2:$J$1000,ALGLIB_SSA_XAUUSD!$L$2:$L$1000,"",0)</f>
        <v>M5</v>
      </c>
      <c r="K432">
        <f>_xlfn.XLOOKUP($A432,ALGLIB_SSA_XAUUSD!$J$2:$J$1000,ALGLIB_SSA_XAUUSD!$M$2:$M$1000,"",0)</f>
        <v>4657.4799999999996</v>
      </c>
      <c r="L432">
        <f>_xlfn.XLOOKUP($A432,ALGLIB_SSA_XAUUSD!$J$2:$J$1000,ALGLIB_SSA_XAUUSD!$N$2:$N$1000,"",0)</f>
        <v>4656.5333700000001</v>
      </c>
      <c r="M432">
        <f>_xlfn.XLOOKUP($A432,ALGLIB_SSA_XAUUSD!$J$2:$J$1000,ALGLIB_SSA_XAUUSD!$O$2:$O$1000,"",0)</f>
        <v>4657.7970800000003</v>
      </c>
      <c r="N432">
        <f>_xlfn.XLOOKUP($A432,ALGLIB_SSA_XAUUSD!$J$2:$J$1000,ALGLIB_SSA_XAUUSD!$P$2:$P$1000,"",0)</f>
        <v>4659.5262700000003</v>
      </c>
      <c r="O432">
        <f>_xlfn.XLOOKUP($A432,ALGLIB_SSA_XAUUSD!$J$2:$J$1000,ALGLIB_SSA_XAUUSD!$Q$2:$Q$1000,"",0)</f>
        <v>4650.1778000000004</v>
      </c>
      <c r="R432">
        <f t="shared" si="66"/>
        <v>1775523000</v>
      </c>
      <c r="S432" t="str">
        <f t="shared" si="67"/>
        <v>XAUUSD</v>
      </c>
      <c r="T432" t="str">
        <f t="shared" si="68"/>
        <v>M5</v>
      </c>
      <c r="U432">
        <f t="shared" si="69"/>
        <v>4657.4799999999996</v>
      </c>
      <c r="V432">
        <v>4646.2987400000002</v>
      </c>
      <c r="W432">
        <v>4648.8205900000003</v>
      </c>
      <c r="X432">
        <v>4656.5333700000001</v>
      </c>
      <c r="Y432">
        <v>4657.7970800000003</v>
      </c>
      <c r="Z432">
        <f t="shared" si="70"/>
        <v>4657.5039433333332</v>
      </c>
      <c r="AA432">
        <f t="shared" si="71"/>
        <v>4659.5262700000003</v>
      </c>
      <c r="AB432">
        <f t="shared" si="72"/>
        <v>4635.4084733333339</v>
      </c>
      <c r="AC432">
        <f t="shared" si="73"/>
        <v>4650.1778000000004</v>
      </c>
      <c r="AF432">
        <f t="shared" si="74"/>
        <v>4656.5333700000001</v>
      </c>
      <c r="AG432">
        <f t="shared" si="75"/>
        <v>4657.5039433333332</v>
      </c>
      <c r="AH432">
        <f t="shared" si="76"/>
        <v>4635.4084733333339</v>
      </c>
    </row>
    <row r="433" spans="1:34" x14ac:dyDescent="0.55000000000000004">
      <c r="A433">
        <f>ALGLIB_SSA_XAUUSD!J433</f>
        <v>1775523300</v>
      </c>
      <c r="B433" t="str">
        <f>_xlfn.XLOOKUP($A433,ALGLIB_SSA_XAUUSD!$A$2:$A$1000,ALGLIB_SSA_XAUUSD!$B$2:$B$1000,"",0)</f>
        <v/>
      </c>
      <c r="C433" t="str">
        <f>_xlfn.XLOOKUP($A433,ALGLIB_SSA_XAUUSD!$A$2:$A$1000,ALGLIB_SSA_XAUUSD!$C$2:$C$1000,"",0)</f>
        <v/>
      </c>
      <c r="D433" s="1">
        <f>D422+(D434-D422)*11/12</f>
        <v>4629.4783333333335</v>
      </c>
      <c r="E433" s="1">
        <f>E422+(E434-E422)*11/12</f>
        <v>4646.0831308333327</v>
      </c>
      <c r="F433" s="1">
        <f>F422+(F434-F422)*11/12</f>
        <v>4648.6096541666666</v>
      </c>
      <c r="G433" s="1">
        <f>G422+(G434-G422)*11/12</f>
        <v>4657.3381666666664</v>
      </c>
      <c r="H433" s="1">
        <f>H422+(H434-H422)*11/12</f>
        <v>4635.0383666666667</v>
      </c>
      <c r="I433" t="str">
        <f>_xlfn.XLOOKUP($A433,ALGLIB_SSA_XAUUSD!$J$2:$J$1000,ALGLIB_SSA_XAUUSD!$K$2:$K$1000,"",0)</f>
        <v>XAUUSD</v>
      </c>
      <c r="J433" t="str">
        <f>_xlfn.XLOOKUP($A433,ALGLIB_SSA_XAUUSD!$J$2:$J$1000,ALGLIB_SSA_XAUUSD!$L$2:$L$1000,"",0)</f>
        <v>M5</v>
      </c>
      <c r="K433">
        <f>_xlfn.XLOOKUP($A433,ALGLIB_SSA_XAUUSD!$J$2:$J$1000,ALGLIB_SSA_XAUUSD!$M$2:$M$1000,"",0)</f>
        <v>4655.2</v>
      </c>
      <c r="L433">
        <f>_xlfn.XLOOKUP($A433,ALGLIB_SSA_XAUUSD!$J$2:$J$1000,ALGLIB_SSA_XAUUSD!$N$2:$N$1000,"",0)</f>
        <v>4654.7712300000003</v>
      </c>
      <c r="M433">
        <f>_xlfn.XLOOKUP($A433,ALGLIB_SSA_XAUUSD!$J$2:$J$1000,ALGLIB_SSA_XAUUSD!$O$2:$O$1000,"",0)</f>
        <v>4656.2841500000004</v>
      </c>
      <c r="N433">
        <f>_xlfn.XLOOKUP($A433,ALGLIB_SSA_XAUUSD!$J$2:$J$1000,ALGLIB_SSA_XAUUSD!$P$2:$P$1000,"",0)</f>
        <v>4658.5642200000002</v>
      </c>
      <c r="O433">
        <f>_xlfn.XLOOKUP($A433,ALGLIB_SSA_XAUUSD!$J$2:$J$1000,ALGLIB_SSA_XAUUSD!$Q$2:$Q$1000,"",0)</f>
        <v>4646.1220000000003</v>
      </c>
      <c r="R433">
        <f t="shared" si="66"/>
        <v>1775523300</v>
      </c>
      <c r="S433" t="str">
        <f t="shared" si="67"/>
        <v>XAUUSD</v>
      </c>
      <c r="T433" t="str">
        <f t="shared" si="68"/>
        <v>M5</v>
      </c>
      <c r="U433">
        <f t="shared" si="69"/>
        <v>4655.2</v>
      </c>
      <c r="V433">
        <v>4646.08313</v>
      </c>
      <c r="W433">
        <v>4648.6096500000003</v>
      </c>
      <c r="X433">
        <v>4654.7712300000003</v>
      </c>
      <c r="Y433">
        <v>4656.2841500000004</v>
      </c>
      <c r="Z433">
        <f t="shared" si="70"/>
        <v>4657.3381666666664</v>
      </c>
      <c r="AA433">
        <f t="shared" si="71"/>
        <v>4658.5642200000002</v>
      </c>
      <c r="AB433">
        <f t="shared" si="72"/>
        <v>4635.0383666666667</v>
      </c>
      <c r="AC433">
        <f t="shared" si="73"/>
        <v>4646.1220000000003</v>
      </c>
      <c r="AF433">
        <f t="shared" si="74"/>
        <v>4654.7712300000003</v>
      </c>
      <c r="AG433">
        <f t="shared" si="75"/>
        <v>4657.3381666666664</v>
      </c>
      <c r="AH433">
        <f t="shared" si="76"/>
        <v>4635.0383666666667</v>
      </c>
    </row>
    <row r="434" spans="1:34" x14ac:dyDescent="0.55000000000000004">
      <c r="A434">
        <f>ALGLIB_SSA_XAUUSD!J434</f>
        <v>1775523600</v>
      </c>
      <c r="B434" t="str">
        <f>_xlfn.XLOOKUP($A434,ALGLIB_SSA_XAUUSD!$A$2:$A$1000,ALGLIB_SSA_XAUUSD!$B$2:$B$1000,"",0)</f>
        <v>XAUUSD</v>
      </c>
      <c r="C434" t="str">
        <f>_xlfn.XLOOKUP($A434,ALGLIB_SSA_XAUUSD!$A$2:$A$1000,ALGLIB_SSA_XAUUSD!$C$2:$C$1000,"",0)</f>
        <v>H1</v>
      </c>
      <c r="D434" s="2">
        <f>_xlfn.XLOOKUP($A434,ALGLIB_SSA_XAUUSD!$A$2:$A$1000,ALGLIB_SSA_XAUUSD!$D$2:$D$1000,"",0)</f>
        <v>4627.1400000000003</v>
      </c>
      <c r="E434" s="2">
        <f>_xlfn.XLOOKUP($A434,ALGLIB_SSA_XAUUSD!$A$2:$A$1000,ALGLIB_SSA_XAUUSD!$E$2:$E$1000,"",0)</f>
        <v>4645.8675199999998</v>
      </c>
      <c r="F434" s="2">
        <f>_xlfn.XLOOKUP($A434,ALGLIB_SSA_XAUUSD!$A$2:$A$1000,ALGLIB_SSA_XAUUSD!$F$2:$F$1000,"",0)</f>
        <v>4648.3987200000001</v>
      </c>
      <c r="G434" s="2">
        <f>_xlfn.XLOOKUP($A434,ALGLIB_SSA_XAUUSD!$A$2:$A$1000,ALGLIB_SSA_XAUUSD!$G$2:$G$1000,"",0)</f>
        <v>4657.1723899999997</v>
      </c>
      <c r="H434" s="2">
        <f>_xlfn.XLOOKUP($A434,ALGLIB_SSA_XAUUSD!$A$2:$A$1000,ALGLIB_SSA_XAUUSD!$H$2:$H$1000,"",0)</f>
        <v>4634.6682600000004</v>
      </c>
      <c r="I434" t="str">
        <f>_xlfn.XLOOKUP($A434,ALGLIB_SSA_XAUUSD!$J$2:$J$1000,ALGLIB_SSA_XAUUSD!$K$2:$K$1000,"",0)</f>
        <v>XAUUSD</v>
      </c>
      <c r="J434" t="str">
        <f>_xlfn.XLOOKUP($A434,ALGLIB_SSA_XAUUSD!$J$2:$J$1000,ALGLIB_SSA_XAUUSD!$L$2:$L$1000,"",0)</f>
        <v>M5</v>
      </c>
      <c r="K434">
        <f>_xlfn.XLOOKUP($A434,ALGLIB_SSA_XAUUSD!$J$2:$J$1000,ALGLIB_SSA_XAUUSD!$M$2:$M$1000,"",0)</f>
        <v>4661.29</v>
      </c>
      <c r="L434">
        <f>_xlfn.XLOOKUP($A434,ALGLIB_SSA_XAUUSD!$J$2:$J$1000,ALGLIB_SSA_XAUUSD!$N$2:$N$1000,"",0)</f>
        <v>4653.1870900000004</v>
      </c>
      <c r="M434">
        <f>_xlfn.XLOOKUP($A434,ALGLIB_SSA_XAUUSD!$J$2:$J$1000,ALGLIB_SSA_XAUUSD!$O$2:$O$1000,"",0)</f>
        <v>4654.7356200000004</v>
      </c>
      <c r="N434">
        <f>_xlfn.XLOOKUP($A434,ALGLIB_SSA_XAUUSD!$J$2:$J$1000,ALGLIB_SSA_XAUUSD!$P$2:$P$1000,"",0)</f>
        <v>4657.78006</v>
      </c>
      <c r="O434">
        <f>_xlfn.XLOOKUP($A434,ALGLIB_SSA_XAUUSD!$J$2:$J$1000,ALGLIB_SSA_XAUUSD!$Q$2:$Q$1000,"",0)</f>
        <v>4642.5091899999998</v>
      </c>
      <c r="R434">
        <f t="shared" si="66"/>
        <v>1775523600</v>
      </c>
      <c r="S434" t="str">
        <f t="shared" si="67"/>
        <v>XAUUSD</v>
      </c>
      <c r="T434" t="str">
        <f t="shared" si="68"/>
        <v>M5</v>
      </c>
      <c r="U434">
        <f t="shared" si="69"/>
        <v>4661.29</v>
      </c>
      <c r="V434">
        <v>4645.8675199999998</v>
      </c>
      <c r="W434">
        <v>4648.3987200000001</v>
      </c>
      <c r="X434">
        <v>4653.1870900000004</v>
      </c>
      <c r="Y434">
        <v>4654.7356200000004</v>
      </c>
      <c r="Z434">
        <f t="shared" si="70"/>
        <v>4657.1723899999997</v>
      </c>
      <c r="AA434">
        <f t="shared" si="71"/>
        <v>4657.78006</v>
      </c>
      <c r="AB434">
        <f t="shared" si="72"/>
        <v>4634.6682600000004</v>
      </c>
      <c r="AC434">
        <f t="shared" si="73"/>
        <v>4642.5091899999998</v>
      </c>
      <c r="AF434">
        <f t="shared" si="74"/>
        <v>4653.1870900000004</v>
      </c>
      <c r="AG434">
        <f t="shared" si="75"/>
        <v>4657.1723899999997</v>
      </c>
      <c r="AH434">
        <f t="shared" si="76"/>
        <v>4634.6682600000004</v>
      </c>
    </row>
    <row r="435" spans="1:34" x14ac:dyDescent="0.55000000000000004">
      <c r="A435">
        <f>ALGLIB_SSA_XAUUSD!J435</f>
        <v>1775523900</v>
      </c>
      <c r="B435" t="str">
        <f>_xlfn.XLOOKUP($A435,ALGLIB_SSA_XAUUSD!$A$2:$A$1000,ALGLIB_SSA_XAUUSD!$B$2:$B$1000,"",0)</f>
        <v/>
      </c>
      <c r="C435" t="str">
        <f>_xlfn.XLOOKUP($A435,ALGLIB_SSA_XAUUSD!$A$2:$A$1000,ALGLIB_SSA_XAUUSD!$C$2:$C$1000,"",0)</f>
        <v/>
      </c>
      <c r="D435" s="1">
        <f>D434+(D446-D434)*1/12</f>
        <v>4629.0891666666666</v>
      </c>
      <c r="E435" s="1">
        <f>E434+(E446-E434)*1/12</f>
        <v>4645.81203</v>
      </c>
      <c r="F435" s="1">
        <f>F434+(F446-F434)*1/12</f>
        <v>4648.2655083333339</v>
      </c>
      <c r="G435" s="1">
        <f>G434+(G446-G434)*1/12</f>
        <v>4657.0555624999997</v>
      </c>
      <c r="H435" s="1">
        <f>H434+(H446-H434)*1/12</f>
        <v>4634.4260041666666</v>
      </c>
      <c r="I435" t="str">
        <f>_xlfn.XLOOKUP($A435,ALGLIB_SSA_XAUUSD!$J$2:$J$1000,ALGLIB_SSA_XAUUSD!$K$2:$K$1000,"",0)</f>
        <v>XAUUSD</v>
      </c>
      <c r="J435" t="str">
        <f>_xlfn.XLOOKUP($A435,ALGLIB_SSA_XAUUSD!$J$2:$J$1000,ALGLIB_SSA_XAUUSD!$L$2:$L$1000,"",0)</f>
        <v>M5</v>
      </c>
      <c r="K435">
        <f>_xlfn.XLOOKUP($A435,ALGLIB_SSA_XAUUSD!$J$2:$J$1000,ALGLIB_SSA_XAUUSD!$M$2:$M$1000,"",0)</f>
        <v>4644.51</v>
      </c>
      <c r="L435">
        <f>_xlfn.XLOOKUP($A435,ALGLIB_SSA_XAUUSD!$J$2:$J$1000,ALGLIB_SSA_XAUUSD!$N$2:$N$1000,"",0)</f>
        <v>4651.7572300000002</v>
      </c>
      <c r="M435">
        <f>_xlfn.XLOOKUP($A435,ALGLIB_SSA_XAUUSD!$J$2:$J$1000,ALGLIB_SSA_XAUUSD!$O$2:$O$1000,"",0)</f>
        <v>4653.2464300000001</v>
      </c>
      <c r="N435">
        <f>_xlfn.XLOOKUP($A435,ALGLIB_SSA_XAUUSD!$J$2:$J$1000,ALGLIB_SSA_XAUUSD!$P$2:$P$1000,"",0)</f>
        <v>4657.1738599999999</v>
      </c>
      <c r="O435">
        <f>_xlfn.XLOOKUP($A435,ALGLIB_SSA_XAUUSD!$J$2:$J$1000,ALGLIB_SSA_XAUUSD!$Q$2:$Q$1000,"",0)</f>
        <v>4640.3879200000001</v>
      </c>
      <c r="R435">
        <f t="shared" si="66"/>
        <v>1775523900</v>
      </c>
      <c r="S435" t="str">
        <f t="shared" si="67"/>
        <v>XAUUSD</v>
      </c>
      <c r="T435" t="str">
        <f t="shared" si="68"/>
        <v>M5</v>
      </c>
      <c r="U435">
        <f t="shared" si="69"/>
        <v>4644.51</v>
      </c>
      <c r="V435">
        <v>4645.81203</v>
      </c>
      <c r="W435">
        <v>4648.2655100000002</v>
      </c>
      <c r="X435">
        <v>4651.7572300000002</v>
      </c>
      <c r="Y435">
        <v>4653.2464300000001</v>
      </c>
      <c r="Z435">
        <f t="shared" si="70"/>
        <v>4657.0555624999997</v>
      </c>
      <c r="AA435">
        <f t="shared" si="71"/>
        <v>4657.1738599999999</v>
      </c>
      <c r="AB435">
        <f t="shared" si="72"/>
        <v>4634.4260041666666</v>
      </c>
      <c r="AC435">
        <f t="shared" si="73"/>
        <v>4640.3879200000001</v>
      </c>
      <c r="AF435">
        <f t="shared" si="74"/>
        <v>4651.7572300000002</v>
      </c>
      <c r="AG435">
        <f t="shared" si="75"/>
        <v>4657.0555624999997</v>
      </c>
      <c r="AH435">
        <f t="shared" si="76"/>
        <v>4634.4260041666666</v>
      </c>
    </row>
    <row r="436" spans="1:34" x14ac:dyDescent="0.55000000000000004">
      <c r="A436">
        <f>ALGLIB_SSA_XAUUSD!J436</f>
        <v>1775524200</v>
      </c>
      <c r="B436" t="str">
        <f>_xlfn.XLOOKUP($A436,ALGLIB_SSA_XAUUSD!$A$2:$A$1000,ALGLIB_SSA_XAUUSD!$B$2:$B$1000,"",0)</f>
        <v/>
      </c>
      <c r="C436" t="str">
        <f>_xlfn.XLOOKUP($A436,ALGLIB_SSA_XAUUSD!$A$2:$A$1000,ALGLIB_SSA_XAUUSD!$C$2:$C$1000,"",0)</f>
        <v/>
      </c>
      <c r="D436" s="1">
        <f>D434+(D446-D434)*2/12</f>
        <v>4631.0383333333339</v>
      </c>
      <c r="E436" s="1">
        <f>E434+(E446-E434)*2/12</f>
        <v>4645.7565400000003</v>
      </c>
      <c r="F436" s="1">
        <f>F434+(F446-F434)*2/12</f>
        <v>4648.1322966666667</v>
      </c>
      <c r="G436" s="1">
        <f>G434+(G446-G434)*2/12</f>
        <v>4656.9387349999997</v>
      </c>
      <c r="H436" s="1">
        <f>H434+(H446-H434)*2/12</f>
        <v>4634.1837483333338</v>
      </c>
      <c r="I436" t="str">
        <f>_xlfn.XLOOKUP($A436,ALGLIB_SSA_XAUUSD!$J$2:$J$1000,ALGLIB_SSA_XAUUSD!$K$2:$K$1000,"",0)</f>
        <v>XAUUSD</v>
      </c>
      <c r="J436" t="str">
        <f>_xlfn.XLOOKUP($A436,ALGLIB_SSA_XAUUSD!$J$2:$J$1000,ALGLIB_SSA_XAUUSD!$L$2:$L$1000,"",0)</f>
        <v>M5</v>
      </c>
      <c r="K436">
        <f>_xlfn.XLOOKUP($A436,ALGLIB_SSA_XAUUSD!$J$2:$J$1000,ALGLIB_SSA_XAUUSD!$M$2:$M$1000,"",0)</f>
        <v>4641.13</v>
      </c>
      <c r="L436">
        <f>_xlfn.XLOOKUP($A436,ALGLIB_SSA_XAUUSD!$J$2:$J$1000,ALGLIB_SSA_XAUUSD!$N$2:$N$1000,"",0)</f>
        <v>4650.9205899999997</v>
      </c>
      <c r="M436">
        <f>_xlfn.XLOOKUP($A436,ALGLIB_SSA_XAUUSD!$J$2:$J$1000,ALGLIB_SSA_XAUUSD!$O$2:$O$1000,"",0)</f>
        <v>4652.0835100000004</v>
      </c>
      <c r="N436">
        <f>_xlfn.XLOOKUP($A436,ALGLIB_SSA_XAUUSD!$J$2:$J$1000,ALGLIB_SSA_XAUUSD!$P$2:$P$1000,"",0)</f>
        <v>4656.7174100000002</v>
      </c>
      <c r="O436">
        <f>_xlfn.XLOOKUP($A436,ALGLIB_SSA_XAUUSD!$J$2:$J$1000,ALGLIB_SSA_XAUUSD!$Q$2:$Q$1000,"",0)</f>
        <v>4639.5827399999998</v>
      </c>
      <c r="R436">
        <f t="shared" si="66"/>
        <v>1775524200</v>
      </c>
      <c r="S436" t="str">
        <f t="shared" si="67"/>
        <v>XAUUSD</v>
      </c>
      <c r="T436" t="str">
        <f t="shared" si="68"/>
        <v>M5</v>
      </c>
      <c r="U436">
        <f t="shared" si="69"/>
        <v>4641.13</v>
      </c>
      <c r="V436">
        <v>4645.7565400000003</v>
      </c>
      <c r="W436">
        <v>4648.1323000000002</v>
      </c>
      <c r="X436">
        <v>4650.9205899999997</v>
      </c>
      <c r="Y436">
        <v>4652.0835100000004</v>
      </c>
      <c r="Z436">
        <f t="shared" si="70"/>
        <v>4656.9387349999997</v>
      </c>
      <c r="AA436">
        <f t="shared" si="71"/>
        <v>4656.7174100000002</v>
      </c>
      <c r="AB436">
        <f t="shared" si="72"/>
        <v>4634.1837483333338</v>
      </c>
      <c r="AC436">
        <f t="shared" si="73"/>
        <v>4639.5827399999998</v>
      </c>
      <c r="AF436">
        <f t="shared" si="74"/>
        <v>4650.9205899999997</v>
      </c>
      <c r="AG436">
        <f t="shared" si="75"/>
        <v>4656.9387349999997</v>
      </c>
      <c r="AH436">
        <f t="shared" si="76"/>
        <v>4634.1837483333338</v>
      </c>
    </row>
    <row r="437" spans="1:34" x14ac:dyDescent="0.55000000000000004">
      <c r="A437">
        <f>ALGLIB_SSA_XAUUSD!J437</f>
        <v>1775524500</v>
      </c>
      <c r="B437" t="str">
        <f>_xlfn.XLOOKUP($A437,ALGLIB_SSA_XAUUSD!$A$2:$A$1000,ALGLIB_SSA_XAUUSD!$B$2:$B$1000,"",0)</f>
        <v/>
      </c>
      <c r="C437" t="str">
        <f>_xlfn.XLOOKUP($A437,ALGLIB_SSA_XAUUSD!$A$2:$A$1000,ALGLIB_SSA_XAUUSD!$C$2:$C$1000,"",0)</f>
        <v/>
      </c>
      <c r="D437" s="1">
        <f>D434+(D446-D434)*3/12</f>
        <v>4632.9875000000002</v>
      </c>
      <c r="E437" s="1">
        <f>E434+(E446-E434)*3/12</f>
        <v>4645.7010499999997</v>
      </c>
      <c r="F437" s="1">
        <f>F434+(F446-F434)*3/12</f>
        <v>4647.9990850000004</v>
      </c>
      <c r="G437" s="1">
        <f>G434+(G446-G434)*3/12</f>
        <v>4656.8219074999997</v>
      </c>
      <c r="H437" s="1">
        <f>H434+(H446-H434)*3/12</f>
        <v>4633.9414925000001</v>
      </c>
      <c r="I437" t="str">
        <f>_xlfn.XLOOKUP($A437,ALGLIB_SSA_XAUUSD!$J$2:$J$1000,ALGLIB_SSA_XAUUSD!$K$2:$K$1000,"",0)</f>
        <v>XAUUSD</v>
      </c>
      <c r="J437" t="str">
        <f>_xlfn.XLOOKUP($A437,ALGLIB_SSA_XAUUSD!$J$2:$J$1000,ALGLIB_SSA_XAUUSD!$L$2:$L$1000,"",0)</f>
        <v>M5</v>
      </c>
      <c r="K437">
        <f>_xlfn.XLOOKUP($A437,ALGLIB_SSA_XAUUSD!$J$2:$J$1000,ALGLIB_SSA_XAUUSD!$M$2:$M$1000,"",0)</f>
        <v>4651.33</v>
      </c>
      <c r="L437">
        <f>_xlfn.XLOOKUP($A437,ALGLIB_SSA_XAUUSD!$J$2:$J$1000,ALGLIB_SSA_XAUUSD!$N$2:$N$1000,"",0)</f>
        <v>4650.5928400000003</v>
      </c>
      <c r="M437">
        <f>_xlfn.XLOOKUP($A437,ALGLIB_SSA_XAUUSD!$J$2:$J$1000,ALGLIB_SSA_XAUUSD!$O$2:$O$1000,"",0)</f>
        <v>4651.33817</v>
      </c>
      <c r="N437">
        <f>_xlfn.XLOOKUP($A437,ALGLIB_SSA_XAUUSD!$J$2:$J$1000,ALGLIB_SSA_XAUUSD!$P$2:$P$1000,"",0)</f>
        <v>4656.7620800000004</v>
      </c>
      <c r="O437">
        <f>_xlfn.XLOOKUP($A437,ALGLIB_SSA_XAUUSD!$J$2:$J$1000,ALGLIB_SSA_XAUUSD!$Q$2:$Q$1000,"",0)</f>
        <v>4640.0118700000003</v>
      </c>
      <c r="R437">
        <f t="shared" si="66"/>
        <v>1775524500</v>
      </c>
      <c r="S437" t="str">
        <f t="shared" si="67"/>
        <v>XAUUSD</v>
      </c>
      <c r="T437" t="str">
        <f t="shared" si="68"/>
        <v>M5</v>
      </c>
      <c r="U437">
        <f t="shared" si="69"/>
        <v>4651.33</v>
      </c>
      <c r="V437">
        <v>4645.7010499999997</v>
      </c>
      <c r="W437">
        <v>4647.9990900000003</v>
      </c>
      <c r="X437">
        <v>4650.5928400000003</v>
      </c>
      <c r="Y437">
        <v>4651.33817</v>
      </c>
      <c r="Z437">
        <f t="shared" si="70"/>
        <v>4656.8219074999997</v>
      </c>
      <c r="AA437">
        <f t="shared" si="71"/>
        <v>4656.7620800000004</v>
      </c>
      <c r="AB437">
        <f t="shared" si="72"/>
        <v>4633.9414925000001</v>
      </c>
      <c r="AC437">
        <f t="shared" si="73"/>
        <v>4640.0118700000003</v>
      </c>
      <c r="AF437">
        <f t="shared" si="74"/>
        <v>4650.5928400000003</v>
      </c>
      <c r="AG437">
        <f t="shared" si="75"/>
        <v>4656.8219074999997</v>
      </c>
      <c r="AH437">
        <f t="shared" si="76"/>
        <v>4633.9414925000001</v>
      </c>
    </row>
    <row r="438" spans="1:34" x14ac:dyDescent="0.55000000000000004">
      <c r="A438">
        <f>ALGLIB_SSA_XAUUSD!J438</f>
        <v>1775524800</v>
      </c>
      <c r="B438" t="str">
        <f>_xlfn.XLOOKUP($A438,ALGLIB_SSA_XAUUSD!$A$2:$A$1000,ALGLIB_SSA_XAUUSD!$B$2:$B$1000,"",0)</f>
        <v/>
      </c>
      <c r="C438" t="str">
        <f>_xlfn.XLOOKUP($A438,ALGLIB_SSA_XAUUSD!$A$2:$A$1000,ALGLIB_SSA_XAUUSD!$C$2:$C$1000,"",0)</f>
        <v/>
      </c>
      <c r="D438" s="1">
        <f>D434+(D446-D434)*4/12</f>
        <v>4634.9366666666665</v>
      </c>
      <c r="E438" s="1">
        <f>E434+(E446-E434)*4/12</f>
        <v>4645.6455599999999</v>
      </c>
      <c r="F438" s="1">
        <f>F434+(F446-F434)*4/12</f>
        <v>4647.8658733333332</v>
      </c>
      <c r="G438" s="1">
        <f>G434+(G446-G434)*4/12</f>
        <v>4656.7050799999997</v>
      </c>
      <c r="H438" s="1">
        <f>H434+(H446-H434)*4/12</f>
        <v>4633.6992366666673</v>
      </c>
      <c r="I438" t="str">
        <f>_xlfn.XLOOKUP($A438,ALGLIB_SSA_XAUUSD!$J$2:$J$1000,ALGLIB_SSA_XAUUSD!$K$2:$K$1000,"",0)</f>
        <v>XAUUSD</v>
      </c>
      <c r="J438" t="str">
        <f>_xlfn.XLOOKUP($A438,ALGLIB_SSA_XAUUSD!$J$2:$J$1000,ALGLIB_SSA_XAUUSD!$L$2:$L$1000,"",0)</f>
        <v>M5</v>
      </c>
      <c r="K438">
        <f>_xlfn.XLOOKUP($A438,ALGLIB_SSA_XAUUSD!$J$2:$J$1000,ALGLIB_SSA_XAUUSD!$M$2:$M$1000,"",0)</f>
        <v>4649.8999999999996</v>
      </c>
      <c r="L438">
        <f>_xlfn.XLOOKUP($A438,ALGLIB_SSA_XAUUSD!$J$2:$J$1000,ALGLIB_SSA_XAUUSD!$N$2:$N$1000,"",0)</f>
        <v>4650.17796</v>
      </c>
      <c r="M438">
        <f>_xlfn.XLOOKUP($A438,ALGLIB_SSA_XAUUSD!$J$2:$J$1000,ALGLIB_SSA_XAUUSD!$O$2:$O$1000,"",0)</f>
        <v>4650.7580699999999</v>
      </c>
      <c r="N438">
        <f>_xlfn.XLOOKUP($A438,ALGLIB_SSA_XAUUSD!$J$2:$J$1000,ALGLIB_SSA_XAUUSD!$P$2:$P$1000,"",0)</f>
        <v>4656.8975499999997</v>
      </c>
      <c r="O438">
        <f>_xlfn.XLOOKUP($A438,ALGLIB_SSA_XAUUSD!$J$2:$J$1000,ALGLIB_SSA_XAUUSD!$Q$2:$Q$1000,"",0)</f>
        <v>4640.8892900000001</v>
      </c>
      <c r="R438">
        <f t="shared" si="66"/>
        <v>1775524800</v>
      </c>
      <c r="S438" t="str">
        <f t="shared" si="67"/>
        <v>XAUUSD</v>
      </c>
      <c r="T438" t="str">
        <f t="shared" si="68"/>
        <v>M5</v>
      </c>
      <c r="U438">
        <f t="shared" si="69"/>
        <v>4649.8999999999996</v>
      </c>
      <c r="V438">
        <v>4645.6455599999999</v>
      </c>
      <c r="W438">
        <v>4647.8658699999996</v>
      </c>
      <c r="X438">
        <v>4650.17796</v>
      </c>
      <c r="Y438">
        <v>4650.7580699999999</v>
      </c>
      <c r="Z438">
        <f t="shared" si="70"/>
        <v>4656.7050799999997</v>
      </c>
      <c r="AA438">
        <f t="shared" si="71"/>
        <v>4656.8975499999997</v>
      </c>
      <c r="AB438">
        <f t="shared" si="72"/>
        <v>4633.6992366666673</v>
      </c>
      <c r="AC438">
        <f t="shared" si="73"/>
        <v>4640.8892900000001</v>
      </c>
      <c r="AF438">
        <f t="shared" si="74"/>
        <v>4650.17796</v>
      </c>
      <c r="AG438">
        <f t="shared" si="75"/>
        <v>4656.7050799999997</v>
      </c>
      <c r="AH438">
        <f t="shared" si="76"/>
        <v>4633.6992366666673</v>
      </c>
    </row>
    <row r="439" spans="1:34" x14ac:dyDescent="0.55000000000000004">
      <c r="A439">
        <f>ALGLIB_SSA_XAUUSD!J439</f>
        <v>1775525100</v>
      </c>
      <c r="B439" t="str">
        <f>_xlfn.XLOOKUP($A439,ALGLIB_SSA_XAUUSD!$A$2:$A$1000,ALGLIB_SSA_XAUUSD!$B$2:$B$1000,"",0)</f>
        <v/>
      </c>
      <c r="C439" t="str">
        <f>_xlfn.XLOOKUP($A439,ALGLIB_SSA_XAUUSD!$A$2:$A$1000,ALGLIB_SSA_XAUUSD!$C$2:$C$1000,"",0)</f>
        <v/>
      </c>
      <c r="D439" s="1">
        <f>D434+(D446-D434)*5/12</f>
        <v>4636.8858333333337</v>
      </c>
      <c r="E439" s="1">
        <f>E434+(E446-E434)*5/12</f>
        <v>4645.5900700000002</v>
      </c>
      <c r="F439" s="1">
        <f>F434+(F446-F434)*5/12</f>
        <v>4647.7326616666669</v>
      </c>
      <c r="G439" s="1">
        <f>G434+(G446-G434)*5/12</f>
        <v>4656.5882524999997</v>
      </c>
      <c r="H439" s="1">
        <f>H434+(H446-H434)*5/12</f>
        <v>4633.4569808333335</v>
      </c>
      <c r="I439" t="str">
        <f>_xlfn.XLOOKUP($A439,ALGLIB_SSA_XAUUSD!$J$2:$J$1000,ALGLIB_SSA_XAUUSD!$K$2:$K$1000,"",0)</f>
        <v>XAUUSD</v>
      </c>
      <c r="J439" t="str">
        <f>_xlfn.XLOOKUP($A439,ALGLIB_SSA_XAUUSD!$J$2:$J$1000,ALGLIB_SSA_XAUUSD!$L$2:$L$1000,"",0)</f>
        <v>M5</v>
      </c>
      <c r="K439">
        <f>_xlfn.XLOOKUP($A439,ALGLIB_SSA_XAUUSD!$J$2:$J$1000,ALGLIB_SSA_XAUUSD!$M$2:$M$1000,"",0)</f>
        <v>4654.8599999999997</v>
      </c>
      <c r="L439">
        <f>_xlfn.XLOOKUP($A439,ALGLIB_SSA_XAUUSD!$J$2:$J$1000,ALGLIB_SSA_XAUUSD!$N$2:$N$1000,"",0)</f>
        <v>4649.3176100000001</v>
      </c>
      <c r="M439">
        <f>_xlfn.XLOOKUP($A439,ALGLIB_SSA_XAUUSD!$J$2:$J$1000,ALGLIB_SSA_XAUUSD!$O$2:$O$1000,"",0)</f>
        <v>4650.03784</v>
      </c>
      <c r="N439">
        <f>_xlfn.XLOOKUP($A439,ALGLIB_SSA_XAUUSD!$J$2:$J$1000,ALGLIB_SSA_XAUUSD!$P$2:$P$1000,"",0)</f>
        <v>4656.58968</v>
      </c>
      <c r="O439">
        <f>_xlfn.XLOOKUP($A439,ALGLIB_SSA_XAUUSD!$J$2:$J$1000,ALGLIB_SSA_XAUUSD!$Q$2:$Q$1000,"",0)</f>
        <v>4641.2531099999997</v>
      </c>
      <c r="R439">
        <f t="shared" si="66"/>
        <v>1775525100</v>
      </c>
      <c r="S439" t="str">
        <f t="shared" si="67"/>
        <v>XAUUSD</v>
      </c>
      <c r="T439" t="str">
        <f t="shared" si="68"/>
        <v>M5</v>
      </c>
      <c r="U439">
        <f t="shared" si="69"/>
        <v>4654.8599999999997</v>
      </c>
      <c r="V439">
        <v>4645.5900700000002</v>
      </c>
      <c r="W439">
        <v>4647.7326599999997</v>
      </c>
      <c r="X439">
        <v>4649.3176100000001</v>
      </c>
      <c r="Y439">
        <v>4650.03784</v>
      </c>
      <c r="Z439">
        <f t="shared" si="70"/>
        <v>4656.5882524999997</v>
      </c>
      <c r="AA439">
        <f t="shared" si="71"/>
        <v>4656.58968</v>
      </c>
      <c r="AB439">
        <f t="shared" si="72"/>
        <v>4633.4569808333335</v>
      </c>
      <c r="AC439">
        <f t="shared" si="73"/>
        <v>4641.2531099999997</v>
      </c>
      <c r="AF439">
        <f t="shared" si="74"/>
        <v>4649.3176100000001</v>
      </c>
      <c r="AG439">
        <f t="shared" si="75"/>
        <v>4656.5882524999997</v>
      </c>
      <c r="AH439">
        <f t="shared" si="76"/>
        <v>4633.4569808333335</v>
      </c>
    </row>
    <row r="440" spans="1:34" x14ac:dyDescent="0.55000000000000004">
      <c r="A440">
        <f>ALGLIB_SSA_XAUUSD!J440</f>
        <v>1775525400</v>
      </c>
      <c r="B440" t="str">
        <f>_xlfn.XLOOKUP($A440,ALGLIB_SSA_XAUUSD!$A$2:$A$1000,ALGLIB_SSA_XAUUSD!$B$2:$B$1000,"",0)</f>
        <v/>
      </c>
      <c r="C440" t="str">
        <f>_xlfn.XLOOKUP($A440,ALGLIB_SSA_XAUUSD!$A$2:$A$1000,ALGLIB_SSA_XAUUSD!$C$2:$C$1000,"",0)</f>
        <v/>
      </c>
      <c r="D440" s="1">
        <f>D434+(D446-D434)*6/12</f>
        <v>4638.835</v>
      </c>
      <c r="E440" s="1">
        <f>E434+(E446-E434)*6/12</f>
        <v>4645.5345799999996</v>
      </c>
      <c r="F440" s="1">
        <f>F434+(F446-F434)*6/12</f>
        <v>4647.5994499999997</v>
      </c>
      <c r="G440" s="1">
        <f>G434+(G446-G434)*6/12</f>
        <v>4656.4714249999997</v>
      </c>
      <c r="H440" s="1">
        <f>H434+(H446-H434)*6/12</f>
        <v>4633.2147249999998</v>
      </c>
      <c r="I440" t="str">
        <f>_xlfn.XLOOKUP($A440,ALGLIB_SSA_XAUUSD!$J$2:$J$1000,ALGLIB_SSA_XAUUSD!$K$2:$K$1000,"",0)</f>
        <v>XAUUSD</v>
      </c>
      <c r="J440" t="str">
        <f>_xlfn.XLOOKUP($A440,ALGLIB_SSA_XAUUSD!$J$2:$J$1000,ALGLIB_SSA_XAUUSD!$L$2:$L$1000,"",0)</f>
        <v>M5</v>
      </c>
      <c r="K440">
        <f>_xlfn.XLOOKUP($A440,ALGLIB_SSA_XAUUSD!$J$2:$J$1000,ALGLIB_SSA_XAUUSD!$M$2:$M$1000,"",0)</f>
        <v>4657.66</v>
      </c>
      <c r="L440">
        <f>_xlfn.XLOOKUP($A440,ALGLIB_SSA_XAUUSD!$J$2:$J$1000,ALGLIB_SSA_XAUUSD!$N$2:$N$1000,"",0)</f>
        <v>4647.53989</v>
      </c>
      <c r="M440">
        <f>_xlfn.XLOOKUP($A440,ALGLIB_SSA_XAUUSD!$J$2:$J$1000,ALGLIB_SSA_XAUUSD!$O$2:$O$1000,"",0)</f>
        <v>4648.7888700000003</v>
      </c>
      <c r="N440">
        <f>_xlfn.XLOOKUP($A440,ALGLIB_SSA_XAUUSD!$J$2:$J$1000,ALGLIB_SSA_XAUUSD!$P$2:$P$1000,"",0)</f>
        <v>4655.5137699999996</v>
      </c>
      <c r="O440">
        <f>_xlfn.XLOOKUP($A440,ALGLIB_SSA_XAUUSD!$J$2:$J$1000,ALGLIB_SSA_XAUUSD!$Q$2:$Q$1000,"",0)</f>
        <v>4640.5688200000004</v>
      </c>
      <c r="R440">
        <f t="shared" si="66"/>
        <v>1775525400</v>
      </c>
      <c r="S440" t="str">
        <f t="shared" si="67"/>
        <v>XAUUSD</v>
      </c>
      <c r="T440" t="str">
        <f t="shared" si="68"/>
        <v>M5</v>
      </c>
      <c r="U440">
        <f t="shared" si="69"/>
        <v>4657.66</v>
      </c>
      <c r="V440">
        <v>4645.5345799999996</v>
      </c>
      <c r="W440">
        <v>4647.5994499999997</v>
      </c>
      <c r="X440">
        <v>4647.53989</v>
      </c>
      <c r="Y440">
        <v>4648.7888700000003</v>
      </c>
      <c r="Z440">
        <f t="shared" si="70"/>
        <v>4656.4714249999997</v>
      </c>
      <c r="AA440">
        <f t="shared" si="71"/>
        <v>4655.5137699999996</v>
      </c>
      <c r="AB440">
        <f t="shared" si="72"/>
        <v>4633.2147249999998</v>
      </c>
      <c r="AC440">
        <f t="shared" si="73"/>
        <v>4640.5688200000004</v>
      </c>
      <c r="AF440">
        <f t="shared" si="74"/>
        <v>4647.53989</v>
      </c>
      <c r="AG440">
        <f t="shared" si="75"/>
        <v>4656.4714249999997</v>
      </c>
      <c r="AH440">
        <f t="shared" si="76"/>
        <v>4633.2147249999998</v>
      </c>
    </row>
    <row r="441" spans="1:34" x14ac:dyDescent="0.55000000000000004">
      <c r="A441">
        <f>ALGLIB_SSA_XAUUSD!J441</f>
        <v>1775525700</v>
      </c>
      <c r="B441" t="str">
        <f>_xlfn.XLOOKUP($A441,ALGLIB_SSA_XAUUSD!$A$2:$A$1000,ALGLIB_SSA_XAUUSD!$B$2:$B$1000,"",0)</f>
        <v/>
      </c>
      <c r="C441" t="str">
        <f>_xlfn.XLOOKUP($A441,ALGLIB_SSA_XAUUSD!$A$2:$A$1000,ALGLIB_SSA_XAUUSD!$C$2:$C$1000,"",0)</f>
        <v/>
      </c>
      <c r="D441" s="1">
        <f>D434+(D446-D434)*7/12</f>
        <v>4640.7841666666664</v>
      </c>
      <c r="E441" s="1">
        <f>E434+(E446-E434)*7/12</f>
        <v>4645.4790899999998</v>
      </c>
      <c r="F441" s="1">
        <f>F434+(F446-F434)*7/12</f>
        <v>4647.4662383333334</v>
      </c>
      <c r="G441" s="1">
        <f>G434+(G446-G434)*7/12</f>
        <v>4656.3545974999997</v>
      </c>
      <c r="H441" s="1">
        <f>H434+(H446-H434)*7/12</f>
        <v>4632.972469166667</v>
      </c>
      <c r="I441" t="str">
        <f>_xlfn.XLOOKUP($A441,ALGLIB_SSA_XAUUSD!$J$2:$J$1000,ALGLIB_SSA_XAUUSD!$K$2:$K$1000,"",0)</f>
        <v>XAUUSD</v>
      </c>
      <c r="J441" t="str">
        <f>_xlfn.XLOOKUP($A441,ALGLIB_SSA_XAUUSD!$J$2:$J$1000,ALGLIB_SSA_XAUUSD!$L$2:$L$1000,"",0)</f>
        <v>M5</v>
      </c>
      <c r="K441">
        <f>_xlfn.XLOOKUP($A441,ALGLIB_SSA_XAUUSD!$J$2:$J$1000,ALGLIB_SSA_XAUUSD!$M$2:$M$1000,"",0)</f>
        <v>4639.53</v>
      </c>
      <c r="L441">
        <f>_xlfn.XLOOKUP($A441,ALGLIB_SSA_XAUUSD!$J$2:$J$1000,ALGLIB_SSA_XAUUSD!$N$2:$N$1000,"",0)</f>
        <v>4644.5977000000003</v>
      </c>
      <c r="M441">
        <f>_xlfn.XLOOKUP($A441,ALGLIB_SSA_XAUUSD!$J$2:$J$1000,ALGLIB_SSA_XAUUSD!$O$2:$O$1000,"",0)</f>
        <v>4646.6932800000004</v>
      </c>
      <c r="N441">
        <f>_xlfn.XLOOKUP($A441,ALGLIB_SSA_XAUUSD!$J$2:$J$1000,ALGLIB_SSA_XAUUSD!$P$2:$P$1000,"",0)</f>
        <v>4653.1985599999998</v>
      </c>
      <c r="O441">
        <f>_xlfn.XLOOKUP($A441,ALGLIB_SSA_XAUUSD!$J$2:$J$1000,ALGLIB_SSA_XAUUSD!$Q$2:$Q$1000,"",0)</f>
        <v>4638.3731600000001</v>
      </c>
      <c r="R441">
        <f t="shared" si="66"/>
        <v>1775525700</v>
      </c>
      <c r="S441" t="str">
        <f t="shared" si="67"/>
        <v>XAUUSD</v>
      </c>
      <c r="T441" t="str">
        <f t="shared" si="68"/>
        <v>M5</v>
      </c>
      <c r="U441">
        <f t="shared" si="69"/>
        <v>4639.53</v>
      </c>
      <c r="V441">
        <v>4645.4790899999998</v>
      </c>
      <c r="W441">
        <v>4647.4662399999997</v>
      </c>
      <c r="X441">
        <v>4644.5977000000003</v>
      </c>
      <c r="Y441">
        <v>4646.6932800000004</v>
      </c>
      <c r="Z441">
        <f t="shared" si="70"/>
        <v>4656.3545974999997</v>
      </c>
      <c r="AA441">
        <f t="shared" si="71"/>
        <v>4653.1985599999998</v>
      </c>
      <c r="AB441">
        <f t="shared" si="72"/>
        <v>4632.972469166667</v>
      </c>
      <c r="AC441">
        <f t="shared" si="73"/>
        <v>4638.3731600000001</v>
      </c>
      <c r="AF441">
        <f t="shared" si="74"/>
        <v>4644.5977000000003</v>
      </c>
      <c r="AG441">
        <f t="shared" si="75"/>
        <v>4656.3545974999997</v>
      </c>
      <c r="AH441">
        <f t="shared" si="76"/>
        <v>4632.972469166667</v>
      </c>
    </row>
    <row r="442" spans="1:34" x14ac:dyDescent="0.55000000000000004">
      <c r="A442">
        <f>ALGLIB_SSA_XAUUSD!J442</f>
        <v>1775526000</v>
      </c>
      <c r="B442" t="str">
        <f>_xlfn.XLOOKUP($A442,ALGLIB_SSA_XAUUSD!$A$2:$A$1000,ALGLIB_SSA_XAUUSD!$B$2:$B$1000,"",0)</f>
        <v/>
      </c>
      <c r="C442" t="str">
        <f>_xlfn.XLOOKUP($A442,ALGLIB_SSA_XAUUSD!$A$2:$A$1000,ALGLIB_SSA_XAUUSD!$C$2:$C$1000,"",0)</f>
        <v/>
      </c>
      <c r="D442" s="1">
        <f>D434+(D446-D434)*8/12</f>
        <v>4642.7333333333336</v>
      </c>
      <c r="E442" s="1">
        <f>E434+(E446-E434)*8/12</f>
        <v>4645.4236000000001</v>
      </c>
      <c r="F442" s="1">
        <f>F434+(F446-F434)*8/12</f>
        <v>4647.3330266666671</v>
      </c>
      <c r="G442" s="1">
        <f>G434+(G446-G434)*8/12</f>
        <v>4656.2377699999997</v>
      </c>
      <c r="H442" s="1">
        <f>H434+(H446-H434)*8/12</f>
        <v>4632.7302133333333</v>
      </c>
      <c r="I442" t="str">
        <f>_xlfn.XLOOKUP($A442,ALGLIB_SSA_XAUUSD!$J$2:$J$1000,ALGLIB_SSA_XAUUSD!$K$2:$K$1000,"",0)</f>
        <v>XAUUSD</v>
      </c>
      <c r="J442" t="str">
        <f>_xlfn.XLOOKUP($A442,ALGLIB_SSA_XAUUSD!$J$2:$J$1000,ALGLIB_SSA_XAUUSD!$L$2:$L$1000,"",0)</f>
        <v>M5</v>
      </c>
      <c r="K442">
        <f>_xlfn.XLOOKUP($A442,ALGLIB_SSA_XAUUSD!$J$2:$J$1000,ALGLIB_SSA_XAUUSD!$M$2:$M$1000,"",0)</f>
        <v>4642.03</v>
      </c>
      <c r="L442">
        <f>_xlfn.XLOOKUP($A442,ALGLIB_SSA_XAUUSD!$J$2:$J$1000,ALGLIB_SSA_XAUUSD!$N$2:$N$1000,"",0)</f>
        <v>4640.9912400000003</v>
      </c>
      <c r="M442">
        <f>_xlfn.XLOOKUP($A442,ALGLIB_SSA_XAUUSD!$J$2:$J$1000,ALGLIB_SSA_XAUUSD!$O$2:$O$1000,"",0)</f>
        <v>4643.8422600000004</v>
      </c>
      <c r="N442">
        <f>_xlfn.XLOOKUP($A442,ALGLIB_SSA_XAUUSD!$J$2:$J$1000,ALGLIB_SSA_XAUUSD!$P$2:$P$1000,"",0)</f>
        <v>4649.6217699999997</v>
      </c>
      <c r="O442">
        <f>_xlfn.XLOOKUP($A442,ALGLIB_SSA_XAUUSD!$J$2:$J$1000,ALGLIB_SSA_XAUUSD!$Q$2:$Q$1000,"",0)</f>
        <v>4635.1774999999998</v>
      </c>
      <c r="R442">
        <f t="shared" si="66"/>
        <v>1775526000</v>
      </c>
      <c r="S442" t="str">
        <f t="shared" si="67"/>
        <v>XAUUSD</v>
      </c>
      <c r="T442" t="str">
        <f t="shared" si="68"/>
        <v>M5</v>
      </c>
      <c r="U442">
        <f t="shared" si="69"/>
        <v>4642.03</v>
      </c>
      <c r="V442">
        <v>4645.4236000000001</v>
      </c>
      <c r="W442">
        <v>4647.3330299999998</v>
      </c>
      <c r="X442">
        <v>4640.9912400000003</v>
      </c>
      <c r="Y442">
        <v>4643.8422600000004</v>
      </c>
      <c r="Z442">
        <f t="shared" si="70"/>
        <v>4656.2377699999997</v>
      </c>
      <c r="AA442">
        <f t="shared" si="71"/>
        <v>4649.6217699999997</v>
      </c>
      <c r="AB442">
        <f t="shared" si="72"/>
        <v>4632.7302133333333</v>
      </c>
      <c r="AC442">
        <f t="shared" si="73"/>
        <v>4635.1774999999998</v>
      </c>
      <c r="AF442">
        <f t="shared" si="74"/>
        <v>4640.9912400000003</v>
      </c>
      <c r="AG442">
        <f t="shared" si="75"/>
        <v>4656.2377699999997</v>
      </c>
      <c r="AH442">
        <f t="shared" si="76"/>
        <v>4632.7302133333333</v>
      </c>
    </row>
    <row r="443" spans="1:34" x14ac:dyDescent="0.55000000000000004">
      <c r="A443">
        <f>ALGLIB_SSA_XAUUSD!J443</f>
        <v>1775526300</v>
      </c>
      <c r="B443" t="str">
        <f>_xlfn.XLOOKUP($A443,ALGLIB_SSA_XAUUSD!$A$2:$A$1000,ALGLIB_SSA_XAUUSD!$B$2:$B$1000,"",0)</f>
        <v/>
      </c>
      <c r="C443" t="str">
        <f>_xlfn.XLOOKUP($A443,ALGLIB_SSA_XAUUSD!$A$2:$A$1000,ALGLIB_SSA_XAUUSD!$C$2:$C$1000,"",0)</f>
        <v/>
      </c>
      <c r="D443" s="1">
        <f>D434+(D446-D434)*9/12</f>
        <v>4644.6824999999999</v>
      </c>
      <c r="E443" s="1">
        <f>E434+(E446-E434)*9/12</f>
        <v>4645.3681100000003</v>
      </c>
      <c r="F443" s="1">
        <f>F434+(F446-F434)*9/12</f>
        <v>4647.1998149999999</v>
      </c>
      <c r="G443" s="1">
        <f>G434+(G446-G434)*9/12</f>
        <v>4656.1209424999997</v>
      </c>
      <c r="H443" s="1">
        <f>H434+(H446-H434)*9/12</f>
        <v>4632.4879575000004</v>
      </c>
      <c r="I443" t="str">
        <f>_xlfn.XLOOKUP($A443,ALGLIB_SSA_XAUUSD!$J$2:$J$1000,ALGLIB_SSA_XAUUSD!$K$2:$K$1000,"",0)</f>
        <v>XAUUSD</v>
      </c>
      <c r="J443" t="str">
        <f>_xlfn.XLOOKUP($A443,ALGLIB_SSA_XAUUSD!$J$2:$J$1000,ALGLIB_SSA_XAUUSD!$L$2:$L$1000,"",0)</f>
        <v>M5</v>
      </c>
      <c r="K443">
        <f>_xlfn.XLOOKUP($A443,ALGLIB_SSA_XAUUSD!$J$2:$J$1000,ALGLIB_SSA_XAUUSD!$M$2:$M$1000,"",0)</f>
        <v>4634.29</v>
      </c>
      <c r="L443">
        <f>_xlfn.XLOOKUP($A443,ALGLIB_SSA_XAUUSD!$J$2:$J$1000,ALGLIB_SSA_XAUUSD!$N$2:$N$1000,"",0)</f>
        <v>4636.89426</v>
      </c>
      <c r="M443">
        <f>_xlfn.XLOOKUP($A443,ALGLIB_SSA_XAUUSD!$J$2:$J$1000,ALGLIB_SSA_XAUUSD!$O$2:$O$1000,"",0)</f>
        <v>4640.3682600000002</v>
      </c>
      <c r="N443">
        <f>_xlfn.XLOOKUP($A443,ALGLIB_SSA_XAUUSD!$J$2:$J$1000,ALGLIB_SSA_XAUUSD!$P$2:$P$1000,"",0)</f>
        <v>4645.2283600000001</v>
      </c>
      <c r="O443">
        <f>_xlfn.XLOOKUP($A443,ALGLIB_SSA_XAUUSD!$J$2:$J$1000,ALGLIB_SSA_XAUUSD!$Q$2:$Q$1000,"",0)</f>
        <v>4631.1117000000004</v>
      </c>
      <c r="R443">
        <f t="shared" si="66"/>
        <v>1775526300</v>
      </c>
      <c r="S443" t="str">
        <f t="shared" si="67"/>
        <v>XAUUSD</v>
      </c>
      <c r="T443" t="str">
        <f t="shared" si="68"/>
        <v>M5</v>
      </c>
      <c r="U443">
        <f t="shared" si="69"/>
        <v>4634.29</v>
      </c>
      <c r="V443">
        <v>4645.3681100000003</v>
      </c>
      <c r="W443">
        <v>4647.1998199999998</v>
      </c>
      <c r="X443">
        <v>4636.89426</v>
      </c>
      <c r="Y443">
        <v>4640.3682600000002</v>
      </c>
      <c r="Z443">
        <f t="shared" si="70"/>
        <v>4656.1209424999997</v>
      </c>
      <c r="AA443">
        <f t="shared" si="71"/>
        <v>4645.2283600000001</v>
      </c>
      <c r="AB443">
        <f t="shared" si="72"/>
        <v>4632.4879575000004</v>
      </c>
      <c r="AC443">
        <f t="shared" si="73"/>
        <v>4631.1117000000004</v>
      </c>
      <c r="AF443">
        <f t="shared" si="74"/>
        <v>4636.89426</v>
      </c>
      <c r="AG443">
        <f t="shared" si="75"/>
        <v>4656.1209424999997</v>
      </c>
      <c r="AH443">
        <f t="shared" si="76"/>
        <v>4632.4879575000004</v>
      </c>
    </row>
    <row r="444" spans="1:34" x14ac:dyDescent="0.55000000000000004">
      <c r="A444">
        <f>ALGLIB_SSA_XAUUSD!J444</f>
        <v>1775526600</v>
      </c>
      <c r="B444" t="str">
        <f>_xlfn.XLOOKUP($A444,ALGLIB_SSA_XAUUSD!$A$2:$A$1000,ALGLIB_SSA_XAUUSD!$B$2:$B$1000,"",0)</f>
        <v/>
      </c>
      <c r="C444" t="str">
        <f>_xlfn.XLOOKUP($A444,ALGLIB_SSA_XAUUSD!$A$2:$A$1000,ALGLIB_SSA_XAUUSD!$C$2:$C$1000,"",0)</f>
        <v/>
      </c>
      <c r="D444" s="1">
        <f>D434+(D446-D434)*10/12</f>
        <v>4646.6316666666662</v>
      </c>
      <c r="E444" s="1">
        <f>E434+(E446-E434)*10/12</f>
        <v>4645.3126200000006</v>
      </c>
      <c r="F444" s="1">
        <f>F434+(F446-F434)*10/12</f>
        <v>4647.0666033333337</v>
      </c>
      <c r="G444" s="1">
        <f>G434+(G446-G434)*10/12</f>
        <v>4656.0041149999997</v>
      </c>
      <c r="H444" s="1">
        <f>H434+(H446-H434)*10/12</f>
        <v>4632.2457016666667</v>
      </c>
      <c r="I444" t="str">
        <f>_xlfn.XLOOKUP($A444,ALGLIB_SSA_XAUUSD!$J$2:$J$1000,ALGLIB_SSA_XAUUSD!$K$2:$K$1000,"",0)</f>
        <v>XAUUSD</v>
      </c>
      <c r="J444" t="str">
        <f>_xlfn.XLOOKUP($A444,ALGLIB_SSA_XAUUSD!$J$2:$J$1000,ALGLIB_SSA_XAUUSD!$L$2:$L$1000,"",0)</f>
        <v>M5</v>
      </c>
      <c r="K444">
        <f>_xlfn.XLOOKUP($A444,ALGLIB_SSA_XAUUSD!$J$2:$J$1000,ALGLIB_SSA_XAUUSD!$M$2:$M$1000,"",0)</f>
        <v>4627.92</v>
      </c>
      <c r="L444">
        <f>_xlfn.XLOOKUP($A444,ALGLIB_SSA_XAUUSD!$J$2:$J$1000,ALGLIB_SSA_XAUUSD!$N$2:$N$1000,"",0)</f>
        <v>4632.8778499999999</v>
      </c>
      <c r="M444">
        <f>_xlfn.XLOOKUP($A444,ALGLIB_SSA_XAUUSD!$J$2:$J$1000,ALGLIB_SSA_XAUUSD!$O$2:$O$1000,"",0)</f>
        <v>4636.6230599999999</v>
      </c>
      <c r="N444">
        <f>_xlfn.XLOOKUP($A444,ALGLIB_SSA_XAUUSD!$J$2:$J$1000,ALGLIB_SSA_XAUUSD!$P$2:$P$1000,"",0)</f>
        <v>4640.3917700000002</v>
      </c>
      <c r="O444">
        <f>_xlfn.XLOOKUP($A444,ALGLIB_SSA_XAUUSD!$J$2:$J$1000,ALGLIB_SSA_XAUUSD!$Q$2:$Q$1000,"",0)</f>
        <v>4626.7209700000003</v>
      </c>
      <c r="R444">
        <f t="shared" si="66"/>
        <v>1775526600</v>
      </c>
      <c r="S444" t="str">
        <f t="shared" si="67"/>
        <v>XAUUSD</v>
      </c>
      <c r="T444" t="str">
        <f t="shared" si="68"/>
        <v>M5</v>
      </c>
      <c r="U444">
        <f t="shared" si="69"/>
        <v>4627.92</v>
      </c>
      <c r="V444">
        <v>4645.3126199999997</v>
      </c>
      <c r="W444">
        <v>4647.0666000000001</v>
      </c>
      <c r="X444">
        <v>4632.8778499999999</v>
      </c>
      <c r="Y444">
        <v>4636.6230599999999</v>
      </c>
      <c r="Z444">
        <f t="shared" si="70"/>
        <v>4656.0041149999997</v>
      </c>
      <c r="AA444">
        <f t="shared" si="71"/>
        <v>4640.3917700000002</v>
      </c>
      <c r="AB444">
        <f t="shared" si="72"/>
        <v>4632.2457016666667</v>
      </c>
      <c r="AC444">
        <f t="shared" si="73"/>
        <v>4626.7209700000003</v>
      </c>
      <c r="AF444">
        <f t="shared" si="74"/>
        <v>4632.8778499999999</v>
      </c>
      <c r="AG444">
        <f t="shared" si="75"/>
        <v>4656.0041149999997</v>
      </c>
      <c r="AH444">
        <f t="shared" si="76"/>
        <v>4632.2457016666667</v>
      </c>
    </row>
    <row r="445" spans="1:34" x14ac:dyDescent="0.55000000000000004">
      <c r="A445">
        <f>ALGLIB_SSA_XAUUSD!J445</f>
        <v>1775526900</v>
      </c>
      <c r="B445" t="str">
        <f>_xlfn.XLOOKUP($A445,ALGLIB_SSA_XAUUSD!$A$2:$A$1000,ALGLIB_SSA_XAUUSD!$B$2:$B$1000,"",0)</f>
        <v/>
      </c>
      <c r="C445" t="str">
        <f>_xlfn.XLOOKUP($A445,ALGLIB_SSA_XAUUSD!$A$2:$A$1000,ALGLIB_SSA_XAUUSD!$C$2:$C$1000,"",0)</f>
        <v/>
      </c>
      <c r="D445" s="1">
        <f>D434+(D446-D434)*11/12</f>
        <v>4648.5808333333334</v>
      </c>
      <c r="E445" s="1">
        <f>E434+(E446-E434)*11/12</f>
        <v>4645.25713</v>
      </c>
      <c r="F445" s="1">
        <f>F434+(F446-F434)*11/12</f>
        <v>4646.9333916666665</v>
      </c>
      <c r="G445" s="1">
        <f>G434+(G446-G434)*11/12</f>
        <v>4655.8872874999997</v>
      </c>
      <c r="H445" s="1">
        <f>H434+(H446-H434)*11/12</f>
        <v>4632.0034458333339</v>
      </c>
      <c r="I445" t="str">
        <f>_xlfn.XLOOKUP($A445,ALGLIB_SSA_XAUUSD!$J$2:$J$1000,ALGLIB_SSA_XAUUSD!$K$2:$K$1000,"",0)</f>
        <v>XAUUSD</v>
      </c>
      <c r="J445" t="str">
        <f>_xlfn.XLOOKUP($A445,ALGLIB_SSA_XAUUSD!$J$2:$J$1000,ALGLIB_SSA_XAUUSD!$L$2:$L$1000,"",0)</f>
        <v>M5</v>
      </c>
      <c r="K445">
        <f>_xlfn.XLOOKUP($A445,ALGLIB_SSA_XAUUSD!$J$2:$J$1000,ALGLIB_SSA_XAUUSD!$M$2:$M$1000,"",0)</f>
        <v>4627.1400000000003</v>
      </c>
      <c r="L445">
        <f>_xlfn.XLOOKUP($A445,ALGLIB_SSA_XAUUSD!$J$2:$J$1000,ALGLIB_SSA_XAUUSD!$N$2:$N$1000,"",0)</f>
        <v>4629.5489500000003</v>
      </c>
      <c r="M445">
        <f>_xlfn.XLOOKUP($A445,ALGLIB_SSA_XAUUSD!$J$2:$J$1000,ALGLIB_SSA_XAUUSD!$O$2:$O$1000,"",0)</f>
        <v>4633.0860000000002</v>
      </c>
      <c r="N445">
        <f>_xlfn.XLOOKUP($A445,ALGLIB_SSA_XAUUSD!$J$2:$J$1000,ALGLIB_SSA_XAUUSD!$P$2:$P$1000,"",0)</f>
        <v>4635.8693000000003</v>
      </c>
      <c r="O445">
        <f>_xlfn.XLOOKUP($A445,ALGLIB_SSA_XAUUSD!$J$2:$J$1000,ALGLIB_SSA_XAUUSD!$Q$2:$Q$1000,"",0)</f>
        <v>4622.95111</v>
      </c>
      <c r="R445">
        <f t="shared" si="66"/>
        <v>1775526900</v>
      </c>
      <c r="S445" t="str">
        <f t="shared" si="67"/>
        <v>XAUUSD</v>
      </c>
      <c r="T445" t="str">
        <f t="shared" si="68"/>
        <v>M5</v>
      </c>
      <c r="U445">
        <f t="shared" si="69"/>
        <v>4627.1400000000003</v>
      </c>
      <c r="V445">
        <v>4645.25713</v>
      </c>
      <c r="W445">
        <v>4646.9333900000001</v>
      </c>
      <c r="X445">
        <v>4629.5489500000003</v>
      </c>
      <c r="Y445">
        <v>4633.0860000000002</v>
      </c>
      <c r="Z445">
        <f t="shared" si="70"/>
        <v>4655.8872874999997</v>
      </c>
      <c r="AA445">
        <f t="shared" si="71"/>
        <v>4635.8693000000003</v>
      </c>
      <c r="AB445">
        <f t="shared" si="72"/>
        <v>4632.0034458333339</v>
      </c>
      <c r="AC445">
        <f t="shared" si="73"/>
        <v>4622.95111</v>
      </c>
      <c r="AF445">
        <f t="shared" si="74"/>
        <v>4629.5489500000003</v>
      </c>
      <c r="AG445">
        <f t="shared" si="75"/>
        <v>4655.8872874999997</v>
      </c>
      <c r="AH445">
        <f t="shared" si="76"/>
        <v>4632.0034458333339</v>
      </c>
    </row>
    <row r="446" spans="1:34" x14ac:dyDescent="0.55000000000000004">
      <c r="A446">
        <f>ALGLIB_SSA_XAUUSD!J446</f>
        <v>1775527200</v>
      </c>
      <c r="B446" t="str">
        <f>_xlfn.XLOOKUP($A446,ALGLIB_SSA_XAUUSD!$A$2:$A$1000,ALGLIB_SSA_XAUUSD!$B$2:$B$1000,"",0)</f>
        <v>XAUUSD</v>
      </c>
      <c r="C446" t="str">
        <f>_xlfn.XLOOKUP($A446,ALGLIB_SSA_XAUUSD!$A$2:$A$1000,ALGLIB_SSA_XAUUSD!$C$2:$C$1000,"",0)</f>
        <v>H1</v>
      </c>
      <c r="D446" s="2">
        <f>_xlfn.XLOOKUP($A446,ALGLIB_SSA_XAUUSD!$A$2:$A$1000,ALGLIB_SSA_XAUUSD!$D$2:$D$1000,"",0)</f>
        <v>4650.53</v>
      </c>
      <c r="E446" s="2">
        <f>_xlfn.XLOOKUP($A446,ALGLIB_SSA_XAUUSD!$A$2:$A$1000,ALGLIB_SSA_XAUUSD!$E$2:$E$1000,"",0)</f>
        <v>4645.2016400000002</v>
      </c>
      <c r="F446" s="2">
        <f>_xlfn.XLOOKUP($A446,ALGLIB_SSA_XAUUSD!$A$2:$A$1000,ALGLIB_SSA_XAUUSD!$F$2:$F$1000,"",0)</f>
        <v>4646.8001800000002</v>
      </c>
      <c r="G446" s="2">
        <f>_xlfn.XLOOKUP($A446,ALGLIB_SSA_XAUUSD!$A$2:$A$1000,ALGLIB_SSA_XAUUSD!$G$2:$G$1000,"",0)</f>
        <v>4655.7704599999997</v>
      </c>
      <c r="H446" s="2">
        <f>_xlfn.XLOOKUP($A446,ALGLIB_SSA_XAUUSD!$A$2:$A$1000,ALGLIB_SSA_XAUUSD!$H$2:$H$1000,"",0)</f>
        <v>4631.7611900000002</v>
      </c>
      <c r="I446" t="str">
        <f>_xlfn.XLOOKUP($A446,ALGLIB_SSA_XAUUSD!$J$2:$J$1000,ALGLIB_SSA_XAUUSD!$K$2:$K$1000,"",0)</f>
        <v>XAUUSD</v>
      </c>
      <c r="J446" t="str">
        <f>_xlfn.XLOOKUP($A446,ALGLIB_SSA_XAUUSD!$J$2:$J$1000,ALGLIB_SSA_XAUUSD!$L$2:$L$1000,"",0)</f>
        <v>M5</v>
      </c>
      <c r="K446">
        <f>_xlfn.XLOOKUP($A446,ALGLIB_SSA_XAUUSD!$J$2:$J$1000,ALGLIB_SSA_XAUUSD!$M$2:$M$1000,"",0)</f>
        <v>4628.32</v>
      </c>
      <c r="L446">
        <f>_xlfn.XLOOKUP($A446,ALGLIB_SSA_XAUUSD!$J$2:$J$1000,ALGLIB_SSA_XAUUSD!$N$2:$N$1000,"",0)</f>
        <v>4627.3237099999997</v>
      </c>
      <c r="M446">
        <f>_xlfn.XLOOKUP($A446,ALGLIB_SSA_XAUUSD!$J$2:$J$1000,ALGLIB_SSA_XAUUSD!$O$2:$O$1000,"",0)</f>
        <v>4630.2048599999998</v>
      </c>
      <c r="N446">
        <f>_xlfn.XLOOKUP($A446,ALGLIB_SSA_XAUUSD!$J$2:$J$1000,ALGLIB_SSA_XAUUSD!$P$2:$P$1000,"",0)</f>
        <v>4632.3976700000003</v>
      </c>
      <c r="O446">
        <f>_xlfn.XLOOKUP($A446,ALGLIB_SSA_XAUUSD!$J$2:$J$1000,ALGLIB_SSA_XAUUSD!$Q$2:$Q$1000,"",0)</f>
        <v>4620.4564600000003</v>
      </c>
      <c r="R446">
        <f t="shared" si="66"/>
        <v>1775527200</v>
      </c>
      <c r="S446" t="str">
        <f t="shared" si="67"/>
        <v>XAUUSD</v>
      </c>
      <c r="T446" t="str">
        <f t="shared" si="68"/>
        <v>M5</v>
      </c>
      <c r="U446">
        <f t="shared" si="69"/>
        <v>4628.32</v>
      </c>
      <c r="V446">
        <v>4645.2016400000002</v>
      </c>
      <c r="W446">
        <v>4646.8001800000002</v>
      </c>
      <c r="X446">
        <v>4627.3237099999997</v>
      </c>
      <c r="Y446">
        <v>4630.2048599999998</v>
      </c>
      <c r="Z446">
        <f t="shared" si="70"/>
        <v>4655.7704599999997</v>
      </c>
      <c r="AA446">
        <f t="shared" si="71"/>
        <v>4632.3976700000003</v>
      </c>
      <c r="AB446">
        <f t="shared" si="72"/>
        <v>4631.7611900000002</v>
      </c>
      <c r="AC446">
        <f t="shared" si="73"/>
        <v>4620.4564600000003</v>
      </c>
      <c r="AF446">
        <f t="shared" si="74"/>
        <v>4627.3237099999997</v>
      </c>
      <c r="AG446">
        <f t="shared" si="75"/>
        <v>4655.7704599999997</v>
      </c>
      <c r="AH446">
        <f t="shared" si="76"/>
        <v>4631.7611900000002</v>
      </c>
    </row>
    <row r="447" spans="1:34" x14ac:dyDescent="0.55000000000000004">
      <c r="A447">
        <f>ALGLIB_SSA_XAUUSD!J447</f>
        <v>1775527500</v>
      </c>
      <c r="B447" t="str">
        <f>_xlfn.XLOOKUP($A447,ALGLIB_SSA_XAUUSD!$A$2:$A$1000,ALGLIB_SSA_XAUUSD!$B$2:$B$1000,"",0)</f>
        <v/>
      </c>
      <c r="C447" t="str">
        <f>_xlfn.XLOOKUP($A447,ALGLIB_SSA_XAUUSD!$A$2:$A$1000,ALGLIB_SSA_XAUUSD!$C$2:$C$1000,"",0)</f>
        <v/>
      </c>
      <c r="D447" s="1">
        <f>D446+(D458-D446)*1/12</f>
        <v>4650.4391666666661</v>
      </c>
      <c r="E447" s="1">
        <f>E446+(E458-E446)*1/12</f>
        <v>4645.2901233333332</v>
      </c>
      <c r="F447" s="1">
        <f>F446+(F458-F446)*1/12</f>
        <v>4646.7778158333331</v>
      </c>
      <c r="G447" s="1">
        <f>G446+(G458-G446)*1/12</f>
        <v>4655.7842291666666</v>
      </c>
      <c r="H447" s="1">
        <f>H446+(H458-H446)*1/12</f>
        <v>4631.6923316666671</v>
      </c>
      <c r="I447" t="str">
        <f>_xlfn.XLOOKUP($A447,ALGLIB_SSA_XAUUSD!$J$2:$J$1000,ALGLIB_SSA_XAUUSD!$K$2:$K$1000,"",0)</f>
        <v>XAUUSD</v>
      </c>
      <c r="J447" t="str">
        <f>_xlfn.XLOOKUP($A447,ALGLIB_SSA_XAUUSD!$J$2:$J$1000,ALGLIB_SSA_XAUUSD!$L$2:$L$1000,"",0)</f>
        <v>M5</v>
      </c>
      <c r="K447">
        <f>_xlfn.XLOOKUP($A447,ALGLIB_SSA_XAUUSD!$J$2:$J$1000,ALGLIB_SSA_XAUUSD!$M$2:$M$1000,"",0)</f>
        <v>4631.6099999999997</v>
      </c>
      <c r="L447">
        <f>_xlfn.XLOOKUP($A447,ALGLIB_SSA_XAUUSD!$J$2:$J$1000,ALGLIB_SSA_XAUUSD!$N$2:$N$1000,"",0)</f>
        <v>4626.4400599999999</v>
      </c>
      <c r="M447">
        <f>_xlfn.XLOOKUP($A447,ALGLIB_SSA_XAUUSD!$J$2:$J$1000,ALGLIB_SSA_XAUUSD!$O$2:$O$1000,"",0)</f>
        <v>4628.3224600000003</v>
      </c>
      <c r="N447">
        <f>_xlfn.XLOOKUP($A447,ALGLIB_SSA_XAUUSD!$J$2:$J$1000,ALGLIB_SSA_XAUUSD!$P$2:$P$1000,"",0)</f>
        <v>4630.2571900000003</v>
      </c>
      <c r="O447">
        <f>_xlfn.XLOOKUP($A447,ALGLIB_SSA_XAUUSD!$J$2:$J$1000,ALGLIB_SSA_XAUUSD!$Q$2:$Q$1000,"",0)</f>
        <v>4619.4282899999998</v>
      </c>
      <c r="R447">
        <f t="shared" si="66"/>
        <v>1775527500</v>
      </c>
      <c r="S447" t="str">
        <f t="shared" si="67"/>
        <v>XAUUSD</v>
      </c>
      <c r="T447" t="str">
        <f t="shared" si="68"/>
        <v>M5</v>
      </c>
      <c r="U447">
        <f t="shared" si="69"/>
        <v>4631.6099999999997</v>
      </c>
      <c r="V447">
        <v>4645.2901199999997</v>
      </c>
      <c r="W447">
        <v>4646.7778200000002</v>
      </c>
      <c r="X447">
        <v>4626.4400599999999</v>
      </c>
      <c r="Y447">
        <v>4628.3224600000003</v>
      </c>
      <c r="Z447">
        <f t="shared" si="70"/>
        <v>4655.7842291666666</v>
      </c>
      <c r="AA447">
        <f t="shared" si="71"/>
        <v>4630.2571900000003</v>
      </c>
      <c r="AB447">
        <f t="shared" si="72"/>
        <v>4631.6923316666671</v>
      </c>
      <c r="AC447">
        <f t="shared" si="73"/>
        <v>4619.4282899999998</v>
      </c>
      <c r="AF447">
        <f t="shared" si="74"/>
        <v>4626.4400599999999</v>
      </c>
      <c r="AG447">
        <f t="shared" si="75"/>
        <v>4655.7842291666666</v>
      </c>
      <c r="AH447">
        <f t="shared" si="76"/>
        <v>4631.6923316666671</v>
      </c>
    </row>
    <row r="448" spans="1:34" x14ac:dyDescent="0.55000000000000004">
      <c r="A448">
        <f>ALGLIB_SSA_XAUUSD!J448</f>
        <v>1775527800</v>
      </c>
      <c r="B448" t="str">
        <f>_xlfn.XLOOKUP($A448,ALGLIB_SSA_XAUUSD!$A$2:$A$1000,ALGLIB_SSA_XAUUSD!$B$2:$B$1000,"",0)</f>
        <v/>
      </c>
      <c r="C448" t="str">
        <f>_xlfn.XLOOKUP($A448,ALGLIB_SSA_XAUUSD!$A$2:$A$1000,ALGLIB_SSA_XAUUSD!$C$2:$C$1000,"",0)</f>
        <v/>
      </c>
      <c r="D448" s="1">
        <f>D446+(D458-D446)*2/12</f>
        <v>4650.3483333333334</v>
      </c>
      <c r="E448" s="1">
        <f>E446+(E458-E446)*2/12</f>
        <v>4645.3786066666671</v>
      </c>
      <c r="F448" s="1">
        <f>F446+(F458-F446)*2/12</f>
        <v>4646.7554516666669</v>
      </c>
      <c r="G448" s="1">
        <f>G446+(G458-G446)*2/12</f>
        <v>4655.7979983333335</v>
      </c>
      <c r="H448" s="1">
        <f>H446+(H458-H446)*2/12</f>
        <v>4631.6234733333331</v>
      </c>
      <c r="I448" t="str">
        <f>_xlfn.XLOOKUP($A448,ALGLIB_SSA_XAUUSD!$J$2:$J$1000,ALGLIB_SSA_XAUUSD!$K$2:$K$1000,"",0)</f>
        <v>XAUUSD</v>
      </c>
      <c r="J448" t="str">
        <f>_xlfn.XLOOKUP($A448,ALGLIB_SSA_XAUUSD!$J$2:$J$1000,ALGLIB_SSA_XAUUSD!$L$2:$L$1000,"",0)</f>
        <v>M5</v>
      </c>
      <c r="K448">
        <f>_xlfn.XLOOKUP($A448,ALGLIB_SSA_XAUUSD!$J$2:$J$1000,ALGLIB_SSA_XAUUSD!$M$2:$M$1000,"",0)</f>
        <v>4626.9399999999996</v>
      </c>
      <c r="L448">
        <f>_xlfn.XLOOKUP($A448,ALGLIB_SSA_XAUUSD!$J$2:$J$1000,ALGLIB_SSA_XAUUSD!$N$2:$N$1000,"",0)</f>
        <v>4626.9356100000005</v>
      </c>
      <c r="M448">
        <f>_xlfn.XLOOKUP($A448,ALGLIB_SSA_XAUUSD!$J$2:$J$1000,ALGLIB_SSA_XAUUSD!$O$2:$O$1000,"",0)</f>
        <v>4627.6290300000001</v>
      </c>
      <c r="N448">
        <f>_xlfn.XLOOKUP($A448,ALGLIB_SSA_XAUUSD!$J$2:$J$1000,ALGLIB_SSA_XAUUSD!$P$2:$P$1000,"",0)</f>
        <v>4629.6924799999997</v>
      </c>
      <c r="O448">
        <f>_xlfn.XLOOKUP($A448,ALGLIB_SSA_XAUUSD!$J$2:$J$1000,ALGLIB_SSA_XAUUSD!$Q$2:$Q$1000,"",0)</f>
        <v>4620.1099299999996</v>
      </c>
      <c r="R448">
        <f t="shared" si="66"/>
        <v>1775527800</v>
      </c>
      <c r="S448" t="str">
        <f t="shared" si="67"/>
        <v>XAUUSD</v>
      </c>
      <c r="T448" t="str">
        <f t="shared" si="68"/>
        <v>M5</v>
      </c>
      <c r="U448">
        <f t="shared" si="69"/>
        <v>4626.9399999999996</v>
      </c>
      <c r="V448">
        <v>4645.3786099999998</v>
      </c>
      <c r="W448">
        <v>4646.7554499999997</v>
      </c>
      <c r="X448">
        <v>4626.9356100000005</v>
      </c>
      <c r="Y448">
        <v>4627.6290300000001</v>
      </c>
      <c r="Z448">
        <f t="shared" si="70"/>
        <v>4655.7979983333335</v>
      </c>
      <c r="AA448">
        <f t="shared" si="71"/>
        <v>4629.6924799999997</v>
      </c>
      <c r="AB448">
        <f t="shared" si="72"/>
        <v>4631.6234733333331</v>
      </c>
      <c r="AC448">
        <f t="shared" si="73"/>
        <v>4620.1099299999996</v>
      </c>
      <c r="AF448">
        <f t="shared" si="74"/>
        <v>4626.9356100000005</v>
      </c>
      <c r="AG448">
        <f t="shared" si="75"/>
        <v>4655.7979983333335</v>
      </c>
      <c r="AH448">
        <f t="shared" si="76"/>
        <v>4631.6234733333331</v>
      </c>
    </row>
    <row r="449" spans="1:34" x14ac:dyDescent="0.55000000000000004">
      <c r="A449">
        <f>ALGLIB_SSA_XAUUSD!J449</f>
        <v>1775528100</v>
      </c>
      <c r="B449" t="str">
        <f>_xlfn.XLOOKUP($A449,ALGLIB_SSA_XAUUSD!$A$2:$A$1000,ALGLIB_SSA_XAUUSD!$B$2:$B$1000,"",0)</f>
        <v/>
      </c>
      <c r="C449" t="str">
        <f>_xlfn.XLOOKUP($A449,ALGLIB_SSA_XAUUSD!$A$2:$A$1000,ALGLIB_SSA_XAUUSD!$C$2:$C$1000,"",0)</f>
        <v/>
      </c>
      <c r="D449" s="1">
        <f>D446+(D458-D446)*3/12</f>
        <v>4650.2574999999997</v>
      </c>
      <c r="E449" s="1">
        <f>E446+(E458-E446)*3/12</f>
        <v>4645.4670900000001</v>
      </c>
      <c r="F449" s="1">
        <f>F446+(F458-F446)*3/12</f>
        <v>4646.7330875000007</v>
      </c>
      <c r="G449" s="1">
        <f>G446+(G458-G446)*3/12</f>
        <v>4655.8117674999994</v>
      </c>
      <c r="H449" s="1">
        <f>H446+(H458-H446)*3/12</f>
        <v>4631.554615</v>
      </c>
      <c r="I449" t="str">
        <f>_xlfn.XLOOKUP($A449,ALGLIB_SSA_XAUUSD!$J$2:$J$1000,ALGLIB_SSA_XAUUSD!$K$2:$K$1000,"",0)</f>
        <v>XAUUSD</v>
      </c>
      <c r="J449" t="str">
        <f>_xlfn.XLOOKUP($A449,ALGLIB_SSA_XAUUSD!$J$2:$J$1000,ALGLIB_SSA_XAUUSD!$L$2:$L$1000,"",0)</f>
        <v>M5</v>
      </c>
      <c r="K449">
        <f>_xlfn.XLOOKUP($A449,ALGLIB_SSA_XAUUSD!$J$2:$J$1000,ALGLIB_SSA_XAUUSD!$M$2:$M$1000,"",0)</f>
        <v>4631.01</v>
      </c>
      <c r="L449">
        <f>_xlfn.XLOOKUP($A449,ALGLIB_SSA_XAUUSD!$J$2:$J$1000,ALGLIB_SSA_XAUUSD!$N$2:$N$1000,"",0)</f>
        <v>4628.8801899999999</v>
      </c>
      <c r="M449">
        <f>_xlfn.XLOOKUP($A449,ALGLIB_SSA_XAUUSD!$J$2:$J$1000,ALGLIB_SSA_XAUUSD!$O$2:$O$1000,"",0)</f>
        <v>4628.25461</v>
      </c>
      <c r="N449">
        <f>_xlfn.XLOOKUP($A449,ALGLIB_SSA_XAUUSD!$J$2:$J$1000,ALGLIB_SSA_XAUUSD!$P$2:$P$1000,"",0)</f>
        <v>4630.68786</v>
      </c>
      <c r="O449">
        <f>_xlfn.XLOOKUP($A449,ALGLIB_SSA_XAUUSD!$J$2:$J$1000,ALGLIB_SSA_XAUUSD!$Q$2:$Q$1000,"",0)</f>
        <v>4622.3222699999997</v>
      </c>
      <c r="R449">
        <f t="shared" si="66"/>
        <v>1775528100</v>
      </c>
      <c r="S449" t="str">
        <f t="shared" si="67"/>
        <v>XAUUSD</v>
      </c>
      <c r="T449" t="str">
        <f t="shared" si="68"/>
        <v>M5</v>
      </c>
      <c r="U449">
        <f t="shared" si="69"/>
        <v>4631.01</v>
      </c>
      <c r="V449">
        <v>4645.4670900000001</v>
      </c>
      <c r="W449">
        <v>4646.7330899999997</v>
      </c>
      <c r="X449">
        <v>4628.8801899999999</v>
      </c>
      <c r="Y449">
        <v>4628.25461</v>
      </c>
      <c r="Z449">
        <f t="shared" si="70"/>
        <v>4655.8117674999994</v>
      </c>
      <c r="AA449">
        <f t="shared" si="71"/>
        <v>4630.68786</v>
      </c>
      <c r="AB449">
        <f t="shared" si="72"/>
        <v>4631.554615</v>
      </c>
      <c r="AC449">
        <f t="shared" si="73"/>
        <v>4622.3222699999997</v>
      </c>
      <c r="AF449">
        <f t="shared" si="74"/>
        <v>4628.8801899999999</v>
      </c>
      <c r="AG449">
        <f t="shared" si="75"/>
        <v>4655.8117674999994</v>
      </c>
      <c r="AH449">
        <f t="shared" si="76"/>
        <v>4631.554615</v>
      </c>
    </row>
    <row r="450" spans="1:34" x14ac:dyDescent="0.55000000000000004">
      <c r="A450">
        <f>ALGLIB_SSA_XAUUSD!J450</f>
        <v>1775528400</v>
      </c>
      <c r="B450" t="str">
        <f>_xlfn.XLOOKUP($A450,ALGLIB_SSA_XAUUSD!$A$2:$A$1000,ALGLIB_SSA_XAUUSD!$B$2:$B$1000,"",0)</f>
        <v/>
      </c>
      <c r="C450" t="str">
        <f>_xlfn.XLOOKUP($A450,ALGLIB_SSA_XAUUSD!$A$2:$A$1000,ALGLIB_SSA_XAUUSD!$C$2:$C$1000,"",0)</f>
        <v/>
      </c>
      <c r="D450" s="1">
        <f>D446+(D458-D446)*4/12</f>
        <v>4650.1666666666661</v>
      </c>
      <c r="E450" s="1">
        <f>E446+(E458-E446)*4/12</f>
        <v>4645.5555733333331</v>
      </c>
      <c r="F450" s="1">
        <f>F446+(F458-F446)*4/12</f>
        <v>4646.7107233333336</v>
      </c>
      <c r="G450" s="1">
        <f>G446+(G458-G446)*4/12</f>
        <v>4655.8255366666663</v>
      </c>
      <c r="H450" s="1">
        <f>H446+(H458-H446)*4/12</f>
        <v>4631.4857566666669</v>
      </c>
      <c r="I450" t="str">
        <f>_xlfn.XLOOKUP($A450,ALGLIB_SSA_XAUUSD!$J$2:$J$1000,ALGLIB_SSA_XAUUSD!$K$2:$K$1000,"",0)</f>
        <v>XAUUSD</v>
      </c>
      <c r="J450" t="str">
        <f>_xlfn.XLOOKUP($A450,ALGLIB_SSA_XAUUSD!$J$2:$J$1000,ALGLIB_SSA_XAUUSD!$L$2:$L$1000,"",0)</f>
        <v>M5</v>
      </c>
      <c r="K450">
        <f>_xlfn.XLOOKUP($A450,ALGLIB_SSA_XAUUSD!$J$2:$J$1000,ALGLIB_SSA_XAUUSD!$M$2:$M$1000,"",0)</f>
        <v>4630.3900000000003</v>
      </c>
      <c r="L450">
        <f>_xlfn.XLOOKUP($A450,ALGLIB_SSA_XAUUSD!$J$2:$J$1000,ALGLIB_SSA_XAUUSD!$N$2:$N$1000,"",0)</f>
        <v>4631.9551099999999</v>
      </c>
      <c r="M450">
        <f>_xlfn.XLOOKUP($A450,ALGLIB_SSA_XAUUSD!$J$2:$J$1000,ALGLIB_SSA_XAUUSD!$O$2:$O$1000,"",0)</f>
        <v>4630.1048600000004</v>
      </c>
      <c r="N450">
        <f>_xlfn.XLOOKUP($A450,ALGLIB_SSA_XAUUSD!$J$2:$J$1000,ALGLIB_SSA_XAUUSD!$P$2:$P$1000,"",0)</f>
        <v>4633.1532500000003</v>
      </c>
      <c r="O450">
        <f>_xlfn.XLOOKUP($A450,ALGLIB_SSA_XAUUSD!$J$2:$J$1000,ALGLIB_SSA_XAUUSD!$Q$2:$Q$1000,"",0)</f>
        <v>4625.8137299999999</v>
      </c>
      <c r="R450">
        <f t="shared" si="66"/>
        <v>1775528400</v>
      </c>
      <c r="S450" t="str">
        <f t="shared" si="67"/>
        <v>XAUUSD</v>
      </c>
      <c r="T450" t="str">
        <f t="shared" si="68"/>
        <v>M5</v>
      </c>
      <c r="U450">
        <f t="shared" si="69"/>
        <v>4630.3900000000003</v>
      </c>
      <c r="V450">
        <v>4645.5555700000004</v>
      </c>
      <c r="W450">
        <v>4646.71072</v>
      </c>
      <c r="X450">
        <v>4631.9551099999999</v>
      </c>
      <c r="Y450">
        <v>4630.1048600000004</v>
      </c>
      <c r="Z450">
        <f t="shared" si="70"/>
        <v>4655.8255366666663</v>
      </c>
      <c r="AA450">
        <f t="shared" si="71"/>
        <v>4633.1532500000003</v>
      </c>
      <c r="AB450">
        <f t="shared" si="72"/>
        <v>4631.4857566666669</v>
      </c>
      <c r="AC450">
        <f t="shared" si="73"/>
        <v>4625.8137299999999</v>
      </c>
      <c r="AF450">
        <f t="shared" si="74"/>
        <v>4631.9551099999999</v>
      </c>
      <c r="AG450">
        <f t="shared" si="75"/>
        <v>4655.8255366666663</v>
      </c>
      <c r="AH450">
        <f t="shared" si="76"/>
        <v>4631.4857566666669</v>
      </c>
    </row>
    <row r="451" spans="1:34" x14ac:dyDescent="0.55000000000000004">
      <c r="A451">
        <f>ALGLIB_SSA_XAUUSD!J451</f>
        <v>1775528700</v>
      </c>
      <c r="B451" t="str">
        <f>_xlfn.XLOOKUP($A451,ALGLIB_SSA_XAUUSD!$A$2:$A$1000,ALGLIB_SSA_XAUUSD!$B$2:$B$1000,"",0)</f>
        <v/>
      </c>
      <c r="C451" t="str">
        <f>_xlfn.XLOOKUP($A451,ALGLIB_SSA_XAUUSD!$A$2:$A$1000,ALGLIB_SSA_XAUUSD!$C$2:$C$1000,"",0)</f>
        <v/>
      </c>
      <c r="D451" s="1">
        <f>D446+(D458-D446)*5/12</f>
        <v>4650.0758333333333</v>
      </c>
      <c r="E451" s="1">
        <f>E446+(E458-E446)*5/12</f>
        <v>4645.644056666667</v>
      </c>
      <c r="F451" s="1">
        <f>F446+(F458-F446)*5/12</f>
        <v>4646.6883591666665</v>
      </c>
      <c r="G451" s="1">
        <f>G446+(G458-G446)*5/12</f>
        <v>4655.8393058333331</v>
      </c>
      <c r="H451" s="1">
        <f>H446+(H458-H446)*5/12</f>
        <v>4631.4168983333338</v>
      </c>
      <c r="I451" t="str">
        <f>_xlfn.XLOOKUP($A451,ALGLIB_SSA_XAUUSD!$J$2:$J$1000,ALGLIB_SSA_XAUUSD!$K$2:$K$1000,"",0)</f>
        <v>XAUUSD</v>
      </c>
      <c r="J451" t="str">
        <f>_xlfn.XLOOKUP($A451,ALGLIB_SSA_XAUUSD!$J$2:$J$1000,ALGLIB_SSA_XAUUSD!$L$2:$L$1000,"",0)</f>
        <v>M5</v>
      </c>
      <c r="K451">
        <f>_xlfn.XLOOKUP($A451,ALGLIB_SSA_XAUUSD!$J$2:$J$1000,ALGLIB_SSA_XAUUSD!$M$2:$M$1000,"",0)</f>
        <v>4634.87</v>
      </c>
      <c r="L451">
        <f>_xlfn.XLOOKUP($A451,ALGLIB_SSA_XAUUSD!$J$2:$J$1000,ALGLIB_SSA_XAUUSD!$N$2:$N$1000,"",0)</f>
        <v>4635.81639</v>
      </c>
      <c r="M451">
        <f>_xlfn.XLOOKUP($A451,ALGLIB_SSA_XAUUSD!$J$2:$J$1000,ALGLIB_SSA_XAUUSD!$O$2:$O$1000,"",0)</f>
        <v>4632.9606299999996</v>
      </c>
      <c r="N451">
        <f>_xlfn.XLOOKUP($A451,ALGLIB_SSA_XAUUSD!$J$2:$J$1000,ALGLIB_SSA_XAUUSD!$P$2:$P$1000,"",0)</f>
        <v>4636.7464600000003</v>
      </c>
      <c r="O451">
        <f>_xlfn.XLOOKUP($A451,ALGLIB_SSA_XAUUSD!$J$2:$J$1000,ALGLIB_SSA_XAUUSD!$Q$2:$Q$1000,"",0)</f>
        <v>4630.0922099999998</v>
      </c>
      <c r="R451">
        <f t="shared" ref="R451:R514" si="77">A451</f>
        <v>1775528700</v>
      </c>
      <c r="S451" t="str">
        <f t="shared" ref="S451:S514" si="78">I451</f>
        <v>XAUUSD</v>
      </c>
      <c r="T451" t="str">
        <f t="shared" ref="T451:T514" si="79">J451</f>
        <v>M5</v>
      </c>
      <c r="U451">
        <f t="shared" ref="U451:U514" si="80">K451</f>
        <v>4634.87</v>
      </c>
      <c r="V451">
        <v>4645.6440599999996</v>
      </c>
      <c r="W451">
        <v>4646.6883600000001</v>
      </c>
      <c r="X451">
        <v>4635.81639</v>
      </c>
      <c r="Y451">
        <v>4632.9606299999996</v>
      </c>
      <c r="Z451">
        <f t="shared" ref="Z451:Z514" si="81">G451</f>
        <v>4655.8393058333331</v>
      </c>
      <c r="AA451">
        <f t="shared" ref="AA451:AA514" si="82">N451</f>
        <v>4636.7464600000003</v>
      </c>
      <c r="AB451">
        <f t="shared" ref="AB451:AB514" si="83">H451</f>
        <v>4631.4168983333338</v>
      </c>
      <c r="AC451">
        <f t="shared" ref="AC451:AC514" si="84">O451</f>
        <v>4630.0922099999998</v>
      </c>
      <c r="AF451">
        <f t="shared" ref="AF451:AF514" si="85">X451</f>
        <v>4635.81639</v>
      </c>
      <c r="AG451">
        <f t="shared" ref="AG451:AG514" si="86">Z451</f>
        <v>4655.8393058333331</v>
      </c>
      <c r="AH451">
        <f t="shared" ref="AH451:AH514" si="87">AB451</f>
        <v>4631.4168983333338</v>
      </c>
    </row>
    <row r="452" spans="1:34" x14ac:dyDescent="0.55000000000000004">
      <c r="A452">
        <f>ALGLIB_SSA_XAUUSD!J452</f>
        <v>1775529000</v>
      </c>
      <c r="B452" t="str">
        <f>_xlfn.XLOOKUP($A452,ALGLIB_SSA_XAUUSD!$A$2:$A$1000,ALGLIB_SSA_XAUUSD!$B$2:$B$1000,"",0)</f>
        <v/>
      </c>
      <c r="C452" t="str">
        <f>_xlfn.XLOOKUP($A452,ALGLIB_SSA_XAUUSD!$A$2:$A$1000,ALGLIB_SSA_XAUUSD!$C$2:$C$1000,"",0)</f>
        <v/>
      </c>
      <c r="D452" s="1">
        <f>D446+(D458-D446)*6/12</f>
        <v>4649.9849999999997</v>
      </c>
      <c r="E452" s="1">
        <f>E446+(E458-E446)*6/12</f>
        <v>4645.73254</v>
      </c>
      <c r="F452" s="1">
        <f>F446+(F458-F446)*6/12</f>
        <v>4646.6659950000003</v>
      </c>
      <c r="G452" s="1">
        <f>G446+(G458-G446)*6/12</f>
        <v>4655.853075</v>
      </c>
      <c r="H452" s="1">
        <f>H446+(H458-H446)*6/12</f>
        <v>4631.3480400000008</v>
      </c>
      <c r="I452" t="str">
        <f>_xlfn.XLOOKUP($A452,ALGLIB_SSA_XAUUSD!$J$2:$J$1000,ALGLIB_SSA_XAUUSD!$K$2:$K$1000,"",0)</f>
        <v>XAUUSD</v>
      </c>
      <c r="J452" t="str">
        <f>_xlfn.XLOOKUP($A452,ALGLIB_SSA_XAUUSD!$J$2:$J$1000,ALGLIB_SSA_XAUUSD!$L$2:$L$1000,"",0)</f>
        <v>M5</v>
      </c>
      <c r="K452">
        <f>_xlfn.XLOOKUP($A452,ALGLIB_SSA_XAUUSD!$J$2:$J$1000,ALGLIB_SSA_XAUUSD!$M$2:$M$1000,"",0)</f>
        <v>4638.1000000000004</v>
      </c>
      <c r="L452">
        <f>_xlfn.XLOOKUP($A452,ALGLIB_SSA_XAUUSD!$J$2:$J$1000,ALGLIB_SSA_XAUUSD!$N$2:$N$1000,"",0)</f>
        <v>4639.9252399999996</v>
      </c>
      <c r="M452">
        <f>_xlfn.XLOOKUP($A452,ALGLIB_SSA_XAUUSD!$J$2:$J$1000,ALGLIB_SSA_XAUUSD!$O$2:$O$1000,"",0)</f>
        <v>4636.4429300000002</v>
      </c>
      <c r="N452">
        <f>_xlfn.XLOOKUP($A452,ALGLIB_SSA_XAUUSD!$J$2:$J$1000,ALGLIB_SSA_XAUUSD!$P$2:$P$1000,"",0)</f>
        <v>4640.9250099999999</v>
      </c>
      <c r="O452">
        <f>_xlfn.XLOOKUP($A452,ALGLIB_SSA_XAUUSD!$J$2:$J$1000,ALGLIB_SSA_XAUUSD!$Q$2:$Q$1000,"",0)</f>
        <v>4634.64167</v>
      </c>
      <c r="R452">
        <f t="shared" si="77"/>
        <v>1775529000</v>
      </c>
      <c r="S452" t="str">
        <f t="shared" si="78"/>
        <v>XAUUSD</v>
      </c>
      <c r="T452" t="str">
        <f t="shared" si="79"/>
        <v>M5</v>
      </c>
      <c r="U452">
        <f t="shared" si="80"/>
        <v>4638.1000000000004</v>
      </c>
      <c r="V452">
        <v>4645.73254</v>
      </c>
      <c r="W452">
        <v>4646.6660000000002</v>
      </c>
      <c r="X452">
        <v>4639.9252399999996</v>
      </c>
      <c r="Y452">
        <v>4636.4429300000002</v>
      </c>
      <c r="Z452">
        <f t="shared" si="81"/>
        <v>4655.853075</v>
      </c>
      <c r="AA452">
        <f t="shared" si="82"/>
        <v>4640.9250099999999</v>
      </c>
      <c r="AB452">
        <f t="shared" si="83"/>
        <v>4631.3480400000008</v>
      </c>
      <c r="AC452">
        <f t="shared" si="84"/>
        <v>4634.64167</v>
      </c>
      <c r="AF452">
        <f t="shared" si="85"/>
        <v>4639.9252399999996</v>
      </c>
      <c r="AG452">
        <f t="shared" si="86"/>
        <v>4655.853075</v>
      </c>
      <c r="AH452">
        <f t="shared" si="87"/>
        <v>4631.3480400000008</v>
      </c>
    </row>
    <row r="453" spans="1:34" x14ac:dyDescent="0.55000000000000004">
      <c r="A453">
        <f>ALGLIB_SSA_XAUUSD!J453</f>
        <v>1775529300</v>
      </c>
      <c r="B453" t="str">
        <f>_xlfn.XLOOKUP($A453,ALGLIB_SSA_XAUUSD!$A$2:$A$1000,ALGLIB_SSA_XAUUSD!$B$2:$B$1000,"",0)</f>
        <v/>
      </c>
      <c r="C453" t="str">
        <f>_xlfn.XLOOKUP($A453,ALGLIB_SSA_XAUUSD!$A$2:$A$1000,ALGLIB_SSA_XAUUSD!$C$2:$C$1000,"",0)</f>
        <v/>
      </c>
      <c r="D453" s="1">
        <f>D446+(D458-D446)*7/12</f>
        <v>4649.894166666666</v>
      </c>
      <c r="E453" s="1">
        <f>E446+(E458-E446)*7/12</f>
        <v>4645.821023333333</v>
      </c>
      <c r="F453" s="1">
        <f>F446+(F458-F446)*7/12</f>
        <v>4646.6436308333341</v>
      </c>
      <c r="G453" s="1">
        <f>G446+(G458-G446)*7/12</f>
        <v>4655.8668441666669</v>
      </c>
      <c r="H453" s="1">
        <f>H446+(H458-H446)*7/12</f>
        <v>4631.2791816666668</v>
      </c>
      <c r="I453" t="str">
        <f>_xlfn.XLOOKUP($A453,ALGLIB_SSA_XAUUSD!$J$2:$J$1000,ALGLIB_SSA_XAUUSD!$K$2:$K$1000,"",0)</f>
        <v>XAUUSD</v>
      </c>
      <c r="J453" t="str">
        <f>_xlfn.XLOOKUP($A453,ALGLIB_SSA_XAUUSD!$J$2:$J$1000,ALGLIB_SSA_XAUUSD!$L$2:$L$1000,"",0)</f>
        <v>M5</v>
      </c>
      <c r="K453">
        <f>_xlfn.XLOOKUP($A453,ALGLIB_SSA_XAUUSD!$J$2:$J$1000,ALGLIB_SSA_XAUUSD!$M$2:$M$1000,"",0)</f>
        <v>4642.49</v>
      </c>
      <c r="L453">
        <f>_xlfn.XLOOKUP($A453,ALGLIB_SSA_XAUUSD!$J$2:$J$1000,ALGLIB_SSA_XAUUSD!$N$2:$N$1000,"",0)</f>
        <v>4643.7705100000003</v>
      </c>
      <c r="M453">
        <f>_xlfn.XLOOKUP($A453,ALGLIB_SSA_XAUUSD!$J$2:$J$1000,ALGLIB_SSA_XAUUSD!$O$2:$O$1000,"",0)</f>
        <v>4640.1067199999998</v>
      </c>
      <c r="N453">
        <f>_xlfn.XLOOKUP($A453,ALGLIB_SSA_XAUUSD!$J$2:$J$1000,ALGLIB_SSA_XAUUSD!$P$2:$P$1000,"",0)</f>
        <v>4645.0485600000002</v>
      </c>
      <c r="O453">
        <f>_xlfn.XLOOKUP($A453,ALGLIB_SSA_XAUUSD!$J$2:$J$1000,ALGLIB_SSA_XAUUSD!$Q$2:$Q$1000,"",0)</f>
        <v>4638.9175800000003</v>
      </c>
      <c r="R453">
        <f t="shared" si="77"/>
        <v>1775529300</v>
      </c>
      <c r="S453" t="str">
        <f t="shared" si="78"/>
        <v>XAUUSD</v>
      </c>
      <c r="T453" t="str">
        <f t="shared" si="79"/>
        <v>M5</v>
      </c>
      <c r="U453">
        <f t="shared" si="80"/>
        <v>4642.49</v>
      </c>
      <c r="V453">
        <v>4645.8210200000003</v>
      </c>
      <c r="W453">
        <v>4646.6436299999996</v>
      </c>
      <c r="X453">
        <v>4643.7705100000003</v>
      </c>
      <c r="Y453">
        <v>4640.1067199999998</v>
      </c>
      <c r="Z453">
        <f t="shared" si="81"/>
        <v>4655.8668441666669</v>
      </c>
      <c r="AA453">
        <f t="shared" si="82"/>
        <v>4645.0485600000002</v>
      </c>
      <c r="AB453">
        <f t="shared" si="83"/>
        <v>4631.2791816666668</v>
      </c>
      <c r="AC453">
        <f t="shared" si="84"/>
        <v>4638.9175800000003</v>
      </c>
      <c r="AF453">
        <f t="shared" si="85"/>
        <v>4643.7705100000003</v>
      </c>
      <c r="AG453">
        <f t="shared" si="86"/>
        <v>4655.8668441666669</v>
      </c>
      <c r="AH453">
        <f t="shared" si="87"/>
        <v>4631.2791816666668</v>
      </c>
    </row>
    <row r="454" spans="1:34" x14ac:dyDescent="0.55000000000000004">
      <c r="A454">
        <f>ALGLIB_SSA_XAUUSD!J454</f>
        <v>1775529600</v>
      </c>
      <c r="B454" t="str">
        <f>_xlfn.XLOOKUP($A454,ALGLIB_SSA_XAUUSD!$A$2:$A$1000,ALGLIB_SSA_XAUUSD!$B$2:$B$1000,"",0)</f>
        <v/>
      </c>
      <c r="C454" t="str">
        <f>_xlfn.XLOOKUP($A454,ALGLIB_SSA_XAUUSD!$A$2:$A$1000,ALGLIB_SSA_XAUUSD!$C$2:$C$1000,"",0)</f>
        <v/>
      </c>
      <c r="D454" s="1">
        <f>D446+(D458-D446)*8/12</f>
        <v>4649.8033333333333</v>
      </c>
      <c r="E454" s="1">
        <f>E446+(E458-E446)*8/12</f>
        <v>4645.9095066666669</v>
      </c>
      <c r="F454" s="1">
        <f>F446+(F458-F446)*8/12</f>
        <v>4646.621266666667</v>
      </c>
      <c r="G454" s="1">
        <f>G446+(G458-G446)*8/12</f>
        <v>4655.8806133333337</v>
      </c>
      <c r="H454" s="1">
        <f>H446+(H458-H446)*8/12</f>
        <v>4631.2103233333337</v>
      </c>
      <c r="I454" t="str">
        <f>_xlfn.XLOOKUP($A454,ALGLIB_SSA_XAUUSD!$J$2:$J$1000,ALGLIB_SSA_XAUUSD!$K$2:$K$1000,"",0)</f>
        <v>XAUUSD</v>
      </c>
      <c r="J454" t="str">
        <f>_xlfn.XLOOKUP($A454,ALGLIB_SSA_XAUUSD!$J$2:$J$1000,ALGLIB_SSA_XAUUSD!$L$2:$L$1000,"",0)</f>
        <v>M5</v>
      </c>
      <c r="K454">
        <f>_xlfn.XLOOKUP($A454,ALGLIB_SSA_XAUUSD!$J$2:$J$1000,ALGLIB_SSA_XAUUSD!$M$2:$M$1000,"",0)</f>
        <v>4646.32</v>
      </c>
      <c r="L454">
        <f>_xlfn.XLOOKUP($A454,ALGLIB_SSA_XAUUSD!$J$2:$J$1000,ALGLIB_SSA_XAUUSD!$N$2:$N$1000,"",0)</f>
        <v>4646.8734299999996</v>
      </c>
      <c r="M454">
        <f>_xlfn.XLOOKUP($A454,ALGLIB_SSA_XAUUSD!$J$2:$J$1000,ALGLIB_SSA_XAUUSD!$O$2:$O$1000,"",0)</f>
        <v>4643.4900799999996</v>
      </c>
      <c r="N454">
        <f>_xlfn.XLOOKUP($A454,ALGLIB_SSA_XAUUSD!$J$2:$J$1000,ALGLIB_SSA_XAUUSD!$P$2:$P$1000,"",0)</f>
        <v>4648.5947699999997</v>
      </c>
      <c r="O454">
        <f>_xlfn.XLOOKUP($A454,ALGLIB_SSA_XAUUSD!$J$2:$J$1000,ALGLIB_SSA_XAUUSD!$Q$2:$Q$1000,"",0)</f>
        <v>4642.5212199999996</v>
      </c>
      <c r="R454">
        <f t="shared" si="77"/>
        <v>1775529600</v>
      </c>
      <c r="S454" t="str">
        <f t="shared" si="78"/>
        <v>XAUUSD</v>
      </c>
      <c r="T454" t="str">
        <f t="shared" si="79"/>
        <v>M5</v>
      </c>
      <c r="U454">
        <f t="shared" si="80"/>
        <v>4646.32</v>
      </c>
      <c r="V454">
        <v>4645.9095100000004</v>
      </c>
      <c r="W454">
        <v>4646.6212699999996</v>
      </c>
      <c r="X454">
        <v>4646.8734299999996</v>
      </c>
      <c r="Y454">
        <v>4643.4900799999996</v>
      </c>
      <c r="Z454">
        <f t="shared" si="81"/>
        <v>4655.8806133333337</v>
      </c>
      <c r="AA454">
        <f t="shared" si="82"/>
        <v>4648.5947699999997</v>
      </c>
      <c r="AB454">
        <f t="shared" si="83"/>
        <v>4631.2103233333337</v>
      </c>
      <c r="AC454">
        <f t="shared" si="84"/>
        <v>4642.5212199999996</v>
      </c>
      <c r="AF454">
        <f t="shared" si="85"/>
        <v>4646.8734299999996</v>
      </c>
      <c r="AG454">
        <f t="shared" si="86"/>
        <v>4655.8806133333337</v>
      </c>
      <c r="AH454">
        <f t="shared" si="87"/>
        <v>4631.2103233333337</v>
      </c>
    </row>
    <row r="455" spans="1:34" x14ac:dyDescent="0.55000000000000004">
      <c r="A455">
        <f>ALGLIB_SSA_XAUUSD!J455</f>
        <v>1775529900</v>
      </c>
      <c r="B455" t="str">
        <f>_xlfn.XLOOKUP($A455,ALGLIB_SSA_XAUUSD!$A$2:$A$1000,ALGLIB_SSA_XAUUSD!$B$2:$B$1000,"",0)</f>
        <v/>
      </c>
      <c r="C455" t="str">
        <f>_xlfn.XLOOKUP($A455,ALGLIB_SSA_XAUUSD!$A$2:$A$1000,ALGLIB_SSA_XAUUSD!$C$2:$C$1000,"",0)</f>
        <v/>
      </c>
      <c r="D455" s="1">
        <f>D446+(D458-D446)*9/12</f>
        <v>4649.7124999999996</v>
      </c>
      <c r="E455" s="1">
        <f>E446+(E458-E446)*9/12</f>
        <v>4645.9979899999998</v>
      </c>
      <c r="F455" s="1">
        <f>F446+(F458-F446)*9/12</f>
        <v>4646.5989024999999</v>
      </c>
      <c r="G455" s="1">
        <f>G446+(G458-G446)*9/12</f>
        <v>4655.8943825000006</v>
      </c>
      <c r="H455" s="1">
        <f>H446+(H458-H446)*9/12</f>
        <v>4631.1414650000006</v>
      </c>
      <c r="I455" t="str">
        <f>_xlfn.XLOOKUP($A455,ALGLIB_SSA_XAUUSD!$J$2:$J$1000,ALGLIB_SSA_XAUUSD!$K$2:$K$1000,"",0)</f>
        <v>XAUUSD</v>
      </c>
      <c r="J455" t="str">
        <f>_xlfn.XLOOKUP($A455,ALGLIB_SSA_XAUUSD!$J$2:$J$1000,ALGLIB_SSA_XAUUSD!$L$2:$L$1000,"",0)</f>
        <v>M5</v>
      </c>
      <c r="K455">
        <f>_xlfn.XLOOKUP($A455,ALGLIB_SSA_XAUUSD!$J$2:$J$1000,ALGLIB_SSA_XAUUSD!$M$2:$M$1000,"",0)</f>
        <v>4651.12</v>
      </c>
      <c r="L455">
        <f>_xlfn.XLOOKUP($A455,ALGLIB_SSA_XAUUSD!$J$2:$J$1000,ALGLIB_SSA_XAUUSD!$N$2:$N$1000,"",0)</f>
        <v>4648.8921899999996</v>
      </c>
      <c r="M455">
        <f>_xlfn.XLOOKUP($A455,ALGLIB_SSA_XAUUSD!$J$2:$J$1000,ALGLIB_SSA_XAUUSD!$O$2:$O$1000,"",0)</f>
        <v>4646.1911300000002</v>
      </c>
      <c r="N455">
        <f>_xlfn.XLOOKUP($A455,ALGLIB_SSA_XAUUSD!$J$2:$J$1000,ALGLIB_SSA_XAUUSD!$P$2:$P$1000,"",0)</f>
        <v>4651.1296499999999</v>
      </c>
      <c r="O455">
        <f>_xlfn.XLOOKUP($A455,ALGLIB_SSA_XAUUSD!$J$2:$J$1000,ALGLIB_SSA_XAUUSD!$Q$2:$Q$1000,"",0)</f>
        <v>4645.0746799999997</v>
      </c>
      <c r="R455">
        <f t="shared" si="77"/>
        <v>1775529900</v>
      </c>
      <c r="S455" t="str">
        <f t="shared" si="78"/>
        <v>XAUUSD</v>
      </c>
      <c r="T455" t="str">
        <f t="shared" si="79"/>
        <v>M5</v>
      </c>
      <c r="U455">
        <f t="shared" si="80"/>
        <v>4651.12</v>
      </c>
      <c r="V455">
        <v>4645.9979899999998</v>
      </c>
      <c r="W455">
        <v>4646.5989</v>
      </c>
      <c r="X455">
        <v>4648.8921899999996</v>
      </c>
      <c r="Y455">
        <v>4646.1911300000002</v>
      </c>
      <c r="Z455">
        <f t="shared" si="81"/>
        <v>4655.8943825000006</v>
      </c>
      <c r="AA455">
        <f t="shared" si="82"/>
        <v>4651.1296499999999</v>
      </c>
      <c r="AB455">
        <f t="shared" si="83"/>
        <v>4631.1414650000006</v>
      </c>
      <c r="AC455">
        <f t="shared" si="84"/>
        <v>4645.0746799999997</v>
      </c>
      <c r="AF455">
        <f t="shared" si="85"/>
        <v>4648.8921899999996</v>
      </c>
      <c r="AG455">
        <f t="shared" si="86"/>
        <v>4655.8943825000006</v>
      </c>
      <c r="AH455">
        <f t="shared" si="87"/>
        <v>4631.1414650000006</v>
      </c>
    </row>
    <row r="456" spans="1:34" x14ac:dyDescent="0.55000000000000004">
      <c r="A456">
        <f>ALGLIB_SSA_XAUUSD!J456</f>
        <v>1775530200</v>
      </c>
      <c r="B456" t="str">
        <f>_xlfn.XLOOKUP($A456,ALGLIB_SSA_XAUUSD!$A$2:$A$1000,ALGLIB_SSA_XAUUSD!$B$2:$B$1000,"",0)</f>
        <v/>
      </c>
      <c r="C456" t="str">
        <f>_xlfn.XLOOKUP($A456,ALGLIB_SSA_XAUUSD!$A$2:$A$1000,ALGLIB_SSA_XAUUSD!$C$2:$C$1000,"",0)</f>
        <v/>
      </c>
      <c r="D456" s="1">
        <f>D446+(D458-D446)*10/12</f>
        <v>4649.621666666666</v>
      </c>
      <c r="E456" s="1">
        <f>E446+(E458-E446)*10/12</f>
        <v>4646.0864733333328</v>
      </c>
      <c r="F456" s="1">
        <f>F446+(F458-F446)*10/12</f>
        <v>4646.5765383333337</v>
      </c>
      <c r="G456" s="1">
        <f>G446+(G458-G446)*10/12</f>
        <v>4655.9081516666665</v>
      </c>
      <c r="H456" s="1">
        <f>H446+(H458-H446)*10/12</f>
        <v>4631.0726066666666</v>
      </c>
      <c r="I456" t="str">
        <f>_xlfn.XLOOKUP($A456,ALGLIB_SSA_XAUUSD!$J$2:$J$1000,ALGLIB_SSA_XAUUSD!$K$2:$K$1000,"",0)</f>
        <v>XAUUSD</v>
      </c>
      <c r="J456" t="str">
        <f>_xlfn.XLOOKUP($A456,ALGLIB_SSA_XAUUSD!$J$2:$J$1000,ALGLIB_SSA_XAUUSD!$L$2:$L$1000,"",0)</f>
        <v>M5</v>
      </c>
      <c r="K456">
        <f>_xlfn.XLOOKUP($A456,ALGLIB_SSA_XAUUSD!$J$2:$J$1000,ALGLIB_SSA_XAUUSD!$M$2:$M$1000,"",0)</f>
        <v>4650.62</v>
      </c>
      <c r="L456">
        <f>_xlfn.XLOOKUP($A456,ALGLIB_SSA_XAUUSD!$J$2:$J$1000,ALGLIB_SSA_XAUUSD!$N$2:$N$1000,"",0)</f>
        <v>4649.6400899999999</v>
      </c>
      <c r="M456">
        <f>_xlfn.XLOOKUP($A456,ALGLIB_SSA_XAUUSD!$J$2:$J$1000,ALGLIB_SSA_XAUUSD!$O$2:$O$1000,"",0)</f>
        <v>4647.91561</v>
      </c>
      <c r="N456">
        <f>_xlfn.XLOOKUP($A456,ALGLIB_SSA_XAUUSD!$J$2:$J$1000,ALGLIB_SSA_XAUUSD!$P$2:$P$1000,"",0)</f>
        <v>4652.3278099999998</v>
      </c>
      <c r="O456">
        <f>_xlfn.XLOOKUP($A456,ALGLIB_SSA_XAUUSD!$J$2:$J$1000,ALGLIB_SSA_XAUUSD!$Q$2:$Q$1000,"",0)</f>
        <v>4646.3930099999998</v>
      </c>
      <c r="R456">
        <f t="shared" si="77"/>
        <v>1775530200</v>
      </c>
      <c r="S456" t="str">
        <f t="shared" si="78"/>
        <v>XAUUSD</v>
      </c>
      <c r="T456" t="str">
        <f t="shared" si="79"/>
        <v>M5</v>
      </c>
      <c r="U456">
        <f t="shared" si="80"/>
        <v>4650.62</v>
      </c>
      <c r="V456">
        <v>4646.0864700000002</v>
      </c>
      <c r="W456">
        <v>4646.57654</v>
      </c>
      <c r="X456">
        <v>4649.6400899999999</v>
      </c>
      <c r="Y456">
        <v>4647.91561</v>
      </c>
      <c r="Z456">
        <f t="shared" si="81"/>
        <v>4655.9081516666665</v>
      </c>
      <c r="AA456">
        <f t="shared" si="82"/>
        <v>4652.3278099999998</v>
      </c>
      <c r="AB456">
        <f t="shared" si="83"/>
        <v>4631.0726066666666</v>
      </c>
      <c r="AC456">
        <f t="shared" si="84"/>
        <v>4646.3930099999998</v>
      </c>
      <c r="AF456">
        <f t="shared" si="85"/>
        <v>4649.6400899999999</v>
      </c>
      <c r="AG456">
        <f t="shared" si="86"/>
        <v>4655.9081516666665</v>
      </c>
      <c r="AH456">
        <f t="shared" si="87"/>
        <v>4631.0726066666666</v>
      </c>
    </row>
    <row r="457" spans="1:34" x14ac:dyDescent="0.55000000000000004">
      <c r="A457">
        <f>ALGLIB_SSA_XAUUSD!J457</f>
        <v>1775530500</v>
      </c>
      <c r="B457" t="str">
        <f>_xlfn.XLOOKUP($A457,ALGLIB_SSA_XAUUSD!$A$2:$A$1000,ALGLIB_SSA_XAUUSD!$B$2:$B$1000,"",0)</f>
        <v/>
      </c>
      <c r="C457" t="str">
        <f>_xlfn.XLOOKUP($A457,ALGLIB_SSA_XAUUSD!$A$2:$A$1000,ALGLIB_SSA_XAUUSD!$C$2:$C$1000,"",0)</f>
        <v/>
      </c>
      <c r="D457" s="1">
        <f>D446+(D458-D446)*11/12</f>
        <v>4649.5308333333332</v>
      </c>
      <c r="E457" s="1">
        <f>E446+(E458-E446)*11/12</f>
        <v>4646.1749566666667</v>
      </c>
      <c r="F457" s="1">
        <f>F446+(F458-F446)*11/12</f>
        <v>4646.5541741666675</v>
      </c>
      <c r="G457" s="1">
        <f>G446+(G458-G446)*11/12</f>
        <v>4655.9219208333334</v>
      </c>
      <c r="H457" s="1">
        <f>H446+(H458-H446)*11/12</f>
        <v>4631.0037483333335</v>
      </c>
      <c r="I457" t="str">
        <f>_xlfn.XLOOKUP($A457,ALGLIB_SSA_XAUUSD!$J$2:$J$1000,ALGLIB_SSA_XAUUSD!$K$2:$K$1000,"",0)</f>
        <v>XAUUSD</v>
      </c>
      <c r="J457" t="str">
        <f>_xlfn.XLOOKUP($A457,ALGLIB_SSA_XAUUSD!$J$2:$J$1000,ALGLIB_SSA_XAUUSD!$L$2:$L$1000,"",0)</f>
        <v>M5</v>
      </c>
      <c r="K457">
        <f>_xlfn.XLOOKUP($A457,ALGLIB_SSA_XAUUSD!$J$2:$J$1000,ALGLIB_SSA_XAUUSD!$M$2:$M$1000,"",0)</f>
        <v>4650.53</v>
      </c>
      <c r="L457">
        <f>_xlfn.XLOOKUP($A457,ALGLIB_SSA_XAUUSD!$J$2:$J$1000,ALGLIB_SSA_XAUUSD!$N$2:$N$1000,"",0)</f>
        <v>4649.2686400000002</v>
      </c>
      <c r="M457">
        <f>_xlfn.XLOOKUP($A457,ALGLIB_SSA_XAUUSD!$J$2:$J$1000,ALGLIB_SSA_XAUUSD!$O$2:$O$1000,"",0)</f>
        <v>4648.59213</v>
      </c>
      <c r="N457">
        <f>_xlfn.XLOOKUP($A457,ALGLIB_SSA_XAUUSD!$J$2:$J$1000,ALGLIB_SSA_XAUUSD!$P$2:$P$1000,"",0)</f>
        <v>4652.2803599999997</v>
      </c>
      <c r="O457">
        <f>_xlfn.XLOOKUP($A457,ALGLIB_SSA_XAUUSD!$J$2:$J$1000,ALGLIB_SSA_XAUUSD!$Q$2:$Q$1000,"",0)</f>
        <v>4646.4634299999998</v>
      </c>
      <c r="R457">
        <f t="shared" si="77"/>
        <v>1775530500</v>
      </c>
      <c r="S457" t="str">
        <f t="shared" si="78"/>
        <v>XAUUSD</v>
      </c>
      <c r="T457" t="str">
        <f t="shared" si="79"/>
        <v>M5</v>
      </c>
      <c r="U457">
        <f t="shared" si="80"/>
        <v>4650.53</v>
      </c>
      <c r="V457">
        <v>4646.1749600000003</v>
      </c>
      <c r="W457">
        <v>4646.5541700000003</v>
      </c>
      <c r="X457">
        <v>4649.2686400000002</v>
      </c>
      <c r="Y457">
        <v>4648.59213</v>
      </c>
      <c r="Z457">
        <f t="shared" si="81"/>
        <v>4655.9219208333334</v>
      </c>
      <c r="AA457">
        <f t="shared" si="82"/>
        <v>4652.2803599999997</v>
      </c>
      <c r="AB457">
        <f t="shared" si="83"/>
        <v>4631.0037483333335</v>
      </c>
      <c r="AC457">
        <f t="shared" si="84"/>
        <v>4646.4634299999998</v>
      </c>
      <c r="AF457">
        <f t="shared" si="85"/>
        <v>4649.2686400000002</v>
      </c>
      <c r="AG457">
        <f t="shared" si="86"/>
        <v>4655.9219208333334</v>
      </c>
      <c r="AH457">
        <f t="shared" si="87"/>
        <v>4631.0037483333335</v>
      </c>
    </row>
    <row r="458" spans="1:34" x14ac:dyDescent="0.55000000000000004">
      <c r="A458">
        <f>ALGLIB_SSA_XAUUSD!J458</f>
        <v>1775530800</v>
      </c>
      <c r="B458" t="str">
        <f>_xlfn.XLOOKUP($A458,ALGLIB_SSA_XAUUSD!$A$2:$A$1000,ALGLIB_SSA_XAUUSD!$B$2:$B$1000,"",0)</f>
        <v>XAUUSD</v>
      </c>
      <c r="C458" t="str">
        <f>_xlfn.XLOOKUP($A458,ALGLIB_SSA_XAUUSD!$A$2:$A$1000,ALGLIB_SSA_XAUUSD!$C$2:$C$1000,"",0)</f>
        <v>H1</v>
      </c>
      <c r="D458" s="2">
        <f>_xlfn.XLOOKUP($A458,ALGLIB_SSA_XAUUSD!$A$2:$A$1000,ALGLIB_SSA_XAUUSD!$D$2:$D$1000,"",0)</f>
        <v>4649.4399999999996</v>
      </c>
      <c r="E458" s="2">
        <f>_xlfn.XLOOKUP($A458,ALGLIB_SSA_XAUUSD!$A$2:$A$1000,ALGLIB_SSA_XAUUSD!$E$2:$E$1000,"",0)</f>
        <v>4646.2634399999997</v>
      </c>
      <c r="F458" s="2">
        <f>_xlfn.XLOOKUP($A458,ALGLIB_SSA_XAUUSD!$A$2:$A$1000,ALGLIB_SSA_XAUUSD!$F$2:$F$1000,"",0)</f>
        <v>4646.5318100000004</v>
      </c>
      <c r="G458" s="2">
        <f>_xlfn.XLOOKUP($A458,ALGLIB_SSA_XAUUSD!$A$2:$A$1000,ALGLIB_SSA_XAUUSD!$G$2:$G$1000,"",0)</f>
        <v>4655.9356900000002</v>
      </c>
      <c r="H458" s="2">
        <f>_xlfn.XLOOKUP($A458,ALGLIB_SSA_XAUUSD!$A$2:$A$1000,ALGLIB_SSA_XAUUSD!$H$2:$H$1000,"",0)</f>
        <v>4630.9348900000005</v>
      </c>
      <c r="I458" t="str">
        <f>_xlfn.XLOOKUP($A458,ALGLIB_SSA_XAUUSD!$J$2:$J$1000,ALGLIB_SSA_XAUUSD!$K$2:$K$1000,"",0)</f>
        <v>XAUUSD</v>
      </c>
      <c r="J458" t="str">
        <f>_xlfn.XLOOKUP($A458,ALGLIB_SSA_XAUUSD!$J$2:$J$1000,ALGLIB_SSA_XAUUSD!$L$2:$L$1000,"",0)</f>
        <v>M5</v>
      </c>
      <c r="K458">
        <f>_xlfn.XLOOKUP($A458,ALGLIB_SSA_XAUUSD!$J$2:$J$1000,ALGLIB_SSA_XAUUSD!$M$2:$M$1000,"",0)</f>
        <v>4648.2299999999996</v>
      </c>
      <c r="L458">
        <f>_xlfn.XLOOKUP($A458,ALGLIB_SSA_XAUUSD!$J$2:$J$1000,ALGLIB_SSA_XAUUSD!$N$2:$N$1000,"",0)</f>
        <v>4648.0839299999998</v>
      </c>
      <c r="M458">
        <f>_xlfn.XLOOKUP($A458,ALGLIB_SSA_XAUUSD!$J$2:$J$1000,ALGLIB_SSA_XAUUSD!$O$2:$O$1000,"",0)</f>
        <v>4648.3380299999999</v>
      </c>
      <c r="N458">
        <f>_xlfn.XLOOKUP($A458,ALGLIB_SSA_XAUUSD!$J$2:$J$1000,ALGLIB_SSA_XAUUSD!$P$2:$P$1000,"",0)</f>
        <v>4651.32557</v>
      </c>
      <c r="O458">
        <f>_xlfn.XLOOKUP($A458,ALGLIB_SSA_XAUUSD!$J$2:$J$1000,ALGLIB_SSA_XAUUSD!$Q$2:$Q$1000,"",0)</f>
        <v>4645.5983900000001</v>
      </c>
      <c r="R458">
        <f t="shared" si="77"/>
        <v>1775530800</v>
      </c>
      <c r="S458" t="str">
        <f t="shared" si="78"/>
        <v>XAUUSD</v>
      </c>
      <c r="T458" t="str">
        <f t="shared" si="79"/>
        <v>M5</v>
      </c>
      <c r="U458">
        <f t="shared" si="80"/>
        <v>4648.2299999999996</v>
      </c>
      <c r="V458">
        <v>4646.2634399999997</v>
      </c>
      <c r="W458">
        <v>4646.5318100000004</v>
      </c>
      <c r="X458">
        <v>4648.0839299999998</v>
      </c>
      <c r="Y458">
        <v>4648.3380299999999</v>
      </c>
      <c r="Z458">
        <f t="shared" si="81"/>
        <v>4655.9356900000002</v>
      </c>
      <c r="AA458">
        <f t="shared" si="82"/>
        <v>4651.32557</v>
      </c>
      <c r="AB458">
        <f t="shared" si="83"/>
        <v>4630.9348900000005</v>
      </c>
      <c r="AC458">
        <f t="shared" si="84"/>
        <v>4645.5983900000001</v>
      </c>
      <c r="AF458">
        <f t="shared" si="85"/>
        <v>4648.0839299999998</v>
      </c>
      <c r="AG458">
        <f t="shared" si="86"/>
        <v>4655.9356900000002</v>
      </c>
      <c r="AH458">
        <f t="shared" si="87"/>
        <v>4630.9348900000005</v>
      </c>
    </row>
    <row r="459" spans="1:34" x14ac:dyDescent="0.55000000000000004">
      <c r="A459">
        <f>ALGLIB_SSA_XAUUSD!J459</f>
        <v>1775531100</v>
      </c>
      <c r="B459" t="str">
        <f>_xlfn.XLOOKUP($A459,ALGLIB_SSA_XAUUSD!$A$2:$A$1000,ALGLIB_SSA_XAUUSD!$B$2:$B$1000,"",0)</f>
        <v/>
      </c>
      <c r="C459" t="str">
        <f>_xlfn.XLOOKUP($A459,ALGLIB_SSA_XAUUSD!$A$2:$A$1000,ALGLIB_SSA_XAUUSD!$C$2:$C$1000,"",0)</f>
        <v/>
      </c>
      <c r="D459" s="1">
        <f>D458+(D470-D458)*1/12</f>
        <v>4650.2658333333329</v>
      </c>
      <c r="E459" s="1">
        <f>E458+(E470-E458)*1/12</f>
        <v>4646.4994383333333</v>
      </c>
      <c r="F459" s="1">
        <f>F458+(F470-F458)*1/12</f>
        <v>4646.6386266666668</v>
      </c>
      <c r="G459" s="1">
        <f>G458+(G470-G458)*1/12</f>
        <v>4656.1187850000006</v>
      </c>
      <c r="H459" s="1">
        <f>H458+(H470-H458)*1/12</f>
        <v>4631.0130400000007</v>
      </c>
      <c r="I459" t="str">
        <f>_xlfn.XLOOKUP($A459,ALGLIB_SSA_XAUUSD!$J$2:$J$1000,ALGLIB_SSA_XAUUSD!$K$2:$K$1000,"",0)</f>
        <v>XAUUSD</v>
      </c>
      <c r="J459" t="str">
        <f>_xlfn.XLOOKUP($A459,ALGLIB_SSA_XAUUSD!$J$2:$J$1000,ALGLIB_SSA_XAUUSD!$L$2:$L$1000,"",0)</f>
        <v>M5</v>
      </c>
      <c r="K459">
        <f>_xlfn.XLOOKUP($A459,ALGLIB_SSA_XAUUSD!$J$2:$J$1000,ALGLIB_SSA_XAUUSD!$M$2:$M$1000,"",0)</f>
        <v>4646.3599999999997</v>
      </c>
      <c r="L459">
        <f>_xlfn.XLOOKUP($A459,ALGLIB_SSA_XAUUSD!$J$2:$J$1000,ALGLIB_SSA_XAUUSD!$N$2:$N$1000,"",0)</f>
        <v>4646.51566</v>
      </c>
      <c r="M459">
        <f>_xlfn.XLOOKUP($A459,ALGLIB_SSA_XAUUSD!$J$2:$J$1000,ALGLIB_SSA_XAUUSD!$O$2:$O$1000,"",0)</f>
        <v>4647.4268400000001</v>
      </c>
      <c r="N459">
        <f>_xlfn.XLOOKUP($A459,ALGLIB_SSA_XAUUSD!$J$2:$J$1000,ALGLIB_SSA_XAUUSD!$P$2:$P$1000,"",0)</f>
        <v>4649.7790100000002</v>
      </c>
      <c r="O459">
        <f>_xlfn.XLOOKUP($A459,ALGLIB_SSA_XAUUSD!$J$2:$J$1000,ALGLIB_SSA_XAUUSD!$Q$2:$Q$1000,"",0)</f>
        <v>4644.1517199999998</v>
      </c>
      <c r="R459">
        <f t="shared" si="77"/>
        <v>1775531100</v>
      </c>
      <c r="S459" t="str">
        <f t="shared" si="78"/>
        <v>XAUUSD</v>
      </c>
      <c r="T459" t="str">
        <f t="shared" si="79"/>
        <v>M5</v>
      </c>
      <c r="U459">
        <f t="shared" si="80"/>
        <v>4646.3599999999997</v>
      </c>
      <c r="V459">
        <v>4646.4994399999996</v>
      </c>
      <c r="W459">
        <v>4646.6386300000004</v>
      </c>
      <c r="X459">
        <v>4646.51566</v>
      </c>
      <c r="Y459">
        <v>4647.4268400000001</v>
      </c>
      <c r="Z459">
        <f t="shared" si="81"/>
        <v>4656.1187850000006</v>
      </c>
      <c r="AA459">
        <f t="shared" si="82"/>
        <v>4649.7790100000002</v>
      </c>
      <c r="AB459">
        <f t="shared" si="83"/>
        <v>4631.0130400000007</v>
      </c>
      <c r="AC459">
        <f t="shared" si="84"/>
        <v>4644.1517199999998</v>
      </c>
      <c r="AF459">
        <f t="shared" si="85"/>
        <v>4646.51566</v>
      </c>
      <c r="AG459">
        <f t="shared" si="86"/>
        <v>4656.1187850000006</v>
      </c>
      <c r="AH459">
        <f t="shared" si="87"/>
        <v>4631.0130400000007</v>
      </c>
    </row>
    <row r="460" spans="1:34" x14ac:dyDescent="0.55000000000000004">
      <c r="A460">
        <f>ALGLIB_SSA_XAUUSD!J460</f>
        <v>1775531400</v>
      </c>
      <c r="B460" t="str">
        <f>_xlfn.XLOOKUP($A460,ALGLIB_SSA_XAUUSD!$A$2:$A$1000,ALGLIB_SSA_XAUUSD!$B$2:$B$1000,"",0)</f>
        <v/>
      </c>
      <c r="C460" t="str">
        <f>_xlfn.XLOOKUP($A460,ALGLIB_SSA_XAUUSD!$A$2:$A$1000,ALGLIB_SSA_XAUUSD!$C$2:$C$1000,"",0)</f>
        <v/>
      </c>
      <c r="D460" s="1">
        <f>D458+(D470-D458)*2/12</f>
        <v>4651.0916666666662</v>
      </c>
      <c r="E460" s="1">
        <f>E458+(E470-E458)*2/12</f>
        <v>4646.7354366666659</v>
      </c>
      <c r="F460" s="1">
        <f>F458+(F470-F458)*2/12</f>
        <v>4646.7454433333332</v>
      </c>
      <c r="G460" s="1">
        <f>G458+(G470-G458)*2/12</f>
        <v>4656.30188</v>
      </c>
      <c r="H460" s="1">
        <f>H458+(H470-H458)*2/12</f>
        <v>4631.0911900000001</v>
      </c>
      <c r="I460" t="str">
        <f>_xlfn.XLOOKUP($A460,ALGLIB_SSA_XAUUSD!$J$2:$J$1000,ALGLIB_SSA_XAUUSD!$K$2:$K$1000,"",0)</f>
        <v>XAUUSD</v>
      </c>
      <c r="J460" t="str">
        <f>_xlfn.XLOOKUP($A460,ALGLIB_SSA_XAUUSD!$J$2:$J$1000,ALGLIB_SSA_XAUUSD!$L$2:$L$1000,"",0)</f>
        <v>M5</v>
      </c>
      <c r="K460">
        <f>_xlfn.XLOOKUP($A460,ALGLIB_SSA_XAUUSD!$J$2:$J$1000,ALGLIB_SSA_XAUUSD!$M$2:$M$1000,"",0)</f>
        <v>4645.2299999999996</v>
      </c>
      <c r="L460">
        <f>_xlfn.XLOOKUP($A460,ALGLIB_SSA_XAUUSD!$J$2:$J$1000,ALGLIB_SSA_XAUUSD!$N$2:$N$1000,"",0)</f>
        <v>4644.9843499999997</v>
      </c>
      <c r="M460">
        <f>_xlfn.XLOOKUP($A460,ALGLIB_SSA_XAUUSD!$J$2:$J$1000,ALGLIB_SSA_XAUUSD!$O$2:$O$1000,"",0)</f>
        <v>4646.2056000000002</v>
      </c>
      <c r="N460">
        <f>_xlfn.XLOOKUP($A460,ALGLIB_SSA_XAUUSD!$J$2:$J$1000,ALGLIB_SSA_XAUUSD!$P$2:$P$1000,"",0)</f>
        <v>4648.1789600000002</v>
      </c>
      <c r="O460">
        <f>_xlfn.XLOOKUP($A460,ALGLIB_SSA_XAUUSD!$J$2:$J$1000,ALGLIB_SSA_XAUUSD!$Q$2:$Q$1000,"",0)</f>
        <v>4642.65852</v>
      </c>
      <c r="R460">
        <f t="shared" si="77"/>
        <v>1775531400</v>
      </c>
      <c r="S460" t="str">
        <f t="shared" si="78"/>
        <v>XAUUSD</v>
      </c>
      <c r="T460" t="str">
        <f t="shared" si="79"/>
        <v>M5</v>
      </c>
      <c r="U460">
        <f t="shared" si="80"/>
        <v>4645.2299999999996</v>
      </c>
      <c r="V460">
        <v>4646.7354400000004</v>
      </c>
      <c r="W460">
        <v>4646.7454399999997</v>
      </c>
      <c r="X460">
        <v>4644.9843499999997</v>
      </c>
      <c r="Y460">
        <v>4646.2056000000002</v>
      </c>
      <c r="Z460">
        <f t="shared" si="81"/>
        <v>4656.30188</v>
      </c>
      <c r="AA460">
        <f t="shared" si="82"/>
        <v>4648.1789600000002</v>
      </c>
      <c r="AB460">
        <f t="shared" si="83"/>
        <v>4631.0911900000001</v>
      </c>
      <c r="AC460">
        <f t="shared" si="84"/>
        <v>4642.65852</v>
      </c>
      <c r="AF460">
        <f t="shared" si="85"/>
        <v>4644.9843499999997</v>
      </c>
      <c r="AG460">
        <f t="shared" si="86"/>
        <v>4656.30188</v>
      </c>
      <c r="AH460">
        <f t="shared" si="87"/>
        <v>4631.0911900000001</v>
      </c>
    </row>
    <row r="461" spans="1:34" x14ac:dyDescent="0.55000000000000004">
      <c r="A461">
        <f>ALGLIB_SSA_XAUUSD!J461</f>
        <v>1775531700</v>
      </c>
      <c r="B461" t="str">
        <f>_xlfn.XLOOKUP($A461,ALGLIB_SSA_XAUUSD!$A$2:$A$1000,ALGLIB_SSA_XAUUSD!$B$2:$B$1000,"",0)</f>
        <v/>
      </c>
      <c r="C461" t="str">
        <f>_xlfn.XLOOKUP($A461,ALGLIB_SSA_XAUUSD!$A$2:$A$1000,ALGLIB_SSA_XAUUSD!$C$2:$C$1000,"",0)</f>
        <v/>
      </c>
      <c r="D461" s="1">
        <f>D458+(D470-D458)*3/12</f>
        <v>4651.9174999999996</v>
      </c>
      <c r="E461" s="1">
        <f>E458+(E470-E458)*3/12</f>
        <v>4646.9714349999995</v>
      </c>
      <c r="F461" s="1">
        <f>F458+(F470-F458)*3/12</f>
        <v>4646.8522600000006</v>
      </c>
      <c r="G461" s="1">
        <f>G458+(G470-G458)*3/12</f>
        <v>4656.4849750000003</v>
      </c>
      <c r="H461" s="1">
        <f>H458+(H470-H458)*3/12</f>
        <v>4631.1693400000004</v>
      </c>
      <c r="I461" t="str">
        <f>_xlfn.XLOOKUP($A461,ALGLIB_SSA_XAUUSD!$J$2:$J$1000,ALGLIB_SSA_XAUUSD!$K$2:$K$1000,"",0)</f>
        <v>XAUUSD</v>
      </c>
      <c r="J461" t="str">
        <f>_xlfn.XLOOKUP($A461,ALGLIB_SSA_XAUUSD!$J$2:$J$1000,ALGLIB_SSA_XAUUSD!$L$2:$L$1000,"",0)</f>
        <v>M5</v>
      </c>
      <c r="K461">
        <f>_xlfn.XLOOKUP($A461,ALGLIB_SSA_XAUUSD!$J$2:$J$1000,ALGLIB_SSA_XAUUSD!$M$2:$M$1000,"",0)</f>
        <v>4641.99</v>
      </c>
      <c r="L461">
        <f>_xlfn.XLOOKUP($A461,ALGLIB_SSA_XAUUSD!$J$2:$J$1000,ALGLIB_SSA_XAUUSD!$N$2:$N$1000,"",0)</f>
        <v>4643.8481899999997</v>
      </c>
      <c r="M461">
        <f>_xlfn.XLOOKUP($A461,ALGLIB_SSA_XAUUSD!$J$2:$J$1000,ALGLIB_SSA_XAUUSD!$O$2:$O$1000,"",0)</f>
        <v>4645.0268900000001</v>
      </c>
      <c r="N461">
        <f>_xlfn.XLOOKUP($A461,ALGLIB_SSA_XAUUSD!$J$2:$J$1000,ALGLIB_SSA_XAUUSD!$P$2:$P$1000,"",0)</f>
        <v>4646.8767200000002</v>
      </c>
      <c r="O461">
        <f>_xlfn.XLOOKUP($A461,ALGLIB_SSA_XAUUSD!$J$2:$J$1000,ALGLIB_SSA_XAUUSD!$Q$2:$Q$1000,"",0)</f>
        <v>4641.4352500000005</v>
      </c>
      <c r="R461">
        <f t="shared" si="77"/>
        <v>1775531700</v>
      </c>
      <c r="S461" t="str">
        <f t="shared" si="78"/>
        <v>XAUUSD</v>
      </c>
      <c r="T461" t="str">
        <f t="shared" si="79"/>
        <v>M5</v>
      </c>
      <c r="U461">
        <f t="shared" si="80"/>
        <v>4641.99</v>
      </c>
      <c r="V461">
        <v>4646.9714299999996</v>
      </c>
      <c r="W461">
        <v>4646.8522599999997</v>
      </c>
      <c r="X461">
        <v>4643.8481899999997</v>
      </c>
      <c r="Y461">
        <v>4645.0268900000001</v>
      </c>
      <c r="Z461">
        <f t="shared" si="81"/>
        <v>4656.4849750000003</v>
      </c>
      <c r="AA461">
        <f t="shared" si="82"/>
        <v>4646.8767200000002</v>
      </c>
      <c r="AB461">
        <f t="shared" si="83"/>
        <v>4631.1693400000004</v>
      </c>
      <c r="AC461">
        <f t="shared" si="84"/>
        <v>4641.4352500000005</v>
      </c>
      <c r="AF461">
        <f t="shared" si="85"/>
        <v>4643.8481899999997</v>
      </c>
      <c r="AG461">
        <f t="shared" si="86"/>
        <v>4656.4849750000003</v>
      </c>
      <c r="AH461">
        <f t="shared" si="87"/>
        <v>4631.1693400000004</v>
      </c>
    </row>
    <row r="462" spans="1:34" x14ac:dyDescent="0.55000000000000004">
      <c r="A462">
        <f>ALGLIB_SSA_XAUUSD!J462</f>
        <v>1775532000</v>
      </c>
      <c r="B462" t="str">
        <f>_xlfn.XLOOKUP($A462,ALGLIB_SSA_XAUUSD!$A$2:$A$1000,ALGLIB_SSA_XAUUSD!$B$2:$B$1000,"",0)</f>
        <v/>
      </c>
      <c r="C462" t="str">
        <f>_xlfn.XLOOKUP($A462,ALGLIB_SSA_XAUUSD!$A$2:$A$1000,ALGLIB_SSA_XAUUSD!$C$2:$C$1000,"",0)</f>
        <v/>
      </c>
      <c r="D462" s="1">
        <f>D458+(D470-D458)*4/12</f>
        <v>4652.7433333333329</v>
      </c>
      <c r="E462" s="1">
        <f>E458+(E470-E458)*4/12</f>
        <v>4647.207433333333</v>
      </c>
      <c r="F462" s="1">
        <f>F458+(F470-F458)*4/12</f>
        <v>4646.959076666667</v>
      </c>
      <c r="G462" s="1">
        <f>G458+(G470-G458)*4/12</f>
        <v>4656.6680699999997</v>
      </c>
      <c r="H462" s="1">
        <f>H458+(H470-H458)*4/12</f>
        <v>4631.2474900000007</v>
      </c>
      <c r="I462" t="str">
        <f>_xlfn.XLOOKUP($A462,ALGLIB_SSA_XAUUSD!$J$2:$J$1000,ALGLIB_SSA_XAUUSD!$K$2:$K$1000,"",0)</f>
        <v>XAUUSD</v>
      </c>
      <c r="J462" t="str">
        <f>_xlfn.XLOOKUP($A462,ALGLIB_SSA_XAUUSD!$J$2:$J$1000,ALGLIB_SSA_XAUUSD!$L$2:$L$1000,"",0)</f>
        <v>M5</v>
      </c>
      <c r="K462">
        <f>_xlfn.XLOOKUP($A462,ALGLIB_SSA_XAUUSD!$J$2:$J$1000,ALGLIB_SSA_XAUUSD!$M$2:$M$1000,"",0)</f>
        <v>4642.3100000000004</v>
      </c>
      <c r="L462">
        <f>_xlfn.XLOOKUP($A462,ALGLIB_SSA_XAUUSD!$J$2:$J$1000,ALGLIB_SSA_XAUUSD!$N$2:$N$1000,"",0)</f>
        <v>4643.3868599999996</v>
      </c>
      <c r="M462">
        <f>_xlfn.XLOOKUP($A462,ALGLIB_SSA_XAUUSD!$J$2:$J$1000,ALGLIB_SSA_XAUUSD!$O$2:$O$1000,"",0)</f>
        <v>4644.2068799999997</v>
      </c>
      <c r="N462">
        <f>_xlfn.XLOOKUP($A462,ALGLIB_SSA_XAUUSD!$J$2:$J$1000,ALGLIB_SSA_XAUUSD!$P$2:$P$1000,"",0)</f>
        <v>4646.0978100000002</v>
      </c>
      <c r="O462">
        <f>_xlfn.XLOOKUP($A462,ALGLIB_SSA_XAUUSD!$J$2:$J$1000,ALGLIB_SSA_XAUUSD!$Q$2:$Q$1000,"",0)</f>
        <v>4640.7829000000002</v>
      </c>
      <c r="R462">
        <f t="shared" si="77"/>
        <v>1775532000</v>
      </c>
      <c r="S462" t="str">
        <f t="shared" si="78"/>
        <v>XAUUSD</v>
      </c>
      <c r="T462" t="str">
        <f t="shared" si="79"/>
        <v>M5</v>
      </c>
      <c r="U462">
        <f t="shared" si="80"/>
        <v>4642.3100000000004</v>
      </c>
      <c r="V462">
        <v>4647.2074300000004</v>
      </c>
      <c r="W462">
        <v>4646.9590799999996</v>
      </c>
      <c r="X462">
        <v>4643.3868599999996</v>
      </c>
      <c r="Y462">
        <v>4644.2068799999997</v>
      </c>
      <c r="Z462">
        <f t="shared" si="81"/>
        <v>4656.6680699999997</v>
      </c>
      <c r="AA462">
        <f t="shared" si="82"/>
        <v>4646.0978100000002</v>
      </c>
      <c r="AB462">
        <f t="shared" si="83"/>
        <v>4631.2474900000007</v>
      </c>
      <c r="AC462">
        <f t="shared" si="84"/>
        <v>4640.7829000000002</v>
      </c>
      <c r="AF462">
        <f t="shared" si="85"/>
        <v>4643.3868599999996</v>
      </c>
      <c r="AG462">
        <f t="shared" si="86"/>
        <v>4656.6680699999997</v>
      </c>
      <c r="AH462">
        <f t="shared" si="87"/>
        <v>4631.2474900000007</v>
      </c>
    </row>
    <row r="463" spans="1:34" x14ac:dyDescent="0.55000000000000004">
      <c r="A463">
        <f>ALGLIB_SSA_XAUUSD!J463</f>
        <v>1775532300</v>
      </c>
      <c r="B463" t="str">
        <f>_xlfn.XLOOKUP($A463,ALGLIB_SSA_XAUUSD!$A$2:$A$1000,ALGLIB_SSA_XAUUSD!$B$2:$B$1000,"",0)</f>
        <v/>
      </c>
      <c r="C463" t="str">
        <f>_xlfn.XLOOKUP($A463,ALGLIB_SSA_XAUUSD!$A$2:$A$1000,ALGLIB_SSA_XAUUSD!$C$2:$C$1000,"",0)</f>
        <v/>
      </c>
      <c r="D463" s="1">
        <f>D458+(D470-D458)*5/12</f>
        <v>4653.5691666666662</v>
      </c>
      <c r="E463" s="1">
        <f>E458+(E470-E458)*5/12</f>
        <v>4647.4434316666666</v>
      </c>
      <c r="F463" s="1">
        <f>F458+(F470-F458)*5/12</f>
        <v>4647.0658933333334</v>
      </c>
      <c r="G463" s="1">
        <f>G458+(G470-G458)*5/12</f>
        <v>4656.851165</v>
      </c>
      <c r="H463" s="1">
        <f>H458+(H470-H458)*5/12</f>
        <v>4631.32564</v>
      </c>
      <c r="I463" t="str">
        <f>_xlfn.XLOOKUP($A463,ALGLIB_SSA_XAUUSD!$J$2:$J$1000,ALGLIB_SSA_XAUUSD!$K$2:$K$1000,"",0)</f>
        <v>XAUUSD</v>
      </c>
      <c r="J463" t="str">
        <f>_xlfn.XLOOKUP($A463,ALGLIB_SSA_XAUUSD!$J$2:$J$1000,ALGLIB_SSA_XAUUSD!$L$2:$L$1000,"",0)</f>
        <v>M5</v>
      </c>
      <c r="K463">
        <f>_xlfn.XLOOKUP($A463,ALGLIB_SSA_XAUUSD!$J$2:$J$1000,ALGLIB_SSA_XAUUSD!$M$2:$M$1000,"",0)</f>
        <v>4642.84</v>
      </c>
      <c r="L463">
        <f>_xlfn.XLOOKUP($A463,ALGLIB_SSA_XAUUSD!$J$2:$J$1000,ALGLIB_SSA_XAUUSD!$N$2:$N$1000,"",0)</f>
        <v>4643.6322200000004</v>
      </c>
      <c r="M463">
        <f>_xlfn.XLOOKUP($A463,ALGLIB_SSA_XAUUSD!$J$2:$J$1000,ALGLIB_SSA_XAUUSD!$O$2:$O$1000,"",0)</f>
        <v>4643.9195499999996</v>
      </c>
      <c r="N463">
        <f>_xlfn.XLOOKUP($A463,ALGLIB_SSA_XAUUSD!$J$2:$J$1000,ALGLIB_SSA_XAUUSD!$P$2:$P$1000,"",0)</f>
        <v>4645.9893099999999</v>
      </c>
      <c r="O463">
        <f>_xlfn.XLOOKUP($A463,ALGLIB_SSA_XAUUSD!$J$2:$J$1000,ALGLIB_SSA_XAUUSD!$Q$2:$Q$1000,"",0)</f>
        <v>4640.8633499999996</v>
      </c>
      <c r="R463">
        <f t="shared" si="77"/>
        <v>1775532300</v>
      </c>
      <c r="S463" t="str">
        <f t="shared" si="78"/>
        <v>XAUUSD</v>
      </c>
      <c r="T463" t="str">
        <f t="shared" si="79"/>
        <v>M5</v>
      </c>
      <c r="U463">
        <f t="shared" si="80"/>
        <v>4642.84</v>
      </c>
      <c r="V463">
        <v>4647.4434300000003</v>
      </c>
      <c r="W463">
        <v>4647.0658899999999</v>
      </c>
      <c r="X463">
        <v>4643.6322200000004</v>
      </c>
      <c r="Y463">
        <v>4643.9195499999996</v>
      </c>
      <c r="Z463">
        <f t="shared" si="81"/>
        <v>4656.851165</v>
      </c>
      <c r="AA463">
        <f t="shared" si="82"/>
        <v>4645.9893099999999</v>
      </c>
      <c r="AB463">
        <f t="shared" si="83"/>
        <v>4631.32564</v>
      </c>
      <c r="AC463">
        <f t="shared" si="84"/>
        <v>4640.8633499999996</v>
      </c>
      <c r="AF463">
        <f t="shared" si="85"/>
        <v>4643.6322200000004</v>
      </c>
      <c r="AG463">
        <f t="shared" si="86"/>
        <v>4656.851165</v>
      </c>
      <c r="AH463">
        <f t="shared" si="87"/>
        <v>4631.32564</v>
      </c>
    </row>
    <row r="464" spans="1:34" x14ac:dyDescent="0.55000000000000004">
      <c r="A464">
        <f>ALGLIB_SSA_XAUUSD!J464</f>
        <v>1775532600</v>
      </c>
      <c r="B464" t="str">
        <f>_xlfn.XLOOKUP($A464,ALGLIB_SSA_XAUUSD!$A$2:$A$1000,ALGLIB_SSA_XAUUSD!$B$2:$B$1000,"",0)</f>
        <v/>
      </c>
      <c r="C464" t="str">
        <f>_xlfn.XLOOKUP($A464,ALGLIB_SSA_XAUUSD!$A$2:$A$1000,ALGLIB_SSA_XAUUSD!$C$2:$C$1000,"",0)</f>
        <v/>
      </c>
      <c r="D464" s="1">
        <f>D458+(D470-D458)*6/12</f>
        <v>4654.3950000000004</v>
      </c>
      <c r="E464" s="1">
        <f>E458+(E470-E458)*6/12</f>
        <v>4647.6794300000001</v>
      </c>
      <c r="F464" s="1">
        <f>F458+(F470-F458)*6/12</f>
        <v>4647.1727100000007</v>
      </c>
      <c r="G464" s="1">
        <f>G458+(G470-G458)*6/12</f>
        <v>4657.0342600000004</v>
      </c>
      <c r="H464" s="1">
        <f>H458+(H470-H458)*6/12</f>
        <v>4631.4037900000003</v>
      </c>
      <c r="I464" t="str">
        <f>_xlfn.XLOOKUP($A464,ALGLIB_SSA_XAUUSD!$J$2:$J$1000,ALGLIB_SSA_XAUUSD!$K$2:$K$1000,"",0)</f>
        <v>XAUUSD</v>
      </c>
      <c r="J464" t="str">
        <f>_xlfn.XLOOKUP($A464,ALGLIB_SSA_XAUUSD!$J$2:$J$1000,ALGLIB_SSA_XAUUSD!$L$2:$L$1000,"",0)</f>
        <v>M5</v>
      </c>
      <c r="K464">
        <f>_xlfn.XLOOKUP($A464,ALGLIB_SSA_XAUUSD!$J$2:$J$1000,ALGLIB_SSA_XAUUSD!$M$2:$M$1000,"",0)</f>
        <v>4645.9399999999996</v>
      </c>
      <c r="L464">
        <f>_xlfn.XLOOKUP($A464,ALGLIB_SSA_XAUUSD!$J$2:$J$1000,ALGLIB_SSA_XAUUSD!$N$2:$N$1000,"",0)</f>
        <v>4644.4570299999996</v>
      </c>
      <c r="M464">
        <f>_xlfn.XLOOKUP($A464,ALGLIB_SSA_XAUUSD!$J$2:$J$1000,ALGLIB_SSA_XAUUSD!$O$2:$O$1000,"",0)</f>
        <v>4644.1882900000001</v>
      </c>
      <c r="N464">
        <f>_xlfn.XLOOKUP($A464,ALGLIB_SSA_XAUUSD!$J$2:$J$1000,ALGLIB_SSA_XAUUSD!$P$2:$P$1000,"",0)</f>
        <v>4646.4790599999997</v>
      </c>
      <c r="O464">
        <f>_xlfn.XLOOKUP($A464,ALGLIB_SSA_XAUUSD!$J$2:$J$1000,ALGLIB_SSA_XAUUSD!$Q$2:$Q$1000,"",0)</f>
        <v>4641.6499199999998</v>
      </c>
      <c r="R464">
        <f t="shared" si="77"/>
        <v>1775532600</v>
      </c>
      <c r="S464" t="str">
        <f t="shared" si="78"/>
        <v>XAUUSD</v>
      </c>
      <c r="T464" t="str">
        <f t="shared" si="79"/>
        <v>M5</v>
      </c>
      <c r="U464">
        <f t="shared" si="80"/>
        <v>4645.9399999999996</v>
      </c>
      <c r="V464">
        <v>4647.6794300000001</v>
      </c>
      <c r="W464">
        <v>4647.1727099999998</v>
      </c>
      <c r="X464">
        <v>4644.4570299999996</v>
      </c>
      <c r="Y464">
        <v>4644.1882900000001</v>
      </c>
      <c r="Z464">
        <f t="shared" si="81"/>
        <v>4657.0342600000004</v>
      </c>
      <c r="AA464">
        <f t="shared" si="82"/>
        <v>4646.4790599999997</v>
      </c>
      <c r="AB464">
        <f t="shared" si="83"/>
        <v>4631.4037900000003</v>
      </c>
      <c r="AC464">
        <f t="shared" si="84"/>
        <v>4641.6499199999998</v>
      </c>
      <c r="AF464">
        <f t="shared" si="85"/>
        <v>4644.4570299999996</v>
      </c>
      <c r="AG464">
        <f t="shared" si="86"/>
        <v>4657.0342600000004</v>
      </c>
      <c r="AH464">
        <f t="shared" si="87"/>
        <v>4631.4037900000003</v>
      </c>
    </row>
    <row r="465" spans="1:34" x14ac:dyDescent="0.55000000000000004">
      <c r="A465">
        <f>ALGLIB_SSA_XAUUSD!J465</f>
        <v>1775532900</v>
      </c>
      <c r="B465" t="str">
        <f>_xlfn.XLOOKUP($A465,ALGLIB_SSA_XAUUSD!$A$2:$A$1000,ALGLIB_SSA_XAUUSD!$B$2:$B$1000,"",0)</f>
        <v/>
      </c>
      <c r="C465" t="str">
        <f>_xlfn.XLOOKUP($A465,ALGLIB_SSA_XAUUSD!$A$2:$A$1000,ALGLIB_SSA_XAUUSD!$C$2:$C$1000,"",0)</f>
        <v/>
      </c>
      <c r="D465" s="1">
        <f>D458+(D470-D458)*7/12</f>
        <v>4655.2208333333338</v>
      </c>
      <c r="E465" s="1">
        <f>E458+(E470-E458)*7/12</f>
        <v>4647.9154283333328</v>
      </c>
      <c r="F465" s="1">
        <f>F458+(F470-F458)*7/12</f>
        <v>4647.2795266666672</v>
      </c>
      <c r="G465" s="1">
        <f>G458+(G470-G458)*7/12</f>
        <v>4657.2173549999998</v>
      </c>
      <c r="H465" s="1">
        <f>H458+(H470-H458)*7/12</f>
        <v>4631.4819400000006</v>
      </c>
      <c r="I465" t="str">
        <f>_xlfn.XLOOKUP($A465,ALGLIB_SSA_XAUUSD!$J$2:$J$1000,ALGLIB_SSA_XAUUSD!$K$2:$K$1000,"",0)</f>
        <v>XAUUSD</v>
      </c>
      <c r="J465" t="str">
        <f>_xlfn.XLOOKUP($A465,ALGLIB_SSA_XAUUSD!$J$2:$J$1000,ALGLIB_SSA_XAUUSD!$L$2:$L$1000,"",0)</f>
        <v>M5</v>
      </c>
      <c r="K465">
        <f>_xlfn.XLOOKUP($A465,ALGLIB_SSA_XAUUSD!$J$2:$J$1000,ALGLIB_SSA_XAUUSD!$M$2:$M$1000,"",0)</f>
        <v>4645.42</v>
      </c>
      <c r="L465">
        <f>_xlfn.XLOOKUP($A465,ALGLIB_SSA_XAUUSD!$J$2:$J$1000,ALGLIB_SSA_XAUUSD!$N$2:$N$1000,"",0)</f>
        <v>4645.5632400000004</v>
      </c>
      <c r="M465">
        <f>_xlfn.XLOOKUP($A465,ALGLIB_SSA_XAUUSD!$J$2:$J$1000,ALGLIB_SSA_XAUUSD!$O$2:$O$1000,"",0)</f>
        <v>4644.8757699999996</v>
      </c>
      <c r="N465">
        <f>_xlfn.XLOOKUP($A465,ALGLIB_SSA_XAUUSD!$J$2:$J$1000,ALGLIB_SSA_XAUUSD!$P$2:$P$1000,"",0)</f>
        <v>4647.2830299999996</v>
      </c>
      <c r="O465">
        <f>_xlfn.XLOOKUP($A465,ALGLIB_SSA_XAUUSD!$J$2:$J$1000,ALGLIB_SSA_XAUUSD!$Q$2:$Q$1000,"",0)</f>
        <v>4642.94254</v>
      </c>
      <c r="R465">
        <f t="shared" si="77"/>
        <v>1775532900</v>
      </c>
      <c r="S465" t="str">
        <f t="shared" si="78"/>
        <v>XAUUSD</v>
      </c>
      <c r="T465" t="str">
        <f t="shared" si="79"/>
        <v>M5</v>
      </c>
      <c r="U465">
        <f t="shared" si="80"/>
        <v>4645.42</v>
      </c>
      <c r="V465">
        <v>4647.91543</v>
      </c>
      <c r="W465">
        <v>4647.2795299999998</v>
      </c>
      <c r="X465">
        <v>4645.5632400000004</v>
      </c>
      <c r="Y465">
        <v>4644.8757699999996</v>
      </c>
      <c r="Z465">
        <f t="shared" si="81"/>
        <v>4657.2173549999998</v>
      </c>
      <c r="AA465">
        <f t="shared" si="82"/>
        <v>4647.2830299999996</v>
      </c>
      <c r="AB465">
        <f t="shared" si="83"/>
        <v>4631.4819400000006</v>
      </c>
      <c r="AC465">
        <f t="shared" si="84"/>
        <v>4642.94254</v>
      </c>
      <c r="AF465">
        <f t="shared" si="85"/>
        <v>4645.5632400000004</v>
      </c>
      <c r="AG465">
        <f t="shared" si="86"/>
        <v>4657.2173549999998</v>
      </c>
      <c r="AH465">
        <f t="shared" si="87"/>
        <v>4631.4819400000006</v>
      </c>
    </row>
    <row r="466" spans="1:34" x14ac:dyDescent="0.55000000000000004">
      <c r="A466">
        <f>ALGLIB_SSA_XAUUSD!J466</f>
        <v>1775533200</v>
      </c>
      <c r="B466" t="str">
        <f>_xlfn.XLOOKUP($A466,ALGLIB_SSA_XAUUSD!$A$2:$A$1000,ALGLIB_SSA_XAUUSD!$B$2:$B$1000,"",0)</f>
        <v/>
      </c>
      <c r="C466" t="str">
        <f>_xlfn.XLOOKUP($A466,ALGLIB_SSA_XAUUSD!$A$2:$A$1000,ALGLIB_SSA_XAUUSD!$C$2:$C$1000,"",0)</f>
        <v/>
      </c>
      <c r="D466" s="1">
        <f>D458+(D470-D458)*8/12</f>
        <v>4656.0466666666671</v>
      </c>
      <c r="E466" s="1">
        <f>E458+(E470-E458)*8/12</f>
        <v>4648.1514266666663</v>
      </c>
      <c r="F466" s="1">
        <f>F458+(F470-F458)*8/12</f>
        <v>4647.3863433333336</v>
      </c>
      <c r="G466" s="1">
        <f>G458+(G470-G458)*8/12</f>
        <v>4657.4004500000001</v>
      </c>
      <c r="H466" s="1">
        <f>H458+(H470-H458)*8/12</f>
        <v>4631.5600899999999</v>
      </c>
      <c r="I466" t="str">
        <f>_xlfn.XLOOKUP($A466,ALGLIB_SSA_XAUUSD!$J$2:$J$1000,ALGLIB_SSA_XAUUSD!$K$2:$K$1000,"",0)</f>
        <v>XAUUSD</v>
      </c>
      <c r="J466" t="str">
        <f>_xlfn.XLOOKUP($A466,ALGLIB_SSA_XAUUSD!$J$2:$J$1000,ALGLIB_SSA_XAUUSD!$L$2:$L$1000,"",0)</f>
        <v>M5</v>
      </c>
      <c r="K466">
        <f>_xlfn.XLOOKUP($A466,ALGLIB_SSA_XAUUSD!$J$2:$J$1000,ALGLIB_SSA_XAUUSD!$M$2:$M$1000,"",0)</f>
        <v>4648.1000000000004</v>
      </c>
      <c r="L466">
        <f>_xlfn.XLOOKUP($A466,ALGLIB_SSA_XAUUSD!$J$2:$J$1000,ALGLIB_SSA_XAUUSD!$N$2:$N$1000,"",0)</f>
        <v>4646.7434400000002</v>
      </c>
      <c r="M466">
        <f>_xlfn.XLOOKUP($A466,ALGLIB_SSA_XAUUSD!$J$2:$J$1000,ALGLIB_SSA_XAUUSD!$O$2:$O$1000,"",0)</f>
        <v>4645.8095999999996</v>
      </c>
      <c r="N466">
        <f>_xlfn.XLOOKUP($A466,ALGLIB_SSA_XAUUSD!$J$2:$J$1000,ALGLIB_SSA_XAUUSD!$P$2:$P$1000,"",0)</f>
        <v>4648.2227700000003</v>
      </c>
      <c r="O466">
        <f>_xlfn.XLOOKUP($A466,ALGLIB_SSA_XAUUSD!$J$2:$J$1000,ALGLIB_SSA_XAUUSD!$Q$2:$Q$1000,"",0)</f>
        <v>4644.4582899999996</v>
      </c>
      <c r="R466">
        <f t="shared" si="77"/>
        <v>1775533200</v>
      </c>
      <c r="S466" t="str">
        <f t="shared" si="78"/>
        <v>XAUUSD</v>
      </c>
      <c r="T466" t="str">
        <f t="shared" si="79"/>
        <v>M5</v>
      </c>
      <c r="U466">
        <f t="shared" si="80"/>
        <v>4648.1000000000004</v>
      </c>
      <c r="V466">
        <v>4648.1514299999999</v>
      </c>
      <c r="W466">
        <v>4647.38634</v>
      </c>
      <c r="X466">
        <v>4646.7434400000002</v>
      </c>
      <c r="Y466">
        <v>4645.8095999999996</v>
      </c>
      <c r="Z466">
        <f t="shared" si="81"/>
        <v>4657.4004500000001</v>
      </c>
      <c r="AA466">
        <f t="shared" si="82"/>
        <v>4648.2227700000003</v>
      </c>
      <c r="AB466">
        <f t="shared" si="83"/>
        <v>4631.5600899999999</v>
      </c>
      <c r="AC466">
        <f t="shared" si="84"/>
        <v>4644.4582899999996</v>
      </c>
      <c r="AF466">
        <f t="shared" si="85"/>
        <v>4646.7434400000002</v>
      </c>
      <c r="AG466">
        <f t="shared" si="86"/>
        <v>4657.4004500000001</v>
      </c>
      <c r="AH466">
        <f t="shared" si="87"/>
        <v>4631.5600899999999</v>
      </c>
    </row>
    <row r="467" spans="1:34" x14ac:dyDescent="0.55000000000000004">
      <c r="A467">
        <f>ALGLIB_SSA_XAUUSD!J467</f>
        <v>1775533500</v>
      </c>
      <c r="B467" t="str">
        <f>_xlfn.XLOOKUP($A467,ALGLIB_SSA_XAUUSD!$A$2:$A$1000,ALGLIB_SSA_XAUUSD!$B$2:$B$1000,"",0)</f>
        <v/>
      </c>
      <c r="C467" t="str">
        <f>_xlfn.XLOOKUP($A467,ALGLIB_SSA_XAUUSD!$A$2:$A$1000,ALGLIB_SSA_XAUUSD!$C$2:$C$1000,"",0)</f>
        <v/>
      </c>
      <c r="D467" s="1">
        <f>D458+(D470-D458)*9/12</f>
        <v>4656.8725000000004</v>
      </c>
      <c r="E467" s="1">
        <f>E458+(E470-E458)*9/12</f>
        <v>4648.3874249999999</v>
      </c>
      <c r="F467" s="1">
        <f>F458+(F470-F458)*9/12</f>
        <v>4647.49316</v>
      </c>
      <c r="G467" s="1">
        <f>G458+(G470-G458)*9/12</f>
        <v>4657.5835449999995</v>
      </c>
      <c r="H467" s="1">
        <f>H458+(H470-H458)*9/12</f>
        <v>4631.6382400000002</v>
      </c>
      <c r="I467" t="str">
        <f>_xlfn.XLOOKUP($A467,ALGLIB_SSA_XAUUSD!$J$2:$J$1000,ALGLIB_SSA_XAUUSD!$K$2:$K$1000,"",0)</f>
        <v>XAUUSD</v>
      </c>
      <c r="J467" t="str">
        <f>_xlfn.XLOOKUP($A467,ALGLIB_SSA_XAUUSD!$J$2:$J$1000,ALGLIB_SSA_XAUUSD!$L$2:$L$1000,"",0)</f>
        <v>M5</v>
      </c>
      <c r="K467">
        <f>_xlfn.XLOOKUP($A467,ALGLIB_SSA_XAUUSD!$J$2:$J$1000,ALGLIB_SSA_XAUUSD!$M$2:$M$1000,"",0)</f>
        <v>4647.5200000000004</v>
      </c>
      <c r="L467">
        <f>_xlfn.XLOOKUP($A467,ALGLIB_SSA_XAUUSD!$J$2:$J$1000,ALGLIB_SSA_XAUUSD!$N$2:$N$1000,"",0)</f>
        <v>4647.7143999999998</v>
      </c>
      <c r="M467">
        <f>_xlfn.XLOOKUP($A467,ALGLIB_SSA_XAUUSD!$J$2:$J$1000,ALGLIB_SSA_XAUUSD!$O$2:$O$1000,"",0)</f>
        <v>4646.7619999999997</v>
      </c>
      <c r="N467">
        <f>_xlfn.XLOOKUP($A467,ALGLIB_SSA_XAUUSD!$J$2:$J$1000,ALGLIB_SSA_XAUUSD!$P$2:$P$1000,"",0)</f>
        <v>4649.0798000000004</v>
      </c>
      <c r="O467">
        <f>_xlfn.XLOOKUP($A467,ALGLIB_SSA_XAUUSD!$J$2:$J$1000,ALGLIB_SSA_XAUUSD!$Q$2:$Q$1000,"",0)</f>
        <v>4645.90272</v>
      </c>
      <c r="R467">
        <f t="shared" si="77"/>
        <v>1775533500</v>
      </c>
      <c r="S467" t="str">
        <f t="shared" si="78"/>
        <v>XAUUSD</v>
      </c>
      <c r="T467" t="str">
        <f t="shared" si="79"/>
        <v>M5</v>
      </c>
      <c r="U467">
        <f t="shared" si="80"/>
        <v>4647.5200000000004</v>
      </c>
      <c r="V467">
        <v>4648.3874299999998</v>
      </c>
      <c r="W467">
        <v>4647.49316</v>
      </c>
      <c r="X467">
        <v>4647.7143999999998</v>
      </c>
      <c r="Y467">
        <v>4646.7619999999997</v>
      </c>
      <c r="Z467">
        <f t="shared" si="81"/>
        <v>4657.5835449999995</v>
      </c>
      <c r="AA467">
        <f t="shared" si="82"/>
        <v>4649.0798000000004</v>
      </c>
      <c r="AB467">
        <f t="shared" si="83"/>
        <v>4631.6382400000002</v>
      </c>
      <c r="AC467">
        <f t="shared" si="84"/>
        <v>4645.90272</v>
      </c>
      <c r="AF467">
        <f t="shared" si="85"/>
        <v>4647.7143999999998</v>
      </c>
      <c r="AG467">
        <f t="shared" si="86"/>
        <v>4657.5835449999995</v>
      </c>
      <c r="AH467">
        <f t="shared" si="87"/>
        <v>4631.6382400000002</v>
      </c>
    </row>
    <row r="468" spans="1:34" x14ac:dyDescent="0.55000000000000004">
      <c r="A468">
        <f>ALGLIB_SSA_XAUUSD!J468</f>
        <v>1775533800</v>
      </c>
      <c r="B468" t="str">
        <f>_xlfn.XLOOKUP($A468,ALGLIB_SSA_XAUUSD!$A$2:$A$1000,ALGLIB_SSA_XAUUSD!$B$2:$B$1000,"",0)</f>
        <v/>
      </c>
      <c r="C468" t="str">
        <f>_xlfn.XLOOKUP($A468,ALGLIB_SSA_XAUUSD!$A$2:$A$1000,ALGLIB_SSA_XAUUSD!$C$2:$C$1000,"",0)</f>
        <v/>
      </c>
      <c r="D468" s="1">
        <f>D458+(D470-D458)*10/12</f>
        <v>4657.6983333333337</v>
      </c>
      <c r="E468" s="1">
        <f>E458+(E470-E458)*10/12</f>
        <v>4648.6234233333325</v>
      </c>
      <c r="F468" s="1">
        <f>F458+(F470-F458)*10/12</f>
        <v>4647.5999766666664</v>
      </c>
      <c r="G468" s="1">
        <f>G458+(G470-G458)*10/12</f>
        <v>4657.7666399999998</v>
      </c>
      <c r="H468" s="1">
        <f>H458+(H470-H458)*10/12</f>
        <v>4631.7163900000005</v>
      </c>
      <c r="I468" t="str">
        <f>_xlfn.XLOOKUP($A468,ALGLIB_SSA_XAUUSD!$J$2:$J$1000,ALGLIB_SSA_XAUUSD!$K$2:$K$1000,"",0)</f>
        <v>XAUUSD</v>
      </c>
      <c r="J468" t="str">
        <f>_xlfn.XLOOKUP($A468,ALGLIB_SSA_XAUUSD!$J$2:$J$1000,ALGLIB_SSA_XAUUSD!$L$2:$L$1000,"",0)</f>
        <v>M5</v>
      </c>
      <c r="K468">
        <f>_xlfn.XLOOKUP($A468,ALGLIB_SSA_XAUUSD!$J$2:$J$1000,ALGLIB_SSA_XAUUSD!$M$2:$M$1000,"",0)</f>
        <v>4647.74</v>
      </c>
      <c r="L468">
        <f>_xlfn.XLOOKUP($A468,ALGLIB_SSA_XAUUSD!$J$2:$J$1000,ALGLIB_SSA_XAUUSD!$N$2:$N$1000,"",0)</f>
        <v>4648.3485499999997</v>
      </c>
      <c r="M468">
        <f>_xlfn.XLOOKUP($A468,ALGLIB_SSA_XAUUSD!$J$2:$J$1000,ALGLIB_SSA_XAUUSD!$O$2:$O$1000,"",0)</f>
        <v>4647.5552799999996</v>
      </c>
      <c r="N468">
        <f>_xlfn.XLOOKUP($A468,ALGLIB_SSA_XAUUSD!$J$2:$J$1000,ALGLIB_SSA_XAUUSD!$P$2:$P$1000,"",0)</f>
        <v>4649.6764300000004</v>
      </c>
      <c r="O468">
        <f>_xlfn.XLOOKUP($A468,ALGLIB_SSA_XAUUSD!$J$2:$J$1000,ALGLIB_SSA_XAUUSD!$Q$2:$Q$1000,"",0)</f>
        <v>4646.9503100000002</v>
      </c>
      <c r="R468">
        <f t="shared" si="77"/>
        <v>1775533800</v>
      </c>
      <c r="S468" t="str">
        <f t="shared" si="78"/>
        <v>XAUUSD</v>
      </c>
      <c r="T468" t="str">
        <f t="shared" si="79"/>
        <v>M5</v>
      </c>
      <c r="U468">
        <f t="shared" si="80"/>
        <v>4647.74</v>
      </c>
      <c r="V468">
        <v>4648.6234199999999</v>
      </c>
      <c r="W468">
        <v>4647.59998</v>
      </c>
      <c r="X468">
        <v>4648.3485499999997</v>
      </c>
      <c r="Y468">
        <v>4647.5552799999996</v>
      </c>
      <c r="Z468">
        <f t="shared" si="81"/>
        <v>4657.7666399999998</v>
      </c>
      <c r="AA468">
        <f t="shared" si="82"/>
        <v>4649.6764300000004</v>
      </c>
      <c r="AB468">
        <f t="shared" si="83"/>
        <v>4631.7163900000005</v>
      </c>
      <c r="AC468">
        <f t="shared" si="84"/>
        <v>4646.9503100000002</v>
      </c>
      <c r="AF468">
        <f t="shared" si="85"/>
        <v>4648.3485499999997</v>
      </c>
      <c r="AG468">
        <f t="shared" si="86"/>
        <v>4657.7666399999998</v>
      </c>
      <c r="AH468">
        <f t="shared" si="87"/>
        <v>4631.7163900000005</v>
      </c>
    </row>
    <row r="469" spans="1:34" x14ac:dyDescent="0.55000000000000004">
      <c r="A469">
        <f>ALGLIB_SSA_XAUUSD!J469</f>
        <v>1775534100</v>
      </c>
      <c r="B469" t="str">
        <f>_xlfn.XLOOKUP($A469,ALGLIB_SSA_XAUUSD!$A$2:$A$1000,ALGLIB_SSA_XAUUSD!$B$2:$B$1000,"",0)</f>
        <v/>
      </c>
      <c r="C469" t="str">
        <f>_xlfn.XLOOKUP($A469,ALGLIB_SSA_XAUUSD!$A$2:$A$1000,ALGLIB_SSA_XAUUSD!$C$2:$C$1000,"",0)</f>
        <v/>
      </c>
      <c r="D469" s="1">
        <f>D458+(D470-D458)*11/12</f>
        <v>4658.524166666667</v>
      </c>
      <c r="E469" s="1">
        <f>E458+(E470-E458)*11/12</f>
        <v>4648.8594216666661</v>
      </c>
      <c r="F469" s="1">
        <f>F458+(F470-F458)*11/12</f>
        <v>4647.7067933333337</v>
      </c>
      <c r="G469" s="1">
        <f>G458+(G470-G458)*11/12</f>
        <v>4657.9497349999992</v>
      </c>
      <c r="H469" s="1">
        <f>H458+(H470-H458)*11/12</f>
        <v>4631.7945399999999</v>
      </c>
      <c r="I469" t="str">
        <f>_xlfn.XLOOKUP($A469,ALGLIB_SSA_XAUUSD!$J$2:$J$1000,ALGLIB_SSA_XAUUSD!$K$2:$K$1000,"",0)</f>
        <v>XAUUSD</v>
      </c>
      <c r="J469" t="str">
        <f>_xlfn.XLOOKUP($A469,ALGLIB_SSA_XAUUSD!$J$2:$J$1000,ALGLIB_SSA_XAUUSD!$L$2:$L$1000,"",0)</f>
        <v>M5</v>
      </c>
      <c r="K469">
        <f>_xlfn.XLOOKUP($A469,ALGLIB_SSA_XAUUSD!$J$2:$J$1000,ALGLIB_SSA_XAUUSD!$M$2:$M$1000,"",0)</f>
        <v>4649.4399999999996</v>
      </c>
      <c r="L469">
        <f>_xlfn.XLOOKUP($A469,ALGLIB_SSA_XAUUSD!$J$2:$J$1000,ALGLIB_SSA_XAUUSD!$N$2:$N$1000,"",0)</f>
        <v>4648.6243199999999</v>
      </c>
      <c r="M469">
        <f>_xlfn.XLOOKUP($A469,ALGLIB_SSA_XAUUSD!$J$2:$J$1000,ALGLIB_SSA_XAUUSD!$O$2:$O$1000,"",0)</f>
        <v>4648.0897999999997</v>
      </c>
      <c r="N469">
        <f>_xlfn.XLOOKUP($A469,ALGLIB_SSA_XAUUSD!$J$2:$J$1000,ALGLIB_SSA_XAUUSD!$P$2:$P$1000,"",0)</f>
        <v>4649.9743500000004</v>
      </c>
      <c r="O469">
        <f>_xlfn.XLOOKUP($A469,ALGLIB_SSA_XAUUSD!$J$2:$J$1000,ALGLIB_SSA_XAUUSD!$Q$2:$Q$1000,"",0)</f>
        <v>4647.4778200000001</v>
      </c>
      <c r="R469">
        <f t="shared" si="77"/>
        <v>1775534100</v>
      </c>
      <c r="S469" t="str">
        <f t="shared" si="78"/>
        <v>XAUUSD</v>
      </c>
      <c r="T469" t="str">
        <f t="shared" si="79"/>
        <v>M5</v>
      </c>
      <c r="U469">
        <f t="shared" si="80"/>
        <v>4649.4399999999996</v>
      </c>
      <c r="V469">
        <v>4648.8594199999998</v>
      </c>
      <c r="W469">
        <v>4647.7067900000002</v>
      </c>
      <c r="X469">
        <v>4648.6243199999999</v>
      </c>
      <c r="Y469">
        <v>4648.0897999999997</v>
      </c>
      <c r="Z469">
        <f t="shared" si="81"/>
        <v>4657.9497349999992</v>
      </c>
      <c r="AA469">
        <f t="shared" si="82"/>
        <v>4649.9743500000004</v>
      </c>
      <c r="AB469">
        <f t="shared" si="83"/>
        <v>4631.7945399999999</v>
      </c>
      <c r="AC469">
        <f t="shared" si="84"/>
        <v>4647.4778200000001</v>
      </c>
      <c r="AF469">
        <f t="shared" si="85"/>
        <v>4648.6243199999999</v>
      </c>
      <c r="AG469">
        <f t="shared" si="86"/>
        <v>4657.9497349999992</v>
      </c>
      <c r="AH469">
        <f t="shared" si="87"/>
        <v>4631.7945399999999</v>
      </c>
    </row>
    <row r="470" spans="1:34" x14ac:dyDescent="0.55000000000000004">
      <c r="A470">
        <f>ALGLIB_SSA_XAUUSD!J470</f>
        <v>1775534400</v>
      </c>
      <c r="B470" t="str">
        <f>_xlfn.XLOOKUP($A470,ALGLIB_SSA_XAUUSD!$A$2:$A$1000,ALGLIB_SSA_XAUUSD!$B$2:$B$1000,"",0)</f>
        <v>XAUUSD</v>
      </c>
      <c r="C470" t="str">
        <f>_xlfn.XLOOKUP($A470,ALGLIB_SSA_XAUUSD!$A$2:$A$1000,ALGLIB_SSA_XAUUSD!$C$2:$C$1000,"",0)</f>
        <v>H1</v>
      </c>
      <c r="D470" s="2">
        <f>_xlfn.XLOOKUP($A470,ALGLIB_SSA_XAUUSD!$A$2:$A$1000,ALGLIB_SSA_XAUUSD!$D$2:$D$1000,"",0)</f>
        <v>4659.3500000000004</v>
      </c>
      <c r="E470" s="2">
        <f>_xlfn.XLOOKUP($A470,ALGLIB_SSA_XAUUSD!$A$2:$A$1000,ALGLIB_SSA_XAUUSD!$E$2:$E$1000,"",0)</f>
        <v>4649.0954199999996</v>
      </c>
      <c r="F470" s="2">
        <f>_xlfn.XLOOKUP($A470,ALGLIB_SSA_XAUUSD!$A$2:$A$1000,ALGLIB_SSA_XAUUSD!$F$2:$F$1000,"",0)</f>
        <v>4647.8136100000002</v>
      </c>
      <c r="G470" s="2">
        <f>_xlfn.XLOOKUP($A470,ALGLIB_SSA_XAUUSD!$A$2:$A$1000,ALGLIB_SSA_XAUUSD!$G$2:$G$1000,"",0)</f>
        <v>4658.1328299999996</v>
      </c>
      <c r="H470" s="2">
        <f>_xlfn.XLOOKUP($A470,ALGLIB_SSA_XAUUSD!$A$2:$A$1000,ALGLIB_SSA_XAUUSD!$H$2:$H$1000,"",0)</f>
        <v>4631.8726900000001</v>
      </c>
      <c r="I470" t="str">
        <f>_xlfn.XLOOKUP($A470,ALGLIB_SSA_XAUUSD!$J$2:$J$1000,ALGLIB_SSA_XAUUSD!$K$2:$K$1000,"",0)</f>
        <v>XAUUSD</v>
      </c>
      <c r="J470" t="str">
        <f>_xlfn.XLOOKUP($A470,ALGLIB_SSA_XAUUSD!$J$2:$J$1000,ALGLIB_SSA_XAUUSD!$L$2:$L$1000,"",0)</f>
        <v>M5</v>
      </c>
      <c r="K470">
        <f>_xlfn.XLOOKUP($A470,ALGLIB_SSA_XAUUSD!$J$2:$J$1000,ALGLIB_SSA_XAUUSD!$M$2:$M$1000,"",0)</f>
        <v>4649.18</v>
      </c>
      <c r="L470">
        <f>_xlfn.XLOOKUP($A470,ALGLIB_SSA_XAUUSD!$J$2:$J$1000,ALGLIB_SSA_XAUUSD!$N$2:$N$1000,"",0)</f>
        <v>4648.5993799999997</v>
      </c>
      <c r="M470">
        <f>_xlfn.XLOOKUP($A470,ALGLIB_SSA_XAUUSD!$J$2:$J$1000,ALGLIB_SSA_XAUUSD!$O$2:$O$1000,"",0)</f>
        <v>4648.3445899999997</v>
      </c>
      <c r="N470">
        <f>_xlfn.XLOOKUP($A470,ALGLIB_SSA_XAUUSD!$J$2:$J$1000,ALGLIB_SSA_XAUUSD!$P$2:$P$1000,"",0)</f>
        <v>4650.0064899999998</v>
      </c>
      <c r="O470">
        <f>_xlfn.XLOOKUP($A470,ALGLIB_SSA_XAUUSD!$J$2:$J$1000,ALGLIB_SSA_XAUUSD!$Q$2:$Q$1000,"",0)</f>
        <v>4647.5075900000002</v>
      </c>
      <c r="R470">
        <f t="shared" si="77"/>
        <v>1775534400</v>
      </c>
      <c r="S470" t="str">
        <f t="shared" si="78"/>
        <v>XAUUSD</v>
      </c>
      <c r="T470" t="str">
        <f t="shared" si="79"/>
        <v>M5</v>
      </c>
      <c r="U470">
        <f t="shared" si="80"/>
        <v>4649.18</v>
      </c>
      <c r="V470">
        <v>4649.0954199999996</v>
      </c>
      <c r="W470">
        <v>4647.8136100000002</v>
      </c>
      <c r="X470">
        <v>4648.5993799999997</v>
      </c>
      <c r="Y470">
        <v>4648.3445899999997</v>
      </c>
      <c r="Z470">
        <f t="shared" si="81"/>
        <v>4658.1328299999996</v>
      </c>
      <c r="AA470">
        <f t="shared" si="82"/>
        <v>4650.0064899999998</v>
      </c>
      <c r="AB470">
        <f t="shared" si="83"/>
        <v>4631.8726900000001</v>
      </c>
      <c r="AC470">
        <f t="shared" si="84"/>
        <v>4647.5075900000002</v>
      </c>
      <c r="AF470">
        <f t="shared" si="85"/>
        <v>4648.5993799999997</v>
      </c>
      <c r="AG470">
        <f t="shared" si="86"/>
        <v>4658.1328299999996</v>
      </c>
      <c r="AH470">
        <f t="shared" si="87"/>
        <v>4631.8726900000001</v>
      </c>
    </row>
    <row r="471" spans="1:34" x14ac:dyDescent="0.55000000000000004">
      <c r="A471">
        <f>ALGLIB_SSA_XAUUSD!J471</f>
        <v>1775534700</v>
      </c>
      <c r="B471" t="str">
        <f>_xlfn.XLOOKUP($A471,ALGLIB_SSA_XAUUSD!$A$2:$A$1000,ALGLIB_SSA_XAUUSD!$B$2:$B$1000,"",0)</f>
        <v/>
      </c>
      <c r="C471" t="str">
        <f>_xlfn.XLOOKUP($A471,ALGLIB_SSA_XAUUSD!$A$2:$A$1000,ALGLIB_SSA_XAUUSD!$C$2:$C$1000,"",0)</f>
        <v/>
      </c>
      <c r="D471" s="1">
        <f>D470+(D482-D470)*1/12</f>
        <v>4657.9866666666667</v>
      </c>
      <c r="E471" s="1">
        <f>E470+(E482-E470)*1/12</f>
        <v>4649.4182033333327</v>
      </c>
      <c r="F471" s="1">
        <f>F470+(F482-F470)*1/12</f>
        <v>4648.0284108333335</v>
      </c>
      <c r="G471" s="1">
        <f>G470+(G482-G470)*1/12</f>
        <v>4658.4650149999998</v>
      </c>
      <c r="H471" s="1">
        <f>H470+(H482-H470)*1/12</f>
        <v>4632.0714875000003</v>
      </c>
      <c r="I471" t="str">
        <f>_xlfn.XLOOKUP($A471,ALGLIB_SSA_XAUUSD!$J$2:$J$1000,ALGLIB_SSA_XAUUSD!$K$2:$K$1000,"",0)</f>
        <v>XAUUSD</v>
      </c>
      <c r="J471" t="str">
        <f>_xlfn.XLOOKUP($A471,ALGLIB_SSA_XAUUSD!$J$2:$J$1000,ALGLIB_SSA_XAUUSD!$L$2:$L$1000,"",0)</f>
        <v>M5</v>
      </c>
      <c r="K471">
        <f>_xlfn.XLOOKUP($A471,ALGLIB_SSA_XAUUSD!$J$2:$J$1000,ALGLIB_SSA_XAUUSD!$M$2:$M$1000,"",0)</f>
        <v>4648.6899999999996</v>
      </c>
      <c r="L471">
        <f>_xlfn.XLOOKUP($A471,ALGLIB_SSA_XAUUSD!$J$2:$J$1000,ALGLIB_SSA_XAUUSD!$N$2:$N$1000,"",0)</f>
        <v>4648.4868699999997</v>
      </c>
      <c r="M471">
        <f>_xlfn.XLOOKUP($A471,ALGLIB_SSA_XAUUSD!$J$2:$J$1000,ALGLIB_SSA_XAUUSD!$O$2:$O$1000,"",0)</f>
        <v>4648.4157299999997</v>
      </c>
      <c r="N471">
        <f>_xlfn.XLOOKUP($A471,ALGLIB_SSA_XAUUSD!$J$2:$J$1000,ALGLIB_SSA_XAUUSD!$P$2:$P$1000,"",0)</f>
        <v>4649.9293600000001</v>
      </c>
      <c r="O471">
        <f>_xlfn.XLOOKUP($A471,ALGLIB_SSA_XAUUSD!$J$2:$J$1000,ALGLIB_SSA_XAUUSD!$Q$2:$Q$1000,"",0)</f>
        <v>4647.2023300000001</v>
      </c>
      <c r="R471">
        <f t="shared" si="77"/>
        <v>1775534700</v>
      </c>
      <c r="S471" t="str">
        <f t="shared" si="78"/>
        <v>XAUUSD</v>
      </c>
      <c r="T471" t="str">
        <f t="shared" si="79"/>
        <v>M5</v>
      </c>
      <c r="U471">
        <f t="shared" si="80"/>
        <v>4648.6899999999996</v>
      </c>
      <c r="V471">
        <v>4649.4182000000001</v>
      </c>
      <c r="W471">
        <v>4648.0284099999999</v>
      </c>
      <c r="X471">
        <v>4648.4868699999997</v>
      </c>
      <c r="Y471">
        <v>4648.4157299999997</v>
      </c>
      <c r="Z471">
        <f t="shared" si="81"/>
        <v>4658.4650149999998</v>
      </c>
      <c r="AA471">
        <f t="shared" si="82"/>
        <v>4649.9293600000001</v>
      </c>
      <c r="AB471">
        <f t="shared" si="83"/>
        <v>4632.0714875000003</v>
      </c>
      <c r="AC471">
        <f t="shared" si="84"/>
        <v>4647.2023300000001</v>
      </c>
      <c r="AF471">
        <f t="shared" si="85"/>
        <v>4648.4868699999997</v>
      </c>
      <c r="AG471">
        <f t="shared" si="86"/>
        <v>4658.4650149999998</v>
      </c>
      <c r="AH471">
        <f t="shared" si="87"/>
        <v>4632.0714875000003</v>
      </c>
    </row>
    <row r="472" spans="1:34" x14ac:dyDescent="0.55000000000000004">
      <c r="A472">
        <f>ALGLIB_SSA_XAUUSD!J472</f>
        <v>1775535000</v>
      </c>
      <c r="B472" t="str">
        <f>_xlfn.XLOOKUP($A472,ALGLIB_SSA_XAUUSD!$A$2:$A$1000,ALGLIB_SSA_XAUUSD!$B$2:$B$1000,"",0)</f>
        <v/>
      </c>
      <c r="C472" t="str">
        <f>_xlfn.XLOOKUP($A472,ALGLIB_SSA_XAUUSD!$A$2:$A$1000,ALGLIB_SSA_XAUUSD!$C$2:$C$1000,"",0)</f>
        <v/>
      </c>
      <c r="D472" s="1">
        <f>D470+(D482-D470)*2/12</f>
        <v>4656.6233333333339</v>
      </c>
      <c r="E472" s="1">
        <f>E470+(E482-E470)*2/12</f>
        <v>4649.7409866666667</v>
      </c>
      <c r="F472" s="1">
        <f>F470+(F482-F470)*2/12</f>
        <v>4648.2432116666669</v>
      </c>
      <c r="G472" s="1">
        <f>G470+(G482-G470)*2/12</f>
        <v>4658.7972</v>
      </c>
      <c r="H472" s="1">
        <f>H470+(H482-H470)*2/12</f>
        <v>4632.2702850000005</v>
      </c>
      <c r="I472" t="str">
        <f>_xlfn.XLOOKUP($A472,ALGLIB_SSA_XAUUSD!$J$2:$J$1000,ALGLIB_SSA_XAUUSD!$K$2:$K$1000,"",0)</f>
        <v>XAUUSD</v>
      </c>
      <c r="J472" t="str">
        <f>_xlfn.XLOOKUP($A472,ALGLIB_SSA_XAUUSD!$J$2:$J$1000,ALGLIB_SSA_XAUUSD!$L$2:$L$1000,"",0)</f>
        <v>M5</v>
      </c>
      <c r="K472">
        <f>_xlfn.XLOOKUP($A472,ALGLIB_SSA_XAUUSD!$J$2:$J$1000,ALGLIB_SSA_XAUUSD!$M$2:$M$1000,"",0)</f>
        <v>4646.25</v>
      </c>
      <c r="L472">
        <f>_xlfn.XLOOKUP($A472,ALGLIB_SSA_XAUUSD!$J$2:$J$1000,ALGLIB_SSA_XAUUSD!$N$2:$N$1000,"",0)</f>
        <v>4648.5910299999996</v>
      </c>
      <c r="M472">
        <f>_xlfn.XLOOKUP($A472,ALGLIB_SSA_XAUUSD!$J$2:$J$1000,ALGLIB_SSA_XAUUSD!$O$2:$O$1000,"",0)</f>
        <v>4648.5033800000001</v>
      </c>
      <c r="N472">
        <f>_xlfn.XLOOKUP($A472,ALGLIB_SSA_XAUUSD!$J$2:$J$1000,ALGLIB_SSA_XAUUSD!$P$2:$P$1000,"",0)</f>
        <v>4650.0206200000002</v>
      </c>
      <c r="O472">
        <f>_xlfn.XLOOKUP($A472,ALGLIB_SSA_XAUUSD!$J$2:$J$1000,ALGLIB_SSA_XAUUSD!$Q$2:$Q$1000,"",0)</f>
        <v>4646.8915299999999</v>
      </c>
      <c r="R472">
        <f t="shared" si="77"/>
        <v>1775535000</v>
      </c>
      <c r="S472" t="str">
        <f t="shared" si="78"/>
        <v>XAUUSD</v>
      </c>
      <c r="T472" t="str">
        <f t="shared" si="79"/>
        <v>M5</v>
      </c>
      <c r="U472">
        <f t="shared" si="80"/>
        <v>4646.25</v>
      </c>
      <c r="V472">
        <v>4649.7409900000002</v>
      </c>
      <c r="W472">
        <v>4648.2432099999996</v>
      </c>
      <c r="X472">
        <v>4648.5910299999996</v>
      </c>
      <c r="Y472">
        <v>4648.5033800000001</v>
      </c>
      <c r="Z472">
        <f t="shared" si="81"/>
        <v>4658.7972</v>
      </c>
      <c r="AA472">
        <f t="shared" si="82"/>
        <v>4650.0206200000002</v>
      </c>
      <c r="AB472">
        <f t="shared" si="83"/>
        <v>4632.2702850000005</v>
      </c>
      <c r="AC472">
        <f t="shared" si="84"/>
        <v>4646.8915299999999</v>
      </c>
      <c r="AF472">
        <f t="shared" si="85"/>
        <v>4648.5910299999996</v>
      </c>
      <c r="AG472">
        <f t="shared" si="86"/>
        <v>4658.7972</v>
      </c>
      <c r="AH472">
        <f t="shared" si="87"/>
        <v>4632.2702850000005</v>
      </c>
    </row>
    <row r="473" spans="1:34" x14ac:dyDescent="0.55000000000000004">
      <c r="A473">
        <f>ALGLIB_SSA_XAUUSD!J473</f>
        <v>1775535300</v>
      </c>
      <c r="B473" t="str">
        <f>_xlfn.XLOOKUP($A473,ALGLIB_SSA_XAUUSD!$A$2:$A$1000,ALGLIB_SSA_XAUUSD!$B$2:$B$1000,"",0)</f>
        <v/>
      </c>
      <c r="C473" t="str">
        <f>_xlfn.XLOOKUP($A473,ALGLIB_SSA_XAUUSD!$A$2:$A$1000,ALGLIB_SSA_XAUUSD!$C$2:$C$1000,"",0)</f>
        <v/>
      </c>
      <c r="D473" s="1">
        <f>D470+(D482-D470)*3/12</f>
        <v>4655.26</v>
      </c>
      <c r="E473" s="1">
        <f>E470+(E482-E470)*3/12</f>
        <v>4650.0637699999997</v>
      </c>
      <c r="F473" s="1">
        <f>F470+(F482-F470)*3/12</f>
        <v>4648.4580125000002</v>
      </c>
      <c r="G473" s="1">
        <f>G470+(G482-G470)*3/12</f>
        <v>4659.1293850000002</v>
      </c>
      <c r="H473" s="1">
        <f>H470+(H482-H470)*3/12</f>
        <v>4632.4690824999998</v>
      </c>
      <c r="I473" t="str">
        <f>_xlfn.XLOOKUP($A473,ALGLIB_SSA_XAUUSD!$J$2:$J$1000,ALGLIB_SSA_XAUUSD!$K$2:$K$1000,"",0)</f>
        <v>XAUUSD</v>
      </c>
      <c r="J473" t="str">
        <f>_xlfn.XLOOKUP($A473,ALGLIB_SSA_XAUUSD!$J$2:$J$1000,ALGLIB_SSA_XAUUSD!$L$2:$L$1000,"",0)</f>
        <v>M5</v>
      </c>
      <c r="K473">
        <f>_xlfn.XLOOKUP($A473,ALGLIB_SSA_XAUUSD!$J$2:$J$1000,ALGLIB_SSA_XAUUSD!$M$2:$M$1000,"",0)</f>
        <v>4649.3999999999996</v>
      </c>
      <c r="L473">
        <f>_xlfn.XLOOKUP($A473,ALGLIB_SSA_XAUUSD!$J$2:$J$1000,ALGLIB_SSA_XAUUSD!$N$2:$N$1000,"",0)</f>
        <v>4649.2227400000002</v>
      </c>
      <c r="M473">
        <f>_xlfn.XLOOKUP($A473,ALGLIB_SSA_XAUUSD!$J$2:$J$1000,ALGLIB_SSA_XAUUSD!$O$2:$O$1000,"",0)</f>
        <v>4648.8630599999997</v>
      </c>
      <c r="N473">
        <f>_xlfn.XLOOKUP($A473,ALGLIB_SSA_XAUUSD!$J$2:$J$1000,ALGLIB_SSA_XAUUSD!$P$2:$P$1000,"",0)</f>
        <v>4650.5370199999998</v>
      </c>
      <c r="O473">
        <f>_xlfn.XLOOKUP($A473,ALGLIB_SSA_XAUUSD!$J$2:$J$1000,ALGLIB_SSA_XAUUSD!$Q$2:$Q$1000,"",0)</f>
        <v>4646.9499100000003</v>
      </c>
      <c r="R473">
        <f t="shared" si="77"/>
        <v>1775535300</v>
      </c>
      <c r="S473" t="str">
        <f t="shared" si="78"/>
        <v>XAUUSD</v>
      </c>
      <c r="T473" t="str">
        <f t="shared" si="79"/>
        <v>M5</v>
      </c>
      <c r="U473">
        <f t="shared" si="80"/>
        <v>4649.3999999999996</v>
      </c>
      <c r="V473">
        <v>4650.0637699999997</v>
      </c>
      <c r="W473">
        <v>4648.4580100000003</v>
      </c>
      <c r="X473">
        <v>4649.2227400000002</v>
      </c>
      <c r="Y473">
        <v>4648.8630599999997</v>
      </c>
      <c r="Z473">
        <f t="shared" si="81"/>
        <v>4659.1293850000002</v>
      </c>
      <c r="AA473">
        <f t="shared" si="82"/>
        <v>4650.5370199999998</v>
      </c>
      <c r="AB473">
        <f t="shared" si="83"/>
        <v>4632.4690824999998</v>
      </c>
      <c r="AC473">
        <f t="shared" si="84"/>
        <v>4646.9499100000003</v>
      </c>
      <c r="AF473">
        <f t="shared" si="85"/>
        <v>4649.2227400000002</v>
      </c>
      <c r="AG473">
        <f t="shared" si="86"/>
        <v>4659.1293850000002</v>
      </c>
      <c r="AH473">
        <f t="shared" si="87"/>
        <v>4632.4690824999998</v>
      </c>
    </row>
    <row r="474" spans="1:34" x14ac:dyDescent="0.55000000000000004">
      <c r="A474">
        <f>ALGLIB_SSA_XAUUSD!J474</f>
        <v>1775535600</v>
      </c>
      <c r="B474" t="str">
        <f>_xlfn.XLOOKUP($A474,ALGLIB_SSA_XAUUSD!$A$2:$A$1000,ALGLIB_SSA_XAUUSD!$B$2:$B$1000,"",0)</f>
        <v/>
      </c>
      <c r="C474" t="str">
        <f>_xlfn.XLOOKUP($A474,ALGLIB_SSA_XAUUSD!$A$2:$A$1000,ALGLIB_SSA_XAUUSD!$C$2:$C$1000,"",0)</f>
        <v/>
      </c>
      <c r="D474" s="1">
        <f>D470+(D482-D470)*4/12</f>
        <v>4653.8966666666665</v>
      </c>
      <c r="E474" s="1">
        <f>E470+(E482-E470)*4/12</f>
        <v>4650.3865533333328</v>
      </c>
      <c r="F474" s="1">
        <f>F470+(F482-F470)*4/12</f>
        <v>4648.6728133333336</v>
      </c>
      <c r="G474" s="1">
        <f>G470+(G482-G470)*4/12</f>
        <v>4659.4615699999995</v>
      </c>
      <c r="H474" s="1">
        <f>H470+(H482-H470)*4/12</f>
        <v>4632.66788</v>
      </c>
      <c r="I474" t="str">
        <f>_xlfn.XLOOKUP($A474,ALGLIB_SSA_XAUUSD!$J$2:$J$1000,ALGLIB_SSA_XAUUSD!$K$2:$K$1000,"",0)</f>
        <v>XAUUSD</v>
      </c>
      <c r="J474" t="str">
        <f>_xlfn.XLOOKUP($A474,ALGLIB_SSA_XAUUSD!$J$2:$J$1000,ALGLIB_SSA_XAUUSD!$L$2:$L$1000,"",0)</f>
        <v>M5</v>
      </c>
      <c r="K474">
        <f>_xlfn.XLOOKUP($A474,ALGLIB_SSA_XAUUSD!$J$2:$J$1000,ALGLIB_SSA_XAUUSD!$M$2:$M$1000,"",0)</f>
        <v>4649.76</v>
      </c>
      <c r="L474">
        <f>_xlfn.XLOOKUP($A474,ALGLIB_SSA_XAUUSD!$J$2:$J$1000,ALGLIB_SSA_XAUUSD!$N$2:$N$1000,"",0)</f>
        <v>4650.4913500000002</v>
      </c>
      <c r="M474">
        <f>_xlfn.XLOOKUP($A474,ALGLIB_SSA_XAUUSD!$J$2:$J$1000,ALGLIB_SSA_XAUUSD!$O$2:$O$1000,"",0)</f>
        <v>4649.6772000000001</v>
      </c>
      <c r="N474">
        <f>_xlfn.XLOOKUP($A474,ALGLIB_SSA_XAUUSD!$J$2:$J$1000,ALGLIB_SSA_XAUUSD!$P$2:$P$1000,"",0)</f>
        <v>4651.6712299999999</v>
      </c>
      <c r="O474">
        <f>_xlfn.XLOOKUP($A474,ALGLIB_SSA_XAUUSD!$J$2:$J$1000,ALGLIB_SSA_XAUUSD!$Q$2:$Q$1000,"",0)</f>
        <v>4647.6670100000001</v>
      </c>
      <c r="R474">
        <f t="shared" si="77"/>
        <v>1775535600</v>
      </c>
      <c r="S474" t="str">
        <f t="shared" si="78"/>
        <v>XAUUSD</v>
      </c>
      <c r="T474" t="str">
        <f t="shared" si="79"/>
        <v>M5</v>
      </c>
      <c r="U474">
        <f t="shared" si="80"/>
        <v>4649.76</v>
      </c>
      <c r="V474">
        <v>4650.3865500000002</v>
      </c>
      <c r="W474">
        <v>4648.67281</v>
      </c>
      <c r="X474">
        <v>4650.4913500000002</v>
      </c>
      <c r="Y474">
        <v>4649.6772000000001</v>
      </c>
      <c r="Z474">
        <f t="shared" si="81"/>
        <v>4659.4615699999995</v>
      </c>
      <c r="AA474">
        <f t="shared" si="82"/>
        <v>4651.6712299999999</v>
      </c>
      <c r="AB474">
        <f t="shared" si="83"/>
        <v>4632.66788</v>
      </c>
      <c r="AC474">
        <f t="shared" si="84"/>
        <v>4647.6670100000001</v>
      </c>
      <c r="AF474">
        <f t="shared" si="85"/>
        <v>4650.4913500000002</v>
      </c>
      <c r="AG474">
        <f t="shared" si="86"/>
        <v>4659.4615699999995</v>
      </c>
      <c r="AH474">
        <f t="shared" si="87"/>
        <v>4632.66788</v>
      </c>
    </row>
    <row r="475" spans="1:34" x14ac:dyDescent="0.55000000000000004">
      <c r="A475">
        <f>ALGLIB_SSA_XAUUSD!J475</f>
        <v>1775535900</v>
      </c>
      <c r="B475" t="str">
        <f>_xlfn.XLOOKUP($A475,ALGLIB_SSA_XAUUSD!$A$2:$A$1000,ALGLIB_SSA_XAUUSD!$B$2:$B$1000,"",0)</f>
        <v/>
      </c>
      <c r="C475" t="str">
        <f>_xlfn.XLOOKUP($A475,ALGLIB_SSA_XAUUSD!$A$2:$A$1000,ALGLIB_SSA_XAUUSD!$C$2:$C$1000,"",0)</f>
        <v/>
      </c>
      <c r="D475" s="1">
        <f>D470+(D482-D470)*5/12</f>
        <v>4652.5333333333338</v>
      </c>
      <c r="E475" s="1">
        <f>E470+(E482-E470)*5/12</f>
        <v>4650.7093366666668</v>
      </c>
      <c r="F475" s="1">
        <f>F470+(F482-F470)*5/12</f>
        <v>4648.8876141666669</v>
      </c>
      <c r="G475" s="1">
        <f>G470+(G482-G470)*5/12</f>
        <v>4659.7937549999997</v>
      </c>
      <c r="H475" s="1">
        <f>H470+(H482-H470)*5/12</f>
        <v>4632.8666775000002</v>
      </c>
      <c r="I475" t="str">
        <f>_xlfn.XLOOKUP($A475,ALGLIB_SSA_XAUUSD!$J$2:$J$1000,ALGLIB_SSA_XAUUSD!$K$2:$K$1000,"",0)</f>
        <v>XAUUSD</v>
      </c>
      <c r="J475" t="str">
        <f>_xlfn.XLOOKUP($A475,ALGLIB_SSA_XAUUSD!$J$2:$J$1000,ALGLIB_SSA_XAUUSD!$L$2:$L$1000,"",0)</f>
        <v>M5</v>
      </c>
      <c r="K475">
        <f>_xlfn.XLOOKUP($A475,ALGLIB_SSA_XAUUSD!$J$2:$J$1000,ALGLIB_SSA_XAUUSD!$M$2:$M$1000,"",0)</f>
        <v>4650.08</v>
      </c>
      <c r="L475">
        <f>_xlfn.XLOOKUP($A475,ALGLIB_SSA_XAUUSD!$J$2:$J$1000,ALGLIB_SSA_XAUUSD!$N$2:$N$1000,"",0)</f>
        <v>4652.4430300000004</v>
      </c>
      <c r="M475">
        <f>_xlfn.XLOOKUP($A475,ALGLIB_SSA_XAUUSD!$J$2:$J$1000,ALGLIB_SSA_XAUUSD!$O$2:$O$1000,"",0)</f>
        <v>4651.0601200000001</v>
      </c>
      <c r="N475">
        <f>_xlfn.XLOOKUP($A475,ALGLIB_SSA_XAUUSD!$J$2:$J$1000,ALGLIB_SSA_XAUUSD!$P$2:$P$1000,"",0)</f>
        <v>4653.5068000000001</v>
      </c>
      <c r="O475">
        <f>_xlfn.XLOOKUP($A475,ALGLIB_SSA_XAUUSD!$J$2:$J$1000,ALGLIB_SSA_XAUUSD!$Q$2:$Q$1000,"",0)</f>
        <v>4649.1671500000002</v>
      </c>
      <c r="R475">
        <f t="shared" si="77"/>
        <v>1775535900</v>
      </c>
      <c r="S475" t="str">
        <f t="shared" si="78"/>
        <v>XAUUSD</v>
      </c>
      <c r="T475" t="str">
        <f t="shared" si="79"/>
        <v>M5</v>
      </c>
      <c r="U475">
        <f t="shared" si="80"/>
        <v>4650.08</v>
      </c>
      <c r="V475">
        <v>4650.7093400000003</v>
      </c>
      <c r="W475">
        <v>4648.8876099999998</v>
      </c>
      <c r="X475">
        <v>4652.4430300000004</v>
      </c>
      <c r="Y475">
        <v>4651.0601200000001</v>
      </c>
      <c r="Z475">
        <f t="shared" si="81"/>
        <v>4659.7937549999997</v>
      </c>
      <c r="AA475">
        <f t="shared" si="82"/>
        <v>4653.5068000000001</v>
      </c>
      <c r="AB475">
        <f t="shared" si="83"/>
        <v>4632.8666775000002</v>
      </c>
      <c r="AC475">
        <f t="shared" si="84"/>
        <v>4649.1671500000002</v>
      </c>
      <c r="AF475">
        <f t="shared" si="85"/>
        <v>4652.4430300000004</v>
      </c>
      <c r="AG475">
        <f t="shared" si="86"/>
        <v>4659.7937549999997</v>
      </c>
      <c r="AH475">
        <f t="shared" si="87"/>
        <v>4632.8666775000002</v>
      </c>
    </row>
    <row r="476" spans="1:34" x14ac:dyDescent="0.55000000000000004">
      <c r="A476">
        <f>ALGLIB_SSA_XAUUSD!J476</f>
        <v>1775536200</v>
      </c>
      <c r="B476" t="str">
        <f>_xlfn.XLOOKUP($A476,ALGLIB_SSA_XAUUSD!$A$2:$A$1000,ALGLIB_SSA_XAUUSD!$B$2:$B$1000,"",0)</f>
        <v/>
      </c>
      <c r="C476" t="str">
        <f>_xlfn.XLOOKUP($A476,ALGLIB_SSA_XAUUSD!$A$2:$A$1000,ALGLIB_SSA_XAUUSD!$C$2:$C$1000,"",0)</f>
        <v/>
      </c>
      <c r="D476" s="1">
        <f>D470+(D482-D470)*6/12</f>
        <v>4651.17</v>
      </c>
      <c r="E476" s="1">
        <f>E470+(E482-E470)*6/12</f>
        <v>4651.0321199999998</v>
      </c>
      <c r="F476" s="1">
        <f>F470+(F482-F470)*6/12</f>
        <v>4649.1024150000003</v>
      </c>
      <c r="G476" s="1">
        <f>G470+(G482-G470)*6/12</f>
        <v>4660.1259399999999</v>
      </c>
      <c r="H476" s="1">
        <f>H470+(H482-H470)*6/12</f>
        <v>4633.0654749999994</v>
      </c>
      <c r="I476" t="str">
        <f>_xlfn.XLOOKUP($A476,ALGLIB_SSA_XAUUSD!$J$2:$J$1000,ALGLIB_SSA_XAUUSD!$K$2:$K$1000,"",0)</f>
        <v>XAUUSD</v>
      </c>
      <c r="J476" t="str">
        <f>_xlfn.XLOOKUP($A476,ALGLIB_SSA_XAUUSD!$J$2:$J$1000,ALGLIB_SSA_XAUUSD!$L$2:$L$1000,"",0)</f>
        <v>M5</v>
      </c>
      <c r="K476">
        <f>_xlfn.XLOOKUP($A476,ALGLIB_SSA_XAUUSD!$J$2:$J$1000,ALGLIB_SSA_XAUUSD!$M$2:$M$1000,"",0)</f>
        <v>4658.8100000000004</v>
      </c>
      <c r="L476">
        <f>_xlfn.XLOOKUP($A476,ALGLIB_SSA_XAUUSD!$J$2:$J$1000,ALGLIB_SSA_XAUUSD!$N$2:$N$1000,"",0)</f>
        <v>4654.9628700000003</v>
      </c>
      <c r="M476">
        <f>_xlfn.XLOOKUP($A476,ALGLIB_SSA_XAUUSD!$J$2:$J$1000,ALGLIB_SSA_XAUUSD!$O$2:$O$1000,"",0)</f>
        <v>4653.0114899999999</v>
      </c>
      <c r="N476">
        <f>_xlfn.XLOOKUP($A476,ALGLIB_SSA_XAUUSD!$J$2:$J$1000,ALGLIB_SSA_XAUUSD!$P$2:$P$1000,"",0)</f>
        <v>4655.9501799999998</v>
      </c>
      <c r="O476">
        <f>_xlfn.XLOOKUP($A476,ALGLIB_SSA_XAUUSD!$J$2:$J$1000,ALGLIB_SSA_XAUUSD!$Q$2:$Q$1000,"",0)</f>
        <v>4651.4213600000003</v>
      </c>
      <c r="R476">
        <f t="shared" si="77"/>
        <v>1775536200</v>
      </c>
      <c r="S476" t="str">
        <f t="shared" si="78"/>
        <v>XAUUSD</v>
      </c>
      <c r="T476" t="str">
        <f t="shared" si="79"/>
        <v>M5</v>
      </c>
      <c r="U476">
        <f t="shared" si="80"/>
        <v>4658.8100000000004</v>
      </c>
      <c r="V476">
        <v>4651.0321199999998</v>
      </c>
      <c r="W476">
        <v>4649.1024200000002</v>
      </c>
      <c r="X476">
        <v>4654.9628700000003</v>
      </c>
      <c r="Y476">
        <v>4653.0114899999999</v>
      </c>
      <c r="Z476">
        <f t="shared" si="81"/>
        <v>4660.1259399999999</v>
      </c>
      <c r="AA476">
        <f t="shared" si="82"/>
        <v>4655.9501799999998</v>
      </c>
      <c r="AB476">
        <f t="shared" si="83"/>
        <v>4633.0654749999994</v>
      </c>
      <c r="AC476">
        <f t="shared" si="84"/>
        <v>4651.4213600000003</v>
      </c>
      <c r="AF476">
        <f t="shared" si="85"/>
        <v>4654.9628700000003</v>
      </c>
      <c r="AG476">
        <f t="shared" si="86"/>
        <v>4660.1259399999999</v>
      </c>
      <c r="AH476">
        <f t="shared" si="87"/>
        <v>4633.0654749999994</v>
      </c>
    </row>
    <row r="477" spans="1:34" x14ac:dyDescent="0.55000000000000004">
      <c r="A477">
        <f>ALGLIB_SSA_XAUUSD!J477</f>
        <v>1775536500</v>
      </c>
      <c r="B477" t="str">
        <f>_xlfn.XLOOKUP($A477,ALGLIB_SSA_XAUUSD!$A$2:$A$1000,ALGLIB_SSA_XAUUSD!$B$2:$B$1000,"",0)</f>
        <v/>
      </c>
      <c r="C477" t="str">
        <f>_xlfn.XLOOKUP($A477,ALGLIB_SSA_XAUUSD!$A$2:$A$1000,ALGLIB_SSA_XAUUSD!$C$2:$C$1000,"",0)</f>
        <v/>
      </c>
      <c r="D477" s="1">
        <f>D470+(D482-D470)*7/12</f>
        <v>4649.8066666666664</v>
      </c>
      <c r="E477" s="1">
        <f>E470+(E482-E470)*7/12</f>
        <v>4651.3549033333329</v>
      </c>
      <c r="F477" s="1">
        <f>F470+(F482-F470)*7/12</f>
        <v>4649.3172158333336</v>
      </c>
      <c r="G477" s="1">
        <f>G470+(G482-G470)*7/12</f>
        <v>4660.4581250000001</v>
      </c>
      <c r="H477" s="1">
        <f>H470+(H482-H470)*7/12</f>
        <v>4633.2642724999996</v>
      </c>
      <c r="I477" t="str">
        <f>_xlfn.XLOOKUP($A477,ALGLIB_SSA_XAUUSD!$J$2:$J$1000,ALGLIB_SSA_XAUUSD!$K$2:$K$1000,"",0)</f>
        <v>XAUUSD</v>
      </c>
      <c r="J477" t="str">
        <f>_xlfn.XLOOKUP($A477,ALGLIB_SSA_XAUUSD!$J$2:$J$1000,ALGLIB_SSA_XAUUSD!$L$2:$L$1000,"",0)</f>
        <v>M5</v>
      </c>
      <c r="K477">
        <f>_xlfn.XLOOKUP($A477,ALGLIB_SSA_XAUUSD!$J$2:$J$1000,ALGLIB_SSA_XAUUSD!$M$2:$M$1000,"",0)</f>
        <v>4658.4799999999996</v>
      </c>
      <c r="L477">
        <f>_xlfn.XLOOKUP($A477,ALGLIB_SSA_XAUUSD!$J$2:$J$1000,ALGLIB_SSA_XAUUSD!$N$2:$N$1000,"",0)</f>
        <v>4657.5779499999999</v>
      </c>
      <c r="M477">
        <f>_xlfn.XLOOKUP($A477,ALGLIB_SSA_XAUUSD!$J$2:$J$1000,ALGLIB_SSA_XAUUSD!$O$2:$O$1000,"",0)</f>
        <v>4655.2947199999999</v>
      </c>
      <c r="N477">
        <f>_xlfn.XLOOKUP($A477,ALGLIB_SSA_XAUUSD!$J$2:$J$1000,ALGLIB_SSA_XAUUSD!$P$2:$P$1000,"",0)</f>
        <v>4658.5821100000003</v>
      </c>
      <c r="O477">
        <f>_xlfn.XLOOKUP($A477,ALGLIB_SSA_XAUUSD!$J$2:$J$1000,ALGLIB_SSA_XAUUSD!$Q$2:$Q$1000,"",0)</f>
        <v>4654.2368299999998</v>
      </c>
      <c r="R477">
        <f t="shared" si="77"/>
        <v>1775536500</v>
      </c>
      <c r="S477" t="str">
        <f t="shared" si="78"/>
        <v>XAUUSD</v>
      </c>
      <c r="T477" t="str">
        <f t="shared" si="79"/>
        <v>M5</v>
      </c>
      <c r="U477">
        <f t="shared" si="80"/>
        <v>4658.4799999999996</v>
      </c>
      <c r="V477">
        <v>4651.3549000000003</v>
      </c>
      <c r="W477">
        <v>4649.3172199999999</v>
      </c>
      <c r="X477">
        <v>4657.5779499999999</v>
      </c>
      <c r="Y477">
        <v>4655.2947199999999</v>
      </c>
      <c r="Z477">
        <f t="shared" si="81"/>
        <v>4660.4581250000001</v>
      </c>
      <c r="AA477">
        <f t="shared" si="82"/>
        <v>4658.5821100000003</v>
      </c>
      <c r="AB477">
        <f t="shared" si="83"/>
        <v>4633.2642724999996</v>
      </c>
      <c r="AC477">
        <f t="shared" si="84"/>
        <v>4654.2368299999998</v>
      </c>
      <c r="AF477">
        <f t="shared" si="85"/>
        <v>4657.5779499999999</v>
      </c>
      <c r="AG477">
        <f t="shared" si="86"/>
        <v>4660.4581250000001</v>
      </c>
      <c r="AH477">
        <f t="shared" si="87"/>
        <v>4633.2642724999996</v>
      </c>
    </row>
    <row r="478" spans="1:34" x14ac:dyDescent="0.55000000000000004">
      <c r="A478">
        <f>ALGLIB_SSA_XAUUSD!J478</f>
        <v>1775536800</v>
      </c>
      <c r="B478" t="str">
        <f>_xlfn.XLOOKUP($A478,ALGLIB_SSA_XAUUSD!$A$2:$A$1000,ALGLIB_SSA_XAUUSD!$B$2:$B$1000,"",0)</f>
        <v/>
      </c>
      <c r="C478" t="str">
        <f>_xlfn.XLOOKUP($A478,ALGLIB_SSA_XAUUSD!$A$2:$A$1000,ALGLIB_SSA_XAUUSD!$C$2:$C$1000,"",0)</f>
        <v/>
      </c>
      <c r="D478" s="1">
        <f>D470+(D482-D470)*8/12</f>
        <v>4648.4433333333336</v>
      </c>
      <c r="E478" s="1">
        <f>E470+(E482-E470)*8/12</f>
        <v>4651.6776866666669</v>
      </c>
      <c r="F478" s="1">
        <f>F470+(F482-F470)*8/12</f>
        <v>4649.532016666667</v>
      </c>
      <c r="G478" s="1">
        <f>G470+(G482-G470)*8/12</f>
        <v>4660.7903100000003</v>
      </c>
      <c r="H478" s="1">
        <f>H470+(H482-H470)*8/12</f>
        <v>4633.4630699999998</v>
      </c>
      <c r="I478" t="str">
        <f>_xlfn.XLOOKUP($A478,ALGLIB_SSA_XAUUSD!$J$2:$J$1000,ALGLIB_SSA_XAUUSD!$K$2:$K$1000,"",0)</f>
        <v>XAUUSD</v>
      </c>
      <c r="J478" t="str">
        <f>_xlfn.XLOOKUP($A478,ALGLIB_SSA_XAUUSD!$J$2:$J$1000,ALGLIB_SSA_XAUUSD!$L$2:$L$1000,"",0)</f>
        <v>M5</v>
      </c>
      <c r="K478">
        <f>_xlfn.XLOOKUP($A478,ALGLIB_SSA_XAUUSD!$J$2:$J$1000,ALGLIB_SSA_XAUUSD!$M$2:$M$1000,"",0)</f>
        <v>4661.8100000000004</v>
      </c>
      <c r="L478">
        <f>_xlfn.XLOOKUP($A478,ALGLIB_SSA_XAUUSD!$J$2:$J$1000,ALGLIB_SSA_XAUUSD!$N$2:$N$1000,"",0)</f>
        <v>4659.9480299999996</v>
      </c>
      <c r="M478">
        <f>_xlfn.XLOOKUP($A478,ALGLIB_SSA_XAUUSD!$J$2:$J$1000,ALGLIB_SSA_XAUUSD!$O$2:$O$1000,"",0)</f>
        <v>4657.6213799999996</v>
      </c>
      <c r="N478">
        <f>_xlfn.XLOOKUP($A478,ALGLIB_SSA_XAUUSD!$J$2:$J$1000,ALGLIB_SSA_XAUUSD!$P$2:$P$1000,"",0)</f>
        <v>4661.0434299999997</v>
      </c>
      <c r="O478">
        <f>_xlfn.XLOOKUP($A478,ALGLIB_SSA_XAUUSD!$J$2:$J$1000,ALGLIB_SSA_XAUUSD!$Q$2:$Q$1000,"",0)</f>
        <v>4657.0763100000004</v>
      </c>
      <c r="R478">
        <f t="shared" si="77"/>
        <v>1775536800</v>
      </c>
      <c r="S478" t="str">
        <f t="shared" si="78"/>
        <v>XAUUSD</v>
      </c>
      <c r="T478" t="str">
        <f t="shared" si="79"/>
        <v>M5</v>
      </c>
      <c r="U478">
        <f t="shared" si="80"/>
        <v>4661.8100000000004</v>
      </c>
      <c r="V478">
        <v>4651.6776900000004</v>
      </c>
      <c r="W478">
        <v>4649.5320199999996</v>
      </c>
      <c r="X478">
        <v>4659.9480299999996</v>
      </c>
      <c r="Y478">
        <v>4657.6213799999996</v>
      </c>
      <c r="Z478">
        <f t="shared" si="81"/>
        <v>4660.7903100000003</v>
      </c>
      <c r="AA478">
        <f t="shared" si="82"/>
        <v>4661.0434299999997</v>
      </c>
      <c r="AB478">
        <f t="shared" si="83"/>
        <v>4633.4630699999998</v>
      </c>
      <c r="AC478">
        <f t="shared" si="84"/>
        <v>4657.0763100000004</v>
      </c>
      <c r="AF478">
        <f t="shared" si="85"/>
        <v>4659.9480299999996</v>
      </c>
      <c r="AG478">
        <f t="shared" si="86"/>
        <v>4660.7903100000003</v>
      </c>
      <c r="AH478">
        <f t="shared" si="87"/>
        <v>4633.4630699999998</v>
      </c>
    </row>
    <row r="479" spans="1:34" x14ac:dyDescent="0.55000000000000004">
      <c r="A479">
        <f>ALGLIB_SSA_XAUUSD!J479</f>
        <v>1775537100</v>
      </c>
      <c r="B479" t="str">
        <f>_xlfn.XLOOKUP($A479,ALGLIB_SSA_XAUUSD!$A$2:$A$1000,ALGLIB_SSA_XAUUSD!$B$2:$B$1000,"",0)</f>
        <v/>
      </c>
      <c r="C479" t="str">
        <f>_xlfn.XLOOKUP($A479,ALGLIB_SSA_XAUUSD!$A$2:$A$1000,ALGLIB_SSA_XAUUSD!$C$2:$C$1000,"",0)</f>
        <v/>
      </c>
      <c r="D479" s="1">
        <f>D470+(D482-D470)*9/12</f>
        <v>4647.08</v>
      </c>
      <c r="E479" s="1">
        <f>E470+(E482-E470)*9/12</f>
        <v>4652.00047</v>
      </c>
      <c r="F479" s="1">
        <f>F470+(F482-F470)*9/12</f>
        <v>4649.7468175000004</v>
      </c>
      <c r="G479" s="1">
        <f>G470+(G482-G470)*9/12</f>
        <v>4661.1224949999996</v>
      </c>
      <c r="H479" s="1">
        <f>H470+(H482-H470)*9/12</f>
        <v>4633.6618675</v>
      </c>
      <c r="I479" t="str">
        <f>_xlfn.XLOOKUP($A479,ALGLIB_SSA_XAUUSD!$J$2:$J$1000,ALGLIB_SSA_XAUUSD!$K$2:$K$1000,"",0)</f>
        <v>XAUUSD</v>
      </c>
      <c r="J479" t="str">
        <f>_xlfn.XLOOKUP($A479,ALGLIB_SSA_XAUUSD!$J$2:$J$1000,ALGLIB_SSA_XAUUSD!$L$2:$L$1000,"",0)</f>
        <v>M5</v>
      </c>
      <c r="K479">
        <f>_xlfn.XLOOKUP($A479,ALGLIB_SSA_XAUUSD!$J$2:$J$1000,ALGLIB_SSA_XAUUSD!$M$2:$M$1000,"",0)</f>
        <v>4660.8900000000003</v>
      </c>
      <c r="L479">
        <f>_xlfn.XLOOKUP($A479,ALGLIB_SSA_XAUUSD!$J$2:$J$1000,ALGLIB_SSA_XAUUSD!$N$2:$N$1000,"",0)</f>
        <v>4661.6254600000002</v>
      </c>
      <c r="M479">
        <f>_xlfn.XLOOKUP($A479,ALGLIB_SSA_XAUUSD!$J$2:$J$1000,ALGLIB_SSA_XAUUSD!$O$2:$O$1000,"",0)</f>
        <v>4659.6234199999999</v>
      </c>
      <c r="N479">
        <f>_xlfn.XLOOKUP($A479,ALGLIB_SSA_XAUUSD!$J$2:$J$1000,ALGLIB_SSA_XAUUSD!$P$2:$P$1000,"",0)</f>
        <v>4662.9305299999996</v>
      </c>
      <c r="O479">
        <f>_xlfn.XLOOKUP($A479,ALGLIB_SSA_XAUUSD!$J$2:$J$1000,ALGLIB_SSA_XAUUSD!$Q$2:$Q$1000,"",0)</f>
        <v>4659.4564200000004</v>
      </c>
      <c r="R479">
        <f t="shared" si="77"/>
        <v>1775537100</v>
      </c>
      <c r="S479" t="str">
        <f t="shared" si="78"/>
        <v>XAUUSD</v>
      </c>
      <c r="T479" t="str">
        <f t="shared" si="79"/>
        <v>M5</v>
      </c>
      <c r="U479">
        <f t="shared" si="80"/>
        <v>4660.8900000000003</v>
      </c>
      <c r="V479">
        <v>4652.00047</v>
      </c>
      <c r="W479">
        <v>4649.7468200000003</v>
      </c>
      <c r="X479">
        <v>4661.6254600000002</v>
      </c>
      <c r="Y479">
        <v>4659.6234199999999</v>
      </c>
      <c r="Z479">
        <f t="shared" si="81"/>
        <v>4661.1224949999996</v>
      </c>
      <c r="AA479">
        <f t="shared" si="82"/>
        <v>4662.9305299999996</v>
      </c>
      <c r="AB479">
        <f t="shared" si="83"/>
        <v>4633.6618675</v>
      </c>
      <c r="AC479">
        <f t="shared" si="84"/>
        <v>4659.4564200000004</v>
      </c>
      <c r="AF479">
        <f t="shared" si="85"/>
        <v>4661.6254600000002</v>
      </c>
      <c r="AG479">
        <f t="shared" si="86"/>
        <v>4661.1224949999996</v>
      </c>
      <c r="AH479">
        <f t="shared" si="87"/>
        <v>4633.6618675</v>
      </c>
    </row>
    <row r="480" spans="1:34" x14ac:dyDescent="0.55000000000000004">
      <c r="A480">
        <f>ALGLIB_SSA_XAUUSD!J480</f>
        <v>1775537400</v>
      </c>
      <c r="B480" t="str">
        <f>_xlfn.XLOOKUP($A480,ALGLIB_SSA_XAUUSD!$A$2:$A$1000,ALGLIB_SSA_XAUUSD!$B$2:$B$1000,"",0)</f>
        <v/>
      </c>
      <c r="C480" t="str">
        <f>_xlfn.XLOOKUP($A480,ALGLIB_SSA_XAUUSD!$A$2:$A$1000,ALGLIB_SSA_XAUUSD!$C$2:$C$1000,"",0)</f>
        <v/>
      </c>
      <c r="D480" s="1">
        <f>D470+(D482-D470)*10/12</f>
        <v>4645.7166666666662</v>
      </c>
      <c r="E480" s="1">
        <f>E470+(E482-E470)*10/12</f>
        <v>4652.323253333333</v>
      </c>
      <c r="F480" s="1">
        <f>F470+(F482-F470)*10/12</f>
        <v>4649.9616183333337</v>
      </c>
      <c r="G480" s="1">
        <f>G470+(G482-G470)*10/12</f>
        <v>4661.4546799999998</v>
      </c>
      <c r="H480" s="1">
        <f>H470+(H482-H470)*10/12</f>
        <v>4633.8606650000002</v>
      </c>
      <c r="I480" t="str">
        <f>_xlfn.XLOOKUP($A480,ALGLIB_SSA_XAUUSD!$J$2:$J$1000,ALGLIB_SSA_XAUUSD!$K$2:$K$1000,"",0)</f>
        <v>XAUUSD</v>
      </c>
      <c r="J480" t="str">
        <f>_xlfn.XLOOKUP($A480,ALGLIB_SSA_XAUUSD!$J$2:$J$1000,ALGLIB_SSA_XAUUSD!$L$2:$L$1000,"",0)</f>
        <v>M5</v>
      </c>
      <c r="K480">
        <f>_xlfn.XLOOKUP($A480,ALGLIB_SSA_XAUUSD!$J$2:$J$1000,ALGLIB_SSA_XAUUSD!$M$2:$M$1000,"",0)</f>
        <v>4661.75</v>
      </c>
      <c r="L480">
        <f>_xlfn.XLOOKUP($A480,ALGLIB_SSA_XAUUSD!$J$2:$J$1000,ALGLIB_SSA_XAUUSD!$N$2:$N$1000,"",0)</f>
        <v>4662.29007</v>
      </c>
      <c r="M480">
        <f>_xlfn.XLOOKUP($A480,ALGLIB_SSA_XAUUSD!$J$2:$J$1000,ALGLIB_SSA_XAUUSD!$O$2:$O$1000,"",0)</f>
        <v>4660.9567399999996</v>
      </c>
      <c r="N480">
        <f>_xlfn.XLOOKUP($A480,ALGLIB_SSA_XAUUSD!$J$2:$J$1000,ALGLIB_SSA_XAUUSD!$P$2:$P$1000,"",0)</f>
        <v>4663.9657100000004</v>
      </c>
      <c r="O480">
        <f>_xlfn.XLOOKUP($A480,ALGLIB_SSA_XAUUSD!$J$2:$J$1000,ALGLIB_SSA_XAUUSD!$Q$2:$Q$1000,"",0)</f>
        <v>4660.8723300000001</v>
      </c>
      <c r="R480">
        <f t="shared" si="77"/>
        <v>1775537400</v>
      </c>
      <c r="S480" t="str">
        <f t="shared" si="78"/>
        <v>XAUUSD</v>
      </c>
      <c r="T480" t="str">
        <f t="shared" si="79"/>
        <v>M5</v>
      </c>
      <c r="U480">
        <f t="shared" si="80"/>
        <v>4661.75</v>
      </c>
      <c r="V480">
        <v>4652.3232500000004</v>
      </c>
      <c r="W480">
        <v>4649.96162</v>
      </c>
      <c r="X480">
        <v>4662.29007</v>
      </c>
      <c r="Y480">
        <v>4660.9567399999996</v>
      </c>
      <c r="Z480">
        <f t="shared" si="81"/>
        <v>4661.4546799999998</v>
      </c>
      <c r="AA480">
        <f t="shared" si="82"/>
        <v>4663.9657100000004</v>
      </c>
      <c r="AB480">
        <f t="shared" si="83"/>
        <v>4633.8606650000002</v>
      </c>
      <c r="AC480">
        <f t="shared" si="84"/>
        <v>4660.8723300000001</v>
      </c>
      <c r="AF480">
        <f t="shared" si="85"/>
        <v>4662.29007</v>
      </c>
      <c r="AG480">
        <f t="shared" si="86"/>
        <v>4661.4546799999998</v>
      </c>
      <c r="AH480">
        <f t="shared" si="87"/>
        <v>4633.8606650000002</v>
      </c>
    </row>
    <row r="481" spans="1:34" x14ac:dyDescent="0.55000000000000004">
      <c r="A481">
        <f>ALGLIB_SSA_XAUUSD!J481</f>
        <v>1775537700</v>
      </c>
      <c r="B481" t="str">
        <f>_xlfn.XLOOKUP($A481,ALGLIB_SSA_XAUUSD!$A$2:$A$1000,ALGLIB_SSA_XAUUSD!$B$2:$B$1000,"",0)</f>
        <v/>
      </c>
      <c r="C481" t="str">
        <f>_xlfn.XLOOKUP($A481,ALGLIB_SSA_XAUUSD!$A$2:$A$1000,ALGLIB_SSA_XAUUSD!$C$2:$C$1000,"",0)</f>
        <v/>
      </c>
      <c r="D481" s="1">
        <f>D470+(D482-D470)*11/12</f>
        <v>4644.3533333333335</v>
      </c>
      <c r="E481" s="1">
        <f>E470+(E482-E470)*11/12</f>
        <v>4652.646036666667</v>
      </c>
      <c r="F481" s="1">
        <f>F470+(F482-F470)*11/12</f>
        <v>4650.1764191666671</v>
      </c>
      <c r="G481" s="1">
        <f>G470+(G482-G470)*11/12</f>
        <v>4661.786865</v>
      </c>
      <c r="H481" s="1">
        <f>H470+(H482-H470)*11/12</f>
        <v>4634.0594624999994</v>
      </c>
      <c r="I481" t="str">
        <f>_xlfn.XLOOKUP($A481,ALGLIB_SSA_XAUUSD!$J$2:$J$1000,ALGLIB_SSA_XAUUSD!$K$2:$K$1000,"",0)</f>
        <v>XAUUSD</v>
      </c>
      <c r="J481" t="str">
        <f>_xlfn.XLOOKUP($A481,ALGLIB_SSA_XAUUSD!$J$2:$J$1000,ALGLIB_SSA_XAUUSD!$L$2:$L$1000,"",0)</f>
        <v>M5</v>
      </c>
      <c r="K481">
        <f>_xlfn.XLOOKUP($A481,ALGLIB_SSA_XAUUSD!$J$2:$J$1000,ALGLIB_SSA_XAUUSD!$M$2:$M$1000,"",0)</f>
        <v>4659.3500000000004</v>
      </c>
      <c r="L481">
        <f>_xlfn.XLOOKUP($A481,ALGLIB_SSA_XAUUSD!$J$2:$J$1000,ALGLIB_SSA_XAUUSD!$N$2:$N$1000,"",0)</f>
        <v>4661.68433</v>
      </c>
      <c r="M481">
        <f>_xlfn.XLOOKUP($A481,ALGLIB_SSA_XAUUSD!$J$2:$J$1000,ALGLIB_SSA_XAUUSD!$O$2:$O$1000,"",0)</f>
        <v>4661.3205399999997</v>
      </c>
      <c r="N481">
        <f>_xlfn.XLOOKUP($A481,ALGLIB_SSA_XAUUSD!$J$2:$J$1000,ALGLIB_SSA_XAUUSD!$P$2:$P$1000,"",0)</f>
        <v>4663.9423100000004</v>
      </c>
      <c r="O481">
        <f>_xlfn.XLOOKUP($A481,ALGLIB_SSA_XAUUSD!$J$2:$J$1000,ALGLIB_SSA_XAUUSD!$Q$2:$Q$1000,"",0)</f>
        <v>4660.9095699999998</v>
      </c>
      <c r="R481">
        <f t="shared" si="77"/>
        <v>1775537700</v>
      </c>
      <c r="S481" t="str">
        <f t="shared" si="78"/>
        <v>XAUUSD</v>
      </c>
      <c r="T481" t="str">
        <f t="shared" si="79"/>
        <v>M5</v>
      </c>
      <c r="U481">
        <f t="shared" si="80"/>
        <v>4659.3500000000004</v>
      </c>
      <c r="V481">
        <v>4652.6460399999996</v>
      </c>
      <c r="W481">
        <v>4650.1764199999998</v>
      </c>
      <c r="X481">
        <v>4661.68433</v>
      </c>
      <c r="Y481">
        <v>4661.3205399999997</v>
      </c>
      <c r="Z481">
        <f t="shared" si="81"/>
        <v>4661.786865</v>
      </c>
      <c r="AA481">
        <f t="shared" si="82"/>
        <v>4663.9423100000004</v>
      </c>
      <c r="AB481">
        <f t="shared" si="83"/>
        <v>4634.0594624999994</v>
      </c>
      <c r="AC481">
        <f t="shared" si="84"/>
        <v>4660.9095699999998</v>
      </c>
      <c r="AF481">
        <f t="shared" si="85"/>
        <v>4661.68433</v>
      </c>
      <c r="AG481">
        <f t="shared" si="86"/>
        <v>4661.786865</v>
      </c>
      <c r="AH481">
        <f t="shared" si="87"/>
        <v>4634.0594624999994</v>
      </c>
    </row>
    <row r="482" spans="1:34" x14ac:dyDescent="0.55000000000000004">
      <c r="A482">
        <f>ALGLIB_SSA_XAUUSD!J482</f>
        <v>1775538000</v>
      </c>
      <c r="B482" t="str">
        <f>_xlfn.XLOOKUP($A482,ALGLIB_SSA_XAUUSD!$A$2:$A$1000,ALGLIB_SSA_XAUUSD!$B$2:$B$1000,"",0)</f>
        <v>XAUUSD</v>
      </c>
      <c r="C482" t="str">
        <f>_xlfn.XLOOKUP($A482,ALGLIB_SSA_XAUUSD!$A$2:$A$1000,ALGLIB_SSA_XAUUSD!$C$2:$C$1000,"",0)</f>
        <v>H1</v>
      </c>
      <c r="D482" s="2">
        <f>_xlfn.XLOOKUP($A482,ALGLIB_SSA_XAUUSD!$A$2:$A$1000,ALGLIB_SSA_XAUUSD!$D$2:$D$1000,"",0)</f>
        <v>4642.99</v>
      </c>
      <c r="E482" s="2">
        <f>_xlfn.XLOOKUP($A482,ALGLIB_SSA_XAUUSD!$A$2:$A$1000,ALGLIB_SSA_XAUUSD!$E$2:$E$1000,"",0)</f>
        <v>4652.9688200000001</v>
      </c>
      <c r="F482" s="2">
        <f>_xlfn.XLOOKUP($A482,ALGLIB_SSA_XAUUSD!$A$2:$A$1000,ALGLIB_SSA_XAUUSD!$F$2:$F$1000,"",0)</f>
        <v>4650.3912200000004</v>
      </c>
      <c r="G482" s="2">
        <f>_xlfn.XLOOKUP($A482,ALGLIB_SSA_XAUUSD!$A$2:$A$1000,ALGLIB_SSA_XAUUSD!$G$2:$G$1000,"",0)</f>
        <v>4662.1190500000002</v>
      </c>
      <c r="H482" s="2">
        <f>_xlfn.XLOOKUP($A482,ALGLIB_SSA_XAUUSD!$A$2:$A$1000,ALGLIB_SSA_XAUUSD!$H$2:$H$1000,"",0)</f>
        <v>4634.2582599999996</v>
      </c>
      <c r="I482" t="str">
        <f>_xlfn.XLOOKUP($A482,ALGLIB_SSA_XAUUSD!$J$2:$J$1000,ALGLIB_SSA_XAUUSD!$K$2:$K$1000,"",0)</f>
        <v>XAUUSD</v>
      </c>
      <c r="J482" t="str">
        <f>_xlfn.XLOOKUP($A482,ALGLIB_SSA_XAUUSD!$J$2:$J$1000,ALGLIB_SSA_XAUUSD!$L$2:$L$1000,"",0)</f>
        <v>M5</v>
      </c>
      <c r="K482">
        <f>_xlfn.XLOOKUP($A482,ALGLIB_SSA_XAUUSD!$J$2:$J$1000,ALGLIB_SSA_XAUUSD!$M$2:$M$1000,"",0)</f>
        <v>4656.76</v>
      </c>
      <c r="L482">
        <f>_xlfn.XLOOKUP($A482,ALGLIB_SSA_XAUUSD!$J$2:$J$1000,ALGLIB_SSA_XAUUSD!$N$2:$N$1000,"",0)</f>
        <v>4659.77477</v>
      </c>
      <c r="M482">
        <f>_xlfn.XLOOKUP($A482,ALGLIB_SSA_XAUUSD!$J$2:$J$1000,ALGLIB_SSA_XAUUSD!$O$2:$O$1000,"",0)</f>
        <v>4660.5476500000004</v>
      </c>
      <c r="N482">
        <f>_xlfn.XLOOKUP($A482,ALGLIB_SSA_XAUUSD!$J$2:$J$1000,ALGLIB_SSA_XAUUSD!$P$2:$P$1000,"",0)</f>
        <v>4662.7821599999997</v>
      </c>
      <c r="O482">
        <f>_xlfn.XLOOKUP($A482,ALGLIB_SSA_XAUUSD!$J$2:$J$1000,ALGLIB_SSA_XAUUSD!$Q$2:$Q$1000,"",0)</f>
        <v>4659.3690699999997</v>
      </c>
      <c r="R482">
        <f t="shared" si="77"/>
        <v>1775538000</v>
      </c>
      <c r="S482" t="str">
        <f t="shared" si="78"/>
        <v>XAUUSD</v>
      </c>
      <c r="T482" t="str">
        <f t="shared" si="79"/>
        <v>M5</v>
      </c>
      <c r="U482">
        <f t="shared" si="80"/>
        <v>4656.76</v>
      </c>
      <c r="V482">
        <v>4652.9688200000001</v>
      </c>
      <c r="W482">
        <v>4650.3912200000004</v>
      </c>
      <c r="X482">
        <v>4659.77477</v>
      </c>
      <c r="Y482">
        <v>4660.5476500000004</v>
      </c>
      <c r="Z482">
        <f t="shared" si="81"/>
        <v>4662.1190500000002</v>
      </c>
      <c r="AA482">
        <f t="shared" si="82"/>
        <v>4662.7821599999997</v>
      </c>
      <c r="AB482">
        <f t="shared" si="83"/>
        <v>4634.2582599999996</v>
      </c>
      <c r="AC482">
        <f t="shared" si="84"/>
        <v>4659.3690699999997</v>
      </c>
      <c r="AF482">
        <f t="shared" si="85"/>
        <v>4659.77477</v>
      </c>
      <c r="AG482">
        <f t="shared" si="86"/>
        <v>4662.1190500000002</v>
      </c>
      <c r="AH482">
        <f t="shared" si="87"/>
        <v>4634.2582599999996</v>
      </c>
    </row>
    <row r="483" spans="1:34" x14ac:dyDescent="0.55000000000000004">
      <c r="A483">
        <f>ALGLIB_SSA_XAUUSD!J483</f>
        <v>1775538300</v>
      </c>
      <c r="B483" t="str">
        <f>_xlfn.XLOOKUP($A483,ALGLIB_SSA_XAUUSD!$A$2:$A$1000,ALGLIB_SSA_XAUUSD!$B$2:$B$1000,"",0)</f>
        <v/>
      </c>
      <c r="C483" t="str">
        <f>_xlfn.XLOOKUP($A483,ALGLIB_SSA_XAUUSD!$A$2:$A$1000,ALGLIB_SSA_XAUUSD!$C$2:$C$1000,"",0)</f>
        <v/>
      </c>
      <c r="D483" s="1">
        <f>D482+(D494-D482)*1/12</f>
        <v>4643.87</v>
      </c>
      <c r="E483" s="1">
        <f>E482+(E494-E482)*1/12</f>
        <v>4653.35808</v>
      </c>
      <c r="F483" s="1">
        <f>F482+(F494-F482)*1/12</f>
        <v>4650.6932500000003</v>
      </c>
      <c r="G483" s="1">
        <f>G482+(G494-G482)*1/12</f>
        <v>4662.5608033333338</v>
      </c>
      <c r="H483" s="1">
        <f>H482+(H494-H482)*1/12</f>
        <v>4634.5898524999993</v>
      </c>
      <c r="I483" t="str">
        <f>_xlfn.XLOOKUP($A483,ALGLIB_SSA_XAUUSD!$J$2:$J$1000,ALGLIB_SSA_XAUUSD!$K$2:$K$1000,"",0)</f>
        <v>XAUUSD</v>
      </c>
      <c r="J483" t="str">
        <f>_xlfn.XLOOKUP($A483,ALGLIB_SSA_XAUUSD!$J$2:$J$1000,ALGLIB_SSA_XAUUSD!$L$2:$L$1000,"",0)</f>
        <v>M5</v>
      </c>
      <c r="K483">
        <f>_xlfn.XLOOKUP($A483,ALGLIB_SSA_XAUUSD!$J$2:$J$1000,ALGLIB_SSA_XAUUSD!$M$2:$M$1000,"",0)</f>
        <v>4655.67</v>
      </c>
      <c r="L483">
        <f>_xlfn.XLOOKUP($A483,ALGLIB_SSA_XAUUSD!$J$2:$J$1000,ALGLIB_SSA_XAUUSD!$N$2:$N$1000,"",0)</f>
        <v>4656.6874100000005</v>
      </c>
      <c r="M483">
        <f>_xlfn.XLOOKUP($A483,ALGLIB_SSA_XAUUSD!$J$2:$J$1000,ALGLIB_SSA_XAUUSD!$O$2:$O$1000,"",0)</f>
        <v>4658.6175300000004</v>
      </c>
      <c r="N483">
        <f>_xlfn.XLOOKUP($A483,ALGLIB_SSA_XAUUSD!$J$2:$J$1000,ALGLIB_SSA_XAUUSD!$P$2:$P$1000,"",0)</f>
        <v>4660.5622599999997</v>
      </c>
      <c r="O483">
        <f>_xlfn.XLOOKUP($A483,ALGLIB_SSA_XAUUSD!$J$2:$J$1000,ALGLIB_SSA_XAUUSD!$Q$2:$Q$1000,"",0)</f>
        <v>4656.2900600000003</v>
      </c>
      <c r="R483">
        <f t="shared" si="77"/>
        <v>1775538300</v>
      </c>
      <c r="S483" t="str">
        <f t="shared" si="78"/>
        <v>XAUUSD</v>
      </c>
      <c r="T483" t="str">
        <f t="shared" si="79"/>
        <v>M5</v>
      </c>
      <c r="U483">
        <f t="shared" si="80"/>
        <v>4655.67</v>
      </c>
      <c r="V483">
        <v>4653.35808</v>
      </c>
      <c r="W483">
        <v>4650.6932500000003</v>
      </c>
      <c r="X483">
        <v>4656.6874100000005</v>
      </c>
      <c r="Y483">
        <v>4658.6175300000004</v>
      </c>
      <c r="Z483">
        <f t="shared" si="81"/>
        <v>4662.5608033333338</v>
      </c>
      <c r="AA483">
        <f t="shared" si="82"/>
        <v>4660.5622599999997</v>
      </c>
      <c r="AB483">
        <f t="shared" si="83"/>
        <v>4634.5898524999993</v>
      </c>
      <c r="AC483">
        <f t="shared" si="84"/>
        <v>4656.2900600000003</v>
      </c>
      <c r="AF483">
        <f t="shared" si="85"/>
        <v>4656.6874100000005</v>
      </c>
      <c r="AG483">
        <f t="shared" si="86"/>
        <v>4662.5608033333338</v>
      </c>
      <c r="AH483">
        <f t="shared" si="87"/>
        <v>4634.5898524999993</v>
      </c>
    </row>
    <row r="484" spans="1:34" x14ac:dyDescent="0.55000000000000004">
      <c r="A484">
        <f>ALGLIB_SSA_XAUUSD!J484</f>
        <v>1775538600</v>
      </c>
      <c r="B484" t="str">
        <f>_xlfn.XLOOKUP($A484,ALGLIB_SSA_XAUUSD!$A$2:$A$1000,ALGLIB_SSA_XAUUSD!$B$2:$B$1000,"",0)</f>
        <v/>
      </c>
      <c r="C484" t="str">
        <f>_xlfn.XLOOKUP($A484,ALGLIB_SSA_XAUUSD!$A$2:$A$1000,ALGLIB_SSA_XAUUSD!$C$2:$C$1000,"",0)</f>
        <v/>
      </c>
      <c r="D484" s="1">
        <f>D482+(D494-D482)*2/12</f>
        <v>4644.75</v>
      </c>
      <c r="E484" s="1">
        <f>E482+(E494-E482)*2/12</f>
        <v>4653.7473399999999</v>
      </c>
      <c r="F484" s="1">
        <f>F482+(F494-F482)*2/12</f>
        <v>4650.9952800000001</v>
      </c>
      <c r="G484" s="1">
        <f>G482+(G494-G482)*2/12</f>
        <v>4663.0025566666664</v>
      </c>
      <c r="H484" s="1">
        <f>H482+(H494-H482)*2/12</f>
        <v>4634.9214449999999</v>
      </c>
      <c r="I484" t="str">
        <f>_xlfn.XLOOKUP($A484,ALGLIB_SSA_XAUUSD!$J$2:$J$1000,ALGLIB_SSA_XAUUSD!$K$2:$K$1000,"",0)</f>
        <v>XAUUSD</v>
      </c>
      <c r="J484" t="str">
        <f>_xlfn.XLOOKUP($A484,ALGLIB_SSA_XAUUSD!$J$2:$J$1000,ALGLIB_SSA_XAUUSD!$L$2:$L$1000,"",0)</f>
        <v>M5</v>
      </c>
      <c r="K484">
        <f>_xlfn.XLOOKUP($A484,ALGLIB_SSA_XAUUSD!$J$2:$J$1000,ALGLIB_SSA_XAUUSD!$M$2:$M$1000,"",0)</f>
        <v>4655.6400000000003</v>
      </c>
      <c r="L484">
        <f>_xlfn.XLOOKUP($A484,ALGLIB_SSA_XAUUSD!$J$2:$J$1000,ALGLIB_SSA_XAUUSD!$N$2:$N$1000,"",0)</f>
        <v>4652.6714700000002</v>
      </c>
      <c r="M484">
        <f>_xlfn.XLOOKUP($A484,ALGLIB_SSA_XAUUSD!$J$2:$J$1000,ALGLIB_SSA_XAUUSD!$O$2:$O$1000,"",0)</f>
        <v>4655.6445000000003</v>
      </c>
      <c r="N484">
        <f>_xlfn.XLOOKUP($A484,ALGLIB_SSA_XAUUSD!$J$2:$J$1000,ALGLIB_SSA_XAUUSD!$P$2:$P$1000,"",0)</f>
        <v>4657.5164299999997</v>
      </c>
      <c r="O484">
        <f>_xlfn.XLOOKUP($A484,ALGLIB_SSA_XAUUSD!$J$2:$J$1000,ALGLIB_SSA_XAUUSD!$Q$2:$Q$1000,"",0)</f>
        <v>4651.8870999999999</v>
      </c>
      <c r="R484">
        <f t="shared" si="77"/>
        <v>1775538600</v>
      </c>
      <c r="S484" t="str">
        <f t="shared" si="78"/>
        <v>XAUUSD</v>
      </c>
      <c r="T484" t="str">
        <f t="shared" si="79"/>
        <v>M5</v>
      </c>
      <c r="U484">
        <f t="shared" si="80"/>
        <v>4655.6400000000003</v>
      </c>
      <c r="V484">
        <v>4653.7473399999999</v>
      </c>
      <c r="W484">
        <v>4650.9952800000001</v>
      </c>
      <c r="X484">
        <v>4652.6714700000002</v>
      </c>
      <c r="Y484">
        <v>4655.6445000000003</v>
      </c>
      <c r="Z484">
        <f t="shared" si="81"/>
        <v>4663.0025566666664</v>
      </c>
      <c r="AA484">
        <f t="shared" si="82"/>
        <v>4657.5164299999997</v>
      </c>
      <c r="AB484">
        <f t="shared" si="83"/>
        <v>4634.9214449999999</v>
      </c>
      <c r="AC484">
        <f t="shared" si="84"/>
        <v>4651.8870999999999</v>
      </c>
      <c r="AF484">
        <f t="shared" si="85"/>
        <v>4652.6714700000002</v>
      </c>
      <c r="AG484">
        <f t="shared" si="86"/>
        <v>4663.0025566666664</v>
      </c>
      <c r="AH484">
        <f t="shared" si="87"/>
        <v>4634.9214449999999</v>
      </c>
    </row>
    <row r="485" spans="1:34" x14ac:dyDescent="0.55000000000000004">
      <c r="A485">
        <f>ALGLIB_SSA_XAUUSD!J485</f>
        <v>1775538900</v>
      </c>
      <c r="B485" t="str">
        <f>_xlfn.XLOOKUP($A485,ALGLIB_SSA_XAUUSD!$A$2:$A$1000,ALGLIB_SSA_XAUUSD!$B$2:$B$1000,"",0)</f>
        <v/>
      </c>
      <c r="C485" t="str">
        <f>_xlfn.XLOOKUP($A485,ALGLIB_SSA_XAUUSD!$A$2:$A$1000,ALGLIB_SSA_XAUUSD!$C$2:$C$1000,"",0)</f>
        <v/>
      </c>
      <c r="D485" s="1">
        <f>D482+(D494-D482)*3/12</f>
        <v>4645.63</v>
      </c>
      <c r="E485" s="1">
        <f>E482+(E494-E482)*3/12</f>
        <v>4654.1365999999998</v>
      </c>
      <c r="F485" s="1">
        <f>F482+(F494-F482)*3/12</f>
        <v>4651.2973099999999</v>
      </c>
      <c r="G485" s="1">
        <f>G482+(G494-G482)*3/12</f>
        <v>4663.4443099999999</v>
      </c>
      <c r="H485" s="1">
        <f>H482+(H494-H482)*3/12</f>
        <v>4635.2530374999997</v>
      </c>
      <c r="I485" t="str">
        <f>_xlfn.XLOOKUP($A485,ALGLIB_SSA_XAUUSD!$J$2:$J$1000,ALGLIB_SSA_XAUUSD!$K$2:$K$1000,"",0)</f>
        <v>XAUUSD</v>
      </c>
      <c r="J485" t="str">
        <f>_xlfn.XLOOKUP($A485,ALGLIB_SSA_XAUUSD!$J$2:$J$1000,ALGLIB_SSA_XAUUSD!$L$2:$L$1000,"",0)</f>
        <v>M5</v>
      </c>
      <c r="K485">
        <f>_xlfn.XLOOKUP($A485,ALGLIB_SSA_XAUUSD!$J$2:$J$1000,ALGLIB_SSA_XAUUSD!$M$2:$M$1000,"",0)</f>
        <v>4654.5600000000004</v>
      </c>
      <c r="L485">
        <f>_xlfn.XLOOKUP($A485,ALGLIB_SSA_XAUUSD!$J$2:$J$1000,ALGLIB_SSA_XAUUSD!$N$2:$N$1000,"",0)</f>
        <v>4648.0995999999996</v>
      </c>
      <c r="M485">
        <f>_xlfn.XLOOKUP($A485,ALGLIB_SSA_XAUUSD!$J$2:$J$1000,ALGLIB_SSA_XAUUSD!$O$2:$O$1000,"",0)</f>
        <v>4651.8720499999999</v>
      </c>
      <c r="N485">
        <f>_xlfn.XLOOKUP($A485,ALGLIB_SSA_XAUUSD!$J$2:$J$1000,ALGLIB_SSA_XAUUSD!$P$2:$P$1000,"",0)</f>
        <v>4653.9523600000002</v>
      </c>
      <c r="O485">
        <f>_xlfn.XLOOKUP($A485,ALGLIB_SSA_XAUUSD!$J$2:$J$1000,ALGLIB_SSA_XAUUSD!$Q$2:$Q$1000,"",0)</f>
        <v>4646.57042</v>
      </c>
      <c r="R485">
        <f t="shared" si="77"/>
        <v>1775538900</v>
      </c>
      <c r="S485" t="str">
        <f t="shared" si="78"/>
        <v>XAUUSD</v>
      </c>
      <c r="T485" t="str">
        <f t="shared" si="79"/>
        <v>M5</v>
      </c>
      <c r="U485">
        <f t="shared" si="80"/>
        <v>4654.5600000000004</v>
      </c>
      <c r="V485">
        <v>4654.1365999999998</v>
      </c>
      <c r="W485">
        <v>4651.2973099999999</v>
      </c>
      <c r="X485">
        <v>4648.0995999999996</v>
      </c>
      <c r="Y485">
        <v>4651.8720499999999</v>
      </c>
      <c r="Z485">
        <f t="shared" si="81"/>
        <v>4663.4443099999999</v>
      </c>
      <c r="AA485">
        <f t="shared" si="82"/>
        <v>4653.9523600000002</v>
      </c>
      <c r="AB485">
        <f t="shared" si="83"/>
        <v>4635.2530374999997</v>
      </c>
      <c r="AC485">
        <f t="shared" si="84"/>
        <v>4646.57042</v>
      </c>
      <c r="AF485">
        <f t="shared" si="85"/>
        <v>4648.0995999999996</v>
      </c>
      <c r="AG485">
        <f t="shared" si="86"/>
        <v>4663.4443099999999</v>
      </c>
      <c r="AH485">
        <f t="shared" si="87"/>
        <v>4635.2530374999997</v>
      </c>
    </row>
    <row r="486" spans="1:34" x14ac:dyDescent="0.55000000000000004">
      <c r="A486">
        <f>ALGLIB_SSA_XAUUSD!J486</f>
        <v>1775539200</v>
      </c>
      <c r="B486" t="str">
        <f>_xlfn.XLOOKUP($A486,ALGLIB_SSA_XAUUSD!$A$2:$A$1000,ALGLIB_SSA_XAUUSD!$B$2:$B$1000,"",0)</f>
        <v/>
      </c>
      <c r="C486" t="str">
        <f>_xlfn.XLOOKUP($A486,ALGLIB_SSA_XAUUSD!$A$2:$A$1000,ALGLIB_SSA_XAUUSD!$C$2:$C$1000,"",0)</f>
        <v/>
      </c>
      <c r="D486" s="1">
        <f>D482+(D494-D482)*4/12</f>
        <v>4646.51</v>
      </c>
      <c r="E486" s="1">
        <f>E482+(E494-E482)*4/12</f>
        <v>4654.5258599999997</v>
      </c>
      <c r="F486" s="1">
        <f>F482+(F494-F482)*4/12</f>
        <v>4651.5993400000007</v>
      </c>
      <c r="G486" s="1">
        <f>G482+(G494-G482)*4/12</f>
        <v>4663.8860633333334</v>
      </c>
      <c r="H486" s="1">
        <f>H482+(H494-H482)*4/12</f>
        <v>4635.5846299999994</v>
      </c>
      <c r="I486" t="str">
        <f>_xlfn.XLOOKUP($A486,ALGLIB_SSA_XAUUSD!$J$2:$J$1000,ALGLIB_SSA_XAUUSD!$K$2:$K$1000,"",0)</f>
        <v>XAUUSD</v>
      </c>
      <c r="J486" t="str">
        <f>_xlfn.XLOOKUP($A486,ALGLIB_SSA_XAUUSD!$J$2:$J$1000,ALGLIB_SSA_XAUUSD!$L$2:$L$1000,"",0)</f>
        <v>M5</v>
      </c>
      <c r="K486">
        <f>_xlfn.XLOOKUP($A486,ALGLIB_SSA_XAUUSD!$J$2:$J$1000,ALGLIB_SSA_XAUUSD!$M$2:$M$1000,"",0)</f>
        <v>4647.17</v>
      </c>
      <c r="L486">
        <f>_xlfn.XLOOKUP($A486,ALGLIB_SSA_XAUUSD!$J$2:$J$1000,ALGLIB_SSA_XAUUSD!$N$2:$N$1000,"",0)</f>
        <v>4643.4617099999996</v>
      </c>
      <c r="M486">
        <f>_xlfn.XLOOKUP($A486,ALGLIB_SSA_XAUUSD!$J$2:$J$1000,ALGLIB_SSA_XAUUSD!$O$2:$O$1000,"",0)</f>
        <v>4647.6668799999998</v>
      </c>
      <c r="N486">
        <f>_xlfn.XLOOKUP($A486,ALGLIB_SSA_XAUUSD!$J$2:$J$1000,ALGLIB_SSA_XAUUSD!$P$2:$P$1000,"",0)</f>
        <v>4650.1521300000004</v>
      </c>
      <c r="O486">
        <f>_xlfn.XLOOKUP($A486,ALGLIB_SSA_XAUUSD!$J$2:$J$1000,ALGLIB_SSA_XAUUSD!$Q$2:$Q$1000,"",0)</f>
        <v>4640.9180800000004</v>
      </c>
      <c r="R486">
        <f t="shared" si="77"/>
        <v>1775539200</v>
      </c>
      <c r="S486" t="str">
        <f t="shared" si="78"/>
        <v>XAUUSD</v>
      </c>
      <c r="T486" t="str">
        <f t="shared" si="79"/>
        <v>M5</v>
      </c>
      <c r="U486">
        <f t="shared" si="80"/>
        <v>4647.17</v>
      </c>
      <c r="V486">
        <v>4654.5258599999997</v>
      </c>
      <c r="W486">
        <v>4651.5993399999998</v>
      </c>
      <c r="X486">
        <v>4643.4617099999996</v>
      </c>
      <c r="Y486">
        <v>4647.6668799999998</v>
      </c>
      <c r="Z486">
        <f t="shared" si="81"/>
        <v>4663.8860633333334</v>
      </c>
      <c r="AA486">
        <f t="shared" si="82"/>
        <v>4650.1521300000004</v>
      </c>
      <c r="AB486">
        <f t="shared" si="83"/>
        <v>4635.5846299999994</v>
      </c>
      <c r="AC486">
        <f t="shared" si="84"/>
        <v>4640.9180800000004</v>
      </c>
      <c r="AF486">
        <f t="shared" si="85"/>
        <v>4643.4617099999996</v>
      </c>
      <c r="AG486">
        <f t="shared" si="86"/>
        <v>4663.8860633333334</v>
      </c>
      <c r="AH486">
        <f t="shared" si="87"/>
        <v>4635.5846299999994</v>
      </c>
    </row>
    <row r="487" spans="1:34" x14ac:dyDescent="0.55000000000000004">
      <c r="A487">
        <f>ALGLIB_SSA_XAUUSD!J487</f>
        <v>1775539500</v>
      </c>
      <c r="B487" t="str">
        <f>_xlfn.XLOOKUP($A487,ALGLIB_SSA_XAUUSD!$A$2:$A$1000,ALGLIB_SSA_XAUUSD!$B$2:$B$1000,"",0)</f>
        <v/>
      </c>
      <c r="C487" t="str">
        <f>_xlfn.XLOOKUP($A487,ALGLIB_SSA_XAUUSD!$A$2:$A$1000,ALGLIB_SSA_XAUUSD!$C$2:$C$1000,"",0)</f>
        <v/>
      </c>
      <c r="D487" s="1">
        <f>D482+(D494-D482)*5/12</f>
        <v>4647.3900000000003</v>
      </c>
      <c r="E487" s="1">
        <f>E482+(E494-E482)*5/12</f>
        <v>4654.9151199999997</v>
      </c>
      <c r="F487" s="1">
        <f>F482+(F494-F482)*5/12</f>
        <v>4651.9013700000005</v>
      </c>
      <c r="G487" s="1">
        <f>G482+(G494-G482)*5/12</f>
        <v>4664.3278166666669</v>
      </c>
      <c r="H487" s="1">
        <f>H482+(H494-H482)*5/12</f>
        <v>4635.9162225</v>
      </c>
      <c r="I487" t="str">
        <f>_xlfn.XLOOKUP($A487,ALGLIB_SSA_XAUUSD!$J$2:$J$1000,ALGLIB_SSA_XAUUSD!$K$2:$K$1000,"",0)</f>
        <v>XAUUSD</v>
      </c>
      <c r="J487" t="str">
        <f>_xlfn.XLOOKUP($A487,ALGLIB_SSA_XAUUSD!$J$2:$J$1000,ALGLIB_SSA_XAUUSD!$L$2:$L$1000,"",0)</f>
        <v>M5</v>
      </c>
      <c r="K487">
        <f>_xlfn.XLOOKUP($A487,ALGLIB_SSA_XAUUSD!$J$2:$J$1000,ALGLIB_SSA_XAUUSD!$M$2:$M$1000,"",0)</f>
        <v>4633.25</v>
      </c>
      <c r="L487">
        <f>_xlfn.XLOOKUP($A487,ALGLIB_SSA_XAUUSD!$J$2:$J$1000,ALGLIB_SSA_XAUUSD!$N$2:$N$1000,"",0)</f>
        <v>4639.43181</v>
      </c>
      <c r="M487">
        <f>_xlfn.XLOOKUP($A487,ALGLIB_SSA_XAUUSD!$J$2:$J$1000,ALGLIB_SSA_XAUUSD!$O$2:$O$1000,"",0)</f>
        <v>4643.5493500000002</v>
      </c>
      <c r="N487">
        <f>_xlfn.XLOOKUP($A487,ALGLIB_SSA_XAUUSD!$J$2:$J$1000,ALGLIB_SSA_XAUUSD!$P$2:$P$1000,"",0)</f>
        <v>4646.5595499999999</v>
      </c>
      <c r="O487">
        <f>_xlfn.XLOOKUP($A487,ALGLIB_SSA_XAUUSD!$J$2:$J$1000,ALGLIB_SSA_XAUUSD!$Q$2:$Q$1000,"",0)</f>
        <v>4635.7244899999996</v>
      </c>
      <c r="R487">
        <f t="shared" si="77"/>
        <v>1775539500</v>
      </c>
      <c r="S487" t="str">
        <f t="shared" si="78"/>
        <v>XAUUSD</v>
      </c>
      <c r="T487" t="str">
        <f t="shared" si="79"/>
        <v>M5</v>
      </c>
      <c r="U487">
        <f t="shared" si="80"/>
        <v>4633.25</v>
      </c>
      <c r="V487">
        <v>4654.9151199999997</v>
      </c>
      <c r="W487">
        <v>4651.9013699999996</v>
      </c>
      <c r="X487">
        <v>4639.43181</v>
      </c>
      <c r="Y487">
        <v>4643.5493500000002</v>
      </c>
      <c r="Z487">
        <f t="shared" si="81"/>
        <v>4664.3278166666669</v>
      </c>
      <c r="AA487">
        <f t="shared" si="82"/>
        <v>4646.5595499999999</v>
      </c>
      <c r="AB487">
        <f t="shared" si="83"/>
        <v>4635.9162225</v>
      </c>
      <c r="AC487">
        <f t="shared" si="84"/>
        <v>4635.7244899999996</v>
      </c>
      <c r="AF487">
        <f t="shared" si="85"/>
        <v>4639.43181</v>
      </c>
      <c r="AG487">
        <f t="shared" si="86"/>
        <v>4664.3278166666669</v>
      </c>
      <c r="AH487">
        <f t="shared" si="87"/>
        <v>4635.9162225</v>
      </c>
    </row>
    <row r="488" spans="1:34" x14ac:dyDescent="0.55000000000000004">
      <c r="A488">
        <f>ALGLIB_SSA_XAUUSD!J488</f>
        <v>1775539800</v>
      </c>
      <c r="B488" t="str">
        <f>_xlfn.XLOOKUP($A488,ALGLIB_SSA_XAUUSD!$A$2:$A$1000,ALGLIB_SSA_XAUUSD!$B$2:$B$1000,"",0)</f>
        <v/>
      </c>
      <c r="C488" t="str">
        <f>_xlfn.XLOOKUP($A488,ALGLIB_SSA_XAUUSD!$A$2:$A$1000,ALGLIB_SSA_XAUUSD!$C$2:$C$1000,"",0)</f>
        <v/>
      </c>
      <c r="D488" s="1">
        <f>D482+(D494-D482)*6/12</f>
        <v>4648.2700000000004</v>
      </c>
      <c r="E488" s="1">
        <f>E482+(E494-E482)*6/12</f>
        <v>4655.3043799999996</v>
      </c>
      <c r="F488" s="1">
        <f>F482+(F494-F482)*6/12</f>
        <v>4652.2034000000003</v>
      </c>
      <c r="G488" s="1">
        <f>G482+(G494-G482)*6/12</f>
        <v>4664.7695700000004</v>
      </c>
      <c r="H488" s="1">
        <f>H482+(H494-H482)*6/12</f>
        <v>4636.2478149999997</v>
      </c>
      <c r="I488" t="str">
        <f>_xlfn.XLOOKUP($A488,ALGLIB_SSA_XAUUSD!$J$2:$J$1000,ALGLIB_SSA_XAUUSD!$K$2:$K$1000,"",0)</f>
        <v>XAUUSD</v>
      </c>
      <c r="J488" t="str">
        <f>_xlfn.XLOOKUP($A488,ALGLIB_SSA_XAUUSD!$J$2:$J$1000,ALGLIB_SSA_XAUUSD!$L$2:$L$1000,"",0)</f>
        <v>M5</v>
      </c>
      <c r="K488">
        <f>_xlfn.XLOOKUP($A488,ALGLIB_SSA_XAUUSD!$J$2:$J$1000,ALGLIB_SSA_XAUUSD!$M$2:$M$1000,"",0)</f>
        <v>4631.95</v>
      </c>
      <c r="L488">
        <f>_xlfn.XLOOKUP($A488,ALGLIB_SSA_XAUUSD!$J$2:$J$1000,ALGLIB_SSA_XAUUSD!$N$2:$N$1000,"",0)</f>
        <v>4636.7388600000004</v>
      </c>
      <c r="M488">
        <f>_xlfn.XLOOKUP($A488,ALGLIB_SSA_XAUUSD!$J$2:$J$1000,ALGLIB_SSA_XAUUSD!$O$2:$O$1000,"",0)</f>
        <v>4640.1441000000004</v>
      </c>
      <c r="N488">
        <f>_xlfn.XLOOKUP($A488,ALGLIB_SSA_XAUUSD!$J$2:$J$1000,ALGLIB_SSA_XAUUSD!$P$2:$P$1000,"",0)</f>
        <v>4643.6649600000001</v>
      </c>
      <c r="O488">
        <f>_xlfn.XLOOKUP($A488,ALGLIB_SSA_XAUUSD!$J$2:$J$1000,ALGLIB_SSA_XAUUSD!$Q$2:$Q$1000,"",0)</f>
        <v>4631.9469300000001</v>
      </c>
      <c r="R488">
        <f t="shared" si="77"/>
        <v>1775539800</v>
      </c>
      <c r="S488" t="str">
        <f t="shared" si="78"/>
        <v>XAUUSD</v>
      </c>
      <c r="T488" t="str">
        <f t="shared" si="79"/>
        <v>M5</v>
      </c>
      <c r="U488">
        <f t="shared" si="80"/>
        <v>4631.95</v>
      </c>
      <c r="V488">
        <v>4655.3043799999996</v>
      </c>
      <c r="W488">
        <v>4652.2034000000003</v>
      </c>
      <c r="X488">
        <v>4636.7388600000004</v>
      </c>
      <c r="Y488">
        <v>4640.1441000000004</v>
      </c>
      <c r="Z488">
        <f t="shared" si="81"/>
        <v>4664.7695700000004</v>
      </c>
      <c r="AA488">
        <f t="shared" si="82"/>
        <v>4643.6649600000001</v>
      </c>
      <c r="AB488">
        <f t="shared" si="83"/>
        <v>4636.2478149999997</v>
      </c>
      <c r="AC488">
        <f t="shared" si="84"/>
        <v>4631.9469300000001</v>
      </c>
      <c r="AF488">
        <f t="shared" si="85"/>
        <v>4636.7388600000004</v>
      </c>
      <c r="AG488">
        <f t="shared" si="86"/>
        <v>4664.7695700000004</v>
      </c>
      <c r="AH488">
        <f t="shared" si="87"/>
        <v>4636.2478149999997</v>
      </c>
    </row>
    <row r="489" spans="1:34" x14ac:dyDescent="0.55000000000000004">
      <c r="A489">
        <f>ALGLIB_SSA_XAUUSD!J489</f>
        <v>1775540100</v>
      </c>
      <c r="B489" t="str">
        <f>_xlfn.XLOOKUP($A489,ALGLIB_SSA_XAUUSD!$A$2:$A$1000,ALGLIB_SSA_XAUUSD!$B$2:$B$1000,"",0)</f>
        <v/>
      </c>
      <c r="C489" t="str">
        <f>_xlfn.XLOOKUP($A489,ALGLIB_SSA_XAUUSD!$A$2:$A$1000,ALGLIB_SSA_XAUUSD!$C$2:$C$1000,"",0)</f>
        <v/>
      </c>
      <c r="D489" s="1">
        <f>D482+(D494-D482)*7/12</f>
        <v>4649.1499999999996</v>
      </c>
      <c r="E489" s="1">
        <f>E482+(E494-E482)*7/12</f>
        <v>4655.6936400000004</v>
      </c>
      <c r="F489" s="1">
        <f>F482+(F494-F482)*7/12</f>
        <v>4652.5054300000002</v>
      </c>
      <c r="G489" s="1">
        <f>G482+(G494-G482)*7/12</f>
        <v>4665.211323333333</v>
      </c>
      <c r="H489" s="1">
        <f>H482+(H494-H482)*7/12</f>
        <v>4636.5794074999994</v>
      </c>
      <c r="I489" t="str">
        <f>_xlfn.XLOOKUP($A489,ALGLIB_SSA_XAUUSD!$J$2:$J$1000,ALGLIB_SSA_XAUUSD!$K$2:$K$1000,"",0)</f>
        <v>XAUUSD</v>
      </c>
      <c r="J489" t="str">
        <f>_xlfn.XLOOKUP($A489,ALGLIB_SSA_XAUUSD!$J$2:$J$1000,ALGLIB_SSA_XAUUSD!$L$2:$L$1000,"",0)</f>
        <v>M5</v>
      </c>
      <c r="K489">
        <f>_xlfn.XLOOKUP($A489,ALGLIB_SSA_XAUUSD!$J$2:$J$1000,ALGLIB_SSA_XAUUSD!$M$2:$M$1000,"",0)</f>
        <v>4639.8900000000003</v>
      </c>
      <c r="L489">
        <f>_xlfn.XLOOKUP($A489,ALGLIB_SSA_XAUUSD!$J$2:$J$1000,ALGLIB_SSA_XAUUSD!$N$2:$N$1000,"",0)</f>
        <v>4635.5851000000002</v>
      </c>
      <c r="M489">
        <f>_xlfn.XLOOKUP($A489,ALGLIB_SSA_XAUUSD!$J$2:$J$1000,ALGLIB_SSA_XAUUSD!$O$2:$O$1000,"",0)</f>
        <v>4637.8645999999999</v>
      </c>
      <c r="N489">
        <f>_xlfn.XLOOKUP($A489,ALGLIB_SSA_XAUUSD!$J$2:$J$1000,ALGLIB_SSA_XAUUSD!$P$2:$P$1000,"",0)</f>
        <v>4641.8576700000003</v>
      </c>
      <c r="O489">
        <f>_xlfn.XLOOKUP($A489,ALGLIB_SSA_XAUUSD!$J$2:$J$1000,ALGLIB_SSA_XAUUSD!$Q$2:$Q$1000,"",0)</f>
        <v>4630.0859600000003</v>
      </c>
      <c r="R489">
        <f t="shared" si="77"/>
        <v>1775540100</v>
      </c>
      <c r="S489" t="str">
        <f t="shared" si="78"/>
        <v>XAUUSD</v>
      </c>
      <c r="T489" t="str">
        <f t="shared" si="79"/>
        <v>M5</v>
      </c>
      <c r="U489">
        <f t="shared" si="80"/>
        <v>4639.8900000000003</v>
      </c>
      <c r="V489">
        <v>4655.6936400000004</v>
      </c>
      <c r="W489">
        <v>4652.5054300000002</v>
      </c>
      <c r="X489">
        <v>4635.5851000000002</v>
      </c>
      <c r="Y489">
        <v>4637.8645999999999</v>
      </c>
      <c r="Z489">
        <f t="shared" si="81"/>
        <v>4665.211323333333</v>
      </c>
      <c r="AA489">
        <f t="shared" si="82"/>
        <v>4641.8576700000003</v>
      </c>
      <c r="AB489">
        <f t="shared" si="83"/>
        <v>4636.5794074999994</v>
      </c>
      <c r="AC489">
        <f t="shared" si="84"/>
        <v>4630.0859600000003</v>
      </c>
      <c r="AF489">
        <f t="shared" si="85"/>
        <v>4635.5851000000002</v>
      </c>
      <c r="AG489">
        <f t="shared" si="86"/>
        <v>4665.211323333333</v>
      </c>
      <c r="AH489">
        <f t="shared" si="87"/>
        <v>4636.5794074999994</v>
      </c>
    </row>
    <row r="490" spans="1:34" x14ac:dyDescent="0.55000000000000004">
      <c r="A490">
        <f>ALGLIB_SSA_XAUUSD!J490</f>
        <v>1775540400</v>
      </c>
      <c r="B490" t="str">
        <f>_xlfn.XLOOKUP($A490,ALGLIB_SSA_XAUUSD!$A$2:$A$1000,ALGLIB_SSA_XAUUSD!$B$2:$B$1000,"",0)</f>
        <v/>
      </c>
      <c r="C490" t="str">
        <f>_xlfn.XLOOKUP($A490,ALGLIB_SSA_XAUUSD!$A$2:$A$1000,ALGLIB_SSA_XAUUSD!$C$2:$C$1000,"",0)</f>
        <v/>
      </c>
      <c r="D490" s="1">
        <f>D482+(D494-D482)*8/12</f>
        <v>4650.03</v>
      </c>
      <c r="E490" s="1">
        <f>E482+(E494-E482)*8/12</f>
        <v>4656.0829000000003</v>
      </c>
      <c r="F490" s="1">
        <f>F482+(F494-F482)*8/12</f>
        <v>4652.80746</v>
      </c>
      <c r="G490" s="1">
        <f>G482+(G494-G482)*8/12</f>
        <v>4665.6530766666665</v>
      </c>
      <c r="H490" s="1">
        <f>H482+(H494-H482)*8/12</f>
        <v>4636.9110000000001</v>
      </c>
      <c r="I490" t="str">
        <f>_xlfn.XLOOKUP($A490,ALGLIB_SSA_XAUUSD!$J$2:$J$1000,ALGLIB_SSA_XAUUSD!$K$2:$K$1000,"",0)</f>
        <v>XAUUSD</v>
      </c>
      <c r="J490" t="str">
        <f>_xlfn.XLOOKUP($A490,ALGLIB_SSA_XAUUSD!$J$2:$J$1000,ALGLIB_SSA_XAUUSD!$L$2:$L$1000,"",0)</f>
        <v>M5</v>
      </c>
      <c r="K490">
        <f>_xlfn.XLOOKUP($A490,ALGLIB_SSA_XAUUSD!$J$2:$J$1000,ALGLIB_SSA_XAUUSD!$M$2:$M$1000,"",0)</f>
        <v>4631.75</v>
      </c>
      <c r="L490">
        <f>_xlfn.XLOOKUP($A490,ALGLIB_SSA_XAUUSD!$J$2:$J$1000,ALGLIB_SSA_XAUUSD!$N$2:$N$1000,"",0)</f>
        <v>4635.7014799999997</v>
      </c>
      <c r="M490">
        <f>_xlfn.XLOOKUP($A490,ALGLIB_SSA_XAUUSD!$J$2:$J$1000,ALGLIB_SSA_XAUUSD!$O$2:$O$1000,"",0)</f>
        <v>4636.7830400000003</v>
      </c>
      <c r="N490">
        <f>_xlfn.XLOOKUP($A490,ALGLIB_SSA_XAUUSD!$J$2:$J$1000,ALGLIB_SSA_XAUUSD!$P$2:$P$1000,"",0)</f>
        <v>4641.1380600000002</v>
      </c>
      <c r="O490">
        <f>_xlfn.XLOOKUP($A490,ALGLIB_SSA_XAUUSD!$J$2:$J$1000,ALGLIB_SSA_XAUUSD!$Q$2:$Q$1000,"",0)</f>
        <v>4629.9880300000004</v>
      </c>
      <c r="R490">
        <f t="shared" si="77"/>
        <v>1775540400</v>
      </c>
      <c r="S490" t="str">
        <f t="shared" si="78"/>
        <v>XAUUSD</v>
      </c>
      <c r="T490" t="str">
        <f t="shared" si="79"/>
        <v>M5</v>
      </c>
      <c r="U490">
        <f t="shared" si="80"/>
        <v>4631.75</v>
      </c>
      <c r="V490">
        <v>4656.0829000000003</v>
      </c>
      <c r="W490">
        <v>4652.80746</v>
      </c>
      <c r="X490">
        <v>4635.7014799999997</v>
      </c>
      <c r="Y490">
        <v>4636.7830400000003</v>
      </c>
      <c r="Z490">
        <f t="shared" si="81"/>
        <v>4665.6530766666665</v>
      </c>
      <c r="AA490">
        <f t="shared" si="82"/>
        <v>4641.1380600000002</v>
      </c>
      <c r="AB490">
        <f t="shared" si="83"/>
        <v>4636.9110000000001</v>
      </c>
      <c r="AC490">
        <f t="shared" si="84"/>
        <v>4629.9880300000004</v>
      </c>
      <c r="AF490">
        <f t="shared" si="85"/>
        <v>4635.7014799999997</v>
      </c>
      <c r="AG490">
        <f t="shared" si="86"/>
        <v>4665.6530766666665</v>
      </c>
      <c r="AH490">
        <f t="shared" si="87"/>
        <v>4636.9110000000001</v>
      </c>
    </row>
    <row r="491" spans="1:34" x14ac:dyDescent="0.55000000000000004">
      <c r="A491">
        <f>ALGLIB_SSA_XAUUSD!J491</f>
        <v>1775540700</v>
      </c>
      <c r="B491" t="str">
        <f>_xlfn.XLOOKUP($A491,ALGLIB_SSA_XAUUSD!$A$2:$A$1000,ALGLIB_SSA_XAUUSD!$B$2:$B$1000,"",0)</f>
        <v/>
      </c>
      <c r="C491" t="str">
        <f>_xlfn.XLOOKUP($A491,ALGLIB_SSA_XAUUSD!$A$2:$A$1000,ALGLIB_SSA_XAUUSD!$C$2:$C$1000,"",0)</f>
        <v/>
      </c>
      <c r="D491" s="1">
        <f>D482+(D494-D482)*9/12</f>
        <v>4650.91</v>
      </c>
      <c r="E491" s="1">
        <f>E482+(E494-E482)*9/12</f>
        <v>4656.4721600000003</v>
      </c>
      <c r="F491" s="1">
        <f>F482+(F494-F482)*9/12</f>
        <v>4653.1094900000007</v>
      </c>
      <c r="G491" s="1">
        <f>G482+(G494-G482)*9/12</f>
        <v>4666.09483</v>
      </c>
      <c r="H491" s="1">
        <f>H482+(H494-H482)*9/12</f>
        <v>4637.2425924999998</v>
      </c>
      <c r="I491" t="str">
        <f>_xlfn.XLOOKUP($A491,ALGLIB_SSA_XAUUSD!$J$2:$J$1000,ALGLIB_SSA_XAUUSD!$K$2:$K$1000,"",0)</f>
        <v>XAUUSD</v>
      </c>
      <c r="J491" t="str">
        <f>_xlfn.XLOOKUP($A491,ALGLIB_SSA_XAUUSD!$J$2:$J$1000,ALGLIB_SSA_XAUUSD!$L$2:$L$1000,"",0)</f>
        <v>M5</v>
      </c>
      <c r="K491">
        <f>_xlfn.XLOOKUP($A491,ALGLIB_SSA_XAUUSD!$J$2:$J$1000,ALGLIB_SSA_XAUUSD!$M$2:$M$1000,"",0)</f>
        <v>4635.7700000000004</v>
      </c>
      <c r="L491">
        <f>_xlfn.XLOOKUP($A491,ALGLIB_SSA_XAUUSD!$J$2:$J$1000,ALGLIB_SSA_XAUUSD!$N$2:$N$1000,"",0)</f>
        <v>4637.0112200000003</v>
      </c>
      <c r="M491">
        <f>_xlfn.XLOOKUP($A491,ALGLIB_SSA_XAUUSD!$J$2:$J$1000,ALGLIB_SSA_XAUUSD!$O$2:$O$1000,"",0)</f>
        <v>4636.8971300000003</v>
      </c>
      <c r="N491">
        <f>_xlfn.XLOOKUP($A491,ALGLIB_SSA_XAUUSD!$J$2:$J$1000,ALGLIB_SSA_XAUUSD!$P$2:$P$1000,"",0)</f>
        <v>4641.38076</v>
      </c>
      <c r="O491">
        <f>_xlfn.XLOOKUP($A491,ALGLIB_SSA_XAUUSD!$J$2:$J$1000,ALGLIB_SSA_XAUUSD!$Q$2:$Q$1000,"",0)</f>
        <v>4631.3592600000002</v>
      </c>
      <c r="R491">
        <f t="shared" si="77"/>
        <v>1775540700</v>
      </c>
      <c r="S491" t="str">
        <f t="shared" si="78"/>
        <v>XAUUSD</v>
      </c>
      <c r="T491" t="str">
        <f t="shared" si="79"/>
        <v>M5</v>
      </c>
      <c r="U491">
        <f t="shared" si="80"/>
        <v>4635.7700000000004</v>
      </c>
      <c r="V491">
        <v>4656.4721600000003</v>
      </c>
      <c r="W491">
        <v>4653.1094899999998</v>
      </c>
      <c r="X491">
        <v>4637.0112200000003</v>
      </c>
      <c r="Y491">
        <v>4636.8971300000003</v>
      </c>
      <c r="Z491">
        <f t="shared" si="81"/>
        <v>4666.09483</v>
      </c>
      <c r="AA491">
        <f t="shared" si="82"/>
        <v>4641.38076</v>
      </c>
      <c r="AB491">
        <f t="shared" si="83"/>
        <v>4637.2425924999998</v>
      </c>
      <c r="AC491">
        <f t="shared" si="84"/>
        <v>4631.3592600000002</v>
      </c>
      <c r="AF491">
        <f t="shared" si="85"/>
        <v>4637.0112200000003</v>
      </c>
      <c r="AG491">
        <f t="shared" si="86"/>
        <v>4666.09483</v>
      </c>
      <c r="AH491">
        <f t="shared" si="87"/>
        <v>4637.2425924999998</v>
      </c>
    </row>
    <row r="492" spans="1:34" x14ac:dyDescent="0.55000000000000004">
      <c r="A492">
        <f>ALGLIB_SSA_XAUUSD!J492</f>
        <v>1775541000</v>
      </c>
      <c r="B492" t="str">
        <f>_xlfn.XLOOKUP($A492,ALGLIB_SSA_XAUUSD!$A$2:$A$1000,ALGLIB_SSA_XAUUSD!$B$2:$B$1000,"",0)</f>
        <v/>
      </c>
      <c r="C492" t="str">
        <f>_xlfn.XLOOKUP($A492,ALGLIB_SSA_XAUUSD!$A$2:$A$1000,ALGLIB_SSA_XAUUSD!$C$2:$C$1000,"",0)</f>
        <v/>
      </c>
      <c r="D492" s="1">
        <f>D482+(D494-D482)*10/12</f>
        <v>4651.79</v>
      </c>
      <c r="E492" s="1">
        <f>E482+(E494-E482)*10/12</f>
        <v>4656.8614200000002</v>
      </c>
      <c r="F492" s="1">
        <f>F482+(F494-F482)*10/12</f>
        <v>4653.4115200000006</v>
      </c>
      <c r="G492" s="1">
        <f>G482+(G494-G482)*10/12</f>
        <v>4666.5365833333326</v>
      </c>
      <c r="H492" s="1">
        <f>H482+(H494-H482)*10/12</f>
        <v>4637.5741849999995</v>
      </c>
      <c r="I492" t="str">
        <f>_xlfn.XLOOKUP($A492,ALGLIB_SSA_XAUUSD!$J$2:$J$1000,ALGLIB_SSA_XAUUSD!$K$2:$K$1000,"",0)</f>
        <v>XAUUSD</v>
      </c>
      <c r="J492" t="str">
        <f>_xlfn.XLOOKUP($A492,ALGLIB_SSA_XAUUSD!$J$2:$J$1000,ALGLIB_SSA_XAUUSD!$L$2:$L$1000,"",0)</f>
        <v>M5</v>
      </c>
      <c r="K492">
        <f>_xlfn.XLOOKUP($A492,ALGLIB_SSA_XAUUSD!$J$2:$J$1000,ALGLIB_SSA_XAUUSD!$M$2:$M$1000,"",0)</f>
        <v>4639.16</v>
      </c>
      <c r="L492">
        <f>_xlfn.XLOOKUP($A492,ALGLIB_SSA_XAUUSD!$J$2:$J$1000,ALGLIB_SSA_XAUUSD!$N$2:$N$1000,"",0)</f>
        <v>4639.0051899999999</v>
      </c>
      <c r="M492">
        <f>_xlfn.XLOOKUP($A492,ALGLIB_SSA_XAUUSD!$J$2:$J$1000,ALGLIB_SSA_XAUUSD!$O$2:$O$1000,"",0)</f>
        <v>4637.9511599999996</v>
      </c>
      <c r="N492">
        <f>_xlfn.XLOOKUP($A492,ALGLIB_SSA_XAUUSD!$J$2:$J$1000,ALGLIB_SSA_XAUUSD!$P$2:$P$1000,"",0)</f>
        <v>4642.3899700000002</v>
      </c>
      <c r="O492">
        <f>_xlfn.XLOOKUP($A492,ALGLIB_SSA_XAUUSD!$J$2:$J$1000,ALGLIB_SSA_XAUUSD!$Q$2:$Q$1000,"",0)</f>
        <v>4633.7172799999998</v>
      </c>
      <c r="R492">
        <f t="shared" si="77"/>
        <v>1775541000</v>
      </c>
      <c r="S492" t="str">
        <f t="shared" si="78"/>
        <v>XAUUSD</v>
      </c>
      <c r="T492" t="str">
        <f t="shared" si="79"/>
        <v>M5</v>
      </c>
      <c r="U492">
        <f t="shared" si="80"/>
        <v>4639.16</v>
      </c>
      <c r="V492">
        <v>4656.8614200000002</v>
      </c>
      <c r="W492">
        <v>4653.4115199999997</v>
      </c>
      <c r="X492">
        <v>4639.0051899999999</v>
      </c>
      <c r="Y492">
        <v>4637.9511599999996</v>
      </c>
      <c r="Z492">
        <f t="shared" si="81"/>
        <v>4666.5365833333326</v>
      </c>
      <c r="AA492">
        <f t="shared" si="82"/>
        <v>4642.3899700000002</v>
      </c>
      <c r="AB492">
        <f t="shared" si="83"/>
        <v>4637.5741849999995</v>
      </c>
      <c r="AC492">
        <f t="shared" si="84"/>
        <v>4633.7172799999998</v>
      </c>
      <c r="AF492">
        <f t="shared" si="85"/>
        <v>4639.0051899999999</v>
      </c>
      <c r="AG492">
        <f t="shared" si="86"/>
        <v>4666.5365833333326</v>
      </c>
      <c r="AH492">
        <f t="shared" si="87"/>
        <v>4637.5741849999995</v>
      </c>
    </row>
    <row r="493" spans="1:34" x14ac:dyDescent="0.55000000000000004">
      <c r="A493">
        <f>ALGLIB_SSA_XAUUSD!J493</f>
        <v>1775541300</v>
      </c>
      <c r="B493" t="str">
        <f>_xlfn.XLOOKUP($A493,ALGLIB_SSA_XAUUSD!$A$2:$A$1000,ALGLIB_SSA_XAUUSD!$B$2:$B$1000,"",0)</f>
        <v/>
      </c>
      <c r="C493" t="str">
        <f>_xlfn.XLOOKUP($A493,ALGLIB_SSA_XAUUSD!$A$2:$A$1000,ALGLIB_SSA_XAUUSD!$C$2:$C$1000,"",0)</f>
        <v/>
      </c>
      <c r="D493" s="1">
        <f>D482+(D494-D482)*11/12</f>
        <v>4652.67</v>
      </c>
      <c r="E493" s="1">
        <f>E482+(E494-E482)*11/12</f>
        <v>4657.2506800000001</v>
      </c>
      <c r="F493" s="1">
        <f>F482+(F494-F482)*11/12</f>
        <v>4653.7135500000004</v>
      </c>
      <c r="G493" s="1">
        <f>G482+(G494-G482)*11/12</f>
        <v>4666.9783366666661</v>
      </c>
      <c r="H493" s="1">
        <f>H482+(H494-H482)*11/12</f>
        <v>4637.9057775000001</v>
      </c>
      <c r="I493" t="str">
        <f>_xlfn.XLOOKUP($A493,ALGLIB_SSA_XAUUSD!$J$2:$J$1000,ALGLIB_SSA_XAUUSD!$K$2:$K$1000,"",0)</f>
        <v>XAUUSD</v>
      </c>
      <c r="J493" t="str">
        <f>_xlfn.XLOOKUP($A493,ALGLIB_SSA_XAUUSD!$J$2:$J$1000,ALGLIB_SSA_XAUUSD!$L$2:$L$1000,"",0)</f>
        <v>M5</v>
      </c>
      <c r="K493">
        <f>_xlfn.XLOOKUP($A493,ALGLIB_SSA_XAUUSD!$J$2:$J$1000,ALGLIB_SSA_XAUUSD!$M$2:$M$1000,"",0)</f>
        <v>4642.99</v>
      </c>
      <c r="L493">
        <f>_xlfn.XLOOKUP($A493,ALGLIB_SSA_XAUUSD!$J$2:$J$1000,ALGLIB_SSA_XAUUSD!$N$2:$N$1000,"",0)</f>
        <v>4641.1146900000003</v>
      </c>
      <c r="M493">
        <f>_xlfn.XLOOKUP($A493,ALGLIB_SSA_XAUUSD!$J$2:$J$1000,ALGLIB_SSA_XAUUSD!$O$2:$O$1000,"",0)</f>
        <v>4639.5329300000003</v>
      </c>
      <c r="N493">
        <f>_xlfn.XLOOKUP($A493,ALGLIB_SSA_XAUUSD!$J$2:$J$1000,ALGLIB_SSA_XAUUSD!$P$2:$P$1000,"",0)</f>
        <v>4643.7481900000002</v>
      </c>
      <c r="O493">
        <f>_xlfn.XLOOKUP($A493,ALGLIB_SSA_XAUUSD!$J$2:$J$1000,ALGLIB_SSA_XAUUSD!$Q$2:$Q$1000,"",0)</f>
        <v>4636.3355600000004</v>
      </c>
      <c r="R493">
        <f t="shared" si="77"/>
        <v>1775541300</v>
      </c>
      <c r="S493" t="str">
        <f t="shared" si="78"/>
        <v>XAUUSD</v>
      </c>
      <c r="T493" t="str">
        <f t="shared" si="79"/>
        <v>M5</v>
      </c>
      <c r="U493">
        <f t="shared" si="80"/>
        <v>4642.99</v>
      </c>
      <c r="V493">
        <v>4657.2506800000001</v>
      </c>
      <c r="W493">
        <v>4653.7135500000004</v>
      </c>
      <c r="X493">
        <v>4641.1146900000003</v>
      </c>
      <c r="Y493">
        <v>4639.5329300000003</v>
      </c>
      <c r="Z493">
        <f t="shared" si="81"/>
        <v>4666.9783366666661</v>
      </c>
      <c r="AA493">
        <f t="shared" si="82"/>
        <v>4643.7481900000002</v>
      </c>
      <c r="AB493">
        <f t="shared" si="83"/>
        <v>4637.9057775000001</v>
      </c>
      <c r="AC493">
        <f t="shared" si="84"/>
        <v>4636.3355600000004</v>
      </c>
      <c r="AF493">
        <f t="shared" si="85"/>
        <v>4641.1146900000003</v>
      </c>
      <c r="AG493">
        <f t="shared" si="86"/>
        <v>4666.9783366666661</v>
      </c>
      <c r="AH493">
        <f t="shared" si="87"/>
        <v>4637.9057775000001</v>
      </c>
    </row>
    <row r="494" spans="1:34" x14ac:dyDescent="0.55000000000000004">
      <c r="A494">
        <f>ALGLIB_SSA_XAUUSD!J494</f>
        <v>1775541600</v>
      </c>
      <c r="B494" t="str">
        <f>_xlfn.XLOOKUP($A494,ALGLIB_SSA_XAUUSD!$A$2:$A$1000,ALGLIB_SSA_XAUUSD!$B$2:$B$1000,"",0)</f>
        <v>XAUUSD</v>
      </c>
      <c r="C494" t="str">
        <f>_xlfn.XLOOKUP($A494,ALGLIB_SSA_XAUUSD!$A$2:$A$1000,ALGLIB_SSA_XAUUSD!$C$2:$C$1000,"",0)</f>
        <v>H1</v>
      </c>
      <c r="D494" s="2">
        <f>_xlfn.XLOOKUP($A494,ALGLIB_SSA_XAUUSD!$A$2:$A$1000,ALGLIB_SSA_XAUUSD!$D$2:$D$1000,"",0)</f>
        <v>4653.55</v>
      </c>
      <c r="E494" s="2">
        <f>_xlfn.XLOOKUP($A494,ALGLIB_SSA_XAUUSD!$A$2:$A$1000,ALGLIB_SSA_XAUUSD!$E$2:$E$1000,"",0)</f>
        <v>4657.63994</v>
      </c>
      <c r="F494" s="2">
        <f>_xlfn.XLOOKUP($A494,ALGLIB_SSA_XAUUSD!$A$2:$A$1000,ALGLIB_SSA_XAUUSD!$F$2:$F$1000,"",0)</f>
        <v>4654.0155800000002</v>
      </c>
      <c r="G494" s="2">
        <f>_xlfn.XLOOKUP($A494,ALGLIB_SSA_XAUUSD!$A$2:$A$1000,ALGLIB_SSA_XAUUSD!$G$2:$G$1000,"",0)</f>
        <v>4667.4200899999996</v>
      </c>
      <c r="H494" s="2">
        <f>_xlfn.XLOOKUP($A494,ALGLIB_SSA_XAUUSD!$A$2:$A$1000,ALGLIB_SSA_XAUUSD!$H$2:$H$1000,"",0)</f>
        <v>4638.2373699999998</v>
      </c>
      <c r="I494" t="str">
        <f>_xlfn.XLOOKUP($A494,ALGLIB_SSA_XAUUSD!$J$2:$J$1000,ALGLIB_SSA_XAUUSD!$K$2:$K$1000,"",0)</f>
        <v>XAUUSD</v>
      </c>
      <c r="J494" t="str">
        <f>_xlfn.XLOOKUP($A494,ALGLIB_SSA_XAUUSD!$J$2:$J$1000,ALGLIB_SSA_XAUUSD!$L$2:$L$1000,"",0)</f>
        <v>M5</v>
      </c>
      <c r="K494">
        <f>_xlfn.XLOOKUP($A494,ALGLIB_SSA_XAUUSD!$J$2:$J$1000,ALGLIB_SSA_XAUUSD!$M$2:$M$1000,"",0)</f>
        <v>4645.7</v>
      </c>
      <c r="L494">
        <f>_xlfn.XLOOKUP($A494,ALGLIB_SSA_XAUUSD!$J$2:$J$1000,ALGLIB_SSA_XAUUSD!$N$2:$N$1000,"",0)</f>
        <v>4642.8723099999997</v>
      </c>
      <c r="M494">
        <f>_xlfn.XLOOKUP($A494,ALGLIB_SSA_XAUUSD!$J$2:$J$1000,ALGLIB_SSA_XAUUSD!$O$2:$O$1000,"",0)</f>
        <v>4641.20262</v>
      </c>
      <c r="N494">
        <f>_xlfn.XLOOKUP($A494,ALGLIB_SSA_XAUUSD!$J$2:$J$1000,ALGLIB_SSA_XAUUSD!$P$2:$P$1000,"",0)</f>
        <v>4645.0262599999996</v>
      </c>
      <c r="O494">
        <f>_xlfn.XLOOKUP($A494,ALGLIB_SSA_XAUUSD!$J$2:$J$1000,ALGLIB_SSA_XAUUSD!$Q$2:$Q$1000,"",0)</f>
        <v>4638.62435</v>
      </c>
      <c r="R494">
        <f t="shared" si="77"/>
        <v>1775541600</v>
      </c>
      <c r="S494" t="str">
        <f t="shared" si="78"/>
        <v>XAUUSD</v>
      </c>
      <c r="T494" t="str">
        <f t="shared" si="79"/>
        <v>M5</v>
      </c>
      <c r="U494">
        <f t="shared" si="80"/>
        <v>4645.7</v>
      </c>
      <c r="V494">
        <v>4657.63994</v>
      </c>
      <c r="W494">
        <v>4654.0155800000002</v>
      </c>
      <c r="X494">
        <v>4642.8723099999997</v>
      </c>
      <c r="Y494">
        <v>4641.20262</v>
      </c>
      <c r="Z494">
        <f t="shared" si="81"/>
        <v>4667.4200899999996</v>
      </c>
      <c r="AA494">
        <f t="shared" si="82"/>
        <v>4645.0262599999996</v>
      </c>
      <c r="AB494">
        <f t="shared" si="83"/>
        <v>4638.2373699999998</v>
      </c>
      <c r="AC494">
        <f t="shared" si="84"/>
        <v>4638.62435</v>
      </c>
      <c r="AF494">
        <f t="shared" si="85"/>
        <v>4642.8723099999997</v>
      </c>
      <c r="AG494">
        <f t="shared" si="86"/>
        <v>4667.4200899999996</v>
      </c>
      <c r="AH494">
        <f t="shared" si="87"/>
        <v>4638.2373699999998</v>
      </c>
    </row>
    <row r="495" spans="1:34" x14ac:dyDescent="0.55000000000000004">
      <c r="A495">
        <f>ALGLIB_SSA_XAUUSD!J495</f>
        <v>1775541900</v>
      </c>
      <c r="B495" t="str">
        <f>_xlfn.XLOOKUP($A495,ALGLIB_SSA_XAUUSD!$A$2:$A$1000,ALGLIB_SSA_XAUUSD!$B$2:$B$1000,"",0)</f>
        <v/>
      </c>
      <c r="C495" t="str">
        <f>_xlfn.XLOOKUP($A495,ALGLIB_SSA_XAUUSD!$A$2:$A$1000,ALGLIB_SSA_XAUUSD!$C$2:$C$1000,"",0)</f>
        <v/>
      </c>
      <c r="D495" s="1">
        <f>D494+(D506-D494)*1/12</f>
        <v>4652.9291666666668</v>
      </c>
      <c r="E495" s="1">
        <f>E494+(E506-E494)*1/12</f>
        <v>4657.996725</v>
      </c>
      <c r="F495" s="1">
        <f>F494+(F506-F494)*1/12</f>
        <v>4654.3449875000006</v>
      </c>
      <c r="G495" s="1">
        <f>G494+(G506-G494)*1/12</f>
        <v>4667.9013283333334</v>
      </c>
      <c r="H495" s="1">
        <f>H494+(H506-H494)*1/12</f>
        <v>4638.5909816666663</v>
      </c>
      <c r="I495" t="str">
        <f>_xlfn.XLOOKUP($A495,ALGLIB_SSA_XAUUSD!$J$2:$J$1000,ALGLIB_SSA_XAUUSD!$K$2:$K$1000,"",0)</f>
        <v>XAUUSD</v>
      </c>
      <c r="J495" t="str">
        <f>_xlfn.XLOOKUP($A495,ALGLIB_SSA_XAUUSD!$J$2:$J$1000,ALGLIB_SSA_XAUUSD!$L$2:$L$1000,"",0)</f>
        <v>M5</v>
      </c>
      <c r="K495">
        <f>_xlfn.XLOOKUP($A495,ALGLIB_SSA_XAUUSD!$J$2:$J$1000,ALGLIB_SSA_XAUUSD!$M$2:$M$1000,"",0)</f>
        <v>4644.26</v>
      </c>
      <c r="L495">
        <f>_xlfn.XLOOKUP($A495,ALGLIB_SSA_XAUUSD!$J$2:$J$1000,ALGLIB_SSA_XAUUSD!$N$2:$N$1000,"",0)</f>
        <v>4643.9902599999996</v>
      </c>
      <c r="M495">
        <f>_xlfn.XLOOKUP($A495,ALGLIB_SSA_XAUUSD!$J$2:$J$1000,ALGLIB_SSA_XAUUSD!$O$2:$O$1000,"",0)</f>
        <v>4642.5964400000003</v>
      </c>
      <c r="N495">
        <f>_xlfn.XLOOKUP($A495,ALGLIB_SSA_XAUUSD!$J$2:$J$1000,ALGLIB_SSA_XAUUSD!$P$2:$P$1000,"",0)</f>
        <v>4646.0207600000003</v>
      </c>
      <c r="O495">
        <f>_xlfn.XLOOKUP($A495,ALGLIB_SSA_XAUUSD!$J$2:$J$1000,ALGLIB_SSA_XAUUSD!$Q$2:$Q$1000,"",0)</f>
        <v>4640.2620500000003</v>
      </c>
      <c r="R495">
        <f t="shared" si="77"/>
        <v>1775541900</v>
      </c>
      <c r="S495" t="str">
        <f t="shared" si="78"/>
        <v>XAUUSD</v>
      </c>
      <c r="T495" t="str">
        <f t="shared" si="79"/>
        <v>M5</v>
      </c>
      <c r="U495">
        <f t="shared" si="80"/>
        <v>4644.26</v>
      </c>
      <c r="V495">
        <v>4657.9967299999998</v>
      </c>
      <c r="W495">
        <v>4654.3449899999996</v>
      </c>
      <c r="X495">
        <v>4643.9902599999996</v>
      </c>
      <c r="Y495">
        <v>4642.5964400000003</v>
      </c>
      <c r="Z495">
        <f t="shared" si="81"/>
        <v>4667.9013283333334</v>
      </c>
      <c r="AA495">
        <f t="shared" si="82"/>
        <v>4646.0207600000003</v>
      </c>
      <c r="AB495">
        <f t="shared" si="83"/>
        <v>4638.5909816666663</v>
      </c>
      <c r="AC495">
        <f t="shared" si="84"/>
        <v>4640.2620500000003</v>
      </c>
      <c r="AF495">
        <f t="shared" si="85"/>
        <v>4643.9902599999996</v>
      </c>
      <c r="AG495">
        <f t="shared" si="86"/>
        <v>4667.9013283333334</v>
      </c>
      <c r="AH495">
        <f t="shared" si="87"/>
        <v>4638.5909816666663</v>
      </c>
    </row>
    <row r="496" spans="1:34" x14ac:dyDescent="0.55000000000000004">
      <c r="A496">
        <f>ALGLIB_SSA_XAUUSD!J496</f>
        <v>1775542200</v>
      </c>
      <c r="B496" t="str">
        <f>_xlfn.XLOOKUP($A496,ALGLIB_SSA_XAUUSD!$A$2:$A$1000,ALGLIB_SSA_XAUUSD!$B$2:$B$1000,"",0)</f>
        <v/>
      </c>
      <c r="C496" t="str">
        <f>_xlfn.XLOOKUP($A496,ALGLIB_SSA_XAUUSD!$A$2:$A$1000,ALGLIB_SSA_XAUUSD!$C$2:$C$1000,"",0)</f>
        <v/>
      </c>
      <c r="D496" s="1">
        <f>D494+(D506-D494)*2/12</f>
        <v>4652.3083333333334</v>
      </c>
      <c r="E496" s="1">
        <f>E494+(E506-E494)*2/12</f>
        <v>4658.3535099999999</v>
      </c>
      <c r="F496" s="1">
        <f>F494+(F506-F494)*2/12</f>
        <v>4654.674395</v>
      </c>
      <c r="G496" s="1">
        <f>G494+(G506-G494)*2/12</f>
        <v>4668.3825666666662</v>
      </c>
      <c r="H496" s="1">
        <f>H494+(H506-H494)*2/12</f>
        <v>4638.9445933333336</v>
      </c>
      <c r="I496" t="str">
        <f>_xlfn.XLOOKUP($A496,ALGLIB_SSA_XAUUSD!$J$2:$J$1000,ALGLIB_SSA_XAUUSD!$K$2:$K$1000,"",0)</f>
        <v>XAUUSD</v>
      </c>
      <c r="J496" t="str">
        <f>_xlfn.XLOOKUP($A496,ALGLIB_SSA_XAUUSD!$J$2:$J$1000,ALGLIB_SSA_XAUUSD!$L$2:$L$1000,"",0)</f>
        <v>M5</v>
      </c>
      <c r="K496">
        <f>_xlfn.XLOOKUP($A496,ALGLIB_SSA_XAUUSD!$J$2:$J$1000,ALGLIB_SSA_XAUUSD!$M$2:$M$1000,"",0)</f>
        <v>4647.34</v>
      </c>
      <c r="L496">
        <f>_xlfn.XLOOKUP($A496,ALGLIB_SSA_XAUUSD!$J$2:$J$1000,ALGLIB_SSA_XAUUSD!$N$2:$N$1000,"",0)</f>
        <v>4644.5057900000002</v>
      </c>
      <c r="M496">
        <f>_xlfn.XLOOKUP($A496,ALGLIB_SSA_XAUUSD!$J$2:$J$1000,ALGLIB_SSA_XAUUSD!$O$2:$O$1000,"",0)</f>
        <v>4643.5511100000003</v>
      </c>
      <c r="N496">
        <f>_xlfn.XLOOKUP($A496,ALGLIB_SSA_XAUUSD!$J$2:$J$1000,ALGLIB_SSA_XAUUSD!$P$2:$P$1000,"",0)</f>
        <v>4646.6522000000004</v>
      </c>
      <c r="O496">
        <f>_xlfn.XLOOKUP($A496,ALGLIB_SSA_XAUUSD!$J$2:$J$1000,ALGLIB_SSA_XAUUSD!$Q$2:$Q$1000,"",0)</f>
        <v>4641.0758500000002</v>
      </c>
      <c r="R496">
        <f t="shared" si="77"/>
        <v>1775542200</v>
      </c>
      <c r="S496" t="str">
        <f t="shared" si="78"/>
        <v>XAUUSD</v>
      </c>
      <c r="T496" t="str">
        <f t="shared" si="79"/>
        <v>M5</v>
      </c>
      <c r="U496">
        <f t="shared" si="80"/>
        <v>4647.34</v>
      </c>
      <c r="V496">
        <v>4658.3535099999999</v>
      </c>
      <c r="W496">
        <v>4654.6743999999999</v>
      </c>
      <c r="X496">
        <v>4644.5057900000002</v>
      </c>
      <c r="Y496">
        <v>4643.5511100000003</v>
      </c>
      <c r="Z496">
        <f t="shared" si="81"/>
        <v>4668.3825666666662</v>
      </c>
      <c r="AA496">
        <f t="shared" si="82"/>
        <v>4646.6522000000004</v>
      </c>
      <c r="AB496">
        <f t="shared" si="83"/>
        <v>4638.9445933333336</v>
      </c>
      <c r="AC496">
        <f t="shared" si="84"/>
        <v>4641.0758500000002</v>
      </c>
      <c r="AF496">
        <f t="shared" si="85"/>
        <v>4644.5057900000002</v>
      </c>
      <c r="AG496">
        <f t="shared" si="86"/>
        <v>4668.3825666666662</v>
      </c>
      <c r="AH496">
        <f t="shared" si="87"/>
        <v>4638.9445933333336</v>
      </c>
    </row>
    <row r="497" spans="1:34" x14ac:dyDescent="0.55000000000000004">
      <c r="A497">
        <f>ALGLIB_SSA_XAUUSD!J497</f>
        <v>1775542500</v>
      </c>
      <c r="B497" t="str">
        <f>_xlfn.XLOOKUP($A497,ALGLIB_SSA_XAUUSD!$A$2:$A$1000,ALGLIB_SSA_XAUUSD!$B$2:$B$1000,"",0)</f>
        <v/>
      </c>
      <c r="C497" t="str">
        <f>_xlfn.XLOOKUP($A497,ALGLIB_SSA_XAUUSD!$A$2:$A$1000,ALGLIB_SSA_XAUUSD!$C$2:$C$1000,"",0)</f>
        <v/>
      </c>
      <c r="D497" s="1">
        <f>D494+(D506-D494)*3/12</f>
        <v>4651.6875</v>
      </c>
      <c r="E497" s="1">
        <f>E494+(E506-E494)*3/12</f>
        <v>4658.7102949999999</v>
      </c>
      <c r="F497" s="1">
        <f>F494+(F506-F494)*3/12</f>
        <v>4655.0038025000003</v>
      </c>
      <c r="G497" s="1">
        <f>G494+(G506-G494)*3/12</f>
        <v>4668.863805</v>
      </c>
      <c r="H497" s="1">
        <f>H494+(H506-H494)*3/12</f>
        <v>4639.2982050000001</v>
      </c>
      <c r="I497" t="str">
        <f>_xlfn.XLOOKUP($A497,ALGLIB_SSA_XAUUSD!$J$2:$J$1000,ALGLIB_SSA_XAUUSD!$K$2:$K$1000,"",0)</f>
        <v>XAUUSD</v>
      </c>
      <c r="J497" t="str">
        <f>_xlfn.XLOOKUP($A497,ALGLIB_SSA_XAUUSD!$J$2:$J$1000,ALGLIB_SSA_XAUUSD!$L$2:$L$1000,"",0)</f>
        <v>M5</v>
      </c>
      <c r="K497">
        <f>_xlfn.XLOOKUP($A497,ALGLIB_SSA_XAUUSD!$J$2:$J$1000,ALGLIB_SSA_XAUUSD!$M$2:$M$1000,"",0)</f>
        <v>4643.3500000000004</v>
      </c>
      <c r="L497">
        <f>_xlfn.XLOOKUP($A497,ALGLIB_SSA_XAUUSD!$J$2:$J$1000,ALGLIB_SSA_XAUUSD!$N$2:$N$1000,"",0)</f>
        <v>4644.5200000000004</v>
      </c>
      <c r="M497">
        <f>_xlfn.XLOOKUP($A497,ALGLIB_SSA_XAUUSD!$J$2:$J$1000,ALGLIB_SSA_XAUUSD!$O$2:$O$1000,"",0)</f>
        <v>4644.0355600000003</v>
      </c>
      <c r="N497">
        <f>_xlfn.XLOOKUP($A497,ALGLIB_SSA_XAUUSD!$J$2:$J$1000,ALGLIB_SSA_XAUUSD!$P$2:$P$1000,"",0)</f>
        <v>4646.9374100000005</v>
      </c>
      <c r="O497">
        <f>_xlfn.XLOOKUP($A497,ALGLIB_SSA_XAUUSD!$J$2:$J$1000,ALGLIB_SSA_XAUUSD!$Q$2:$Q$1000,"",0)</f>
        <v>4641.2401399999999</v>
      </c>
      <c r="R497">
        <f t="shared" si="77"/>
        <v>1775542500</v>
      </c>
      <c r="S497" t="str">
        <f t="shared" si="78"/>
        <v>XAUUSD</v>
      </c>
      <c r="T497" t="str">
        <f t="shared" si="79"/>
        <v>M5</v>
      </c>
      <c r="U497">
        <f t="shared" si="80"/>
        <v>4643.3500000000004</v>
      </c>
      <c r="V497">
        <v>4658.7102999999997</v>
      </c>
      <c r="W497">
        <v>4655.0038000000004</v>
      </c>
      <c r="X497">
        <v>4644.5200000000004</v>
      </c>
      <c r="Y497">
        <v>4644.0355600000003</v>
      </c>
      <c r="Z497">
        <f t="shared" si="81"/>
        <v>4668.863805</v>
      </c>
      <c r="AA497">
        <f t="shared" si="82"/>
        <v>4646.9374100000005</v>
      </c>
      <c r="AB497">
        <f t="shared" si="83"/>
        <v>4639.2982050000001</v>
      </c>
      <c r="AC497">
        <f t="shared" si="84"/>
        <v>4641.2401399999999</v>
      </c>
      <c r="AF497">
        <f t="shared" si="85"/>
        <v>4644.5200000000004</v>
      </c>
      <c r="AG497">
        <f t="shared" si="86"/>
        <v>4668.863805</v>
      </c>
      <c r="AH497">
        <f t="shared" si="87"/>
        <v>4639.2982050000001</v>
      </c>
    </row>
    <row r="498" spans="1:34" x14ac:dyDescent="0.55000000000000004">
      <c r="A498">
        <f>ALGLIB_SSA_XAUUSD!J498</f>
        <v>1775542800</v>
      </c>
      <c r="B498" t="str">
        <f>_xlfn.XLOOKUP($A498,ALGLIB_SSA_XAUUSD!$A$2:$A$1000,ALGLIB_SSA_XAUUSD!$B$2:$B$1000,"",0)</f>
        <v/>
      </c>
      <c r="C498" t="str">
        <f>_xlfn.XLOOKUP($A498,ALGLIB_SSA_XAUUSD!$A$2:$A$1000,ALGLIB_SSA_XAUUSD!$C$2:$C$1000,"",0)</f>
        <v/>
      </c>
      <c r="D498" s="1">
        <f>D494+(D506-D494)*4/12</f>
        <v>4651.0666666666666</v>
      </c>
      <c r="E498" s="1">
        <f>E494+(E506-E494)*4/12</f>
        <v>4659.0670799999998</v>
      </c>
      <c r="F498" s="1">
        <f>F494+(F506-F494)*4/12</f>
        <v>4655.3332099999998</v>
      </c>
      <c r="G498" s="1">
        <f>G494+(G506-G494)*4/12</f>
        <v>4669.3450433333328</v>
      </c>
      <c r="H498" s="1">
        <f>H494+(H506-H494)*4/12</f>
        <v>4639.6518166666665</v>
      </c>
      <c r="I498" t="str">
        <f>_xlfn.XLOOKUP($A498,ALGLIB_SSA_XAUUSD!$J$2:$J$1000,ALGLIB_SSA_XAUUSD!$K$2:$K$1000,"",0)</f>
        <v>XAUUSD</v>
      </c>
      <c r="J498" t="str">
        <f>_xlfn.XLOOKUP($A498,ALGLIB_SSA_XAUUSD!$J$2:$J$1000,ALGLIB_SSA_XAUUSD!$L$2:$L$1000,"",0)</f>
        <v>M5</v>
      </c>
      <c r="K498">
        <f>_xlfn.XLOOKUP($A498,ALGLIB_SSA_XAUUSD!$J$2:$J$1000,ALGLIB_SSA_XAUUSD!$M$2:$M$1000,"",0)</f>
        <v>4642.46</v>
      </c>
      <c r="L498">
        <f>_xlfn.XLOOKUP($A498,ALGLIB_SSA_XAUUSD!$J$2:$J$1000,ALGLIB_SSA_XAUUSD!$N$2:$N$1000,"",0)</f>
        <v>4644.44211</v>
      </c>
      <c r="M498">
        <f>_xlfn.XLOOKUP($A498,ALGLIB_SSA_XAUUSD!$J$2:$J$1000,ALGLIB_SSA_XAUUSD!$O$2:$O$1000,"",0)</f>
        <v>4644.2388300000002</v>
      </c>
      <c r="N498">
        <f>_xlfn.XLOOKUP($A498,ALGLIB_SSA_XAUUSD!$J$2:$J$1000,ALGLIB_SSA_XAUUSD!$P$2:$P$1000,"",0)</f>
        <v>4647.0237299999999</v>
      </c>
      <c r="O498">
        <f>_xlfn.XLOOKUP($A498,ALGLIB_SSA_XAUUSD!$J$2:$J$1000,ALGLIB_SSA_XAUUSD!$Q$2:$Q$1000,"",0)</f>
        <v>4641.11805</v>
      </c>
      <c r="R498">
        <f t="shared" si="77"/>
        <v>1775542800</v>
      </c>
      <c r="S498" t="str">
        <f t="shared" si="78"/>
        <v>XAUUSD</v>
      </c>
      <c r="T498" t="str">
        <f t="shared" si="79"/>
        <v>M5</v>
      </c>
      <c r="U498">
        <f t="shared" si="80"/>
        <v>4642.46</v>
      </c>
      <c r="V498">
        <v>4659.0670799999998</v>
      </c>
      <c r="W498">
        <v>4655.3332099999998</v>
      </c>
      <c r="X498">
        <v>4644.44211</v>
      </c>
      <c r="Y498">
        <v>4644.2388300000002</v>
      </c>
      <c r="Z498">
        <f t="shared" si="81"/>
        <v>4669.3450433333328</v>
      </c>
      <c r="AA498">
        <f t="shared" si="82"/>
        <v>4647.0237299999999</v>
      </c>
      <c r="AB498">
        <f t="shared" si="83"/>
        <v>4639.6518166666665</v>
      </c>
      <c r="AC498">
        <f t="shared" si="84"/>
        <v>4641.11805</v>
      </c>
      <c r="AF498">
        <f t="shared" si="85"/>
        <v>4644.44211</v>
      </c>
      <c r="AG498">
        <f t="shared" si="86"/>
        <v>4669.3450433333328</v>
      </c>
      <c r="AH498">
        <f t="shared" si="87"/>
        <v>4639.6518166666665</v>
      </c>
    </row>
    <row r="499" spans="1:34" x14ac:dyDescent="0.55000000000000004">
      <c r="A499">
        <f>ALGLIB_SSA_XAUUSD!J499</f>
        <v>1775543100</v>
      </c>
      <c r="B499" t="str">
        <f>_xlfn.XLOOKUP($A499,ALGLIB_SSA_XAUUSD!$A$2:$A$1000,ALGLIB_SSA_XAUUSD!$B$2:$B$1000,"",0)</f>
        <v/>
      </c>
      <c r="C499" t="str">
        <f>_xlfn.XLOOKUP($A499,ALGLIB_SSA_XAUUSD!$A$2:$A$1000,ALGLIB_SSA_XAUUSD!$C$2:$C$1000,"",0)</f>
        <v/>
      </c>
      <c r="D499" s="1">
        <f>D494+(D506-D494)*5/12</f>
        <v>4650.4458333333332</v>
      </c>
      <c r="E499" s="1">
        <f>E494+(E506-E494)*5/12</f>
        <v>4659.4238649999998</v>
      </c>
      <c r="F499" s="1">
        <f>F494+(F506-F494)*5/12</f>
        <v>4655.6626175000001</v>
      </c>
      <c r="G499" s="1">
        <f>G494+(G506-G494)*5/12</f>
        <v>4669.8262816666665</v>
      </c>
      <c r="H499" s="1">
        <f>H494+(H506-H494)*5/12</f>
        <v>4640.0054283333329</v>
      </c>
      <c r="I499" t="str">
        <f>_xlfn.XLOOKUP($A499,ALGLIB_SSA_XAUUSD!$J$2:$J$1000,ALGLIB_SSA_XAUUSD!$K$2:$K$1000,"",0)</f>
        <v>XAUUSD</v>
      </c>
      <c r="J499" t="str">
        <f>_xlfn.XLOOKUP($A499,ALGLIB_SSA_XAUUSD!$J$2:$J$1000,ALGLIB_SSA_XAUUSD!$L$2:$L$1000,"",0)</f>
        <v>M5</v>
      </c>
      <c r="K499">
        <f>_xlfn.XLOOKUP($A499,ALGLIB_SSA_XAUUSD!$J$2:$J$1000,ALGLIB_SSA_XAUUSD!$M$2:$M$1000,"",0)</f>
        <v>4641.3</v>
      </c>
      <c r="L499">
        <f>_xlfn.XLOOKUP($A499,ALGLIB_SSA_XAUUSD!$J$2:$J$1000,ALGLIB_SSA_XAUUSD!$N$2:$N$1000,"",0)</f>
        <v>4644.6211999999996</v>
      </c>
      <c r="M499">
        <f>_xlfn.XLOOKUP($A499,ALGLIB_SSA_XAUUSD!$J$2:$J$1000,ALGLIB_SSA_XAUUSD!$O$2:$O$1000,"",0)</f>
        <v>4644.4300199999998</v>
      </c>
      <c r="N499">
        <f>_xlfn.XLOOKUP($A499,ALGLIB_SSA_XAUUSD!$J$2:$J$1000,ALGLIB_SSA_XAUUSD!$P$2:$P$1000,"",0)</f>
        <v>4647.2703899999997</v>
      </c>
      <c r="O499">
        <f>_xlfn.XLOOKUP($A499,ALGLIB_SSA_XAUUSD!$J$2:$J$1000,ALGLIB_SSA_XAUUSD!$Q$2:$Q$1000,"",0)</f>
        <v>4641.2037300000002</v>
      </c>
      <c r="R499">
        <f t="shared" si="77"/>
        <v>1775543100</v>
      </c>
      <c r="S499" t="str">
        <f t="shared" si="78"/>
        <v>XAUUSD</v>
      </c>
      <c r="T499" t="str">
        <f t="shared" si="79"/>
        <v>M5</v>
      </c>
      <c r="U499">
        <f t="shared" si="80"/>
        <v>4641.3</v>
      </c>
      <c r="V499">
        <v>4659.4238699999996</v>
      </c>
      <c r="W499">
        <v>4655.6626200000001</v>
      </c>
      <c r="X499">
        <v>4644.6211999999996</v>
      </c>
      <c r="Y499">
        <v>4644.4300199999998</v>
      </c>
      <c r="Z499">
        <f t="shared" si="81"/>
        <v>4669.8262816666665</v>
      </c>
      <c r="AA499">
        <f t="shared" si="82"/>
        <v>4647.2703899999997</v>
      </c>
      <c r="AB499">
        <f t="shared" si="83"/>
        <v>4640.0054283333329</v>
      </c>
      <c r="AC499">
        <f t="shared" si="84"/>
        <v>4641.2037300000002</v>
      </c>
      <c r="AF499">
        <f t="shared" si="85"/>
        <v>4644.6211999999996</v>
      </c>
      <c r="AG499">
        <f t="shared" si="86"/>
        <v>4669.8262816666665</v>
      </c>
      <c r="AH499">
        <f t="shared" si="87"/>
        <v>4640.0054283333329</v>
      </c>
    </row>
    <row r="500" spans="1:34" x14ac:dyDescent="0.55000000000000004">
      <c r="A500">
        <f>ALGLIB_SSA_XAUUSD!J500</f>
        <v>1775543400</v>
      </c>
      <c r="B500" t="str">
        <f>_xlfn.XLOOKUP($A500,ALGLIB_SSA_XAUUSD!$A$2:$A$1000,ALGLIB_SSA_XAUUSD!$B$2:$B$1000,"",0)</f>
        <v/>
      </c>
      <c r="C500" t="str">
        <f>_xlfn.XLOOKUP($A500,ALGLIB_SSA_XAUUSD!$A$2:$A$1000,ALGLIB_SSA_XAUUSD!$C$2:$C$1000,"",0)</f>
        <v/>
      </c>
      <c r="D500" s="1">
        <f>D494+(D506-D494)*6/12</f>
        <v>4649.8250000000007</v>
      </c>
      <c r="E500" s="1">
        <f>E494+(E506-E494)*6/12</f>
        <v>4659.7806500000006</v>
      </c>
      <c r="F500" s="1">
        <f>F494+(F506-F494)*6/12</f>
        <v>4655.9920249999996</v>
      </c>
      <c r="G500" s="1">
        <f>G494+(G506-G494)*6/12</f>
        <v>4670.3075200000003</v>
      </c>
      <c r="H500" s="1">
        <f>H494+(H506-H494)*6/12</f>
        <v>4640.3590399999994</v>
      </c>
      <c r="I500" t="str">
        <f>_xlfn.XLOOKUP($A500,ALGLIB_SSA_XAUUSD!$J$2:$J$1000,ALGLIB_SSA_XAUUSD!$K$2:$K$1000,"",0)</f>
        <v>XAUUSD</v>
      </c>
      <c r="J500" t="str">
        <f>_xlfn.XLOOKUP($A500,ALGLIB_SSA_XAUUSD!$J$2:$J$1000,ALGLIB_SSA_XAUUSD!$L$2:$L$1000,"",0)</f>
        <v>M5</v>
      </c>
      <c r="K500">
        <f>_xlfn.XLOOKUP($A500,ALGLIB_SSA_XAUUSD!$J$2:$J$1000,ALGLIB_SSA_XAUUSD!$M$2:$M$1000,"",0)</f>
        <v>4643.43</v>
      </c>
      <c r="L500">
        <f>_xlfn.XLOOKUP($A500,ALGLIB_SSA_XAUUSD!$J$2:$J$1000,ALGLIB_SSA_XAUUSD!$N$2:$N$1000,"",0)</f>
        <v>4645.3357900000001</v>
      </c>
      <c r="M500">
        <f>_xlfn.XLOOKUP($A500,ALGLIB_SSA_XAUUSD!$J$2:$J$1000,ALGLIB_SSA_XAUUSD!$O$2:$O$1000,"",0)</f>
        <v>4644.8828999999996</v>
      </c>
      <c r="N500">
        <f>_xlfn.XLOOKUP($A500,ALGLIB_SSA_XAUUSD!$J$2:$J$1000,ALGLIB_SSA_XAUUSD!$P$2:$P$1000,"",0)</f>
        <v>4647.8689199999999</v>
      </c>
      <c r="O500">
        <f>_xlfn.XLOOKUP($A500,ALGLIB_SSA_XAUUSD!$J$2:$J$1000,ALGLIB_SSA_XAUUSD!$Q$2:$Q$1000,"",0)</f>
        <v>4641.79486</v>
      </c>
      <c r="R500">
        <f t="shared" si="77"/>
        <v>1775543400</v>
      </c>
      <c r="S500" t="str">
        <f t="shared" si="78"/>
        <v>XAUUSD</v>
      </c>
      <c r="T500" t="str">
        <f t="shared" si="79"/>
        <v>M5</v>
      </c>
      <c r="U500">
        <f t="shared" si="80"/>
        <v>4643.43</v>
      </c>
      <c r="V500">
        <v>4659.7806499999997</v>
      </c>
      <c r="W500">
        <v>4655.9920199999997</v>
      </c>
      <c r="X500">
        <v>4645.3357900000001</v>
      </c>
      <c r="Y500">
        <v>4644.8828999999996</v>
      </c>
      <c r="Z500">
        <f t="shared" si="81"/>
        <v>4670.3075200000003</v>
      </c>
      <c r="AA500">
        <f t="shared" si="82"/>
        <v>4647.8689199999999</v>
      </c>
      <c r="AB500">
        <f t="shared" si="83"/>
        <v>4640.3590399999994</v>
      </c>
      <c r="AC500">
        <f t="shared" si="84"/>
        <v>4641.79486</v>
      </c>
      <c r="AF500">
        <f t="shared" si="85"/>
        <v>4645.3357900000001</v>
      </c>
      <c r="AG500">
        <f t="shared" si="86"/>
        <v>4670.3075200000003</v>
      </c>
      <c r="AH500">
        <f t="shared" si="87"/>
        <v>4640.3590399999994</v>
      </c>
    </row>
    <row r="501" spans="1:34" x14ac:dyDescent="0.55000000000000004">
      <c r="A501">
        <f>ALGLIB_SSA_XAUUSD!J501</f>
        <v>1775543700</v>
      </c>
      <c r="B501" t="str">
        <f>_xlfn.XLOOKUP($A501,ALGLIB_SSA_XAUUSD!$A$2:$A$1000,ALGLIB_SSA_XAUUSD!$B$2:$B$1000,"",0)</f>
        <v/>
      </c>
      <c r="C501" t="str">
        <f>_xlfn.XLOOKUP($A501,ALGLIB_SSA_XAUUSD!$A$2:$A$1000,ALGLIB_SSA_XAUUSD!$C$2:$C$1000,"",0)</f>
        <v/>
      </c>
      <c r="D501" s="1">
        <f>D494+(D506-D494)*7/12</f>
        <v>4649.2041666666673</v>
      </c>
      <c r="E501" s="1">
        <f>E494+(E506-E494)*7/12</f>
        <v>4660.1374350000006</v>
      </c>
      <c r="F501" s="1">
        <f>F494+(F506-F494)*7/12</f>
        <v>4656.3214324999999</v>
      </c>
      <c r="G501" s="1">
        <f>G494+(G506-G494)*7/12</f>
        <v>4670.7887583333331</v>
      </c>
      <c r="H501" s="1">
        <f>H494+(H506-H494)*7/12</f>
        <v>4640.7126516666667</v>
      </c>
      <c r="I501" t="str">
        <f>_xlfn.XLOOKUP($A501,ALGLIB_SSA_XAUUSD!$J$2:$J$1000,ALGLIB_SSA_XAUUSD!$K$2:$K$1000,"",0)</f>
        <v>XAUUSD</v>
      </c>
      <c r="J501" t="str">
        <f>_xlfn.XLOOKUP($A501,ALGLIB_SSA_XAUUSD!$J$2:$J$1000,ALGLIB_SSA_XAUUSD!$L$2:$L$1000,"",0)</f>
        <v>M5</v>
      </c>
      <c r="K501">
        <f>_xlfn.XLOOKUP($A501,ALGLIB_SSA_XAUUSD!$J$2:$J$1000,ALGLIB_SSA_XAUUSD!$M$2:$M$1000,"",0)</f>
        <v>4646</v>
      </c>
      <c r="L501">
        <f>_xlfn.XLOOKUP($A501,ALGLIB_SSA_XAUUSD!$J$2:$J$1000,ALGLIB_SSA_XAUUSD!$N$2:$N$1000,"",0)</f>
        <v>4646.6381099999999</v>
      </c>
      <c r="M501">
        <f>_xlfn.XLOOKUP($A501,ALGLIB_SSA_XAUUSD!$J$2:$J$1000,ALGLIB_SSA_XAUUSD!$O$2:$O$1000,"",0)</f>
        <v>4645.7605100000001</v>
      </c>
      <c r="N501">
        <f>_xlfn.XLOOKUP($A501,ALGLIB_SSA_XAUUSD!$J$2:$J$1000,ALGLIB_SSA_XAUUSD!$P$2:$P$1000,"",0)</f>
        <v>4648.9227199999996</v>
      </c>
      <c r="O501">
        <f>_xlfn.XLOOKUP($A501,ALGLIB_SSA_XAUUSD!$J$2:$J$1000,ALGLIB_SSA_XAUUSD!$Q$2:$Q$1000,"",0)</f>
        <v>4643.0070900000001</v>
      </c>
      <c r="R501">
        <f t="shared" si="77"/>
        <v>1775543700</v>
      </c>
      <c r="S501" t="str">
        <f t="shared" si="78"/>
        <v>XAUUSD</v>
      </c>
      <c r="T501" t="str">
        <f t="shared" si="79"/>
        <v>M5</v>
      </c>
      <c r="U501">
        <f t="shared" si="80"/>
        <v>4646</v>
      </c>
      <c r="V501">
        <v>4660.1374400000004</v>
      </c>
      <c r="W501">
        <v>4656.32143</v>
      </c>
      <c r="X501">
        <v>4646.6381099999999</v>
      </c>
      <c r="Y501">
        <v>4645.7605100000001</v>
      </c>
      <c r="Z501">
        <f t="shared" si="81"/>
        <v>4670.7887583333331</v>
      </c>
      <c r="AA501">
        <f t="shared" si="82"/>
        <v>4648.9227199999996</v>
      </c>
      <c r="AB501">
        <f t="shared" si="83"/>
        <v>4640.7126516666667</v>
      </c>
      <c r="AC501">
        <f t="shared" si="84"/>
        <v>4643.0070900000001</v>
      </c>
      <c r="AF501">
        <f t="shared" si="85"/>
        <v>4646.6381099999999</v>
      </c>
      <c r="AG501">
        <f t="shared" si="86"/>
        <v>4670.7887583333331</v>
      </c>
      <c r="AH501">
        <f t="shared" si="87"/>
        <v>4640.7126516666667</v>
      </c>
    </row>
    <row r="502" spans="1:34" x14ac:dyDescent="0.55000000000000004">
      <c r="A502">
        <f>ALGLIB_SSA_XAUUSD!J502</f>
        <v>1775544000</v>
      </c>
      <c r="B502" t="str">
        <f>_xlfn.XLOOKUP($A502,ALGLIB_SSA_XAUUSD!$A$2:$A$1000,ALGLIB_SSA_XAUUSD!$B$2:$B$1000,"",0)</f>
        <v/>
      </c>
      <c r="C502" t="str">
        <f>_xlfn.XLOOKUP($A502,ALGLIB_SSA_XAUUSD!$A$2:$A$1000,ALGLIB_SSA_XAUUSD!$C$2:$C$1000,"",0)</f>
        <v/>
      </c>
      <c r="D502" s="1">
        <f>D494+(D506-D494)*8/12</f>
        <v>4648.5833333333339</v>
      </c>
      <c r="E502" s="1">
        <f>E494+(E506-E494)*8/12</f>
        <v>4660.4942200000005</v>
      </c>
      <c r="F502" s="1">
        <f>F494+(F506-F494)*8/12</f>
        <v>4656.6508400000002</v>
      </c>
      <c r="G502" s="1">
        <f>G494+(G506-G494)*8/12</f>
        <v>4671.2699966666669</v>
      </c>
      <c r="H502" s="1">
        <f>H494+(H506-H494)*8/12</f>
        <v>4641.0662633333332</v>
      </c>
      <c r="I502" t="str">
        <f>_xlfn.XLOOKUP($A502,ALGLIB_SSA_XAUUSD!$J$2:$J$1000,ALGLIB_SSA_XAUUSD!$K$2:$K$1000,"",0)</f>
        <v>XAUUSD</v>
      </c>
      <c r="J502" t="str">
        <f>_xlfn.XLOOKUP($A502,ALGLIB_SSA_XAUUSD!$J$2:$J$1000,ALGLIB_SSA_XAUUSD!$L$2:$L$1000,"",0)</f>
        <v>M5</v>
      </c>
      <c r="K502">
        <f>_xlfn.XLOOKUP($A502,ALGLIB_SSA_XAUUSD!$J$2:$J$1000,ALGLIB_SSA_XAUUSD!$M$2:$M$1000,"",0)</f>
        <v>4652.47</v>
      </c>
      <c r="L502">
        <f>_xlfn.XLOOKUP($A502,ALGLIB_SSA_XAUUSD!$J$2:$J$1000,ALGLIB_SSA_XAUUSD!$N$2:$N$1000,"",0)</f>
        <v>4648.3979399999998</v>
      </c>
      <c r="M502">
        <f>_xlfn.XLOOKUP($A502,ALGLIB_SSA_XAUUSD!$J$2:$J$1000,ALGLIB_SSA_XAUUSD!$O$2:$O$1000,"",0)</f>
        <v>4647.0792199999996</v>
      </c>
      <c r="N502">
        <f>_xlfn.XLOOKUP($A502,ALGLIB_SSA_XAUUSD!$J$2:$J$1000,ALGLIB_SSA_XAUUSD!$P$2:$P$1000,"",0)</f>
        <v>4650.44668</v>
      </c>
      <c r="O502">
        <f>_xlfn.XLOOKUP($A502,ALGLIB_SSA_XAUUSD!$J$2:$J$1000,ALGLIB_SSA_XAUUSD!$Q$2:$Q$1000,"",0)</f>
        <v>4644.77639</v>
      </c>
      <c r="R502">
        <f t="shared" si="77"/>
        <v>1775544000</v>
      </c>
      <c r="S502" t="str">
        <f t="shared" si="78"/>
        <v>XAUUSD</v>
      </c>
      <c r="T502" t="str">
        <f t="shared" si="79"/>
        <v>M5</v>
      </c>
      <c r="U502">
        <f t="shared" si="80"/>
        <v>4652.47</v>
      </c>
      <c r="V502">
        <v>4660.4942199999996</v>
      </c>
      <c r="W502">
        <v>4656.6508400000002</v>
      </c>
      <c r="X502">
        <v>4648.3979399999998</v>
      </c>
      <c r="Y502">
        <v>4647.0792199999996</v>
      </c>
      <c r="Z502">
        <f t="shared" si="81"/>
        <v>4671.2699966666669</v>
      </c>
      <c r="AA502">
        <f t="shared" si="82"/>
        <v>4650.44668</v>
      </c>
      <c r="AB502">
        <f t="shared" si="83"/>
        <v>4641.0662633333332</v>
      </c>
      <c r="AC502">
        <f t="shared" si="84"/>
        <v>4644.77639</v>
      </c>
      <c r="AF502">
        <f t="shared" si="85"/>
        <v>4648.3979399999998</v>
      </c>
      <c r="AG502">
        <f t="shared" si="86"/>
        <v>4671.2699966666669</v>
      </c>
      <c r="AH502">
        <f t="shared" si="87"/>
        <v>4641.0662633333332</v>
      </c>
    </row>
    <row r="503" spans="1:34" x14ac:dyDescent="0.55000000000000004">
      <c r="A503">
        <f>ALGLIB_SSA_XAUUSD!J503</f>
        <v>1775544300</v>
      </c>
      <c r="B503" t="str">
        <f>_xlfn.XLOOKUP($A503,ALGLIB_SSA_XAUUSD!$A$2:$A$1000,ALGLIB_SSA_XAUUSD!$B$2:$B$1000,"",0)</f>
        <v/>
      </c>
      <c r="C503" t="str">
        <f>_xlfn.XLOOKUP($A503,ALGLIB_SSA_XAUUSD!$A$2:$A$1000,ALGLIB_SSA_XAUUSD!$C$2:$C$1000,"",0)</f>
        <v/>
      </c>
      <c r="D503" s="1">
        <f>D494+(D506-D494)*9/12</f>
        <v>4647.9625000000005</v>
      </c>
      <c r="E503" s="1">
        <f>E494+(E506-E494)*9/12</f>
        <v>4660.8510050000004</v>
      </c>
      <c r="F503" s="1">
        <f>F494+(F506-F494)*9/12</f>
        <v>4656.9802474999997</v>
      </c>
      <c r="G503" s="1">
        <f>G494+(G506-G494)*9/12</f>
        <v>4671.7512349999997</v>
      </c>
      <c r="H503" s="1">
        <f>H494+(H506-H494)*9/12</f>
        <v>4641.4198749999996</v>
      </c>
      <c r="I503" t="str">
        <f>_xlfn.XLOOKUP($A503,ALGLIB_SSA_XAUUSD!$J$2:$J$1000,ALGLIB_SSA_XAUUSD!$K$2:$K$1000,"",0)</f>
        <v>XAUUSD</v>
      </c>
      <c r="J503" t="str">
        <f>_xlfn.XLOOKUP($A503,ALGLIB_SSA_XAUUSD!$J$2:$J$1000,ALGLIB_SSA_XAUUSD!$L$2:$L$1000,"",0)</f>
        <v>M5</v>
      </c>
      <c r="K503">
        <f>_xlfn.XLOOKUP($A503,ALGLIB_SSA_XAUUSD!$J$2:$J$1000,ALGLIB_SSA_XAUUSD!$M$2:$M$1000,"",0)</f>
        <v>4651.05</v>
      </c>
      <c r="L503">
        <f>_xlfn.XLOOKUP($A503,ALGLIB_SSA_XAUUSD!$J$2:$J$1000,ALGLIB_SSA_XAUUSD!$N$2:$N$1000,"",0)</f>
        <v>4650.2602999999999</v>
      </c>
      <c r="M503">
        <f>_xlfn.XLOOKUP($A503,ALGLIB_SSA_XAUUSD!$J$2:$J$1000,ALGLIB_SSA_XAUUSD!$O$2:$O$1000,"",0)</f>
        <v>4648.6697599999998</v>
      </c>
      <c r="N503">
        <f>_xlfn.XLOOKUP($A503,ALGLIB_SSA_XAUUSD!$J$2:$J$1000,ALGLIB_SSA_XAUUSD!$P$2:$P$1000,"",0)</f>
        <v>4652.1937099999996</v>
      </c>
      <c r="O503">
        <f>_xlfn.XLOOKUP($A503,ALGLIB_SSA_XAUUSD!$J$2:$J$1000,ALGLIB_SSA_XAUUSD!$Q$2:$Q$1000,"",0)</f>
        <v>4646.8589700000002</v>
      </c>
      <c r="R503">
        <f t="shared" si="77"/>
        <v>1775544300</v>
      </c>
      <c r="S503" t="str">
        <f t="shared" si="78"/>
        <v>XAUUSD</v>
      </c>
      <c r="T503" t="str">
        <f t="shared" si="79"/>
        <v>M5</v>
      </c>
      <c r="U503">
        <f t="shared" si="80"/>
        <v>4651.05</v>
      </c>
      <c r="V503">
        <v>4660.8510100000003</v>
      </c>
      <c r="W503">
        <v>4656.9802499999996</v>
      </c>
      <c r="X503">
        <v>4650.2602999999999</v>
      </c>
      <c r="Y503">
        <v>4648.6697599999998</v>
      </c>
      <c r="Z503">
        <f t="shared" si="81"/>
        <v>4671.7512349999997</v>
      </c>
      <c r="AA503">
        <f t="shared" si="82"/>
        <v>4652.1937099999996</v>
      </c>
      <c r="AB503">
        <f t="shared" si="83"/>
        <v>4641.4198749999996</v>
      </c>
      <c r="AC503">
        <f t="shared" si="84"/>
        <v>4646.8589700000002</v>
      </c>
      <c r="AF503">
        <f t="shared" si="85"/>
        <v>4650.2602999999999</v>
      </c>
      <c r="AG503">
        <f t="shared" si="86"/>
        <v>4671.7512349999997</v>
      </c>
      <c r="AH503">
        <f t="shared" si="87"/>
        <v>4641.4198749999996</v>
      </c>
    </row>
    <row r="504" spans="1:34" x14ac:dyDescent="0.55000000000000004">
      <c r="A504">
        <f>ALGLIB_SSA_XAUUSD!J504</f>
        <v>1775544600</v>
      </c>
      <c r="B504" t="str">
        <f>_xlfn.XLOOKUP($A504,ALGLIB_SSA_XAUUSD!$A$2:$A$1000,ALGLIB_SSA_XAUUSD!$B$2:$B$1000,"",0)</f>
        <v/>
      </c>
      <c r="C504" t="str">
        <f>_xlfn.XLOOKUP($A504,ALGLIB_SSA_XAUUSD!$A$2:$A$1000,ALGLIB_SSA_XAUUSD!$C$2:$C$1000,"",0)</f>
        <v/>
      </c>
      <c r="D504" s="1">
        <f>D494+(D506-D494)*10/12</f>
        <v>4647.3416666666672</v>
      </c>
      <c r="E504" s="1">
        <f>E494+(E506-E494)*10/12</f>
        <v>4661.2077900000004</v>
      </c>
      <c r="F504" s="1">
        <f>F494+(F506-F494)*10/12</f>
        <v>4657.309655</v>
      </c>
      <c r="G504" s="1">
        <f>G494+(G506-G494)*10/12</f>
        <v>4672.2324733333335</v>
      </c>
      <c r="H504" s="1">
        <f>H494+(H506-H494)*10/12</f>
        <v>4641.7734866666669</v>
      </c>
      <c r="I504" t="str">
        <f>_xlfn.XLOOKUP($A504,ALGLIB_SSA_XAUUSD!$J$2:$J$1000,ALGLIB_SSA_XAUUSD!$K$2:$K$1000,"",0)</f>
        <v>XAUUSD</v>
      </c>
      <c r="J504" t="str">
        <f>_xlfn.XLOOKUP($A504,ALGLIB_SSA_XAUUSD!$J$2:$J$1000,ALGLIB_SSA_XAUUSD!$L$2:$L$1000,"",0)</f>
        <v>M5</v>
      </c>
      <c r="K504">
        <f>_xlfn.XLOOKUP($A504,ALGLIB_SSA_XAUUSD!$J$2:$J$1000,ALGLIB_SSA_XAUUSD!$M$2:$M$1000,"",0)</f>
        <v>4653.72</v>
      </c>
      <c r="L504">
        <f>_xlfn.XLOOKUP($A504,ALGLIB_SSA_XAUUSD!$J$2:$J$1000,ALGLIB_SSA_XAUUSD!$N$2:$N$1000,"",0)</f>
        <v>4651.9858199999999</v>
      </c>
      <c r="M504">
        <f>_xlfn.XLOOKUP($A504,ALGLIB_SSA_XAUUSD!$J$2:$J$1000,ALGLIB_SSA_XAUUSD!$O$2:$O$1000,"",0)</f>
        <v>4650.3277900000003</v>
      </c>
      <c r="N504">
        <f>_xlfn.XLOOKUP($A504,ALGLIB_SSA_XAUUSD!$J$2:$J$1000,ALGLIB_SSA_XAUUSD!$P$2:$P$1000,"",0)</f>
        <v>4654.0127700000003</v>
      </c>
      <c r="O504">
        <f>_xlfn.XLOOKUP($A504,ALGLIB_SSA_XAUUSD!$J$2:$J$1000,ALGLIB_SSA_XAUUSD!$Q$2:$Q$1000,"",0)</f>
        <v>4648.8061699999998</v>
      </c>
      <c r="R504">
        <f t="shared" si="77"/>
        <v>1775544600</v>
      </c>
      <c r="S504" t="str">
        <f t="shared" si="78"/>
        <v>XAUUSD</v>
      </c>
      <c r="T504" t="str">
        <f t="shared" si="79"/>
        <v>M5</v>
      </c>
      <c r="U504">
        <f t="shared" si="80"/>
        <v>4653.72</v>
      </c>
      <c r="V504">
        <v>4661.2077900000004</v>
      </c>
      <c r="W504">
        <v>4657.3096599999999</v>
      </c>
      <c r="X504">
        <v>4651.9858199999999</v>
      </c>
      <c r="Y504">
        <v>4650.3277900000003</v>
      </c>
      <c r="Z504">
        <f t="shared" si="81"/>
        <v>4672.2324733333335</v>
      </c>
      <c r="AA504">
        <f t="shared" si="82"/>
        <v>4654.0127700000003</v>
      </c>
      <c r="AB504">
        <f t="shared" si="83"/>
        <v>4641.7734866666669</v>
      </c>
      <c r="AC504">
        <f t="shared" si="84"/>
        <v>4648.8061699999998</v>
      </c>
      <c r="AF504">
        <f t="shared" si="85"/>
        <v>4651.9858199999999</v>
      </c>
      <c r="AG504">
        <f t="shared" si="86"/>
        <v>4672.2324733333335</v>
      </c>
      <c r="AH504">
        <f t="shared" si="87"/>
        <v>4641.7734866666669</v>
      </c>
    </row>
    <row r="505" spans="1:34" x14ac:dyDescent="0.55000000000000004">
      <c r="A505">
        <f>ALGLIB_SSA_XAUUSD!J505</f>
        <v>1775544900</v>
      </c>
      <c r="B505" t="str">
        <f>_xlfn.XLOOKUP($A505,ALGLIB_SSA_XAUUSD!$A$2:$A$1000,ALGLIB_SSA_XAUUSD!$B$2:$B$1000,"",0)</f>
        <v/>
      </c>
      <c r="C505" t="str">
        <f>_xlfn.XLOOKUP($A505,ALGLIB_SSA_XAUUSD!$A$2:$A$1000,ALGLIB_SSA_XAUUSD!$C$2:$C$1000,"",0)</f>
        <v/>
      </c>
      <c r="D505" s="1">
        <f>D494+(D506-D494)*11/12</f>
        <v>4646.7208333333338</v>
      </c>
      <c r="E505" s="1">
        <f>E494+(E506-E494)*11/12</f>
        <v>4661.5645750000003</v>
      </c>
      <c r="F505" s="1">
        <f>F494+(F506-F494)*11/12</f>
        <v>4657.6390624999995</v>
      </c>
      <c r="G505" s="1">
        <f>G494+(G506-G494)*11/12</f>
        <v>4672.7137116666663</v>
      </c>
      <c r="H505" s="1">
        <f>H494+(H506-H494)*11/12</f>
        <v>4642.1270983333334</v>
      </c>
      <c r="I505" t="str">
        <f>_xlfn.XLOOKUP($A505,ALGLIB_SSA_XAUUSD!$J$2:$J$1000,ALGLIB_SSA_XAUUSD!$K$2:$K$1000,"",0)</f>
        <v>XAUUSD</v>
      </c>
      <c r="J505" t="str">
        <f>_xlfn.XLOOKUP($A505,ALGLIB_SSA_XAUUSD!$J$2:$J$1000,ALGLIB_SSA_XAUUSD!$L$2:$L$1000,"",0)</f>
        <v>M5</v>
      </c>
      <c r="K505">
        <f>_xlfn.XLOOKUP($A505,ALGLIB_SSA_XAUUSD!$J$2:$J$1000,ALGLIB_SSA_XAUUSD!$M$2:$M$1000,"",0)</f>
        <v>4653.55</v>
      </c>
      <c r="L505">
        <f>_xlfn.XLOOKUP($A505,ALGLIB_SSA_XAUUSD!$J$2:$J$1000,ALGLIB_SSA_XAUUSD!$N$2:$N$1000,"",0)</f>
        <v>4653.2307300000002</v>
      </c>
      <c r="M505">
        <f>_xlfn.XLOOKUP($A505,ALGLIB_SSA_XAUUSD!$J$2:$J$1000,ALGLIB_SSA_XAUUSD!$O$2:$O$1000,"",0)</f>
        <v>4651.7792600000002</v>
      </c>
      <c r="N505">
        <f>_xlfn.XLOOKUP($A505,ALGLIB_SSA_XAUUSD!$J$2:$J$1000,ALGLIB_SSA_XAUUSD!$P$2:$P$1000,"",0)</f>
        <v>4655.5997299999999</v>
      </c>
      <c r="O505">
        <f>_xlfn.XLOOKUP($A505,ALGLIB_SSA_XAUUSD!$J$2:$J$1000,ALGLIB_SSA_XAUUSD!$Q$2:$Q$1000,"",0)</f>
        <v>4650.2298300000002</v>
      </c>
      <c r="R505">
        <f t="shared" si="77"/>
        <v>1775544900</v>
      </c>
      <c r="S505" t="str">
        <f t="shared" si="78"/>
        <v>XAUUSD</v>
      </c>
      <c r="T505" t="str">
        <f t="shared" si="79"/>
        <v>M5</v>
      </c>
      <c r="U505">
        <f t="shared" si="80"/>
        <v>4653.55</v>
      </c>
      <c r="V505">
        <v>4661.5645800000002</v>
      </c>
      <c r="W505">
        <v>4657.6390600000004</v>
      </c>
      <c r="X505">
        <v>4653.2307300000002</v>
      </c>
      <c r="Y505">
        <v>4651.7792600000002</v>
      </c>
      <c r="Z505">
        <f t="shared" si="81"/>
        <v>4672.7137116666663</v>
      </c>
      <c r="AA505">
        <f t="shared" si="82"/>
        <v>4655.5997299999999</v>
      </c>
      <c r="AB505">
        <f t="shared" si="83"/>
        <v>4642.1270983333334</v>
      </c>
      <c r="AC505">
        <f t="shared" si="84"/>
        <v>4650.2298300000002</v>
      </c>
      <c r="AF505">
        <f t="shared" si="85"/>
        <v>4653.2307300000002</v>
      </c>
      <c r="AG505">
        <f t="shared" si="86"/>
        <v>4672.7137116666663</v>
      </c>
      <c r="AH505">
        <f t="shared" si="87"/>
        <v>4642.1270983333334</v>
      </c>
    </row>
    <row r="506" spans="1:34" x14ac:dyDescent="0.55000000000000004">
      <c r="A506">
        <f>ALGLIB_SSA_XAUUSD!J506</f>
        <v>1775545200</v>
      </c>
      <c r="B506" t="str">
        <f>_xlfn.XLOOKUP($A506,ALGLIB_SSA_XAUUSD!$A$2:$A$1000,ALGLIB_SSA_XAUUSD!$B$2:$B$1000,"",0)</f>
        <v>XAUUSD</v>
      </c>
      <c r="C506" t="str">
        <f>_xlfn.XLOOKUP($A506,ALGLIB_SSA_XAUUSD!$A$2:$A$1000,ALGLIB_SSA_XAUUSD!$C$2:$C$1000,"",0)</f>
        <v>H1</v>
      </c>
      <c r="D506" s="2">
        <f>_xlfn.XLOOKUP($A506,ALGLIB_SSA_XAUUSD!$A$2:$A$1000,ALGLIB_SSA_XAUUSD!$D$2:$D$1000,"",0)</f>
        <v>4646.1000000000004</v>
      </c>
      <c r="E506" s="2">
        <f>_xlfn.XLOOKUP($A506,ALGLIB_SSA_XAUUSD!$A$2:$A$1000,ALGLIB_SSA_XAUUSD!$E$2:$E$1000,"",0)</f>
        <v>4661.9213600000003</v>
      </c>
      <c r="F506" s="2">
        <f>_xlfn.XLOOKUP($A506,ALGLIB_SSA_XAUUSD!$A$2:$A$1000,ALGLIB_SSA_XAUUSD!$F$2:$F$1000,"",0)</f>
        <v>4657.9684699999998</v>
      </c>
      <c r="G506" s="2">
        <f>_xlfn.XLOOKUP($A506,ALGLIB_SSA_XAUUSD!$A$2:$A$1000,ALGLIB_SSA_XAUUSD!$G$2:$G$1000,"",0)</f>
        <v>4673.1949500000001</v>
      </c>
      <c r="H506" s="2">
        <f>_xlfn.XLOOKUP($A506,ALGLIB_SSA_XAUUSD!$A$2:$A$1000,ALGLIB_SSA_XAUUSD!$H$2:$H$1000,"",0)</f>
        <v>4642.4807099999998</v>
      </c>
      <c r="I506" t="str">
        <f>_xlfn.XLOOKUP($A506,ALGLIB_SSA_XAUUSD!$J$2:$J$1000,ALGLIB_SSA_XAUUSD!$K$2:$K$1000,"",0)</f>
        <v>XAUUSD</v>
      </c>
      <c r="J506" t="str">
        <f>_xlfn.XLOOKUP($A506,ALGLIB_SSA_XAUUSD!$J$2:$J$1000,ALGLIB_SSA_XAUUSD!$L$2:$L$1000,"",0)</f>
        <v>M5</v>
      </c>
      <c r="K506">
        <f>_xlfn.XLOOKUP($A506,ALGLIB_SSA_XAUUSD!$J$2:$J$1000,ALGLIB_SSA_XAUUSD!$M$2:$M$1000,"",0)</f>
        <v>4652.0600000000004</v>
      </c>
      <c r="L506">
        <f>_xlfn.XLOOKUP($A506,ALGLIB_SSA_XAUUSD!$J$2:$J$1000,ALGLIB_SSA_XAUUSD!$N$2:$N$1000,"",0)</f>
        <v>4653.7868500000004</v>
      </c>
      <c r="M506">
        <f>_xlfn.XLOOKUP($A506,ALGLIB_SSA_XAUUSD!$J$2:$J$1000,ALGLIB_SSA_XAUUSD!$O$2:$O$1000,"",0)</f>
        <v>4652.78305</v>
      </c>
      <c r="N506">
        <f>_xlfn.XLOOKUP($A506,ALGLIB_SSA_XAUUSD!$J$2:$J$1000,ALGLIB_SSA_XAUUSD!$P$2:$P$1000,"",0)</f>
        <v>4656.6736899999996</v>
      </c>
      <c r="O506">
        <f>_xlfn.XLOOKUP($A506,ALGLIB_SSA_XAUUSD!$J$2:$J$1000,ALGLIB_SSA_XAUUSD!$Q$2:$Q$1000,"",0)</f>
        <v>4650.8216700000003</v>
      </c>
      <c r="R506">
        <f t="shared" si="77"/>
        <v>1775545200</v>
      </c>
      <c r="S506" t="str">
        <f t="shared" si="78"/>
        <v>XAUUSD</v>
      </c>
      <c r="T506" t="str">
        <f t="shared" si="79"/>
        <v>M5</v>
      </c>
      <c r="U506">
        <f t="shared" si="80"/>
        <v>4652.0600000000004</v>
      </c>
      <c r="V506">
        <v>4661.9213600000003</v>
      </c>
      <c r="W506">
        <v>4657.9684699999998</v>
      </c>
      <c r="X506">
        <v>4653.7868500000004</v>
      </c>
      <c r="Y506">
        <v>4652.78305</v>
      </c>
      <c r="Z506">
        <f t="shared" si="81"/>
        <v>4673.1949500000001</v>
      </c>
      <c r="AA506">
        <f t="shared" si="82"/>
        <v>4656.6736899999996</v>
      </c>
      <c r="AB506">
        <f t="shared" si="83"/>
        <v>4642.4807099999998</v>
      </c>
      <c r="AC506">
        <f t="shared" si="84"/>
        <v>4650.8216700000003</v>
      </c>
      <c r="AF506">
        <f t="shared" si="85"/>
        <v>4653.7868500000004</v>
      </c>
      <c r="AG506">
        <f t="shared" si="86"/>
        <v>4673.1949500000001</v>
      </c>
      <c r="AH506">
        <f t="shared" si="87"/>
        <v>4642.4807099999998</v>
      </c>
    </row>
    <row r="507" spans="1:34" x14ac:dyDescent="0.55000000000000004">
      <c r="A507">
        <f>ALGLIB_SSA_XAUUSD!J507</f>
        <v>1775545500</v>
      </c>
      <c r="B507" t="str">
        <f>_xlfn.XLOOKUP($A507,ALGLIB_SSA_XAUUSD!$A$2:$A$1000,ALGLIB_SSA_XAUUSD!$B$2:$B$1000,"",0)</f>
        <v/>
      </c>
      <c r="C507" t="str">
        <f>_xlfn.XLOOKUP($A507,ALGLIB_SSA_XAUUSD!$A$2:$A$1000,ALGLIB_SSA_XAUUSD!$C$2:$C$1000,"",0)</f>
        <v/>
      </c>
      <c r="D507" s="1">
        <f>D506+(D518-D506)*1/12</f>
        <v>4649.1808333333338</v>
      </c>
      <c r="E507" s="1">
        <f>E506+(E518-E506)*1/12</f>
        <v>4662.1744875000004</v>
      </c>
      <c r="F507" s="1">
        <f>F506+(F518-F506)*1/12</f>
        <v>4658.2597374999996</v>
      </c>
      <c r="G507" s="1">
        <f>G506+(G518-G506)*1/12</f>
        <v>4673.6126350000004</v>
      </c>
      <c r="H507" s="1">
        <f>H506+(H518-H506)*1/12</f>
        <v>4642.7706083333333</v>
      </c>
      <c r="I507" t="str">
        <f>_xlfn.XLOOKUP($A507,ALGLIB_SSA_XAUUSD!$J$2:$J$1000,ALGLIB_SSA_XAUUSD!$K$2:$K$1000,"",0)</f>
        <v>XAUUSD</v>
      </c>
      <c r="J507" t="str">
        <f>_xlfn.XLOOKUP($A507,ALGLIB_SSA_XAUUSD!$J$2:$J$1000,ALGLIB_SSA_XAUUSD!$L$2:$L$1000,"",0)</f>
        <v>M5</v>
      </c>
      <c r="K507">
        <f>_xlfn.XLOOKUP($A507,ALGLIB_SSA_XAUUSD!$J$2:$J$1000,ALGLIB_SSA_XAUUSD!$M$2:$M$1000,"",0)</f>
        <v>4654.2</v>
      </c>
      <c r="L507">
        <f>_xlfn.XLOOKUP($A507,ALGLIB_SSA_XAUUSD!$J$2:$J$1000,ALGLIB_SSA_XAUUSD!$N$2:$N$1000,"",0)</f>
        <v>4653.5519000000004</v>
      </c>
      <c r="M507">
        <f>_xlfn.XLOOKUP($A507,ALGLIB_SSA_XAUUSD!$J$2:$J$1000,ALGLIB_SSA_XAUUSD!$O$2:$O$1000,"",0)</f>
        <v>4653.1674800000001</v>
      </c>
      <c r="N507">
        <f>_xlfn.XLOOKUP($A507,ALGLIB_SSA_XAUUSD!$J$2:$J$1000,ALGLIB_SSA_XAUUSD!$P$2:$P$1000,"",0)</f>
        <v>4657.0304299999998</v>
      </c>
      <c r="O507">
        <f>_xlfn.XLOOKUP($A507,ALGLIB_SSA_XAUUSD!$J$2:$J$1000,ALGLIB_SSA_XAUUSD!$Q$2:$Q$1000,"",0)</f>
        <v>4650.5318399999996</v>
      </c>
      <c r="R507">
        <f t="shared" si="77"/>
        <v>1775545500</v>
      </c>
      <c r="S507" t="str">
        <f t="shared" si="78"/>
        <v>XAUUSD</v>
      </c>
      <c r="T507" t="str">
        <f t="shared" si="79"/>
        <v>M5</v>
      </c>
      <c r="U507">
        <f t="shared" si="80"/>
        <v>4654.2</v>
      </c>
      <c r="V507">
        <v>4662.1744900000003</v>
      </c>
      <c r="W507">
        <v>4658.2597400000004</v>
      </c>
      <c r="X507">
        <v>4653.5519000000004</v>
      </c>
      <c r="Y507">
        <v>4653.1674800000001</v>
      </c>
      <c r="Z507">
        <f t="shared" si="81"/>
        <v>4673.6126350000004</v>
      </c>
      <c r="AA507">
        <f t="shared" si="82"/>
        <v>4657.0304299999998</v>
      </c>
      <c r="AB507">
        <f t="shared" si="83"/>
        <v>4642.7706083333333</v>
      </c>
      <c r="AC507">
        <f t="shared" si="84"/>
        <v>4650.5318399999996</v>
      </c>
      <c r="AF507">
        <f t="shared" si="85"/>
        <v>4653.5519000000004</v>
      </c>
      <c r="AG507">
        <f t="shared" si="86"/>
        <v>4673.6126350000004</v>
      </c>
      <c r="AH507">
        <f t="shared" si="87"/>
        <v>4642.7706083333333</v>
      </c>
    </row>
    <row r="508" spans="1:34" x14ac:dyDescent="0.55000000000000004">
      <c r="A508">
        <f>ALGLIB_SSA_XAUUSD!J508</f>
        <v>1775545800</v>
      </c>
      <c r="B508" t="str">
        <f>_xlfn.XLOOKUP($A508,ALGLIB_SSA_XAUUSD!$A$2:$A$1000,ALGLIB_SSA_XAUUSD!$B$2:$B$1000,"",0)</f>
        <v/>
      </c>
      <c r="C508" t="str">
        <f>_xlfn.XLOOKUP($A508,ALGLIB_SSA_XAUUSD!$A$2:$A$1000,ALGLIB_SSA_XAUUSD!$C$2:$C$1000,"",0)</f>
        <v/>
      </c>
      <c r="D508" s="1">
        <f>D506+(D518-D506)*2/12</f>
        <v>4652.2616666666672</v>
      </c>
      <c r="E508" s="1">
        <f>E506+(E518-E506)*2/12</f>
        <v>4662.4276150000005</v>
      </c>
      <c r="F508" s="1">
        <f>F506+(F518-F506)*2/12</f>
        <v>4658.5510049999993</v>
      </c>
      <c r="G508" s="1">
        <f>G506+(G518-G506)*2/12</f>
        <v>4674.0303199999998</v>
      </c>
      <c r="H508" s="1">
        <f>H506+(H518-H506)*2/12</f>
        <v>4643.0605066666667</v>
      </c>
      <c r="I508" t="str">
        <f>_xlfn.XLOOKUP($A508,ALGLIB_SSA_XAUUSD!$J$2:$J$1000,ALGLIB_SSA_XAUUSD!$K$2:$K$1000,"",0)</f>
        <v>XAUUSD</v>
      </c>
      <c r="J508" t="str">
        <f>_xlfn.XLOOKUP($A508,ALGLIB_SSA_XAUUSD!$J$2:$J$1000,ALGLIB_SSA_XAUUSD!$L$2:$L$1000,"",0)</f>
        <v>M5</v>
      </c>
      <c r="K508">
        <f>_xlfn.XLOOKUP($A508,ALGLIB_SSA_XAUUSD!$J$2:$J$1000,ALGLIB_SSA_XAUUSD!$M$2:$M$1000,"",0)</f>
        <v>4651.5600000000004</v>
      </c>
      <c r="L508">
        <f>_xlfn.XLOOKUP($A508,ALGLIB_SSA_XAUUSD!$J$2:$J$1000,ALGLIB_SSA_XAUUSD!$N$2:$N$1000,"",0)</f>
        <v>4652.4474700000001</v>
      </c>
      <c r="M508">
        <f>_xlfn.XLOOKUP($A508,ALGLIB_SSA_XAUUSD!$J$2:$J$1000,ALGLIB_SSA_XAUUSD!$O$2:$O$1000,"",0)</f>
        <v>4652.8074699999997</v>
      </c>
      <c r="N508">
        <f>_xlfn.XLOOKUP($A508,ALGLIB_SSA_XAUUSD!$J$2:$J$1000,ALGLIB_SSA_XAUUSD!$P$2:$P$1000,"",0)</f>
        <v>4656.4923900000003</v>
      </c>
      <c r="O508">
        <f>_xlfn.XLOOKUP($A508,ALGLIB_SSA_XAUUSD!$J$2:$J$1000,ALGLIB_SSA_XAUUSD!$Q$2:$Q$1000,"",0)</f>
        <v>4649.4132799999998</v>
      </c>
      <c r="R508">
        <f t="shared" si="77"/>
        <v>1775545800</v>
      </c>
      <c r="S508" t="str">
        <f t="shared" si="78"/>
        <v>XAUUSD</v>
      </c>
      <c r="T508" t="str">
        <f t="shared" si="79"/>
        <v>M5</v>
      </c>
      <c r="U508">
        <f t="shared" si="80"/>
        <v>4651.5600000000004</v>
      </c>
      <c r="V508">
        <v>4662.4276200000004</v>
      </c>
      <c r="W508">
        <v>4658.5510000000004</v>
      </c>
      <c r="X508">
        <v>4652.4474700000001</v>
      </c>
      <c r="Y508">
        <v>4652.8074699999997</v>
      </c>
      <c r="Z508">
        <f t="shared" si="81"/>
        <v>4674.0303199999998</v>
      </c>
      <c r="AA508">
        <f t="shared" si="82"/>
        <v>4656.4923900000003</v>
      </c>
      <c r="AB508">
        <f t="shared" si="83"/>
        <v>4643.0605066666667</v>
      </c>
      <c r="AC508">
        <f t="shared" si="84"/>
        <v>4649.4132799999998</v>
      </c>
      <c r="AF508">
        <f t="shared" si="85"/>
        <v>4652.4474700000001</v>
      </c>
      <c r="AG508">
        <f t="shared" si="86"/>
        <v>4674.0303199999998</v>
      </c>
      <c r="AH508">
        <f t="shared" si="87"/>
        <v>4643.0605066666667</v>
      </c>
    </row>
    <row r="509" spans="1:34" x14ac:dyDescent="0.55000000000000004">
      <c r="A509">
        <f>ALGLIB_SSA_XAUUSD!J509</f>
        <v>1775546100</v>
      </c>
      <c r="B509" t="str">
        <f>_xlfn.XLOOKUP($A509,ALGLIB_SSA_XAUUSD!$A$2:$A$1000,ALGLIB_SSA_XAUUSD!$B$2:$B$1000,"",0)</f>
        <v/>
      </c>
      <c r="C509" t="str">
        <f>_xlfn.XLOOKUP($A509,ALGLIB_SSA_XAUUSD!$A$2:$A$1000,ALGLIB_SSA_XAUUSD!$C$2:$C$1000,"",0)</f>
        <v/>
      </c>
      <c r="D509" s="1">
        <f>D506+(D518-D506)*3/12</f>
        <v>4655.3425000000007</v>
      </c>
      <c r="E509" s="1">
        <f>E506+(E518-E506)*3/12</f>
        <v>4662.6807425000006</v>
      </c>
      <c r="F509" s="1">
        <f>F506+(F518-F506)*3/12</f>
        <v>4658.8422725</v>
      </c>
      <c r="G509" s="1">
        <f>G506+(G518-G506)*3/12</f>
        <v>4674.4480050000002</v>
      </c>
      <c r="H509" s="1">
        <f>H506+(H518-H506)*3/12</f>
        <v>4643.3504050000001</v>
      </c>
      <c r="I509" t="str">
        <f>_xlfn.XLOOKUP($A509,ALGLIB_SSA_XAUUSD!$J$2:$J$1000,ALGLIB_SSA_XAUUSD!$K$2:$K$1000,"",0)</f>
        <v>XAUUSD</v>
      </c>
      <c r="J509" t="str">
        <f>_xlfn.XLOOKUP($A509,ALGLIB_SSA_XAUUSD!$J$2:$J$1000,ALGLIB_SSA_XAUUSD!$L$2:$L$1000,"",0)</f>
        <v>M5</v>
      </c>
      <c r="K509">
        <f>_xlfn.XLOOKUP($A509,ALGLIB_SSA_XAUUSD!$J$2:$J$1000,ALGLIB_SSA_XAUUSD!$M$2:$M$1000,"",0)</f>
        <v>4651.8100000000004</v>
      </c>
      <c r="L509">
        <f>_xlfn.XLOOKUP($A509,ALGLIB_SSA_XAUUSD!$J$2:$J$1000,ALGLIB_SSA_XAUUSD!$N$2:$N$1000,"",0)</f>
        <v>4650.6280800000004</v>
      </c>
      <c r="M509">
        <f>_xlfn.XLOOKUP($A509,ALGLIB_SSA_XAUUSD!$J$2:$J$1000,ALGLIB_SSA_XAUUSD!$O$2:$O$1000,"",0)</f>
        <v>4651.7177799999999</v>
      </c>
      <c r="N509">
        <f>_xlfn.XLOOKUP($A509,ALGLIB_SSA_XAUUSD!$J$2:$J$1000,ALGLIB_SSA_XAUUSD!$P$2:$P$1000,"",0)</f>
        <v>4654.9931699999997</v>
      </c>
      <c r="O509">
        <f>_xlfn.XLOOKUP($A509,ALGLIB_SSA_XAUUSD!$J$2:$J$1000,ALGLIB_SSA_XAUUSD!$Q$2:$Q$1000,"",0)</f>
        <v>4647.6204500000003</v>
      </c>
      <c r="R509">
        <f t="shared" si="77"/>
        <v>1775546100</v>
      </c>
      <c r="S509" t="str">
        <f t="shared" si="78"/>
        <v>XAUUSD</v>
      </c>
      <c r="T509" t="str">
        <f t="shared" si="79"/>
        <v>M5</v>
      </c>
      <c r="U509">
        <f t="shared" si="80"/>
        <v>4651.8100000000004</v>
      </c>
      <c r="V509">
        <v>4662.6807399999998</v>
      </c>
      <c r="W509">
        <v>4658.8422700000001</v>
      </c>
      <c r="X509">
        <v>4650.6280800000004</v>
      </c>
      <c r="Y509">
        <v>4651.7177799999999</v>
      </c>
      <c r="Z509">
        <f t="shared" si="81"/>
        <v>4674.4480050000002</v>
      </c>
      <c r="AA509">
        <f t="shared" si="82"/>
        <v>4654.9931699999997</v>
      </c>
      <c r="AB509">
        <f t="shared" si="83"/>
        <v>4643.3504050000001</v>
      </c>
      <c r="AC509">
        <f t="shared" si="84"/>
        <v>4647.6204500000003</v>
      </c>
      <c r="AF509">
        <f t="shared" si="85"/>
        <v>4650.6280800000004</v>
      </c>
      <c r="AG509">
        <f t="shared" si="86"/>
        <v>4674.4480050000002</v>
      </c>
      <c r="AH509">
        <f t="shared" si="87"/>
        <v>4643.3504050000001</v>
      </c>
    </row>
    <row r="510" spans="1:34" x14ac:dyDescent="0.55000000000000004">
      <c r="A510">
        <f>ALGLIB_SSA_XAUUSD!J510</f>
        <v>1775546400</v>
      </c>
      <c r="B510" t="str">
        <f>_xlfn.XLOOKUP($A510,ALGLIB_SSA_XAUUSD!$A$2:$A$1000,ALGLIB_SSA_XAUUSD!$B$2:$B$1000,"",0)</f>
        <v/>
      </c>
      <c r="C510" t="str">
        <f>_xlfn.XLOOKUP($A510,ALGLIB_SSA_XAUUSD!$A$2:$A$1000,ALGLIB_SSA_XAUUSD!$C$2:$C$1000,"",0)</f>
        <v/>
      </c>
      <c r="D510" s="1">
        <f>D506+(D518-D506)*4/12</f>
        <v>4658.4233333333332</v>
      </c>
      <c r="E510" s="1">
        <f>E506+(E518-E506)*4/12</f>
        <v>4662.9338699999998</v>
      </c>
      <c r="F510" s="1">
        <f>F506+(F518-F506)*4/12</f>
        <v>4659.1335399999998</v>
      </c>
      <c r="G510" s="1">
        <f>G506+(G518-G506)*4/12</f>
        <v>4674.8656899999996</v>
      </c>
      <c r="H510" s="1">
        <f>H506+(H518-H506)*4/12</f>
        <v>4643.6403033333336</v>
      </c>
      <c r="I510" t="str">
        <f>_xlfn.XLOOKUP($A510,ALGLIB_SSA_XAUUSD!$J$2:$J$1000,ALGLIB_SSA_XAUUSD!$K$2:$K$1000,"",0)</f>
        <v>XAUUSD</v>
      </c>
      <c r="J510" t="str">
        <f>_xlfn.XLOOKUP($A510,ALGLIB_SSA_XAUUSD!$J$2:$J$1000,ALGLIB_SSA_XAUUSD!$L$2:$L$1000,"",0)</f>
        <v>M5</v>
      </c>
      <c r="K510">
        <f>_xlfn.XLOOKUP($A510,ALGLIB_SSA_XAUUSD!$J$2:$J$1000,ALGLIB_SSA_XAUUSD!$M$2:$M$1000,"",0)</f>
        <v>4647.92</v>
      </c>
      <c r="L510">
        <f>_xlfn.XLOOKUP($A510,ALGLIB_SSA_XAUUSD!$J$2:$J$1000,ALGLIB_SSA_XAUUSD!$N$2:$N$1000,"",0)</f>
        <v>4648.2619100000002</v>
      </c>
      <c r="M510">
        <f>_xlfn.XLOOKUP($A510,ALGLIB_SSA_XAUUSD!$J$2:$J$1000,ALGLIB_SSA_XAUUSD!$O$2:$O$1000,"",0)</f>
        <v>4649.9898400000002</v>
      </c>
      <c r="N510">
        <f>_xlfn.XLOOKUP($A510,ALGLIB_SSA_XAUUSD!$J$2:$J$1000,ALGLIB_SSA_XAUUSD!$P$2:$P$1000,"",0)</f>
        <v>4652.7263300000004</v>
      </c>
      <c r="O510">
        <f>_xlfn.XLOOKUP($A510,ALGLIB_SSA_XAUUSD!$J$2:$J$1000,ALGLIB_SSA_XAUUSD!$Q$2:$Q$1000,"",0)</f>
        <v>4645.3857900000003</v>
      </c>
      <c r="R510">
        <f t="shared" si="77"/>
        <v>1775546400</v>
      </c>
      <c r="S510" t="str">
        <f t="shared" si="78"/>
        <v>XAUUSD</v>
      </c>
      <c r="T510" t="str">
        <f t="shared" si="79"/>
        <v>M5</v>
      </c>
      <c r="U510">
        <f t="shared" si="80"/>
        <v>4647.92</v>
      </c>
      <c r="V510">
        <v>4662.9338699999998</v>
      </c>
      <c r="W510">
        <v>4659.1335399999998</v>
      </c>
      <c r="X510">
        <v>4648.2619100000002</v>
      </c>
      <c r="Y510">
        <v>4649.9898400000002</v>
      </c>
      <c r="Z510">
        <f t="shared" si="81"/>
        <v>4674.8656899999996</v>
      </c>
      <c r="AA510">
        <f t="shared" si="82"/>
        <v>4652.7263300000004</v>
      </c>
      <c r="AB510">
        <f t="shared" si="83"/>
        <v>4643.6403033333336</v>
      </c>
      <c r="AC510">
        <f t="shared" si="84"/>
        <v>4645.3857900000003</v>
      </c>
      <c r="AF510">
        <f t="shared" si="85"/>
        <v>4648.2619100000002</v>
      </c>
      <c r="AG510">
        <f t="shared" si="86"/>
        <v>4674.8656899999996</v>
      </c>
      <c r="AH510">
        <f t="shared" si="87"/>
        <v>4643.6403033333336</v>
      </c>
    </row>
    <row r="511" spans="1:34" x14ac:dyDescent="0.55000000000000004">
      <c r="A511">
        <f>ALGLIB_SSA_XAUUSD!J511</f>
        <v>1775546700</v>
      </c>
      <c r="B511" t="str">
        <f>_xlfn.XLOOKUP($A511,ALGLIB_SSA_XAUUSD!$A$2:$A$1000,ALGLIB_SSA_XAUUSD!$B$2:$B$1000,"",0)</f>
        <v/>
      </c>
      <c r="C511" t="str">
        <f>_xlfn.XLOOKUP($A511,ALGLIB_SSA_XAUUSD!$A$2:$A$1000,ALGLIB_SSA_XAUUSD!$C$2:$C$1000,"",0)</f>
        <v/>
      </c>
      <c r="D511" s="1">
        <f>D506+(D518-D506)*5/12</f>
        <v>4661.5041666666666</v>
      </c>
      <c r="E511" s="1">
        <f>E506+(E518-E506)*5/12</f>
        <v>4663.1869975</v>
      </c>
      <c r="F511" s="1">
        <f>F506+(F518-F506)*5/12</f>
        <v>4659.4248074999996</v>
      </c>
      <c r="G511" s="1">
        <f>G506+(G518-G506)*5/12</f>
        <v>4675.283375</v>
      </c>
      <c r="H511" s="1">
        <f>H506+(H518-H506)*5/12</f>
        <v>4643.930201666667</v>
      </c>
      <c r="I511" t="str">
        <f>_xlfn.XLOOKUP($A511,ALGLIB_SSA_XAUUSD!$J$2:$J$1000,ALGLIB_SSA_XAUUSD!$K$2:$K$1000,"",0)</f>
        <v>XAUUSD</v>
      </c>
      <c r="J511" t="str">
        <f>_xlfn.XLOOKUP($A511,ALGLIB_SSA_XAUUSD!$J$2:$J$1000,ALGLIB_SSA_XAUUSD!$L$2:$L$1000,"",0)</f>
        <v>M5</v>
      </c>
      <c r="K511">
        <f>_xlfn.XLOOKUP($A511,ALGLIB_SSA_XAUUSD!$J$2:$J$1000,ALGLIB_SSA_XAUUSD!$M$2:$M$1000,"",0)</f>
        <v>4639.75</v>
      </c>
      <c r="L511">
        <f>_xlfn.XLOOKUP($A511,ALGLIB_SSA_XAUUSD!$J$2:$J$1000,ALGLIB_SSA_XAUUSD!$N$2:$N$1000,"",0)</f>
        <v>4645.69614</v>
      </c>
      <c r="M511">
        <f>_xlfn.XLOOKUP($A511,ALGLIB_SSA_XAUUSD!$J$2:$J$1000,ALGLIB_SSA_XAUUSD!$O$2:$O$1000,"",0)</f>
        <v>4647.8429900000001</v>
      </c>
      <c r="N511">
        <f>_xlfn.XLOOKUP($A511,ALGLIB_SSA_XAUUSD!$J$2:$J$1000,ALGLIB_SSA_XAUUSD!$P$2:$P$1000,"",0)</f>
        <v>4649.9297699999997</v>
      </c>
      <c r="O511">
        <f>_xlfn.XLOOKUP($A511,ALGLIB_SSA_XAUUSD!$J$2:$J$1000,ALGLIB_SSA_XAUUSD!$Q$2:$Q$1000,"",0)</f>
        <v>4643.0246500000003</v>
      </c>
      <c r="R511">
        <f t="shared" si="77"/>
        <v>1775546700</v>
      </c>
      <c r="S511" t="str">
        <f t="shared" si="78"/>
        <v>XAUUSD</v>
      </c>
      <c r="T511" t="str">
        <f t="shared" si="79"/>
        <v>M5</v>
      </c>
      <c r="U511">
        <f t="shared" si="80"/>
        <v>4639.75</v>
      </c>
      <c r="V511">
        <v>4663.1869999999999</v>
      </c>
      <c r="W511">
        <v>4659.4248100000004</v>
      </c>
      <c r="X511">
        <v>4645.69614</v>
      </c>
      <c r="Y511">
        <v>4647.8429900000001</v>
      </c>
      <c r="Z511">
        <f t="shared" si="81"/>
        <v>4675.283375</v>
      </c>
      <c r="AA511">
        <f t="shared" si="82"/>
        <v>4649.9297699999997</v>
      </c>
      <c r="AB511">
        <f t="shared" si="83"/>
        <v>4643.930201666667</v>
      </c>
      <c r="AC511">
        <f t="shared" si="84"/>
        <v>4643.0246500000003</v>
      </c>
      <c r="AF511">
        <f t="shared" si="85"/>
        <v>4645.69614</v>
      </c>
      <c r="AG511">
        <f t="shared" si="86"/>
        <v>4675.283375</v>
      </c>
      <c r="AH511">
        <f t="shared" si="87"/>
        <v>4643.930201666667</v>
      </c>
    </row>
    <row r="512" spans="1:34" x14ac:dyDescent="0.55000000000000004">
      <c r="A512">
        <f>ALGLIB_SSA_XAUUSD!J512</f>
        <v>1775547000</v>
      </c>
      <c r="B512" t="str">
        <f>_xlfn.XLOOKUP($A512,ALGLIB_SSA_XAUUSD!$A$2:$A$1000,ALGLIB_SSA_XAUUSD!$B$2:$B$1000,"",0)</f>
        <v/>
      </c>
      <c r="C512" t="str">
        <f>_xlfn.XLOOKUP($A512,ALGLIB_SSA_XAUUSD!$A$2:$A$1000,ALGLIB_SSA_XAUUSD!$C$2:$C$1000,"",0)</f>
        <v/>
      </c>
      <c r="D512" s="1">
        <f>D506+(D518-D506)*6/12</f>
        <v>4664.585</v>
      </c>
      <c r="E512" s="1">
        <f>E506+(E518-E506)*6/12</f>
        <v>4663.4401250000001</v>
      </c>
      <c r="F512" s="1">
        <f>F506+(F518-F506)*6/12</f>
        <v>4659.7160750000003</v>
      </c>
      <c r="G512" s="1">
        <f>G506+(G518-G506)*6/12</f>
        <v>4675.7010599999994</v>
      </c>
      <c r="H512" s="1">
        <f>H506+(H518-H506)*6/12</f>
        <v>4644.2201000000005</v>
      </c>
      <c r="I512" t="str">
        <f>_xlfn.XLOOKUP($A512,ALGLIB_SSA_XAUUSD!$J$2:$J$1000,ALGLIB_SSA_XAUUSD!$K$2:$K$1000,"",0)</f>
        <v>XAUUSD</v>
      </c>
      <c r="J512" t="str">
        <f>_xlfn.XLOOKUP($A512,ALGLIB_SSA_XAUUSD!$J$2:$J$1000,ALGLIB_SSA_XAUUSD!$L$2:$L$1000,"",0)</f>
        <v>M5</v>
      </c>
      <c r="K512">
        <f>_xlfn.XLOOKUP($A512,ALGLIB_SSA_XAUUSD!$J$2:$J$1000,ALGLIB_SSA_XAUUSD!$M$2:$M$1000,"",0)</f>
        <v>4643.1899999999996</v>
      </c>
      <c r="L512">
        <f>_xlfn.XLOOKUP($A512,ALGLIB_SSA_XAUUSD!$J$2:$J$1000,ALGLIB_SSA_XAUUSD!$N$2:$N$1000,"",0)</f>
        <v>4643.4455900000003</v>
      </c>
      <c r="M512">
        <f>_xlfn.XLOOKUP($A512,ALGLIB_SSA_XAUUSD!$J$2:$J$1000,ALGLIB_SSA_XAUUSD!$O$2:$O$1000,"",0)</f>
        <v>4645.6442900000002</v>
      </c>
      <c r="N512">
        <f>_xlfn.XLOOKUP($A512,ALGLIB_SSA_XAUUSD!$J$2:$J$1000,ALGLIB_SSA_XAUUSD!$P$2:$P$1000,"",0)</f>
        <v>4647.0916699999998</v>
      </c>
      <c r="O512">
        <f>_xlfn.XLOOKUP($A512,ALGLIB_SSA_XAUUSD!$J$2:$J$1000,ALGLIB_SSA_XAUUSD!$Q$2:$Q$1000,"",0)</f>
        <v>4640.9342699999997</v>
      </c>
      <c r="R512">
        <f t="shared" si="77"/>
        <v>1775547000</v>
      </c>
      <c r="S512" t="str">
        <f t="shared" si="78"/>
        <v>XAUUSD</v>
      </c>
      <c r="T512" t="str">
        <f t="shared" si="79"/>
        <v>M5</v>
      </c>
      <c r="U512">
        <f t="shared" si="80"/>
        <v>4643.1899999999996</v>
      </c>
      <c r="V512">
        <v>4663.44013</v>
      </c>
      <c r="W512">
        <v>4659.7160800000001</v>
      </c>
      <c r="X512">
        <v>4643.4455900000003</v>
      </c>
      <c r="Y512">
        <v>4645.6442900000002</v>
      </c>
      <c r="Z512">
        <f t="shared" si="81"/>
        <v>4675.7010599999994</v>
      </c>
      <c r="AA512">
        <f t="shared" si="82"/>
        <v>4647.0916699999998</v>
      </c>
      <c r="AB512">
        <f t="shared" si="83"/>
        <v>4644.2201000000005</v>
      </c>
      <c r="AC512">
        <f t="shared" si="84"/>
        <v>4640.9342699999997</v>
      </c>
      <c r="AF512">
        <f t="shared" si="85"/>
        <v>4643.4455900000003</v>
      </c>
      <c r="AG512">
        <f t="shared" si="86"/>
        <v>4675.7010599999994</v>
      </c>
      <c r="AH512">
        <f t="shared" si="87"/>
        <v>4644.2201000000005</v>
      </c>
    </row>
    <row r="513" spans="1:34" x14ac:dyDescent="0.55000000000000004">
      <c r="A513">
        <f>ALGLIB_SSA_XAUUSD!J513</f>
        <v>1775547300</v>
      </c>
      <c r="B513" t="str">
        <f>_xlfn.XLOOKUP($A513,ALGLIB_SSA_XAUUSD!$A$2:$A$1000,ALGLIB_SSA_XAUUSD!$B$2:$B$1000,"",0)</f>
        <v/>
      </c>
      <c r="C513" t="str">
        <f>_xlfn.XLOOKUP($A513,ALGLIB_SSA_XAUUSD!$A$2:$A$1000,ALGLIB_SSA_XAUUSD!$C$2:$C$1000,"",0)</f>
        <v/>
      </c>
      <c r="D513" s="1">
        <f>D506+(D518-D506)*7/12</f>
        <v>4667.6658333333335</v>
      </c>
      <c r="E513" s="1">
        <f>E506+(E518-E506)*7/12</f>
        <v>4663.6932525000002</v>
      </c>
      <c r="F513" s="1">
        <f>F506+(F518-F506)*7/12</f>
        <v>4660.0073425</v>
      </c>
      <c r="G513" s="1">
        <f>G506+(G518-G506)*7/12</f>
        <v>4676.1187449999998</v>
      </c>
      <c r="H513" s="1">
        <f>H506+(H518-H506)*7/12</f>
        <v>4644.509998333333</v>
      </c>
      <c r="I513" t="str">
        <f>_xlfn.XLOOKUP($A513,ALGLIB_SSA_XAUUSD!$J$2:$J$1000,ALGLIB_SSA_XAUUSD!$K$2:$K$1000,"",0)</f>
        <v>XAUUSD</v>
      </c>
      <c r="J513" t="str">
        <f>_xlfn.XLOOKUP($A513,ALGLIB_SSA_XAUUSD!$J$2:$J$1000,ALGLIB_SSA_XAUUSD!$L$2:$L$1000,"",0)</f>
        <v>M5</v>
      </c>
      <c r="K513">
        <f>_xlfn.XLOOKUP($A513,ALGLIB_SSA_XAUUSD!$J$2:$J$1000,ALGLIB_SSA_XAUUSD!$M$2:$M$1000,"",0)</f>
        <v>4646.3</v>
      </c>
      <c r="L513">
        <f>_xlfn.XLOOKUP($A513,ALGLIB_SSA_XAUUSD!$J$2:$J$1000,ALGLIB_SSA_XAUUSD!$N$2:$N$1000,"",0)</f>
        <v>4641.7407700000003</v>
      </c>
      <c r="M513">
        <f>_xlfn.XLOOKUP($A513,ALGLIB_SSA_XAUUSD!$J$2:$J$1000,ALGLIB_SSA_XAUUSD!$O$2:$O$1000,"",0)</f>
        <v>4643.6925300000003</v>
      </c>
      <c r="N513">
        <f>_xlfn.XLOOKUP($A513,ALGLIB_SSA_XAUUSD!$J$2:$J$1000,ALGLIB_SSA_XAUUSD!$P$2:$P$1000,"",0)</f>
        <v>4644.7985500000004</v>
      </c>
      <c r="O513">
        <f>_xlfn.XLOOKUP($A513,ALGLIB_SSA_XAUUSD!$J$2:$J$1000,ALGLIB_SSA_XAUUSD!$Q$2:$Q$1000,"",0)</f>
        <v>4639.3752599999998</v>
      </c>
      <c r="R513">
        <f t="shared" si="77"/>
        <v>1775547300</v>
      </c>
      <c r="S513" t="str">
        <f t="shared" si="78"/>
        <v>XAUUSD</v>
      </c>
      <c r="T513" t="str">
        <f t="shared" si="79"/>
        <v>M5</v>
      </c>
      <c r="U513">
        <f t="shared" si="80"/>
        <v>4646.3</v>
      </c>
      <c r="V513">
        <v>4663.6932500000003</v>
      </c>
      <c r="W513">
        <v>4660.0073400000001</v>
      </c>
      <c r="X513">
        <v>4641.7407700000003</v>
      </c>
      <c r="Y513">
        <v>4643.6925300000003</v>
      </c>
      <c r="Z513">
        <f t="shared" si="81"/>
        <v>4676.1187449999998</v>
      </c>
      <c r="AA513">
        <f t="shared" si="82"/>
        <v>4644.7985500000004</v>
      </c>
      <c r="AB513">
        <f t="shared" si="83"/>
        <v>4644.509998333333</v>
      </c>
      <c r="AC513">
        <f t="shared" si="84"/>
        <v>4639.3752599999998</v>
      </c>
      <c r="AF513">
        <f t="shared" si="85"/>
        <v>4641.7407700000003</v>
      </c>
      <c r="AG513">
        <f t="shared" si="86"/>
        <v>4676.1187449999998</v>
      </c>
      <c r="AH513">
        <f t="shared" si="87"/>
        <v>4644.509998333333</v>
      </c>
    </row>
    <row r="514" spans="1:34" x14ac:dyDescent="0.55000000000000004">
      <c r="A514">
        <f>ALGLIB_SSA_XAUUSD!J514</f>
        <v>1775547600</v>
      </c>
      <c r="B514" t="str">
        <f>_xlfn.XLOOKUP($A514,ALGLIB_SSA_XAUUSD!$A$2:$A$1000,ALGLIB_SSA_XAUUSD!$B$2:$B$1000,"",0)</f>
        <v/>
      </c>
      <c r="C514" t="str">
        <f>_xlfn.XLOOKUP($A514,ALGLIB_SSA_XAUUSD!$A$2:$A$1000,ALGLIB_SSA_XAUUSD!$C$2:$C$1000,"",0)</f>
        <v/>
      </c>
      <c r="D514" s="1">
        <f>D506+(D518-D506)*8/12</f>
        <v>4670.7466666666669</v>
      </c>
      <c r="E514" s="1">
        <f>E506+(E518-E506)*8/12</f>
        <v>4663.9463800000003</v>
      </c>
      <c r="F514" s="1">
        <f>F506+(F518-F506)*8/12</f>
        <v>4660.2986099999998</v>
      </c>
      <c r="G514" s="1">
        <f>G506+(G518-G506)*8/12</f>
        <v>4676.5364300000001</v>
      </c>
      <c r="H514" s="1">
        <f>H506+(H518-H506)*8/12</f>
        <v>4644.7998966666664</v>
      </c>
      <c r="I514" t="str">
        <f>_xlfn.XLOOKUP($A514,ALGLIB_SSA_XAUUSD!$J$2:$J$1000,ALGLIB_SSA_XAUUSD!$K$2:$K$1000,"",0)</f>
        <v>XAUUSD</v>
      </c>
      <c r="J514" t="str">
        <f>_xlfn.XLOOKUP($A514,ALGLIB_SSA_XAUUSD!$J$2:$J$1000,ALGLIB_SSA_XAUUSD!$L$2:$L$1000,"",0)</f>
        <v>M5</v>
      </c>
      <c r="K514">
        <f>_xlfn.XLOOKUP($A514,ALGLIB_SSA_XAUUSD!$J$2:$J$1000,ALGLIB_SSA_XAUUSD!$M$2:$M$1000,"",0)</f>
        <v>4643.76</v>
      </c>
      <c r="L514">
        <f>_xlfn.XLOOKUP($A514,ALGLIB_SSA_XAUUSD!$J$2:$J$1000,ALGLIB_SSA_XAUUSD!$N$2:$N$1000,"",0)</f>
        <v>4640.8253599999998</v>
      </c>
      <c r="M514">
        <f>_xlfn.XLOOKUP($A514,ALGLIB_SSA_XAUUSD!$J$2:$J$1000,ALGLIB_SSA_XAUUSD!$O$2:$O$1000,"",0)</f>
        <v>4642.2589500000004</v>
      </c>
      <c r="N514">
        <f>_xlfn.XLOOKUP($A514,ALGLIB_SSA_XAUUSD!$J$2:$J$1000,ALGLIB_SSA_XAUUSD!$P$2:$P$1000,"",0)</f>
        <v>4643.4688699999997</v>
      </c>
      <c r="O514">
        <f>_xlfn.XLOOKUP($A514,ALGLIB_SSA_XAUUSD!$J$2:$J$1000,ALGLIB_SSA_XAUUSD!$Q$2:$Q$1000,"",0)</f>
        <v>4638.38231</v>
      </c>
      <c r="R514">
        <f t="shared" si="77"/>
        <v>1775547600</v>
      </c>
      <c r="S514" t="str">
        <f t="shared" si="78"/>
        <v>XAUUSD</v>
      </c>
      <c r="T514" t="str">
        <f t="shared" si="79"/>
        <v>M5</v>
      </c>
      <c r="U514">
        <f t="shared" si="80"/>
        <v>4643.76</v>
      </c>
      <c r="V514">
        <v>4663.9463800000003</v>
      </c>
      <c r="W514">
        <v>4660.2986099999998</v>
      </c>
      <c r="X514">
        <v>4640.8253599999998</v>
      </c>
      <c r="Y514">
        <v>4642.2589500000004</v>
      </c>
      <c r="Z514">
        <f t="shared" si="81"/>
        <v>4676.5364300000001</v>
      </c>
      <c r="AA514">
        <f t="shared" si="82"/>
        <v>4643.4688699999997</v>
      </c>
      <c r="AB514">
        <f t="shared" si="83"/>
        <v>4644.7998966666664</v>
      </c>
      <c r="AC514">
        <f t="shared" si="84"/>
        <v>4638.38231</v>
      </c>
      <c r="AF514">
        <f t="shared" si="85"/>
        <v>4640.8253599999998</v>
      </c>
      <c r="AG514">
        <f t="shared" si="86"/>
        <v>4676.5364300000001</v>
      </c>
      <c r="AH514">
        <f t="shared" si="87"/>
        <v>4644.7998966666664</v>
      </c>
    </row>
    <row r="515" spans="1:34" x14ac:dyDescent="0.55000000000000004">
      <c r="A515">
        <f>ALGLIB_SSA_XAUUSD!J515</f>
        <v>1775547900</v>
      </c>
      <c r="B515" t="str">
        <f>_xlfn.XLOOKUP($A515,ALGLIB_SSA_XAUUSD!$A$2:$A$1000,ALGLIB_SSA_XAUUSD!$B$2:$B$1000,"",0)</f>
        <v/>
      </c>
      <c r="C515" t="str">
        <f>_xlfn.XLOOKUP($A515,ALGLIB_SSA_XAUUSD!$A$2:$A$1000,ALGLIB_SSA_XAUUSD!$C$2:$C$1000,"",0)</f>
        <v/>
      </c>
      <c r="D515" s="1">
        <f>D506+(D518-D506)*9/12</f>
        <v>4673.8274999999994</v>
      </c>
      <c r="E515" s="1">
        <f>E506+(E518-E506)*9/12</f>
        <v>4664.1995074999995</v>
      </c>
      <c r="F515" s="1">
        <f>F506+(F518-F506)*9/12</f>
        <v>4660.5898774999996</v>
      </c>
      <c r="G515" s="1">
        <f>G506+(G518-G506)*9/12</f>
        <v>4676.9541149999995</v>
      </c>
      <c r="H515" s="1">
        <f>H506+(H518-H506)*9/12</f>
        <v>4645.0897949999999</v>
      </c>
      <c r="I515" t="str">
        <f>_xlfn.XLOOKUP($A515,ALGLIB_SSA_XAUUSD!$J$2:$J$1000,ALGLIB_SSA_XAUUSD!$K$2:$K$1000,"",0)</f>
        <v>XAUUSD</v>
      </c>
      <c r="J515" t="str">
        <f>_xlfn.XLOOKUP($A515,ALGLIB_SSA_XAUUSD!$J$2:$J$1000,ALGLIB_SSA_XAUUSD!$L$2:$L$1000,"",0)</f>
        <v>M5</v>
      </c>
      <c r="K515">
        <f>_xlfn.XLOOKUP($A515,ALGLIB_SSA_XAUUSD!$J$2:$J$1000,ALGLIB_SSA_XAUUSD!$M$2:$M$1000,"",0)</f>
        <v>4643.1899999999996</v>
      </c>
      <c r="L515">
        <f>_xlfn.XLOOKUP($A515,ALGLIB_SSA_XAUUSD!$J$2:$J$1000,ALGLIB_SSA_XAUUSD!$N$2:$N$1000,"",0)</f>
        <v>4641.0659699999997</v>
      </c>
      <c r="M515">
        <f>_xlfn.XLOOKUP($A515,ALGLIB_SSA_XAUUSD!$J$2:$J$1000,ALGLIB_SSA_XAUUSD!$O$2:$O$1000,"",0)</f>
        <v>4641.6624599999996</v>
      </c>
      <c r="N515">
        <f>_xlfn.XLOOKUP($A515,ALGLIB_SSA_XAUUSD!$J$2:$J$1000,ALGLIB_SSA_XAUUSD!$P$2:$P$1000,"",0)</f>
        <v>4643.54151</v>
      </c>
      <c r="O515">
        <f>_xlfn.XLOOKUP($A515,ALGLIB_SSA_XAUUSD!$J$2:$J$1000,ALGLIB_SSA_XAUUSD!$Q$2:$Q$1000,"",0)</f>
        <v>4638.1927100000003</v>
      </c>
      <c r="R515">
        <f t="shared" ref="R515:R578" si="88">A515</f>
        <v>1775547900</v>
      </c>
      <c r="S515" t="str">
        <f t="shared" ref="S515:S578" si="89">I515</f>
        <v>XAUUSD</v>
      </c>
      <c r="T515" t="str">
        <f t="shared" ref="T515:T578" si="90">J515</f>
        <v>M5</v>
      </c>
      <c r="U515">
        <f t="shared" ref="U515:U578" si="91">K515</f>
        <v>4643.1899999999996</v>
      </c>
      <c r="V515">
        <v>4664.1995100000004</v>
      </c>
      <c r="W515">
        <v>4660.5898800000004</v>
      </c>
      <c r="X515">
        <v>4641.0659699999997</v>
      </c>
      <c r="Y515">
        <v>4641.6624599999996</v>
      </c>
      <c r="Z515">
        <f t="shared" ref="Z515:Z578" si="92">G515</f>
        <v>4676.9541149999995</v>
      </c>
      <c r="AA515">
        <f t="shared" ref="AA515:AA578" si="93">N515</f>
        <v>4643.54151</v>
      </c>
      <c r="AB515">
        <f t="shared" ref="AB515:AB578" si="94">H515</f>
        <v>4645.0897949999999</v>
      </c>
      <c r="AC515">
        <f t="shared" ref="AC515:AC578" si="95">O515</f>
        <v>4638.1927100000003</v>
      </c>
      <c r="AF515">
        <f t="shared" ref="AF515:AF578" si="96">X515</f>
        <v>4641.0659699999997</v>
      </c>
      <c r="AG515">
        <f t="shared" ref="AG515:AG578" si="97">Z515</f>
        <v>4676.9541149999995</v>
      </c>
      <c r="AH515">
        <f t="shared" ref="AH515:AH578" si="98">AB515</f>
        <v>4645.0897949999999</v>
      </c>
    </row>
    <row r="516" spans="1:34" x14ac:dyDescent="0.55000000000000004">
      <c r="A516">
        <f>ALGLIB_SSA_XAUUSD!J516</f>
        <v>1775548200</v>
      </c>
      <c r="B516" t="str">
        <f>_xlfn.XLOOKUP($A516,ALGLIB_SSA_XAUUSD!$A$2:$A$1000,ALGLIB_SSA_XAUUSD!$B$2:$B$1000,"",0)</f>
        <v/>
      </c>
      <c r="C516" t="str">
        <f>_xlfn.XLOOKUP($A516,ALGLIB_SSA_XAUUSD!$A$2:$A$1000,ALGLIB_SSA_XAUUSD!$C$2:$C$1000,"",0)</f>
        <v/>
      </c>
      <c r="D516" s="1">
        <f>D506+(D518-D506)*10/12</f>
        <v>4676.9083333333328</v>
      </c>
      <c r="E516" s="1">
        <f>E506+(E518-E506)*10/12</f>
        <v>4664.4526349999996</v>
      </c>
      <c r="F516" s="1">
        <f>F506+(F518-F506)*10/12</f>
        <v>4660.8811449999994</v>
      </c>
      <c r="G516" s="1">
        <f>G506+(G518-G506)*10/12</f>
        <v>4677.3717999999999</v>
      </c>
      <c r="H516" s="1">
        <f>H506+(H518-H506)*10/12</f>
        <v>4645.3796933333333</v>
      </c>
      <c r="I516" t="str">
        <f>_xlfn.XLOOKUP($A516,ALGLIB_SSA_XAUUSD!$J$2:$J$1000,ALGLIB_SSA_XAUUSD!$K$2:$K$1000,"",0)</f>
        <v>XAUUSD</v>
      </c>
      <c r="J516" t="str">
        <f>_xlfn.XLOOKUP($A516,ALGLIB_SSA_XAUUSD!$J$2:$J$1000,ALGLIB_SSA_XAUUSD!$L$2:$L$1000,"",0)</f>
        <v>M5</v>
      </c>
      <c r="K516">
        <f>_xlfn.XLOOKUP($A516,ALGLIB_SSA_XAUUSD!$J$2:$J$1000,ALGLIB_SSA_XAUUSD!$M$2:$M$1000,"",0)</f>
        <v>4639.78</v>
      </c>
      <c r="L516">
        <f>_xlfn.XLOOKUP($A516,ALGLIB_SSA_XAUUSD!$J$2:$J$1000,ALGLIB_SSA_XAUUSD!$N$2:$N$1000,"",0)</f>
        <v>4642.7150099999999</v>
      </c>
      <c r="M516">
        <f>_xlfn.XLOOKUP($A516,ALGLIB_SSA_XAUUSD!$J$2:$J$1000,ALGLIB_SSA_XAUUSD!$O$2:$O$1000,"",0)</f>
        <v>4642.1887399999996</v>
      </c>
      <c r="N516">
        <f>_xlfn.XLOOKUP($A516,ALGLIB_SSA_XAUUSD!$J$2:$J$1000,ALGLIB_SSA_XAUUSD!$P$2:$P$1000,"",0)</f>
        <v>4645.3575799999999</v>
      </c>
      <c r="O516">
        <f>_xlfn.XLOOKUP($A516,ALGLIB_SSA_XAUUSD!$J$2:$J$1000,ALGLIB_SSA_XAUUSD!$Q$2:$Q$1000,"",0)</f>
        <v>4638.9630800000004</v>
      </c>
      <c r="R516">
        <f t="shared" si="88"/>
        <v>1775548200</v>
      </c>
      <c r="S516" t="str">
        <f t="shared" si="89"/>
        <v>XAUUSD</v>
      </c>
      <c r="T516" t="str">
        <f t="shared" si="90"/>
        <v>M5</v>
      </c>
      <c r="U516">
        <f t="shared" si="91"/>
        <v>4639.78</v>
      </c>
      <c r="V516">
        <v>4664.4526299999998</v>
      </c>
      <c r="W516">
        <v>4660.8811400000004</v>
      </c>
      <c r="X516">
        <v>4642.7150099999999</v>
      </c>
      <c r="Y516">
        <v>4642.1887399999996</v>
      </c>
      <c r="Z516">
        <f t="shared" si="92"/>
        <v>4677.3717999999999</v>
      </c>
      <c r="AA516">
        <f t="shared" si="93"/>
        <v>4645.3575799999999</v>
      </c>
      <c r="AB516">
        <f t="shared" si="94"/>
        <v>4645.3796933333333</v>
      </c>
      <c r="AC516">
        <f t="shared" si="95"/>
        <v>4638.9630800000004</v>
      </c>
      <c r="AF516">
        <f t="shared" si="96"/>
        <v>4642.7150099999999</v>
      </c>
      <c r="AG516">
        <f t="shared" si="97"/>
        <v>4677.3717999999999</v>
      </c>
      <c r="AH516">
        <f t="shared" si="98"/>
        <v>4645.3796933333333</v>
      </c>
    </row>
    <row r="517" spans="1:34" x14ac:dyDescent="0.55000000000000004">
      <c r="A517">
        <f>ALGLIB_SSA_XAUUSD!J517</f>
        <v>1775548500</v>
      </c>
      <c r="B517" t="str">
        <f>_xlfn.XLOOKUP($A517,ALGLIB_SSA_XAUUSD!$A$2:$A$1000,ALGLIB_SSA_XAUUSD!$B$2:$B$1000,"",0)</f>
        <v/>
      </c>
      <c r="C517" t="str">
        <f>_xlfn.XLOOKUP($A517,ALGLIB_SSA_XAUUSD!$A$2:$A$1000,ALGLIB_SSA_XAUUSD!$C$2:$C$1000,"",0)</f>
        <v/>
      </c>
      <c r="D517" s="1">
        <f>D506+(D518-D506)*11/12</f>
        <v>4679.9891666666663</v>
      </c>
      <c r="E517" s="1">
        <f>E506+(E518-E506)*11/12</f>
        <v>4664.7057624999998</v>
      </c>
      <c r="F517" s="1">
        <f>F506+(F518-F506)*11/12</f>
        <v>4661.1724125000001</v>
      </c>
      <c r="G517" s="1">
        <f>G506+(G518-G506)*11/12</f>
        <v>4677.7894849999993</v>
      </c>
      <c r="H517" s="1">
        <f>H506+(H518-H506)*11/12</f>
        <v>4645.6695916666667</v>
      </c>
      <c r="I517" t="str">
        <f>_xlfn.XLOOKUP($A517,ALGLIB_SSA_XAUUSD!$J$2:$J$1000,ALGLIB_SSA_XAUUSD!$K$2:$K$1000,"",0)</f>
        <v>XAUUSD</v>
      </c>
      <c r="J517" t="str">
        <f>_xlfn.XLOOKUP($A517,ALGLIB_SSA_XAUUSD!$J$2:$J$1000,ALGLIB_SSA_XAUUSD!$L$2:$L$1000,"",0)</f>
        <v>M5</v>
      </c>
      <c r="K517">
        <f>_xlfn.XLOOKUP($A517,ALGLIB_SSA_XAUUSD!$J$2:$J$1000,ALGLIB_SSA_XAUUSD!$M$2:$M$1000,"",0)</f>
        <v>4646.1000000000004</v>
      </c>
      <c r="L517">
        <f>_xlfn.XLOOKUP($A517,ALGLIB_SSA_XAUUSD!$J$2:$J$1000,ALGLIB_SSA_XAUUSD!$N$2:$N$1000,"",0)</f>
        <v>4645.9839700000002</v>
      </c>
      <c r="M517">
        <f>_xlfn.XLOOKUP($A517,ALGLIB_SSA_XAUUSD!$J$2:$J$1000,ALGLIB_SSA_XAUUSD!$O$2:$O$1000,"",0)</f>
        <v>4644.0863499999996</v>
      </c>
      <c r="N517">
        <f>_xlfn.XLOOKUP($A517,ALGLIB_SSA_XAUUSD!$J$2:$J$1000,ALGLIB_SSA_XAUUSD!$P$2:$P$1000,"",0)</f>
        <v>4648.9930800000002</v>
      </c>
      <c r="O517">
        <f>_xlfn.XLOOKUP($A517,ALGLIB_SSA_XAUUSD!$J$2:$J$1000,ALGLIB_SSA_XAUUSD!$Q$2:$Q$1000,"",0)</f>
        <v>4640.9263099999998</v>
      </c>
      <c r="R517">
        <f t="shared" si="88"/>
        <v>1775548500</v>
      </c>
      <c r="S517" t="str">
        <f t="shared" si="89"/>
        <v>XAUUSD</v>
      </c>
      <c r="T517" t="str">
        <f t="shared" si="90"/>
        <v>M5</v>
      </c>
      <c r="U517">
        <f t="shared" si="91"/>
        <v>4646.1000000000004</v>
      </c>
      <c r="V517">
        <v>4664.7057599999998</v>
      </c>
      <c r="W517">
        <v>4661.1724100000001</v>
      </c>
      <c r="X517">
        <v>4645.9839700000002</v>
      </c>
      <c r="Y517">
        <v>4644.0863499999996</v>
      </c>
      <c r="Z517">
        <f t="shared" si="92"/>
        <v>4677.7894849999993</v>
      </c>
      <c r="AA517">
        <f t="shared" si="93"/>
        <v>4648.9930800000002</v>
      </c>
      <c r="AB517">
        <f t="shared" si="94"/>
        <v>4645.6695916666667</v>
      </c>
      <c r="AC517">
        <f t="shared" si="95"/>
        <v>4640.9263099999998</v>
      </c>
      <c r="AF517">
        <f t="shared" si="96"/>
        <v>4645.9839700000002</v>
      </c>
      <c r="AG517">
        <f t="shared" si="97"/>
        <v>4677.7894849999993</v>
      </c>
      <c r="AH517">
        <f t="shared" si="98"/>
        <v>4645.6695916666667</v>
      </c>
    </row>
    <row r="518" spans="1:34" x14ac:dyDescent="0.55000000000000004">
      <c r="A518">
        <f>ALGLIB_SSA_XAUUSD!J518</f>
        <v>1775548800</v>
      </c>
      <c r="B518" t="str">
        <f>_xlfn.XLOOKUP($A518,ALGLIB_SSA_XAUUSD!$A$2:$A$1000,ALGLIB_SSA_XAUUSD!$B$2:$B$1000,"",0)</f>
        <v>XAUUSD</v>
      </c>
      <c r="C518" t="str">
        <f>_xlfn.XLOOKUP($A518,ALGLIB_SSA_XAUUSD!$A$2:$A$1000,ALGLIB_SSA_XAUUSD!$C$2:$C$1000,"",0)</f>
        <v>H1</v>
      </c>
      <c r="D518" s="2">
        <f>_xlfn.XLOOKUP($A518,ALGLIB_SSA_XAUUSD!$A$2:$A$1000,ALGLIB_SSA_XAUUSD!$D$2:$D$1000,"",0)</f>
        <v>4683.07</v>
      </c>
      <c r="E518" s="2">
        <f>_xlfn.XLOOKUP($A518,ALGLIB_SSA_XAUUSD!$A$2:$A$1000,ALGLIB_SSA_XAUUSD!$E$2:$E$1000,"",0)</f>
        <v>4664.9588899999999</v>
      </c>
      <c r="F518" s="2">
        <f>_xlfn.XLOOKUP($A518,ALGLIB_SSA_XAUUSD!$A$2:$A$1000,ALGLIB_SSA_XAUUSD!$F$2:$F$1000,"",0)</f>
        <v>4661.4636799999998</v>
      </c>
      <c r="G518" s="2">
        <f>_xlfn.XLOOKUP($A518,ALGLIB_SSA_XAUUSD!$A$2:$A$1000,ALGLIB_SSA_XAUUSD!$G$2:$G$1000,"",0)</f>
        <v>4678.2071699999997</v>
      </c>
      <c r="H518" s="2">
        <f>_xlfn.XLOOKUP($A518,ALGLIB_SSA_XAUUSD!$A$2:$A$1000,ALGLIB_SSA_XAUUSD!$H$2:$H$1000,"",0)</f>
        <v>4645.9594900000002</v>
      </c>
      <c r="I518" t="str">
        <f>_xlfn.XLOOKUP($A518,ALGLIB_SSA_XAUUSD!$J$2:$J$1000,ALGLIB_SSA_XAUUSD!$K$2:$K$1000,"",0)</f>
        <v>XAUUSD</v>
      </c>
      <c r="J518" t="str">
        <f>_xlfn.XLOOKUP($A518,ALGLIB_SSA_XAUUSD!$J$2:$J$1000,ALGLIB_SSA_XAUUSD!$L$2:$L$1000,"",0)</f>
        <v>M5</v>
      </c>
      <c r="K518">
        <f>_xlfn.XLOOKUP($A518,ALGLIB_SSA_XAUUSD!$J$2:$J$1000,ALGLIB_SSA_XAUUSD!$M$2:$M$1000,"",0)</f>
        <v>4650.37</v>
      </c>
      <c r="L518">
        <f>_xlfn.XLOOKUP($A518,ALGLIB_SSA_XAUUSD!$J$2:$J$1000,ALGLIB_SSA_XAUUSD!$N$2:$N$1000,"",0)</f>
        <v>4650.6610199999996</v>
      </c>
      <c r="M518">
        <f>_xlfn.XLOOKUP($A518,ALGLIB_SSA_XAUUSD!$J$2:$J$1000,ALGLIB_SSA_XAUUSD!$O$2:$O$1000,"",0)</f>
        <v>4647.3736900000004</v>
      </c>
      <c r="N518">
        <f>_xlfn.XLOOKUP($A518,ALGLIB_SSA_XAUUSD!$J$2:$J$1000,ALGLIB_SSA_XAUUSD!$P$2:$P$1000,"",0)</f>
        <v>4654.2536399999999</v>
      </c>
      <c r="O518">
        <f>_xlfn.XLOOKUP($A518,ALGLIB_SSA_XAUUSD!$J$2:$J$1000,ALGLIB_SSA_XAUUSD!$Q$2:$Q$1000,"",0)</f>
        <v>4644.1935899999999</v>
      </c>
      <c r="R518">
        <f t="shared" si="88"/>
        <v>1775548800</v>
      </c>
      <c r="S518" t="str">
        <f t="shared" si="89"/>
        <v>XAUUSD</v>
      </c>
      <c r="T518" t="str">
        <f t="shared" si="90"/>
        <v>M5</v>
      </c>
      <c r="U518">
        <f t="shared" si="91"/>
        <v>4650.37</v>
      </c>
      <c r="V518">
        <v>4664.9588899999999</v>
      </c>
      <c r="W518">
        <v>4661.4636799999998</v>
      </c>
      <c r="X518">
        <v>4650.6610199999996</v>
      </c>
      <c r="Y518">
        <v>4647.3736900000004</v>
      </c>
      <c r="Z518">
        <f t="shared" si="92"/>
        <v>4678.2071699999997</v>
      </c>
      <c r="AA518">
        <f t="shared" si="93"/>
        <v>4654.2536399999999</v>
      </c>
      <c r="AB518">
        <f t="shared" si="94"/>
        <v>4645.9594900000002</v>
      </c>
      <c r="AC518">
        <f t="shared" si="95"/>
        <v>4644.1935899999999</v>
      </c>
      <c r="AF518">
        <f t="shared" si="96"/>
        <v>4650.6610199999996</v>
      </c>
      <c r="AG518">
        <f t="shared" si="97"/>
        <v>4678.2071699999997</v>
      </c>
      <c r="AH518">
        <f t="shared" si="98"/>
        <v>4645.9594900000002</v>
      </c>
    </row>
    <row r="519" spans="1:34" x14ac:dyDescent="0.55000000000000004">
      <c r="A519">
        <f>ALGLIB_SSA_XAUUSD!J519</f>
        <v>1775549100</v>
      </c>
      <c r="B519" t="str">
        <f>_xlfn.XLOOKUP($A519,ALGLIB_SSA_XAUUSD!$A$2:$A$1000,ALGLIB_SSA_XAUUSD!$B$2:$B$1000,"",0)</f>
        <v/>
      </c>
      <c r="C519" t="str">
        <f>_xlfn.XLOOKUP($A519,ALGLIB_SSA_XAUUSD!$A$2:$A$1000,ALGLIB_SSA_XAUUSD!$C$2:$C$1000,"",0)</f>
        <v/>
      </c>
      <c r="D519" s="1">
        <f>D518+(D530-D518)*1/12</f>
        <v>4682.0541666666668</v>
      </c>
      <c r="E519" s="1">
        <f>E518+(E530-E518)*1/12</f>
        <v>4664.9439241666669</v>
      </c>
      <c r="F519" s="1">
        <f>F518+(F530-F518)*1/12</f>
        <v>4661.6018308333332</v>
      </c>
      <c r="G519" s="1">
        <f>G518+(G530-G518)*1/12</f>
        <v>4678.389965833333</v>
      </c>
      <c r="H519" s="1">
        <f>H518+(H530-H518)*1/12</f>
        <v>4646.0823058333335</v>
      </c>
      <c r="I519" t="str">
        <f>_xlfn.XLOOKUP($A519,ALGLIB_SSA_XAUUSD!$J$2:$J$1000,ALGLIB_SSA_XAUUSD!$K$2:$K$1000,"",0)</f>
        <v>XAUUSD</v>
      </c>
      <c r="J519" t="str">
        <f>_xlfn.XLOOKUP($A519,ALGLIB_SSA_XAUUSD!$J$2:$J$1000,ALGLIB_SSA_XAUUSD!$L$2:$L$1000,"",0)</f>
        <v>M5</v>
      </c>
      <c r="K519">
        <f>_xlfn.XLOOKUP($A519,ALGLIB_SSA_XAUUSD!$J$2:$J$1000,ALGLIB_SSA_XAUUSD!$M$2:$M$1000,"",0)</f>
        <v>4651.55</v>
      </c>
      <c r="L519">
        <f>_xlfn.XLOOKUP($A519,ALGLIB_SSA_XAUUSD!$J$2:$J$1000,ALGLIB_SSA_XAUUSD!$N$2:$N$1000,"",0)</f>
        <v>4656.3765899999999</v>
      </c>
      <c r="M519">
        <f>_xlfn.XLOOKUP($A519,ALGLIB_SSA_XAUUSD!$J$2:$J$1000,ALGLIB_SSA_XAUUSD!$O$2:$O$1000,"",0)</f>
        <v>4651.8751400000001</v>
      </c>
      <c r="N519">
        <f>_xlfn.XLOOKUP($A519,ALGLIB_SSA_XAUUSD!$J$2:$J$1000,ALGLIB_SSA_XAUUSD!$P$2:$P$1000,"",0)</f>
        <v>4660.4736499999999</v>
      </c>
      <c r="O519">
        <f>_xlfn.XLOOKUP($A519,ALGLIB_SSA_XAUUSD!$J$2:$J$1000,ALGLIB_SSA_XAUUSD!$Q$2:$Q$1000,"",0)</f>
        <v>4648.5843100000002</v>
      </c>
      <c r="R519">
        <f t="shared" si="88"/>
        <v>1775549100</v>
      </c>
      <c r="S519" t="str">
        <f t="shared" si="89"/>
        <v>XAUUSD</v>
      </c>
      <c r="T519" t="str">
        <f t="shared" si="90"/>
        <v>M5</v>
      </c>
      <c r="U519">
        <f t="shared" si="91"/>
        <v>4651.55</v>
      </c>
      <c r="V519">
        <v>4664.9439199999997</v>
      </c>
      <c r="W519">
        <v>4661.6018299999996</v>
      </c>
      <c r="X519">
        <v>4656.3765899999999</v>
      </c>
      <c r="Y519">
        <v>4651.8751400000001</v>
      </c>
      <c r="Z519">
        <f t="shared" si="92"/>
        <v>4678.389965833333</v>
      </c>
      <c r="AA519">
        <f t="shared" si="93"/>
        <v>4660.4736499999999</v>
      </c>
      <c r="AB519">
        <f t="shared" si="94"/>
        <v>4646.0823058333335</v>
      </c>
      <c r="AC519">
        <f t="shared" si="95"/>
        <v>4648.5843100000002</v>
      </c>
      <c r="AF519">
        <f t="shared" si="96"/>
        <v>4656.3765899999999</v>
      </c>
      <c r="AG519">
        <f t="shared" si="97"/>
        <v>4678.389965833333</v>
      </c>
      <c r="AH519">
        <f t="shared" si="98"/>
        <v>4646.0823058333335</v>
      </c>
    </row>
    <row r="520" spans="1:34" x14ac:dyDescent="0.55000000000000004">
      <c r="A520">
        <f>ALGLIB_SSA_XAUUSD!J520</f>
        <v>1775549400</v>
      </c>
      <c r="B520" t="str">
        <f>_xlfn.XLOOKUP($A520,ALGLIB_SSA_XAUUSD!$A$2:$A$1000,ALGLIB_SSA_XAUUSD!$B$2:$B$1000,"",0)</f>
        <v/>
      </c>
      <c r="C520" t="str">
        <f>_xlfn.XLOOKUP($A520,ALGLIB_SSA_XAUUSD!$A$2:$A$1000,ALGLIB_SSA_XAUUSD!$C$2:$C$1000,"",0)</f>
        <v/>
      </c>
      <c r="D520" s="1">
        <f>D518+(D530-D518)*2/12</f>
        <v>4681.038333333333</v>
      </c>
      <c r="E520" s="1">
        <f>E518+(E530-E518)*2/12</f>
        <v>4664.928958333333</v>
      </c>
      <c r="F520" s="1">
        <f>F518+(F530-F518)*2/12</f>
        <v>4661.7399816666666</v>
      </c>
      <c r="G520" s="1">
        <f>G518+(G530-G518)*2/12</f>
        <v>4678.5727616666663</v>
      </c>
      <c r="H520" s="1">
        <f>H518+(H530-H518)*2/12</f>
        <v>4646.2051216666669</v>
      </c>
      <c r="I520" t="str">
        <f>_xlfn.XLOOKUP($A520,ALGLIB_SSA_XAUUSD!$J$2:$J$1000,ALGLIB_SSA_XAUUSD!$K$2:$K$1000,"",0)</f>
        <v>XAUUSD</v>
      </c>
      <c r="J520" t="str">
        <f>_xlfn.XLOOKUP($A520,ALGLIB_SSA_XAUUSD!$J$2:$J$1000,ALGLIB_SSA_XAUUSD!$L$2:$L$1000,"",0)</f>
        <v>M5</v>
      </c>
      <c r="K520">
        <f>_xlfn.XLOOKUP($A520,ALGLIB_SSA_XAUUSD!$J$2:$J$1000,ALGLIB_SSA_XAUUSD!$M$2:$M$1000,"",0)</f>
        <v>4663.43</v>
      </c>
      <c r="L520">
        <f>_xlfn.XLOOKUP($A520,ALGLIB_SSA_XAUUSD!$J$2:$J$1000,ALGLIB_SSA_XAUUSD!$N$2:$N$1000,"",0)</f>
        <v>4662.6843200000003</v>
      </c>
      <c r="M520">
        <f>_xlfn.XLOOKUP($A520,ALGLIB_SSA_XAUUSD!$J$2:$J$1000,ALGLIB_SSA_XAUUSD!$O$2:$O$1000,"",0)</f>
        <v>4657.2797300000002</v>
      </c>
      <c r="N520">
        <f>_xlfn.XLOOKUP($A520,ALGLIB_SSA_XAUUSD!$J$2:$J$1000,ALGLIB_SSA_XAUUSD!$P$2:$P$1000,"",0)</f>
        <v>4667.2751500000004</v>
      </c>
      <c r="O520">
        <f>_xlfn.XLOOKUP($A520,ALGLIB_SSA_XAUUSD!$J$2:$J$1000,ALGLIB_SSA_XAUUSD!$Q$2:$Q$1000,"",0)</f>
        <v>4653.8036499999998</v>
      </c>
      <c r="R520">
        <f t="shared" si="88"/>
        <v>1775549400</v>
      </c>
      <c r="S520" t="str">
        <f t="shared" si="89"/>
        <v>XAUUSD</v>
      </c>
      <c r="T520" t="str">
        <f t="shared" si="90"/>
        <v>M5</v>
      </c>
      <c r="U520">
        <f t="shared" si="91"/>
        <v>4663.43</v>
      </c>
      <c r="V520">
        <v>4664.9289600000002</v>
      </c>
      <c r="W520">
        <v>4661.7399800000003</v>
      </c>
      <c r="X520">
        <v>4662.6843200000003</v>
      </c>
      <c r="Y520">
        <v>4657.2797300000002</v>
      </c>
      <c r="Z520">
        <f t="shared" si="92"/>
        <v>4678.5727616666663</v>
      </c>
      <c r="AA520">
        <f t="shared" si="93"/>
        <v>4667.2751500000004</v>
      </c>
      <c r="AB520">
        <f t="shared" si="94"/>
        <v>4646.2051216666669</v>
      </c>
      <c r="AC520">
        <f t="shared" si="95"/>
        <v>4653.8036499999998</v>
      </c>
      <c r="AF520">
        <f t="shared" si="96"/>
        <v>4662.6843200000003</v>
      </c>
      <c r="AG520">
        <f t="shared" si="97"/>
        <v>4678.5727616666663</v>
      </c>
      <c r="AH520">
        <f t="shared" si="98"/>
        <v>4646.2051216666669</v>
      </c>
    </row>
    <row r="521" spans="1:34" x14ac:dyDescent="0.55000000000000004">
      <c r="A521">
        <f>ALGLIB_SSA_XAUUSD!J521</f>
        <v>1775549700</v>
      </c>
      <c r="B521" t="str">
        <f>_xlfn.XLOOKUP($A521,ALGLIB_SSA_XAUUSD!$A$2:$A$1000,ALGLIB_SSA_XAUUSD!$B$2:$B$1000,"",0)</f>
        <v/>
      </c>
      <c r="C521" t="str">
        <f>_xlfn.XLOOKUP($A521,ALGLIB_SSA_XAUUSD!$A$2:$A$1000,ALGLIB_SSA_XAUUSD!$C$2:$C$1000,"",0)</f>
        <v/>
      </c>
      <c r="D521" s="1">
        <f>D518+(D530-D518)*3/12</f>
        <v>4680.0225</v>
      </c>
      <c r="E521" s="1">
        <f>E518+(E530-E518)*3/12</f>
        <v>4664.9139924999999</v>
      </c>
      <c r="F521" s="1">
        <f>F518+(F530-F518)*3/12</f>
        <v>4661.8781325</v>
      </c>
      <c r="G521" s="1">
        <f>G518+(G530-G518)*3/12</f>
        <v>4678.7555574999997</v>
      </c>
      <c r="H521" s="1">
        <f>H518+(H530-H518)*3/12</f>
        <v>4646.3279375000002</v>
      </c>
      <c r="I521" t="str">
        <f>_xlfn.XLOOKUP($A521,ALGLIB_SSA_XAUUSD!$J$2:$J$1000,ALGLIB_SSA_XAUUSD!$K$2:$K$1000,"",0)</f>
        <v>XAUUSD</v>
      </c>
      <c r="J521" t="str">
        <f>_xlfn.XLOOKUP($A521,ALGLIB_SSA_XAUUSD!$J$2:$J$1000,ALGLIB_SSA_XAUUSD!$L$2:$L$1000,"",0)</f>
        <v>M5</v>
      </c>
      <c r="K521">
        <f>_xlfn.XLOOKUP($A521,ALGLIB_SSA_XAUUSD!$J$2:$J$1000,ALGLIB_SSA_XAUUSD!$M$2:$M$1000,"",0)</f>
        <v>4661.58</v>
      </c>
      <c r="L521">
        <f>_xlfn.XLOOKUP($A521,ALGLIB_SSA_XAUUSD!$J$2:$J$1000,ALGLIB_SSA_XAUUSD!$N$2:$N$1000,"",0)</f>
        <v>4668.8171400000001</v>
      </c>
      <c r="M521">
        <f>_xlfn.XLOOKUP($A521,ALGLIB_SSA_XAUUSD!$J$2:$J$1000,ALGLIB_SSA_XAUUSD!$O$2:$O$1000,"",0)</f>
        <v>4663.0484299999998</v>
      </c>
      <c r="N521">
        <f>_xlfn.XLOOKUP($A521,ALGLIB_SSA_XAUUSD!$J$2:$J$1000,ALGLIB_SSA_XAUUSD!$P$2:$P$1000,"",0)</f>
        <v>4673.7921100000003</v>
      </c>
      <c r="O521">
        <f>_xlfn.XLOOKUP($A521,ALGLIB_SSA_XAUUSD!$J$2:$J$1000,ALGLIB_SSA_XAUUSD!$Q$2:$Q$1000,"",0)</f>
        <v>4659.5071099999996</v>
      </c>
      <c r="R521">
        <f t="shared" si="88"/>
        <v>1775549700</v>
      </c>
      <c r="S521" t="str">
        <f t="shared" si="89"/>
        <v>XAUUSD</v>
      </c>
      <c r="T521" t="str">
        <f t="shared" si="90"/>
        <v>M5</v>
      </c>
      <c r="U521">
        <f t="shared" si="91"/>
        <v>4661.58</v>
      </c>
      <c r="V521">
        <v>4664.91399</v>
      </c>
      <c r="W521">
        <v>4661.8781300000001</v>
      </c>
      <c r="X521">
        <v>4668.8171400000001</v>
      </c>
      <c r="Y521">
        <v>4663.0484299999998</v>
      </c>
      <c r="Z521">
        <f t="shared" si="92"/>
        <v>4678.7555574999997</v>
      </c>
      <c r="AA521">
        <f t="shared" si="93"/>
        <v>4673.7921100000003</v>
      </c>
      <c r="AB521">
        <f t="shared" si="94"/>
        <v>4646.3279375000002</v>
      </c>
      <c r="AC521">
        <f t="shared" si="95"/>
        <v>4659.5071099999996</v>
      </c>
      <c r="AF521">
        <f t="shared" si="96"/>
        <v>4668.8171400000001</v>
      </c>
      <c r="AG521">
        <f t="shared" si="97"/>
        <v>4678.7555574999997</v>
      </c>
      <c r="AH521">
        <f t="shared" si="98"/>
        <v>4646.3279375000002</v>
      </c>
    </row>
    <row r="522" spans="1:34" x14ac:dyDescent="0.55000000000000004">
      <c r="A522">
        <f>ALGLIB_SSA_XAUUSD!J522</f>
        <v>1775550000</v>
      </c>
      <c r="B522" t="str">
        <f>_xlfn.XLOOKUP($A522,ALGLIB_SSA_XAUUSD!$A$2:$A$1000,ALGLIB_SSA_XAUUSD!$B$2:$B$1000,"",0)</f>
        <v/>
      </c>
      <c r="C522" t="str">
        <f>_xlfn.XLOOKUP($A522,ALGLIB_SSA_XAUUSD!$A$2:$A$1000,ALGLIB_SSA_XAUUSD!$C$2:$C$1000,"",0)</f>
        <v/>
      </c>
      <c r="D522" s="1">
        <f>D518+(D530-D518)*4/12</f>
        <v>4679.0066666666662</v>
      </c>
      <c r="E522" s="1">
        <f>E518+(E530-E518)*4/12</f>
        <v>4664.8990266666669</v>
      </c>
      <c r="F522" s="1">
        <f>F518+(F530-F518)*4/12</f>
        <v>4662.0162833333334</v>
      </c>
      <c r="G522" s="1">
        <f>G518+(G530-G518)*4/12</f>
        <v>4678.938353333333</v>
      </c>
      <c r="H522" s="1">
        <f>H518+(H530-H518)*4/12</f>
        <v>4646.4507533333335</v>
      </c>
      <c r="I522" t="str">
        <f>_xlfn.XLOOKUP($A522,ALGLIB_SSA_XAUUSD!$J$2:$J$1000,ALGLIB_SSA_XAUUSD!$K$2:$K$1000,"",0)</f>
        <v>XAUUSD</v>
      </c>
      <c r="J522" t="str">
        <f>_xlfn.XLOOKUP($A522,ALGLIB_SSA_XAUUSD!$J$2:$J$1000,ALGLIB_SSA_XAUUSD!$L$2:$L$1000,"",0)</f>
        <v>M5</v>
      </c>
      <c r="K522">
        <f>_xlfn.XLOOKUP($A522,ALGLIB_SSA_XAUUSD!$J$2:$J$1000,ALGLIB_SSA_XAUUSD!$M$2:$M$1000,"",0)</f>
        <v>4684.4799999999996</v>
      </c>
      <c r="L522">
        <f>_xlfn.XLOOKUP($A522,ALGLIB_SSA_XAUUSD!$J$2:$J$1000,ALGLIB_SSA_XAUUSD!$N$2:$N$1000,"",0)</f>
        <v>4674.3835399999998</v>
      </c>
      <c r="M522">
        <f>_xlfn.XLOOKUP($A522,ALGLIB_SSA_XAUUSD!$J$2:$J$1000,ALGLIB_SSA_XAUUSD!$O$2:$O$1000,"",0)</f>
        <v>4668.7159899999997</v>
      </c>
      <c r="N522">
        <f>_xlfn.XLOOKUP($A522,ALGLIB_SSA_XAUUSD!$J$2:$J$1000,ALGLIB_SSA_XAUUSD!$P$2:$P$1000,"",0)</f>
        <v>4679.5384599999998</v>
      </c>
      <c r="O522">
        <f>_xlfn.XLOOKUP($A522,ALGLIB_SSA_XAUUSD!$J$2:$J$1000,ALGLIB_SSA_XAUUSD!$Q$2:$Q$1000,"",0)</f>
        <v>4665.1736199999996</v>
      </c>
      <c r="R522">
        <f t="shared" si="88"/>
        <v>1775550000</v>
      </c>
      <c r="S522" t="str">
        <f t="shared" si="89"/>
        <v>XAUUSD</v>
      </c>
      <c r="T522" t="str">
        <f t="shared" si="90"/>
        <v>M5</v>
      </c>
      <c r="U522">
        <f t="shared" si="91"/>
        <v>4684.4799999999996</v>
      </c>
      <c r="V522">
        <v>4664.8990299999996</v>
      </c>
      <c r="W522">
        <v>4662.0162799999998</v>
      </c>
      <c r="X522">
        <v>4674.3835399999998</v>
      </c>
      <c r="Y522">
        <v>4668.7159899999997</v>
      </c>
      <c r="Z522">
        <f t="shared" si="92"/>
        <v>4678.938353333333</v>
      </c>
      <c r="AA522">
        <f t="shared" si="93"/>
        <v>4679.5384599999998</v>
      </c>
      <c r="AB522">
        <f t="shared" si="94"/>
        <v>4646.4507533333335</v>
      </c>
      <c r="AC522">
        <f t="shared" si="95"/>
        <v>4665.1736199999996</v>
      </c>
      <c r="AF522">
        <f t="shared" si="96"/>
        <v>4674.3835399999998</v>
      </c>
      <c r="AG522">
        <f t="shared" si="97"/>
        <v>4678.938353333333</v>
      </c>
      <c r="AH522">
        <f t="shared" si="98"/>
        <v>4646.4507533333335</v>
      </c>
    </row>
    <row r="523" spans="1:34" x14ac:dyDescent="0.55000000000000004">
      <c r="A523">
        <f>ALGLIB_SSA_XAUUSD!J523</f>
        <v>1775550300</v>
      </c>
      <c r="B523" t="str">
        <f>_xlfn.XLOOKUP($A523,ALGLIB_SSA_XAUUSD!$A$2:$A$1000,ALGLIB_SSA_XAUUSD!$B$2:$B$1000,"",0)</f>
        <v/>
      </c>
      <c r="C523" t="str">
        <f>_xlfn.XLOOKUP($A523,ALGLIB_SSA_XAUUSD!$A$2:$A$1000,ALGLIB_SSA_XAUUSD!$C$2:$C$1000,"",0)</f>
        <v/>
      </c>
      <c r="D523" s="1">
        <f>D518+(D530-D518)*5/12</f>
        <v>4677.9908333333333</v>
      </c>
      <c r="E523" s="1">
        <f>E518+(E530-E518)*5/12</f>
        <v>4664.884060833333</v>
      </c>
      <c r="F523" s="1">
        <f>F518+(F530-F518)*5/12</f>
        <v>4662.1544341666668</v>
      </c>
      <c r="G523" s="1">
        <f>G518+(G530-G518)*5/12</f>
        <v>4679.1211491666663</v>
      </c>
      <c r="H523" s="1">
        <f>H518+(H530-H518)*5/12</f>
        <v>4646.5735691666669</v>
      </c>
      <c r="I523" t="str">
        <f>_xlfn.XLOOKUP($A523,ALGLIB_SSA_XAUUSD!$J$2:$J$1000,ALGLIB_SSA_XAUUSD!$K$2:$K$1000,"",0)</f>
        <v>XAUUSD</v>
      </c>
      <c r="J523" t="str">
        <f>_xlfn.XLOOKUP($A523,ALGLIB_SSA_XAUUSD!$J$2:$J$1000,ALGLIB_SSA_XAUUSD!$L$2:$L$1000,"",0)</f>
        <v>M5</v>
      </c>
      <c r="K523">
        <f>_xlfn.XLOOKUP($A523,ALGLIB_SSA_XAUUSD!$J$2:$J$1000,ALGLIB_SSA_XAUUSD!$M$2:$M$1000,"",0)</f>
        <v>4678.26</v>
      </c>
      <c r="L523">
        <f>_xlfn.XLOOKUP($A523,ALGLIB_SSA_XAUUSD!$J$2:$J$1000,ALGLIB_SSA_XAUUSD!$N$2:$N$1000,"",0)</f>
        <v>4678.49539</v>
      </c>
      <c r="M523">
        <f>_xlfn.XLOOKUP($A523,ALGLIB_SSA_XAUUSD!$J$2:$J$1000,ALGLIB_SSA_XAUUSD!$O$2:$O$1000,"",0)</f>
        <v>4673.6056900000003</v>
      </c>
      <c r="N523">
        <f>_xlfn.XLOOKUP($A523,ALGLIB_SSA_XAUUSD!$J$2:$J$1000,ALGLIB_SSA_XAUUSD!$P$2:$P$1000,"",0)</f>
        <v>4683.5375000000004</v>
      </c>
      <c r="O523">
        <f>_xlfn.XLOOKUP($A523,ALGLIB_SSA_XAUUSD!$J$2:$J$1000,ALGLIB_SSA_XAUUSD!$Q$2:$Q$1000,"",0)</f>
        <v>4670.38292</v>
      </c>
      <c r="R523">
        <f t="shared" si="88"/>
        <v>1775550300</v>
      </c>
      <c r="S523" t="str">
        <f t="shared" si="89"/>
        <v>XAUUSD</v>
      </c>
      <c r="T523" t="str">
        <f t="shared" si="90"/>
        <v>M5</v>
      </c>
      <c r="U523">
        <f t="shared" si="91"/>
        <v>4678.26</v>
      </c>
      <c r="V523">
        <v>4664.8840600000003</v>
      </c>
      <c r="W523">
        <v>4662.1544299999996</v>
      </c>
      <c r="X523">
        <v>4678.49539</v>
      </c>
      <c r="Y523">
        <v>4673.6056900000003</v>
      </c>
      <c r="Z523">
        <f t="shared" si="92"/>
        <v>4679.1211491666663</v>
      </c>
      <c r="AA523">
        <f t="shared" si="93"/>
        <v>4683.5375000000004</v>
      </c>
      <c r="AB523">
        <f t="shared" si="94"/>
        <v>4646.5735691666669</v>
      </c>
      <c r="AC523">
        <f t="shared" si="95"/>
        <v>4670.38292</v>
      </c>
      <c r="AF523">
        <f t="shared" si="96"/>
        <v>4678.49539</v>
      </c>
      <c r="AG523">
        <f t="shared" si="97"/>
        <v>4679.1211491666663</v>
      </c>
      <c r="AH523">
        <f t="shared" si="98"/>
        <v>4646.5735691666669</v>
      </c>
    </row>
    <row r="524" spans="1:34" x14ac:dyDescent="0.55000000000000004">
      <c r="A524">
        <f>ALGLIB_SSA_XAUUSD!J524</f>
        <v>1775550600</v>
      </c>
      <c r="B524" t="str">
        <f>_xlfn.XLOOKUP($A524,ALGLIB_SSA_XAUUSD!$A$2:$A$1000,ALGLIB_SSA_XAUUSD!$B$2:$B$1000,"",0)</f>
        <v/>
      </c>
      <c r="C524" t="str">
        <f>_xlfn.XLOOKUP($A524,ALGLIB_SSA_XAUUSD!$A$2:$A$1000,ALGLIB_SSA_XAUUSD!$C$2:$C$1000,"",0)</f>
        <v/>
      </c>
      <c r="D524" s="1">
        <f>D518+(D530-D518)*6/12</f>
        <v>4676.9750000000004</v>
      </c>
      <c r="E524" s="1">
        <f>E518+(E530-E518)*6/12</f>
        <v>4664.869095</v>
      </c>
      <c r="F524" s="1">
        <f>F518+(F530-F518)*6/12</f>
        <v>4662.2925850000001</v>
      </c>
      <c r="G524" s="1">
        <f>G518+(G530-G518)*6/12</f>
        <v>4679.3039449999997</v>
      </c>
      <c r="H524" s="1">
        <f>H518+(H530-H518)*6/12</f>
        <v>4646.6963850000002</v>
      </c>
      <c r="I524" t="str">
        <f>_xlfn.XLOOKUP($A524,ALGLIB_SSA_XAUUSD!$J$2:$J$1000,ALGLIB_SSA_XAUUSD!$K$2:$K$1000,"",0)</f>
        <v>XAUUSD</v>
      </c>
      <c r="J524" t="str">
        <f>_xlfn.XLOOKUP($A524,ALGLIB_SSA_XAUUSD!$J$2:$J$1000,ALGLIB_SSA_XAUUSD!$L$2:$L$1000,"",0)</f>
        <v>M5</v>
      </c>
      <c r="K524">
        <f>_xlfn.XLOOKUP($A524,ALGLIB_SSA_XAUUSD!$J$2:$J$1000,ALGLIB_SSA_XAUUSD!$M$2:$M$1000,"",0)</f>
        <v>4684.92</v>
      </c>
      <c r="L524">
        <f>_xlfn.XLOOKUP($A524,ALGLIB_SSA_XAUUSD!$J$2:$J$1000,ALGLIB_SSA_XAUUSD!$N$2:$N$1000,"",0)</f>
        <v>4681.25882</v>
      </c>
      <c r="M524">
        <f>_xlfn.XLOOKUP($A524,ALGLIB_SSA_XAUUSD!$J$2:$J$1000,ALGLIB_SSA_XAUUSD!$O$2:$O$1000,"",0)</f>
        <v>4677.4322499999998</v>
      </c>
      <c r="N524">
        <f>_xlfn.XLOOKUP($A524,ALGLIB_SSA_XAUUSD!$J$2:$J$1000,ALGLIB_SSA_XAUUSD!$P$2:$P$1000,"",0)</f>
        <v>4685.8406699999996</v>
      </c>
      <c r="O524">
        <f>_xlfn.XLOOKUP($A524,ALGLIB_SSA_XAUUSD!$J$2:$J$1000,ALGLIB_SSA_XAUUSD!$Q$2:$Q$1000,"",0)</f>
        <v>4674.47469</v>
      </c>
      <c r="R524">
        <f t="shared" si="88"/>
        <v>1775550600</v>
      </c>
      <c r="S524" t="str">
        <f t="shared" si="89"/>
        <v>XAUUSD</v>
      </c>
      <c r="T524" t="str">
        <f t="shared" si="90"/>
        <v>M5</v>
      </c>
      <c r="U524">
        <f t="shared" si="91"/>
        <v>4684.92</v>
      </c>
      <c r="V524">
        <v>4664.8690999999999</v>
      </c>
      <c r="W524">
        <v>4662.29259</v>
      </c>
      <c r="X524">
        <v>4681.25882</v>
      </c>
      <c r="Y524">
        <v>4677.4322499999998</v>
      </c>
      <c r="Z524">
        <f t="shared" si="92"/>
        <v>4679.3039449999997</v>
      </c>
      <c r="AA524">
        <f t="shared" si="93"/>
        <v>4685.8406699999996</v>
      </c>
      <c r="AB524">
        <f t="shared" si="94"/>
        <v>4646.6963850000002</v>
      </c>
      <c r="AC524">
        <f t="shared" si="95"/>
        <v>4674.47469</v>
      </c>
      <c r="AF524">
        <f t="shared" si="96"/>
        <v>4681.25882</v>
      </c>
      <c r="AG524">
        <f t="shared" si="97"/>
        <v>4679.3039449999997</v>
      </c>
      <c r="AH524">
        <f t="shared" si="98"/>
        <v>4646.6963850000002</v>
      </c>
    </row>
    <row r="525" spans="1:34" x14ac:dyDescent="0.55000000000000004">
      <c r="A525">
        <f>ALGLIB_SSA_XAUUSD!J525</f>
        <v>1775550900</v>
      </c>
      <c r="B525" t="str">
        <f>_xlfn.XLOOKUP($A525,ALGLIB_SSA_XAUUSD!$A$2:$A$1000,ALGLIB_SSA_XAUUSD!$B$2:$B$1000,"",0)</f>
        <v/>
      </c>
      <c r="C525" t="str">
        <f>_xlfn.XLOOKUP($A525,ALGLIB_SSA_XAUUSD!$A$2:$A$1000,ALGLIB_SSA_XAUUSD!$C$2:$C$1000,"",0)</f>
        <v/>
      </c>
      <c r="D525" s="1">
        <f>D518+(D530-D518)*7/12</f>
        <v>4675.9591666666665</v>
      </c>
      <c r="E525" s="1">
        <f>E518+(E530-E518)*7/12</f>
        <v>4664.854129166667</v>
      </c>
      <c r="F525" s="1">
        <f>F518+(F530-F518)*7/12</f>
        <v>4662.4307358333335</v>
      </c>
      <c r="G525" s="1">
        <f>G518+(G530-G518)*7/12</f>
        <v>4679.486740833333</v>
      </c>
      <c r="H525" s="1">
        <f>H518+(H530-H518)*7/12</f>
        <v>4646.8192008333335</v>
      </c>
      <c r="I525" t="str">
        <f>_xlfn.XLOOKUP($A525,ALGLIB_SSA_XAUUSD!$J$2:$J$1000,ALGLIB_SSA_XAUUSD!$K$2:$K$1000,"",0)</f>
        <v>XAUUSD</v>
      </c>
      <c r="J525" t="str">
        <f>_xlfn.XLOOKUP($A525,ALGLIB_SSA_XAUUSD!$J$2:$J$1000,ALGLIB_SSA_XAUUSD!$L$2:$L$1000,"",0)</f>
        <v>M5</v>
      </c>
      <c r="K525">
        <f>_xlfn.XLOOKUP($A525,ALGLIB_SSA_XAUUSD!$J$2:$J$1000,ALGLIB_SSA_XAUUSD!$M$2:$M$1000,"",0)</f>
        <v>4681.8999999999996</v>
      </c>
      <c r="L525">
        <f>_xlfn.XLOOKUP($A525,ALGLIB_SSA_XAUUSD!$J$2:$J$1000,ALGLIB_SSA_XAUUSD!$N$2:$N$1000,"",0)</f>
        <v>4682.7228400000004</v>
      </c>
      <c r="M525">
        <f>_xlfn.XLOOKUP($A525,ALGLIB_SSA_XAUUSD!$J$2:$J$1000,ALGLIB_SSA_XAUUSD!$O$2:$O$1000,"",0)</f>
        <v>4680.07755</v>
      </c>
      <c r="N525">
        <f>_xlfn.XLOOKUP($A525,ALGLIB_SSA_XAUUSD!$J$2:$J$1000,ALGLIB_SSA_XAUUSD!$P$2:$P$1000,"",0)</f>
        <v>4686.7672499999999</v>
      </c>
      <c r="O525">
        <f>_xlfn.XLOOKUP($A525,ALGLIB_SSA_XAUUSD!$J$2:$J$1000,ALGLIB_SSA_XAUUSD!$Q$2:$Q$1000,"",0)</f>
        <v>4677.4465099999998</v>
      </c>
      <c r="R525">
        <f t="shared" si="88"/>
        <v>1775550900</v>
      </c>
      <c r="S525" t="str">
        <f t="shared" si="89"/>
        <v>XAUUSD</v>
      </c>
      <c r="T525" t="str">
        <f t="shared" si="90"/>
        <v>M5</v>
      </c>
      <c r="U525">
        <f t="shared" si="91"/>
        <v>4681.8999999999996</v>
      </c>
      <c r="V525">
        <v>4664.8541299999997</v>
      </c>
      <c r="W525">
        <v>4662.4307399999998</v>
      </c>
      <c r="X525">
        <v>4682.7228400000004</v>
      </c>
      <c r="Y525">
        <v>4680.07755</v>
      </c>
      <c r="Z525">
        <f t="shared" si="92"/>
        <v>4679.486740833333</v>
      </c>
      <c r="AA525">
        <f t="shared" si="93"/>
        <v>4686.7672499999999</v>
      </c>
      <c r="AB525">
        <f t="shared" si="94"/>
        <v>4646.8192008333335</v>
      </c>
      <c r="AC525">
        <f t="shared" si="95"/>
        <v>4677.4465099999998</v>
      </c>
      <c r="AF525">
        <f t="shared" si="96"/>
        <v>4682.7228400000004</v>
      </c>
      <c r="AG525">
        <f t="shared" si="97"/>
        <v>4679.486740833333</v>
      </c>
      <c r="AH525">
        <f t="shared" si="98"/>
        <v>4646.8192008333335</v>
      </c>
    </row>
    <row r="526" spans="1:34" x14ac:dyDescent="0.55000000000000004">
      <c r="A526">
        <f>ALGLIB_SSA_XAUUSD!J526</f>
        <v>1775551200</v>
      </c>
      <c r="B526" t="str">
        <f>_xlfn.XLOOKUP($A526,ALGLIB_SSA_XAUUSD!$A$2:$A$1000,ALGLIB_SSA_XAUUSD!$B$2:$B$1000,"",0)</f>
        <v/>
      </c>
      <c r="C526" t="str">
        <f>_xlfn.XLOOKUP($A526,ALGLIB_SSA_XAUUSD!$A$2:$A$1000,ALGLIB_SSA_XAUUSD!$C$2:$C$1000,"",0)</f>
        <v/>
      </c>
      <c r="D526" s="1">
        <f>D518+(D530-D518)*8/12</f>
        <v>4674.9433333333336</v>
      </c>
      <c r="E526" s="1">
        <f>E518+(E530-E518)*8/12</f>
        <v>4664.8391633333331</v>
      </c>
      <c r="F526" s="1">
        <f>F518+(F530-F518)*8/12</f>
        <v>4662.5688866666669</v>
      </c>
      <c r="G526" s="1">
        <f>G518+(G530-G518)*8/12</f>
        <v>4679.6695366666663</v>
      </c>
      <c r="H526" s="1">
        <f>H518+(H530-H518)*8/12</f>
        <v>4646.9420166666669</v>
      </c>
      <c r="I526" t="str">
        <f>_xlfn.XLOOKUP($A526,ALGLIB_SSA_XAUUSD!$J$2:$J$1000,ALGLIB_SSA_XAUUSD!$K$2:$K$1000,"",0)</f>
        <v>XAUUSD</v>
      </c>
      <c r="J526" t="str">
        <f>_xlfn.XLOOKUP($A526,ALGLIB_SSA_XAUUSD!$J$2:$J$1000,ALGLIB_SSA_XAUUSD!$L$2:$L$1000,"",0)</f>
        <v>M5</v>
      </c>
      <c r="K526">
        <f>_xlfn.XLOOKUP($A526,ALGLIB_SSA_XAUUSD!$J$2:$J$1000,ALGLIB_SSA_XAUUSD!$M$2:$M$1000,"",0)</f>
        <v>4683.16</v>
      </c>
      <c r="L526">
        <f>_xlfn.XLOOKUP($A526,ALGLIB_SSA_XAUUSD!$J$2:$J$1000,ALGLIB_SSA_XAUUSD!$N$2:$N$1000,"",0)</f>
        <v>4683.3863099999999</v>
      </c>
      <c r="M526">
        <f>_xlfn.XLOOKUP($A526,ALGLIB_SSA_XAUUSD!$J$2:$J$1000,ALGLIB_SSA_XAUUSD!$O$2:$O$1000,"",0)</f>
        <v>4681.7319299999999</v>
      </c>
      <c r="N526">
        <f>_xlfn.XLOOKUP($A526,ALGLIB_SSA_XAUUSD!$J$2:$J$1000,ALGLIB_SSA_XAUUSD!$P$2:$P$1000,"",0)</f>
        <v>4686.8251399999999</v>
      </c>
      <c r="O526">
        <f>_xlfn.XLOOKUP($A526,ALGLIB_SSA_XAUUSD!$J$2:$J$1000,ALGLIB_SSA_XAUUSD!$Q$2:$Q$1000,"",0)</f>
        <v>4679.3682099999996</v>
      </c>
      <c r="R526">
        <f t="shared" si="88"/>
        <v>1775551200</v>
      </c>
      <c r="S526" t="str">
        <f t="shared" si="89"/>
        <v>XAUUSD</v>
      </c>
      <c r="T526" t="str">
        <f t="shared" si="90"/>
        <v>M5</v>
      </c>
      <c r="U526">
        <f t="shared" si="91"/>
        <v>4683.16</v>
      </c>
      <c r="V526">
        <v>4664.8391600000004</v>
      </c>
      <c r="W526">
        <v>4662.5688899999996</v>
      </c>
      <c r="X526">
        <v>4683.3863099999999</v>
      </c>
      <c r="Y526">
        <v>4681.7319299999999</v>
      </c>
      <c r="Z526">
        <f t="shared" si="92"/>
        <v>4679.6695366666663</v>
      </c>
      <c r="AA526">
        <f t="shared" si="93"/>
        <v>4686.8251399999999</v>
      </c>
      <c r="AB526">
        <f t="shared" si="94"/>
        <v>4646.9420166666669</v>
      </c>
      <c r="AC526">
        <f t="shared" si="95"/>
        <v>4679.3682099999996</v>
      </c>
      <c r="AF526">
        <f t="shared" si="96"/>
        <v>4683.3863099999999</v>
      </c>
      <c r="AG526">
        <f t="shared" si="97"/>
        <v>4679.6695366666663</v>
      </c>
      <c r="AH526">
        <f t="shared" si="98"/>
        <v>4646.9420166666669</v>
      </c>
    </row>
    <row r="527" spans="1:34" x14ac:dyDescent="0.55000000000000004">
      <c r="A527">
        <f>ALGLIB_SSA_XAUUSD!J527</f>
        <v>1775551500</v>
      </c>
      <c r="B527" t="str">
        <f>_xlfn.XLOOKUP($A527,ALGLIB_SSA_XAUUSD!$A$2:$A$1000,ALGLIB_SSA_XAUUSD!$B$2:$B$1000,"",0)</f>
        <v/>
      </c>
      <c r="C527" t="str">
        <f>_xlfn.XLOOKUP($A527,ALGLIB_SSA_XAUUSD!$A$2:$A$1000,ALGLIB_SSA_XAUUSD!$C$2:$C$1000,"",0)</f>
        <v/>
      </c>
      <c r="D527" s="1">
        <f>D518+(D530-D518)*9/12</f>
        <v>4673.9274999999998</v>
      </c>
      <c r="E527" s="1">
        <f>E518+(E530-E518)*9/12</f>
        <v>4664.8241975000001</v>
      </c>
      <c r="F527" s="1">
        <f>F518+(F530-F518)*9/12</f>
        <v>4662.7070375000003</v>
      </c>
      <c r="G527" s="1">
        <f>G518+(G530-G518)*9/12</f>
        <v>4679.8523324999996</v>
      </c>
      <c r="H527" s="1">
        <f>H518+(H530-H518)*9/12</f>
        <v>4647.0648325000002</v>
      </c>
      <c r="I527" t="str">
        <f>_xlfn.XLOOKUP($A527,ALGLIB_SSA_XAUUSD!$J$2:$J$1000,ALGLIB_SSA_XAUUSD!$K$2:$K$1000,"",0)</f>
        <v>XAUUSD</v>
      </c>
      <c r="J527" t="str">
        <f>_xlfn.XLOOKUP($A527,ALGLIB_SSA_XAUUSD!$J$2:$J$1000,ALGLIB_SSA_XAUUSD!$L$2:$L$1000,"",0)</f>
        <v>M5</v>
      </c>
      <c r="K527">
        <f>_xlfn.XLOOKUP($A527,ALGLIB_SSA_XAUUSD!$J$2:$J$1000,ALGLIB_SSA_XAUUSD!$M$2:$M$1000,"",0)</f>
        <v>4682.1899999999996</v>
      </c>
      <c r="L527">
        <f>_xlfn.XLOOKUP($A527,ALGLIB_SSA_XAUUSD!$J$2:$J$1000,ALGLIB_SSA_XAUUSD!$N$2:$N$1000,"",0)</f>
        <v>4683.7238799999996</v>
      </c>
      <c r="M527">
        <f>_xlfn.XLOOKUP($A527,ALGLIB_SSA_XAUUSD!$J$2:$J$1000,ALGLIB_SSA_XAUUSD!$O$2:$O$1000,"",0)</f>
        <v>4682.7278999999999</v>
      </c>
      <c r="N527">
        <f>_xlfn.XLOOKUP($A527,ALGLIB_SSA_XAUUSD!$J$2:$J$1000,ALGLIB_SSA_XAUUSD!$P$2:$P$1000,"",0)</f>
        <v>4686.7123199999996</v>
      </c>
      <c r="O527">
        <f>_xlfn.XLOOKUP($A527,ALGLIB_SSA_XAUUSD!$J$2:$J$1000,ALGLIB_SSA_XAUUSD!$Q$2:$Q$1000,"",0)</f>
        <v>4680.6297199999999</v>
      </c>
      <c r="R527">
        <f t="shared" si="88"/>
        <v>1775551500</v>
      </c>
      <c r="S527" t="str">
        <f t="shared" si="89"/>
        <v>XAUUSD</v>
      </c>
      <c r="T527" t="str">
        <f t="shared" si="90"/>
        <v>M5</v>
      </c>
      <c r="U527">
        <f t="shared" si="91"/>
        <v>4682.1899999999996</v>
      </c>
      <c r="V527">
        <v>4664.8242</v>
      </c>
      <c r="W527">
        <v>4662.7070400000002</v>
      </c>
      <c r="X527">
        <v>4683.7238799999996</v>
      </c>
      <c r="Y527">
        <v>4682.7278999999999</v>
      </c>
      <c r="Z527">
        <f t="shared" si="92"/>
        <v>4679.8523324999996</v>
      </c>
      <c r="AA527">
        <f t="shared" si="93"/>
        <v>4686.7123199999996</v>
      </c>
      <c r="AB527">
        <f t="shared" si="94"/>
        <v>4647.0648325000002</v>
      </c>
      <c r="AC527">
        <f t="shared" si="95"/>
        <v>4680.6297199999999</v>
      </c>
      <c r="AF527">
        <f t="shared" si="96"/>
        <v>4683.7238799999996</v>
      </c>
      <c r="AG527">
        <f t="shared" si="97"/>
        <v>4679.8523324999996</v>
      </c>
      <c r="AH527">
        <f t="shared" si="98"/>
        <v>4647.0648325000002</v>
      </c>
    </row>
    <row r="528" spans="1:34" x14ac:dyDescent="0.55000000000000004">
      <c r="A528">
        <f>ALGLIB_SSA_XAUUSD!J528</f>
        <v>1775551800</v>
      </c>
      <c r="B528" t="str">
        <f>_xlfn.XLOOKUP($A528,ALGLIB_SSA_XAUUSD!$A$2:$A$1000,ALGLIB_SSA_XAUUSD!$B$2:$B$1000,"",0)</f>
        <v/>
      </c>
      <c r="C528" t="str">
        <f>_xlfn.XLOOKUP($A528,ALGLIB_SSA_XAUUSD!$A$2:$A$1000,ALGLIB_SSA_XAUUSD!$C$2:$C$1000,"",0)</f>
        <v/>
      </c>
      <c r="D528" s="1">
        <f>D518+(D530-D518)*10/12</f>
        <v>4672.9116666666669</v>
      </c>
      <c r="E528" s="1">
        <f>E518+(E530-E518)*10/12</f>
        <v>4664.8092316666671</v>
      </c>
      <c r="F528" s="1">
        <f>F518+(F530-F518)*10/12</f>
        <v>4662.8451883333337</v>
      </c>
      <c r="G528" s="1">
        <f>G518+(G530-G518)*10/12</f>
        <v>4680.035128333333</v>
      </c>
      <c r="H528" s="1">
        <f>H518+(H530-H518)*10/12</f>
        <v>4647.1876483333335</v>
      </c>
      <c r="I528" t="str">
        <f>_xlfn.XLOOKUP($A528,ALGLIB_SSA_XAUUSD!$J$2:$J$1000,ALGLIB_SSA_XAUUSD!$K$2:$K$1000,"",0)</f>
        <v>XAUUSD</v>
      </c>
      <c r="J528" t="str">
        <f>_xlfn.XLOOKUP($A528,ALGLIB_SSA_XAUUSD!$J$2:$J$1000,ALGLIB_SSA_XAUUSD!$L$2:$L$1000,"",0)</f>
        <v>M5</v>
      </c>
      <c r="K528">
        <f>_xlfn.XLOOKUP($A528,ALGLIB_SSA_XAUUSD!$J$2:$J$1000,ALGLIB_SSA_XAUUSD!$M$2:$M$1000,"",0)</f>
        <v>4684.96</v>
      </c>
      <c r="L528">
        <f>_xlfn.XLOOKUP($A528,ALGLIB_SSA_XAUUSD!$J$2:$J$1000,ALGLIB_SSA_XAUUSD!$N$2:$N$1000,"",0)</f>
        <v>4684.1785499999996</v>
      </c>
      <c r="M528">
        <f>_xlfn.XLOOKUP($A528,ALGLIB_SSA_XAUUSD!$J$2:$J$1000,ALGLIB_SSA_XAUUSD!$O$2:$O$1000,"",0)</f>
        <v>4683.4532300000001</v>
      </c>
      <c r="N528">
        <f>_xlfn.XLOOKUP($A528,ALGLIB_SSA_XAUUSD!$J$2:$J$1000,ALGLIB_SSA_XAUUSD!$P$2:$P$1000,"",0)</f>
        <v>4686.8649299999997</v>
      </c>
      <c r="O528">
        <f>_xlfn.XLOOKUP($A528,ALGLIB_SSA_XAUUSD!$J$2:$J$1000,ALGLIB_SSA_XAUUSD!$Q$2:$Q$1000,"",0)</f>
        <v>4681.5932400000002</v>
      </c>
      <c r="R528">
        <f t="shared" si="88"/>
        <v>1775551800</v>
      </c>
      <c r="S528" t="str">
        <f t="shared" si="89"/>
        <v>XAUUSD</v>
      </c>
      <c r="T528" t="str">
        <f t="shared" si="90"/>
        <v>M5</v>
      </c>
      <c r="U528">
        <f t="shared" si="91"/>
        <v>4684.96</v>
      </c>
      <c r="V528">
        <v>4664.8092299999998</v>
      </c>
      <c r="W528">
        <v>4662.84519</v>
      </c>
      <c r="X528">
        <v>4684.1785499999996</v>
      </c>
      <c r="Y528">
        <v>4683.4532300000001</v>
      </c>
      <c r="Z528">
        <f t="shared" si="92"/>
        <v>4680.035128333333</v>
      </c>
      <c r="AA528">
        <f t="shared" si="93"/>
        <v>4686.8649299999997</v>
      </c>
      <c r="AB528">
        <f t="shared" si="94"/>
        <v>4647.1876483333335</v>
      </c>
      <c r="AC528">
        <f t="shared" si="95"/>
        <v>4681.5932400000002</v>
      </c>
      <c r="AF528">
        <f t="shared" si="96"/>
        <v>4684.1785499999996</v>
      </c>
      <c r="AG528">
        <f t="shared" si="97"/>
        <v>4680.035128333333</v>
      </c>
      <c r="AH528">
        <f t="shared" si="98"/>
        <v>4647.1876483333335</v>
      </c>
    </row>
    <row r="529" spans="1:34" x14ac:dyDescent="0.55000000000000004">
      <c r="A529">
        <f>ALGLIB_SSA_XAUUSD!J529</f>
        <v>1775552100</v>
      </c>
      <c r="B529" t="str">
        <f>_xlfn.XLOOKUP($A529,ALGLIB_SSA_XAUUSD!$A$2:$A$1000,ALGLIB_SSA_XAUUSD!$B$2:$B$1000,"",0)</f>
        <v/>
      </c>
      <c r="C529" t="str">
        <f>_xlfn.XLOOKUP($A529,ALGLIB_SSA_XAUUSD!$A$2:$A$1000,ALGLIB_SSA_XAUUSD!$C$2:$C$1000,"",0)</f>
        <v/>
      </c>
      <c r="D529" s="1">
        <f>D518+(D530-D518)*11/12</f>
        <v>4671.895833333333</v>
      </c>
      <c r="E529" s="1">
        <f>E518+(E530-E518)*11/12</f>
        <v>4664.7942658333332</v>
      </c>
      <c r="F529" s="1">
        <f>F518+(F530-F518)*11/12</f>
        <v>4662.9833391666671</v>
      </c>
      <c r="G529" s="1">
        <f>G518+(G530-G518)*11/12</f>
        <v>4680.2179241666663</v>
      </c>
      <c r="H529" s="1">
        <f>H518+(H530-H518)*11/12</f>
        <v>4647.3104641666669</v>
      </c>
      <c r="I529" t="str">
        <f>_xlfn.XLOOKUP($A529,ALGLIB_SSA_XAUUSD!$J$2:$J$1000,ALGLIB_SSA_XAUUSD!$K$2:$K$1000,"",0)</f>
        <v>XAUUSD</v>
      </c>
      <c r="J529" t="str">
        <f>_xlfn.XLOOKUP($A529,ALGLIB_SSA_XAUUSD!$J$2:$J$1000,ALGLIB_SSA_XAUUSD!$L$2:$L$1000,"",0)</f>
        <v>M5</v>
      </c>
      <c r="K529">
        <f>_xlfn.XLOOKUP($A529,ALGLIB_SSA_XAUUSD!$J$2:$J$1000,ALGLIB_SSA_XAUUSD!$M$2:$M$1000,"",0)</f>
        <v>4683.07</v>
      </c>
      <c r="L529">
        <f>_xlfn.XLOOKUP($A529,ALGLIB_SSA_XAUUSD!$J$2:$J$1000,ALGLIB_SSA_XAUUSD!$N$2:$N$1000,"",0)</f>
        <v>4684.9126800000004</v>
      </c>
      <c r="M529">
        <f>_xlfn.XLOOKUP($A529,ALGLIB_SSA_XAUUSD!$J$2:$J$1000,ALGLIB_SSA_XAUUSD!$O$2:$O$1000,"",0)</f>
        <v>4684.1829500000003</v>
      </c>
      <c r="N529">
        <f>_xlfn.XLOOKUP($A529,ALGLIB_SSA_XAUUSD!$J$2:$J$1000,ALGLIB_SSA_XAUUSD!$P$2:$P$1000,"",0)</f>
        <v>4687.6211400000002</v>
      </c>
      <c r="O529">
        <f>_xlfn.XLOOKUP($A529,ALGLIB_SSA_XAUUSD!$J$2:$J$1000,ALGLIB_SSA_XAUUSD!$Q$2:$Q$1000,"",0)</f>
        <v>4682.5110699999996</v>
      </c>
      <c r="R529">
        <f t="shared" si="88"/>
        <v>1775552100</v>
      </c>
      <c r="S529" t="str">
        <f t="shared" si="89"/>
        <v>XAUUSD</v>
      </c>
      <c r="T529" t="str">
        <f t="shared" si="90"/>
        <v>M5</v>
      </c>
      <c r="U529">
        <f t="shared" si="91"/>
        <v>4683.07</v>
      </c>
      <c r="V529">
        <v>4664.7942700000003</v>
      </c>
      <c r="W529">
        <v>4662.9833399999998</v>
      </c>
      <c r="X529">
        <v>4684.9126800000004</v>
      </c>
      <c r="Y529">
        <v>4684.1829500000003</v>
      </c>
      <c r="Z529">
        <f t="shared" si="92"/>
        <v>4680.2179241666663</v>
      </c>
      <c r="AA529">
        <f t="shared" si="93"/>
        <v>4687.6211400000002</v>
      </c>
      <c r="AB529">
        <f t="shared" si="94"/>
        <v>4647.3104641666669</v>
      </c>
      <c r="AC529">
        <f t="shared" si="95"/>
        <v>4682.5110699999996</v>
      </c>
      <c r="AF529">
        <f t="shared" si="96"/>
        <v>4684.9126800000004</v>
      </c>
      <c r="AG529">
        <f t="shared" si="97"/>
        <v>4680.2179241666663</v>
      </c>
      <c r="AH529">
        <f t="shared" si="98"/>
        <v>4647.3104641666669</v>
      </c>
    </row>
    <row r="530" spans="1:34" x14ac:dyDescent="0.55000000000000004">
      <c r="A530">
        <f>ALGLIB_SSA_XAUUSD!J530</f>
        <v>1775552400</v>
      </c>
      <c r="B530" t="str">
        <f>_xlfn.XLOOKUP($A530,ALGLIB_SSA_XAUUSD!$A$2:$A$1000,ALGLIB_SSA_XAUUSD!$B$2:$B$1000,"",0)</f>
        <v>XAUUSD</v>
      </c>
      <c r="C530" t="str">
        <f>_xlfn.XLOOKUP($A530,ALGLIB_SSA_XAUUSD!$A$2:$A$1000,ALGLIB_SSA_XAUUSD!$C$2:$C$1000,"",0)</f>
        <v>H1</v>
      </c>
      <c r="D530" s="2">
        <f>_xlfn.XLOOKUP($A530,ALGLIB_SSA_XAUUSD!$A$2:$A$1000,ALGLIB_SSA_XAUUSD!$D$2:$D$1000,"",0)</f>
        <v>4670.88</v>
      </c>
      <c r="E530" s="2">
        <f>_xlfn.XLOOKUP($A530,ALGLIB_SSA_XAUUSD!$A$2:$A$1000,ALGLIB_SSA_XAUUSD!$E$2:$E$1000,"",0)</f>
        <v>4664.7793000000001</v>
      </c>
      <c r="F530" s="2">
        <f>_xlfn.XLOOKUP($A530,ALGLIB_SSA_XAUUSD!$A$2:$A$1000,ALGLIB_SSA_XAUUSD!$F$2:$F$1000,"",0)</f>
        <v>4663.1214900000004</v>
      </c>
      <c r="G530" s="2">
        <f>_xlfn.XLOOKUP($A530,ALGLIB_SSA_XAUUSD!$A$2:$A$1000,ALGLIB_SSA_XAUUSD!$G$2:$G$1000,"",0)</f>
        <v>4680.4007199999996</v>
      </c>
      <c r="H530" s="2">
        <f>_xlfn.XLOOKUP($A530,ALGLIB_SSA_XAUUSD!$A$2:$A$1000,ALGLIB_SSA_XAUUSD!$H$2:$H$1000,"",0)</f>
        <v>4647.4332800000002</v>
      </c>
      <c r="I530" t="str">
        <f>_xlfn.XLOOKUP($A530,ALGLIB_SSA_XAUUSD!$J$2:$J$1000,ALGLIB_SSA_XAUUSD!$K$2:$K$1000,"",0)</f>
        <v>XAUUSD</v>
      </c>
      <c r="J530" t="str">
        <f>_xlfn.XLOOKUP($A530,ALGLIB_SSA_XAUUSD!$J$2:$J$1000,ALGLIB_SSA_XAUUSD!$L$2:$L$1000,"",0)</f>
        <v>M5</v>
      </c>
      <c r="K530">
        <f>_xlfn.XLOOKUP($A530,ALGLIB_SSA_XAUUSD!$J$2:$J$1000,ALGLIB_SSA_XAUUSD!$M$2:$M$1000,"",0)</f>
        <v>4683.3500000000004</v>
      </c>
      <c r="L530">
        <f>_xlfn.XLOOKUP($A530,ALGLIB_SSA_XAUUSD!$J$2:$J$1000,ALGLIB_SSA_XAUUSD!$N$2:$N$1000,"",0)</f>
        <v>4685.9762600000004</v>
      </c>
      <c r="M530">
        <f>_xlfn.XLOOKUP($A530,ALGLIB_SSA_XAUUSD!$J$2:$J$1000,ALGLIB_SSA_XAUUSD!$O$2:$O$1000,"",0)</f>
        <v>4685.0796099999998</v>
      </c>
      <c r="N530">
        <f>_xlfn.XLOOKUP($A530,ALGLIB_SSA_XAUUSD!$J$2:$J$1000,ALGLIB_SSA_XAUUSD!$P$2:$P$1000,"",0)</f>
        <v>4688.9395000000004</v>
      </c>
      <c r="O530">
        <f>_xlfn.XLOOKUP($A530,ALGLIB_SSA_XAUUSD!$J$2:$J$1000,ALGLIB_SSA_XAUUSD!$Q$2:$Q$1000,"",0)</f>
        <v>4683.4725600000002</v>
      </c>
      <c r="R530">
        <f t="shared" si="88"/>
        <v>1775552400</v>
      </c>
      <c r="S530" t="str">
        <f t="shared" si="89"/>
        <v>XAUUSD</v>
      </c>
      <c r="T530" t="str">
        <f t="shared" si="90"/>
        <v>M5</v>
      </c>
      <c r="U530">
        <f t="shared" si="91"/>
        <v>4683.3500000000004</v>
      </c>
      <c r="V530">
        <v>4664.7793000000001</v>
      </c>
      <c r="W530">
        <v>4663.1214900000004</v>
      </c>
      <c r="X530">
        <v>4685.9762600000004</v>
      </c>
      <c r="Y530">
        <v>4685.0796099999998</v>
      </c>
      <c r="Z530">
        <f t="shared" si="92"/>
        <v>4680.4007199999996</v>
      </c>
      <c r="AA530">
        <f t="shared" si="93"/>
        <v>4688.9395000000004</v>
      </c>
      <c r="AB530">
        <f t="shared" si="94"/>
        <v>4647.4332800000002</v>
      </c>
      <c r="AC530">
        <f t="shared" si="95"/>
        <v>4683.4725600000002</v>
      </c>
      <c r="AF530">
        <f t="shared" si="96"/>
        <v>4685.9762600000004</v>
      </c>
      <c r="AG530">
        <f t="shared" si="97"/>
        <v>4680.4007199999996</v>
      </c>
      <c r="AH530">
        <f t="shared" si="98"/>
        <v>4647.4332800000002</v>
      </c>
    </row>
    <row r="531" spans="1:34" x14ac:dyDescent="0.55000000000000004">
      <c r="A531">
        <f>ALGLIB_SSA_XAUUSD!J531</f>
        <v>1775552700</v>
      </c>
      <c r="B531" t="str">
        <f>_xlfn.XLOOKUP($A531,ALGLIB_SSA_XAUUSD!$A$2:$A$1000,ALGLIB_SSA_XAUUSD!$B$2:$B$1000,"",0)</f>
        <v/>
      </c>
      <c r="C531" t="str">
        <f>_xlfn.XLOOKUP($A531,ALGLIB_SSA_XAUUSD!$A$2:$A$1000,ALGLIB_SSA_XAUUSD!$C$2:$C$1000,"",0)</f>
        <v/>
      </c>
      <c r="D531" s="1">
        <f>D530+(D542-D530)*1/12</f>
        <v>4669.3116666666665</v>
      </c>
      <c r="E531" s="1">
        <f>E530+(E542-E530)*1/12</f>
        <v>4664.4995891666667</v>
      </c>
      <c r="F531" s="1">
        <f>F530+(F542-F530)*1/12</f>
        <v>4663.0507100000004</v>
      </c>
      <c r="G531" s="1">
        <f>G530+(G542-G530)*1/12</f>
        <v>4680.2796733333325</v>
      </c>
      <c r="H531" s="1">
        <f>H530+(H542-H530)*1/12</f>
        <v>4647.3072108333336</v>
      </c>
      <c r="I531" t="str">
        <f>_xlfn.XLOOKUP($A531,ALGLIB_SSA_XAUUSD!$J$2:$J$1000,ALGLIB_SSA_XAUUSD!$K$2:$K$1000,"",0)</f>
        <v>XAUUSD</v>
      </c>
      <c r="J531" t="str">
        <f>_xlfn.XLOOKUP($A531,ALGLIB_SSA_XAUUSD!$J$2:$J$1000,ALGLIB_SSA_XAUUSD!$L$2:$L$1000,"",0)</f>
        <v>M5</v>
      </c>
      <c r="K531">
        <f>_xlfn.XLOOKUP($A531,ALGLIB_SSA_XAUUSD!$J$2:$J$1000,ALGLIB_SSA_XAUUSD!$M$2:$M$1000,"",0)</f>
        <v>4686.03</v>
      </c>
      <c r="L531">
        <f>_xlfn.XLOOKUP($A531,ALGLIB_SSA_XAUUSD!$J$2:$J$1000,ALGLIB_SSA_XAUUSD!$N$2:$N$1000,"",0)</f>
        <v>4687.1313499999997</v>
      </c>
      <c r="M531">
        <f>_xlfn.XLOOKUP($A531,ALGLIB_SSA_XAUUSD!$J$2:$J$1000,ALGLIB_SSA_XAUUSD!$O$2:$O$1000,"",0)</f>
        <v>4686.1054800000002</v>
      </c>
      <c r="N531">
        <f>_xlfn.XLOOKUP($A531,ALGLIB_SSA_XAUUSD!$J$2:$J$1000,ALGLIB_SSA_XAUUSD!$P$2:$P$1000,"",0)</f>
        <v>4690.5211900000004</v>
      </c>
      <c r="O531">
        <f>_xlfn.XLOOKUP($A531,ALGLIB_SSA_XAUUSD!$J$2:$J$1000,ALGLIB_SSA_XAUUSD!$Q$2:$Q$1000,"",0)</f>
        <v>4684.3503499999997</v>
      </c>
      <c r="R531">
        <f t="shared" si="88"/>
        <v>1775552700</v>
      </c>
      <c r="S531" t="str">
        <f t="shared" si="89"/>
        <v>XAUUSD</v>
      </c>
      <c r="T531" t="str">
        <f t="shared" si="90"/>
        <v>M5</v>
      </c>
      <c r="U531">
        <f t="shared" si="91"/>
        <v>4686.03</v>
      </c>
      <c r="V531">
        <v>4664.4995900000004</v>
      </c>
      <c r="W531">
        <v>4663.0507100000004</v>
      </c>
      <c r="X531">
        <v>4687.1313499999997</v>
      </c>
      <c r="Y531">
        <v>4686.1054800000002</v>
      </c>
      <c r="Z531">
        <f t="shared" si="92"/>
        <v>4680.2796733333325</v>
      </c>
      <c r="AA531">
        <f t="shared" si="93"/>
        <v>4690.5211900000004</v>
      </c>
      <c r="AB531">
        <f t="shared" si="94"/>
        <v>4647.3072108333336</v>
      </c>
      <c r="AC531">
        <f t="shared" si="95"/>
        <v>4684.3503499999997</v>
      </c>
      <c r="AF531">
        <f t="shared" si="96"/>
        <v>4687.1313499999997</v>
      </c>
      <c r="AG531">
        <f t="shared" si="97"/>
        <v>4680.2796733333325</v>
      </c>
      <c r="AH531">
        <f t="shared" si="98"/>
        <v>4647.3072108333336</v>
      </c>
    </row>
    <row r="532" spans="1:34" x14ac:dyDescent="0.55000000000000004">
      <c r="A532">
        <f>ALGLIB_SSA_XAUUSD!J532</f>
        <v>1775553000</v>
      </c>
      <c r="B532" t="str">
        <f>_xlfn.XLOOKUP($A532,ALGLIB_SSA_XAUUSD!$A$2:$A$1000,ALGLIB_SSA_XAUUSD!$B$2:$B$1000,"",0)</f>
        <v/>
      </c>
      <c r="C532" t="str">
        <f>_xlfn.XLOOKUP($A532,ALGLIB_SSA_XAUUSD!$A$2:$A$1000,ALGLIB_SSA_XAUUSD!$C$2:$C$1000,"",0)</f>
        <v/>
      </c>
      <c r="D532" s="1">
        <f>D530+(D542-D530)*2/12</f>
        <v>4667.7433333333338</v>
      </c>
      <c r="E532" s="1">
        <f>E530+(E542-E530)*2/12</f>
        <v>4664.2198783333333</v>
      </c>
      <c r="F532" s="1">
        <f>F530+(F542-F530)*2/12</f>
        <v>4662.9799300000004</v>
      </c>
      <c r="G532" s="1">
        <f>G530+(G542-G530)*2/12</f>
        <v>4680.1586266666664</v>
      </c>
      <c r="H532" s="1">
        <f>H530+(H542-H530)*2/12</f>
        <v>4647.1811416666669</v>
      </c>
      <c r="I532" t="str">
        <f>_xlfn.XLOOKUP($A532,ALGLIB_SSA_XAUUSD!$J$2:$J$1000,ALGLIB_SSA_XAUUSD!$K$2:$K$1000,"",0)</f>
        <v>XAUUSD</v>
      </c>
      <c r="J532" t="str">
        <f>_xlfn.XLOOKUP($A532,ALGLIB_SSA_XAUUSD!$J$2:$J$1000,ALGLIB_SSA_XAUUSD!$L$2:$L$1000,"",0)</f>
        <v>M5</v>
      </c>
      <c r="K532">
        <f>_xlfn.XLOOKUP($A532,ALGLIB_SSA_XAUUSD!$J$2:$J$1000,ALGLIB_SSA_XAUUSD!$M$2:$M$1000,"",0)</f>
        <v>4685.16</v>
      </c>
      <c r="L532">
        <f>_xlfn.XLOOKUP($A532,ALGLIB_SSA_XAUUSD!$J$2:$J$1000,ALGLIB_SSA_XAUUSD!$N$2:$N$1000,"",0)</f>
        <v>4687.9198800000004</v>
      </c>
      <c r="M532">
        <f>_xlfn.XLOOKUP($A532,ALGLIB_SSA_XAUUSD!$J$2:$J$1000,ALGLIB_SSA_XAUUSD!$O$2:$O$1000,"",0)</f>
        <v>4687.0126799999998</v>
      </c>
      <c r="N532">
        <f>_xlfn.XLOOKUP($A532,ALGLIB_SSA_XAUUSD!$J$2:$J$1000,ALGLIB_SSA_XAUUSD!$P$2:$P$1000,"",0)</f>
        <v>4691.9361900000004</v>
      </c>
      <c r="O532">
        <f>_xlfn.XLOOKUP($A532,ALGLIB_SSA_XAUUSD!$J$2:$J$1000,ALGLIB_SSA_XAUUSD!$Q$2:$Q$1000,"",0)</f>
        <v>4684.9215700000004</v>
      </c>
      <c r="R532">
        <f t="shared" si="88"/>
        <v>1775553000</v>
      </c>
      <c r="S532" t="str">
        <f t="shared" si="89"/>
        <v>XAUUSD</v>
      </c>
      <c r="T532" t="str">
        <f t="shared" si="90"/>
        <v>M5</v>
      </c>
      <c r="U532">
        <f t="shared" si="91"/>
        <v>4685.16</v>
      </c>
      <c r="V532">
        <v>4664.2198799999996</v>
      </c>
      <c r="W532">
        <v>4662.9799300000004</v>
      </c>
      <c r="X532">
        <v>4687.9198800000004</v>
      </c>
      <c r="Y532">
        <v>4687.0126799999998</v>
      </c>
      <c r="Z532">
        <f t="shared" si="92"/>
        <v>4680.1586266666664</v>
      </c>
      <c r="AA532">
        <f t="shared" si="93"/>
        <v>4691.9361900000004</v>
      </c>
      <c r="AB532">
        <f t="shared" si="94"/>
        <v>4647.1811416666669</v>
      </c>
      <c r="AC532">
        <f t="shared" si="95"/>
        <v>4684.9215700000004</v>
      </c>
      <c r="AF532">
        <f t="shared" si="96"/>
        <v>4687.9198800000004</v>
      </c>
      <c r="AG532">
        <f t="shared" si="97"/>
        <v>4680.1586266666664</v>
      </c>
      <c r="AH532">
        <f t="shared" si="98"/>
        <v>4647.1811416666669</v>
      </c>
    </row>
    <row r="533" spans="1:34" x14ac:dyDescent="0.55000000000000004">
      <c r="A533">
        <f>ALGLIB_SSA_XAUUSD!J533</f>
        <v>1775553300</v>
      </c>
      <c r="B533" t="str">
        <f>_xlfn.XLOOKUP($A533,ALGLIB_SSA_XAUUSD!$A$2:$A$1000,ALGLIB_SSA_XAUUSD!$B$2:$B$1000,"",0)</f>
        <v/>
      </c>
      <c r="C533" t="str">
        <f>_xlfn.XLOOKUP($A533,ALGLIB_SSA_XAUUSD!$A$2:$A$1000,ALGLIB_SSA_XAUUSD!$C$2:$C$1000,"",0)</f>
        <v/>
      </c>
      <c r="D533" s="1">
        <f>D530+(D542-D530)*3/12</f>
        <v>4666.1750000000002</v>
      </c>
      <c r="E533" s="1">
        <f>E530+(E542-E530)*3/12</f>
        <v>4663.9401674999999</v>
      </c>
      <c r="F533" s="1">
        <f>F530+(F542-F530)*3/12</f>
        <v>4662.9091500000004</v>
      </c>
      <c r="G533" s="1">
        <f>G530+(G542-G530)*3/12</f>
        <v>4680.0375800000002</v>
      </c>
      <c r="H533" s="1">
        <f>H530+(H542-H530)*3/12</f>
        <v>4647.0550725000003</v>
      </c>
      <c r="I533" t="str">
        <f>_xlfn.XLOOKUP($A533,ALGLIB_SSA_XAUUSD!$J$2:$J$1000,ALGLIB_SSA_XAUUSD!$K$2:$K$1000,"",0)</f>
        <v>XAUUSD</v>
      </c>
      <c r="J533" t="str">
        <f>_xlfn.XLOOKUP($A533,ALGLIB_SSA_XAUUSD!$J$2:$J$1000,ALGLIB_SSA_XAUUSD!$L$2:$L$1000,"",0)</f>
        <v>M5</v>
      </c>
      <c r="K533">
        <f>_xlfn.XLOOKUP($A533,ALGLIB_SSA_XAUUSD!$J$2:$J$1000,ALGLIB_SSA_XAUUSD!$M$2:$M$1000,"",0)</f>
        <v>4690.28</v>
      </c>
      <c r="L533">
        <f>_xlfn.XLOOKUP($A533,ALGLIB_SSA_XAUUSD!$J$2:$J$1000,ALGLIB_SSA_XAUUSD!$N$2:$N$1000,"",0)</f>
        <v>4687.9494999999997</v>
      </c>
      <c r="M533">
        <f>_xlfn.XLOOKUP($A533,ALGLIB_SSA_XAUUSD!$J$2:$J$1000,ALGLIB_SSA_XAUUSD!$O$2:$O$1000,"",0)</f>
        <v>4687.4810900000002</v>
      </c>
      <c r="N533">
        <f>_xlfn.XLOOKUP($A533,ALGLIB_SSA_XAUUSD!$J$2:$J$1000,ALGLIB_SSA_XAUUSD!$P$2:$P$1000,"",0)</f>
        <v>4692.5073300000004</v>
      </c>
      <c r="O533">
        <f>_xlfn.XLOOKUP($A533,ALGLIB_SSA_XAUUSD!$J$2:$J$1000,ALGLIB_SSA_XAUUSD!$Q$2:$Q$1000,"",0)</f>
        <v>4684.7638399999996</v>
      </c>
      <c r="R533">
        <f t="shared" si="88"/>
        <v>1775553300</v>
      </c>
      <c r="S533" t="str">
        <f t="shared" si="89"/>
        <v>XAUUSD</v>
      </c>
      <c r="T533" t="str">
        <f t="shared" si="90"/>
        <v>M5</v>
      </c>
      <c r="U533">
        <f t="shared" si="91"/>
        <v>4690.28</v>
      </c>
      <c r="V533">
        <v>4663.9401699999999</v>
      </c>
      <c r="W533">
        <v>4662.9091500000004</v>
      </c>
      <c r="X533">
        <v>4687.9494999999997</v>
      </c>
      <c r="Y533">
        <v>4687.4810900000002</v>
      </c>
      <c r="Z533">
        <f t="shared" si="92"/>
        <v>4680.0375800000002</v>
      </c>
      <c r="AA533">
        <f t="shared" si="93"/>
        <v>4692.5073300000004</v>
      </c>
      <c r="AB533">
        <f t="shared" si="94"/>
        <v>4647.0550725000003</v>
      </c>
      <c r="AC533">
        <f t="shared" si="95"/>
        <v>4684.7638399999996</v>
      </c>
      <c r="AF533">
        <f t="shared" si="96"/>
        <v>4687.9494999999997</v>
      </c>
      <c r="AG533">
        <f t="shared" si="97"/>
        <v>4680.0375800000002</v>
      </c>
      <c r="AH533">
        <f t="shared" si="98"/>
        <v>4647.0550725000003</v>
      </c>
    </row>
    <row r="534" spans="1:34" x14ac:dyDescent="0.55000000000000004">
      <c r="A534">
        <f>ALGLIB_SSA_XAUUSD!J534</f>
        <v>1775553600</v>
      </c>
      <c r="B534" t="str">
        <f>_xlfn.XLOOKUP($A534,ALGLIB_SSA_XAUUSD!$A$2:$A$1000,ALGLIB_SSA_XAUUSD!$B$2:$B$1000,"",0)</f>
        <v/>
      </c>
      <c r="C534" t="str">
        <f>_xlfn.XLOOKUP($A534,ALGLIB_SSA_XAUUSD!$A$2:$A$1000,ALGLIB_SSA_XAUUSD!$C$2:$C$1000,"",0)</f>
        <v/>
      </c>
      <c r="D534" s="1">
        <f>D530+(D542-D530)*4/12</f>
        <v>4664.6066666666666</v>
      </c>
      <c r="E534" s="1">
        <f>E530+(E542-E530)*4/12</f>
        <v>4663.6604566666665</v>
      </c>
      <c r="F534" s="1">
        <f>F530+(F542-F530)*4/12</f>
        <v>4662.8383700000004</v>
      </c>
      <c r="G534" s="1">
        <f>G530+(G542-G530)*4/12</f>
        <v>4679.9165333333331</v>
      </c>
      <c r="H534" s="1">
        <f>H530+(H542-H530)*4/12</f>
        <v>4646.9290033333336</v>
      </c>
      <c r="I534" t="str">
        <f>_xlfn.XLOOKUP($A534,ALGLIB_SSA_XAUUSD!$J$2:$J$1000,ALGLIB_SSA_XAUUSD!$K$2:$K$1000,"",0)</f>
        <v>XAUUSD</v>
      </c>
      <c r="J534" t="str">
        <f>_xlfn.XLOOKUP($A534,ALGLIB_SSA_XAUUSD!$J$2:$J$1000,ALGLIB_SSA_XAUUSD!$L$2:$L$1000,"",0)</f>
        <v>M5</v>
      </c>
      <c r="K534">
        <f>_xlfn.XLOOKUP($A534,ALGLIB_SSA_XAUUSD!$J$2:$J$1000,ALGLIB_SSA_XAUUSD!$M$2:$M$1000,"",0)</f>
        <v>4693.93</v>
      </c>
      <c r="L534">
        <f>_xlfn.XLOOKUP($A534,ALGLIB_SSA_XAUUSD!$J$2:$J$1000,ALGLIB_SSA_XAUUSD!$N$2:$N$1000,"",0)</f>
        <v>4686.8208299999997</v>
      </c>
      <c r="M534">
        <f>_xlfn.XLOOKUP($A534,ALGLIB_SSA_XAUUSD!$J$2:$J$1000,ALGLIB_SSA_XAUUSD!$O$2:$O$1000,"",0)</f>
        <v>4687.1509599999999</v>
      </c>
      <c r="N534">
        <f>_xlfn.XLOOKUP($A534,ALGLIB_SSA_XAUUSD!$J$2:$J$1000,ALGLIB_SSA_XAUUSD!$P$2:$P$1000,"",0)</f>
        <v>4691.8504400000002</v>
      </c>
      <c r="O534">
        <f>_xlfn.XLOOKUP($A534,ALGLIB_SSA_XAUUSD!$J$2:$J$1000,ALGLIB_SSA_XAUUSD!$Q$2:$Q$1000,"",0)</f>
        <v>4683.6489899999997</v>
      </c>
      <c r="R534">
        <f t="shared" si="88"/>
        <v>1775553600</v>
      </c>
      <c r="S534" t="str">
        <f t="shared" si="89"/>
        <v>XAUUSD</v>
      </c>
      <c r="T534" t="str">
        <f t="shared" si="90"/>
        <v>M5</v>
      </c>
      <c r="U534">
        <f t="shared" si="91"/>
        <v>4693.93</v>
      </c>
      <c r="V534">
        <v>4663.6604600000001</v>
      </c>
      <c r="W534">
        <v>4662.8383700000004</v>
      </c>
      <c r="X534">
        <v>4686.8208299999997</v>
      </c>
      <c r="Y534">
        <v>4687.1509599999999</v>
      </c>
      <c r="Z534">
        <f t="shared" si="92"/>
        <v>4679.9165333333331</v>
      </c>
      <c r="AA534">
        <f t="shared" si="93"/>
        <v>4691.8504400000002</v>
      </c>
      <c r="AB534">
        <f t="shared" si="94"/>
        <v>4646.9290033333336</v>
      </c>
      <c r="AC534">
        <f t="shared" si="95"/>
        <v>4683.6489899999997</v>
      </c>
      <c r="AF534">
        <f t="shared" si="96"/>
        <v>4686.8208299999997</v>
      </c>
      <c r="AG534">
        <f t="shared" si="97"/>
        <v>4679.9165333333331</v>
      </c>
      <c r="AH534">
        <f t="shared" si="98"/>
        <v>4646.9290033333336</v>
      </c>
    </row>
    <row r="535" spans="1:34" x14ac:dyDescent="0.55000000000000004">
      <c r="A535">
        <f>ALGLIB_SSA_XAUUSD!J535</f>
        <v>1775553900</v>
      </c>
      <c r="B535" t="str">
        <f>_xlfn.XLOOKUP($A535,ALGLIB_SSA_XAUUSD!$A$2:$A$1000,ALGLIB_SSA_XAUUSD!$B$2:$B$1000,"",0)</f>
        <v/>
      </c>
      <c r="C535" t="str">
        <f>_xlfn.XLOOKUP($A535,ALGLIB_SSA_XAUUSD!$A$2:$A$1000,ALGLIB_SSA_XAUUSD!$C$2:$C$1000,"",0)</f>
        <v/>
      </c>
      <c r="D535" s="1">
        <f>D530+(D542-D530)*5/12</f>
        <v>4663.0383333333339</v>
      </c>
      <c r="E535" s="1">
        <f>E530+(E542-E530)*5/12</f>
        <v>4663.3807458333331</v>
      </c>
      <c r="F535" s="1">
        <f>F530+(F542-F530)*5/12</f>
        <v>4662.7675900000004</v>
      </c>
      <c r="G535" s="1">
        <f>G530+(G542-G530)*5/12</f>
        <v>4679.795486666666</v>
      </c>
      <c r="H535" s="1">
        <f>H530+(H542-H530)*5/12</f>
        <v>4646.802934166667</v>
      </c>
      <c r="I535" t="str">
        <f>_xlfn.XLOOKUP($A535,ALGLIB_SSA_XAUUSD!$J$2:$J$1000,ALGLIB_SSA_XAUUSD!$K$2:$K$1000,"",0)</f>
        <v>XAUUSD</v>
      </c>
      <c r="J535" t="str">
        <f>_xlfn.XLOOKUP($A535,ALGLIB_SSA_XAUUSD!$J$2:$J$1000,ALGLIB_SSA_XAUUSD!$L$2:$L$1000,"",0)</f>
        <v>M5</v>
      </c>
      <c r="K535">
        <f>_xlfn.XLOOKUP($A535,ALGLIB_SSA_XAUUSD!$J$2:$J$1000,ALGLIB_SSA_XAUUSD!$M$2:$M$1000,"",0)</f>
        <v>4686.92</v>
      </c>
      <c r="L535">
        <f>_xlfn.XLOOKUP($A535,ALGLIB_SSA_XAUUSD!$J$2:$J$1000,ALGLIB_SSA_XAUUSD!$N$2:$N$1000,"",0)</f>
        <v>4684.4017299999996</v>
      </c>
      <c r="M535">
        <f>_xlfn.XLOOKUP($A535,ALGLIB_SSA_XAUUSD!$J$2:$J$1000,ALGLIB_SSA_XAUUSD!$O$2:$O$1000,"",0)</f>
        <v>4685.7763400000003</v>
      </c>
      <c r="N535">
        <f>_xlfn.XLOOKUP($A535,ALGLIB_SSA_XAUUSD!$J$2:$J$1000,ALGLIB_SSA_XAUUSD!$P$2:$P$1000,"",0)</f>
        <v>4689.8253500000001</v>
      </c>
      <c r="O535">
        <f>_xlfn.XLOOKUP($A535,ALGLIB_SSA_XAUUSD!$J$2:$J$1000,ALGLIB_SSA_XAUUSD!$Q$2:$Q$1000,"",0)</f>
        <v>4681.2986799999999</v>
      </c>
      <c r="R535">
        <f t="shared" si="88"/>
        <v>1775553900</v>
      </c>
      <c r="S535" t="str">
        <f t="shared" si="89"/>
        <v>XAUUSD</v>
      </c>
      <c r="T535" t="str">
        <f t="shared" si="90"/>
        <v>M5</v>
      </c>
      <c r="U535">
        <f t="shared" si="91"/>
        <v>4686.92</v>
      </c>
      <c r="V535">
        <v>4663.3807500000003</v>
      </c>
      <c r="W535">
        <v>4662.7675900000004</v>
      </c>
      <c r="X535">
        <v>4684.4017299999996</v>
      </c>
      <c r="Y535">
        <v>4685.7763400000003</v>
      </c>
      <c r="Z535">
        <f t="shared" si="92"/>
        <v>4679.795486666666</v>
      </c>
      <c r="AA535">
        <f t="shared" si="93"/>
        <v>4689.8253500000001</v>
      </c>
      <c r="AB535">
        <f t="shared" si="94"/>
        <v>4646.802934166667</v>
      </c>
      <c r="AC535">
        <f t="shared" si="95"/>
        <v>4681.2986799999999</v>
      </c>
      <c r="AF535">
        <f t="shared" si="96"/>
        <v>4684.4017299999996</v>
      </c>
      <c r="AG535">
        <f t="shared" si="97"/>
        <v>4679.795486666666</v>
      </c>
      <c r="AH535">
        <f t="shared" si="98"/>
        <v>4646.802934166667</v>
      </c>
    </row>
    <row r="536" spans="1:34" x14ac:dyDescent="0.55000000000000004">
      <c r="A536">
        <f>ALGLIB_SSA_XAUUSD!J536</f>
        <v>1775554200</v>
      </c>
      <c r="B536" t="str">
        <f>_xlfn.XLOOKUP($A536,ALGLIB_SSA_XAUUSD!$A$2:$A$1000,ALGLIB_SSA_XAUUSD!$B$2:$B$1000,"",0)</f>
        <v/>
      </c>
      <c r="C536" t="str">
        <f>_xlfn.XLOOKUP($A536,ALGLIB_SSA_XAUUSD!$A$2:$A$1000,ALGLIB_SSA_XAUUSD!$C$2:$C$1000,"",0)</f>
        <v/>
      </c>
      <c r="D536" s="1">
        <f>D530+(D542-D530)*6/12</f>
        <v>4661.47</v>
      </c>
      <c r="E536" s="1">
        <f>E530+(E542-E530)*6/12</f>
        <v>4663.1010349999997</v>
      </c>
      <c r="F536" s="1">
        <f>F530+(F542-F530)*6/12</f>
        <v>4662.6968100000004</v>
      </c>
      <c r="G536" s="1">
        <f>G530+(G542-G530)*6/12</f>
        <v>4679.6744399999998</v>
      </c>
      <c r="H536" s="1">
        <f>H530+(H542-H530)*6/12</f>
        <v>4646.6768649999995</v>
      </c>
      <c r="I536" t="str">
        <f>_xlfn.XLOOKUP($A536,ALGLIB_SSA_XAUUSD!$J$2:$J$1000,ALGLIB_SSA_XAUUSD!$K$2:$K$1000,"",0)</f>
        <v>XAUUSD</v>
      </c>
      <c r="J536" t="str">
        <f>_xlfn.XLOOKUP($A536,ALGLIB_SSA_XAUUSD!$J$2:$J$1000,ALGLIB_SSA_XAUUSD!$L$2:$L$1000,"",0)</f>
        <v>M5</v>
      </c>
      <c r="K536">
        <f>_xlfn.XLOOKUP($A536,ALGLIB_SSA_XAUUSD!$J$2:$J$1000,ALGLIB_SSA_XAUUSD!$M$2:$M$1000,"",0)</f>
        <v>4683.05</v>
      </c>
      <c r="L536">
        <f>_xlfn.XLOOKUP($A536,ALGLIB_SSA_XAUUSD!$J$2:$J$1000,ALGLIB_SSA_XAUUSD!$N$2:$N$1000,"",0)</f>
        <v>4681.0976600000004</v>
      </c>
      <c r="M536">
        <f>_xlfn.XLOOKUP($A536,ALGLIB_SSA_XAUUSD!$J$2:$J$1000,ALGLIB_SSA_XAUUSD!$O$2:$O$1000,"",0)</f>
        <v>4683.4369999999999</v>
      </c>
      <c r="N536">
        <f>_xlfn.XLOOKUP($A536,ALGLIB_SSA_XAUUSD!$J$2:$J$1000,ALGLIB_SSA_XAUUSD!$P$2:$P$1000,"",0)</f>
        <v>4686.5962900000004</v>
      </c>
      <c r="O536">
        <f>_xlfn.XLOOKUP($A536,ALGLIB_SSA_XAUUSD!$J$2:$J$1000,ALGLIB_SSA_XAUUSD!$Q$2:$Q$1000,"",0)</f>
        <v>4677.9365100000005</v>
      </c>
      <c r="R536">
        <f t="shared" si="88"/>
        <v>1775554200</v>
      </c>
      <c r="S536" t="str">
        <f t="shared" si="89"/>
        <v>XAUUSD</v>
      </c>
      <c r="T536" t="str">
        <f t="shared" si="90"/>
        <v>M5</v>
      </c>
      <c r="U536">
        <f t="shared" si="91"/>
        <v>4683.05</v>
      </c>
      <c r="V536">
        <v>4663.1010299999998</v>
      </c>
      <c r="W536">
        <v>4662.6968100000004</v>
      </c>
      <c r="X536">
        <v>4681.0976600000004</v>
      </c>
      <c r="Y536">
        <v>4683.4369999999999</v>
      </c>
      <c r="Z536">
        <f t="shared" si="92"/>
        <v>4679.6744399999998</v>
      </c>
      <c r="AA536">
        <f t="shared" si="93"/>
        <v>4686.5962900000004</v>
      </c>
      <c r="AB536">
        <f t="shared" si="94"/>
        <v>4646.6768649999995</v>
      </c>
      <c r="AC536">
        <f t="shared" si="95"/>
        <v>4677.9365100000005</v>
      </c>
      <c r="AF536">
        <f t="shared" si="96"/>
        <v>4681.0976600000004</v>
      </c>
      <c r="AG536">
        <f t="shared" si="97"/>
        <v>4679.6744399999998</v>
      </c>
      <c r="AH536">
        <f t="shared" si="98"/>
        <v>4646.6768649999995</v>
      </c>
    </row>
    <row r="537" spans="1:34" x14ac:dyDescent="0.55000000000000004">
      <c r="A537">
        <f>ALGLIB_SSA_XAUUSD!J537</f>
        <v>1775554500</v>
      </c>
      <c r="B537" t="str">
        <f>_xlfn.XLOOKUP($A537,ALGLIB_SSA_XAUUSD!$A$2:$A$1000,ALGLIB_SSA_XAUUSD!$B$2:$B$1000,"",0)</f>
        <v/>
      </c>
      <c r="C537" t="str">
        <f>_xlfn.XLOOKUP($A537,ALGLIB_SSA_XAUUSD!$A$2:$A$1000,ALGLIB_SSA_XAUUSD!$C$2:$C$1000,"",0)</f>
        <v/>
      </c>
      <c r="D537" s="1">
        <f>D530+(D542-D530)*7/12</f>
        <v>4659.9016666666666</v>
      </c>
      <c r="E537" s="1">
        <f>E530+(E542-E530)*7/12</f>
        <v>4662.8213241666672</v>
      </c>
      <c r="F537" s="1">
        <f>F530+(F542-F530)*7/12</f>
        <v>4662.6260300000004</v>
      </c>
      <c r="G537" s="1">
        <f>G530+(G542-G530)*7/12</f>
        <v>4679.5533933333336</v>
      </c>
      <c r="H537" s="1">
        <f>H530+(H542-H530)*7/12</f>
        <v>4646.5507958333328</v>
      </c>
      <c r="I537" t="str">
        <f>_xlfn.XLOOKUP($A537,ALGLIB_SSA_XAUUSD!$J$2:$J$1000,ALGLIB_SSA_XAUUSD!$K$2:$K$1000,"",0)</f>
        <v>XAUUSD</v>
      </c>
      <c r="J537" t="str">
        <f>_xlfn.XLOOKUP($A537,ALGLIB_SSA_XAUUSD!$J$2:$J$1000,ALGLIB_SSA_XAUUSD!$L$2:$L$1000,"",0)</f>
        <v>M5</v>
      </c>
      <c r="K537">
        <f>_xlfn.XLOOKUP($A537,ALGLIB_SSA_XAUUSD!$J$2:$J$1000,ALGLIB_SSA_XAUUSD!$M$2:$M$1000,"",0)</f>
        <v>4676.8599999999997</v>
      </c>
      <c r="L537">
        <f>_xlfn.XLOOKUP($A537,ALGLIB_SSA_XAUUSD!$J$2:$J$1000,ALGLIB_SSA_XAUUSD!$N$2:$N$1000,"",0)</f>
        <v>4677.4494199999999</v>
      </c>
      <c r="M537">
        <f>_xlfn.XLOOKUP($A537,ALGLIB_SSA_XAUUSD!$J$2:$J$1000,ALGLIB_SSA_XAUUSD!$O$2:$O$1000,"",0)</f>
        <v>4680.4432100000004</v>
      </c>
      <c r="N537">
        <f>_xlfn.XLOOKUP($A537,ALGLIB_SSA_XAUUSD!$J$2:$J$1000,ALGLIB_SSA_XAUUSD!$P$2:$P$1000,"",0)</f>
        <v>4682.7701399999996</v>
      </c>
      <c r="O537">
        <f>_xlfn.XLOOKUP($A537,ALGLIB_SSA_XAUUSD!$J$2:$J$1000,ALGLIB_SSA_XAUUSD!$Q$2:$Q$1000,"",0)</f>
        <v>4674.0716599999996</v>
      </c>
      <c r="R537">
        <f t="shared" si="88"/>
        <v>1775554500</v>
      </c>
      <c r="S537" t="str">
        <f t="shared" si="89"/>
        <v>XAUUSD</v>
      </c>
      <c r="T537" t="str">
        <f t="shared" si="90"/>
        <v>M5</v>
      </c>
      <c r="U537">
        <f t="shared" si="91"/>
        <v>4676.8599999999997</v>
      </c>
      <c r="V537">
        <v>4662.82132</v>
      </c>
      <c r="W537">
        <v>4662.6260300000004</v>
      </c>
      <c r="X537">
        <v>4677.4494199999999</v>
      </c>
      <c r="Y537">
        <v>4680.4432100000004</v>
      </c>
      <c r="Z537">
        <f t="shared" si="92"/>
        <v>4679.5533933333336</v>
      </c>
      <c r="AA537">
        <f t="shared" si="93"/>
        <v>4682.7701399999996</v>
      </c>
      <c r="AB537">
        <f t="shared" si="94"/>
        <v>4646.5507958333328</v>
      </c>
      <c r="AC537">
        <f t="shared" si="95"/>
        <v>4674.0716599999996</v>
      </c>
      <c r="AF537">
        <f t="shared" si="96"/>
        <v>4677.4494199999999</v>
      </c>
      <c r="AG537">
        <f t="shared" si="97"/>
        <v>4679.5533933333336</v>
      </c>
      <c r="AH537">
        <f t="shared" si="98"/>
        <v>4646.5507958333328</v>
      </c>
    </row>
    <row r="538" spans="1:34" x14ac:dyDescent="0.55000000000000004">
      <c r="A538">
        <f>ALGLIB_SSA_XAUUSD!J538</f>
        <v>1775554800</v>
      </c>
      <c r="B538" t="str">
        <f>_xlfn.XLOOKUP($A538,ALGLIB_SSA_XAUUSD!$A$2:$A$1000,ALGLIB_SSA_XAUUSD!$B$2:$B$1000,"",0)</f>
        <v/>
      </c>
      <c r="C538" t="str">
        <f>_xlfn.XLOOKUP($A538,ALGLIB_SSA_XAUUSD!$A$2:$A$1000,ALGLIB_SSA_XAUUSD!$C$2:$C$1000,"",0)</f>
        <v/>
      </c>
      <c r="D538" s="1">
        <f>D530+(D542-D530)*8/12</f>
        <v>4658.3333333333339</v>
      </c>
      <c r="E538" s="1">
        <f>E530+(E542-E530)*8/12</f>
        <v>4662.5416133333338</v>
      </c>
      <c r="F538" s="1">
        <f>F530+(F542-F530)*8/12</f>
        <v>4662.5552500000003</v>
      </c>
      <c r="G538" s="1">
        <f>G530+(G542-G530)*8/12</f>
        <v>4679.4323466666665</v>
      </c>
      <c r="H538" s="1">
        <f>H530+(H542-H530)*8/12</f>
        <v>4646.4247266666662</v>
      </c>
      <c r="I538" t="str">
        <f>_xlfn.XLOOKUP($A538,ALGLIB_SSA_XAUUSD!$J$2:$J$1000,ALGLIB_SSA_XAUUSD!$K$2:$K$1000,"",0)</f>
        <v>XAUUSD</v>
      </c>
      <c r="J538" t="str">
        <f>_xlfn.XLOOKUP($A538,ALGLIB_SSA_XAUUSD!$J$2:$J$1000,ALGLIB_SSA_XAUUSD!$L$2:$L$1000,"",0)</f>
        <v>M5</v>
      </c>
      <c r="K538">
        <f>_xlfn.XLOOKUP($A538,ALGLIB_SSA_XAUUSD!$J$2:$J$1000,ALGLIB_SSA_XAUUSD!$M$2:$M$1000,"",0)</f>
        <v>4667.28</v>
      </c>
      <c r="L538">
        <f>_xlfn.XLOOKUP($A538,ALGLIB_SSA_XAUUSD!$J$2:$J$1000,ALGLIB_SSA_XAUUSD!$N$2:$N$1000,"",0)</f>
        <v>4674.1346199999998</v>
      </c>
      <c r="M538">
        <f>_xlfn.XLOOKUP($A538,ALGLIB_SSA_XAUUSD!$J$2:$J$1000,ALGLIB_SSA_XAUUSD!$O$2:$O$1000,"",0)</f>
        <v>4677.28892</v>
      </c>
      <c r="N538">
        <f>_xlfn.XLOOKUP($A538,ALGLIB_SSA_XAUUSD!$J$2:$J$1000,ALGLIB_SSA_XAUUSD!$P$2:$P$1000,"",0)</f>
        <v>4678.9695599999995</v>
      </c>
      <c r="O538">
        <f>_xlfn.XLOOKUP($A538,ALGLIB_SSA_XAUUSD!$J$2:$J$1000,ALGLIB_SSA_XAUUSD!$Q$2:$Q$1000,"",0)</f>
        <v>4670.3186500000002</v>
      </c>
      <c r="R538">
        <f t="shared" si="88"/>
        <v>1775554800</v>
      </c>
      <c r="S538" t="str">
        <f t="shared" si="89"/>
        <v>XAUUSD</v>
      </c>
      <c r="T538" t="str">
        <f t="shared" si="90"/>
        <v>M5</v>
      </c>
      <c r="U538">
        <f t="shared" si="91"/>
        <v>4667.28</v>
      </c>
      <c r="V538">
        <v>4662.5416100000002</v>
      </c>
      <c r="W538">
        <v>4662.5552500000003</v>
      </c>
      <c r="X538">
        <v>4674.1346199999998</v>
      </c>
      <c r="Y538">
        <v>4677.28892</v>
      </c>
      <c r="Z538">
        <f t="shared" si="92"/>
        <v>4679.4323466666665</v>
      </c>
      <c r="AA538">
        <f t="shared" si="93"/>
        <v>4678.9695599999995</v>
      </c>
      <c r="AB538">
        <f t="shared" si="94"/>
        <v>4646.4247266666662</v>
      </c>
      <c r="AC538">
        <f t="shared" si="95"/>
        <v>4670.3186500000002</v>
      </c>
      <c r="AF538">
        <f t="shared" si="96"/>
        <v>4674.1346199999998</v>
      </c>
      <c r="AG538">
        <f t="shared" si="97"/>
        <v>4679.4323466666665</v>
      </c>
      <c r="AH538">
        <f t="shared" si="98"/>
        <v>4646.4247266666662</v>
      </c>
    </row>
    <row r="539" spans="1:34" x14ac:dyDescent="0.55000000000000004">
      <c r="A539">
        <f>ALGLIB_SSA_XAUUSD!J539</f>
        <v>1775555100</v>
      </c>
      <c r="B539" t="str">
        <f>_xlfn.XLOOKUP($A539,ALGLIB_SSA_XAUUSD!$A$2:$A$1000,ALGLIB_SSA_XAUUSD!$B$2:$B$1000,"",0)</f>
        <v/>
      </c>
      <c r="C539" t="str">
        <f>_xlfn.XLOOKUP($A539,ALGLIB_SSA_XAUUSD!$A$2:$A$1000,ALGLIB_SSA_XAUUSD!$C$2:$C$1000,"",0)</f>
        <v/>
      </c>
      <c r="D539" s="1">
        <f>D530+(D542-D530)*9/12</f>
        <v>4656.7650000000003</v>
      </c>
      <c r="E539" s="1">
        <f>E530+(E542-E530)*9/12</f>
        <v>4662.2619025000004</v>
      </c>
      <c r="F539" s="1">
        <f>F530+(F542-F530)*9/12</f>
        <v>4662.4844700000003</v>
      </c>
      <c r="G539" s="1">
        <f>G530+(G542-G530)*9/12</f>
        <v>4679.3112999999994</v>
      </c>
      <c r="H539" s="1">
        <f>H530+(H542-H530)*9/12</f>
        <v>4646.2986574999995</v>
      </c>
      <c r="I539" t="str">
        <f>_xlfn.XLOOKUP($A539,ALGLIB_SSA_XAUUSD!$J$2:$J$1000,ALGLIB_SSA_XAUUSD!$K$2:$K$1000,"",0)</f>
        <v>XAUUSD</v>
      </c>
      <c r="J539" t="str">
        <f>_xlfn.XLOOKUP($A539,ALGLIB_SSA_XAUUSD!$J$2:$J$1000,ALGLIB_SSA_XAUUSD!$L$2:$L$1000,"",0)</f>
        <v>M5</v>
      </c>
      <c r="K539">
        <f>_xlfn.XLOOKUP($A539,ALGLIB_SSA_XAUUSD!$J$2:$J$1000,ALGLIB_SSA_XAUUSD!$M$2:$M$1000,"",0)</f>
        <v>4666.75</v>
      </c>
      <c r="L539">
        <f>_xlfn.XLOOKUP($A539,ALGLIB_SSA_XAUUSD!$J$2:$J$1000,ALGLIB_SSA_XAUUSD!$N$2:$N$1000,"",0)</f>
        <v>4671.8441300000004</v>
      </c>
      <c r="M539">
        <f>_xlfn.XLOOKUP($A539,ALGLIB_SSA_XAUUSD!$J$2:$J$1000,ALGLIB_SSA_XAUUSD!$O$2:$O$1000,"",0)</f>
        <v>4674.5665200000003</v>
      </c>
      <c r="N539">
        <f>_xlfn.XLOOKUP($A539,ALGLIB_SSA_XAUUSD!$J$2:$J$1000,ALGLIB_SSA_XAUUSD!$P$2:$P$1000,"",0)</f>
        <v>4675.9345300000004</v>
      </c>
      <c r="O539">
        <f>_xlfn.XLOOKUP($A539,ALGLIB_SSA_XAUUSD!$J$2:$J$1000,ALGLIB_SSA_XAUUSD!$Q$2:$Q$1000,"",0)</f>
        <v>4667.36553</v>
      </c>
      <c r="R539">
        <f t="shared" si="88"/>
        <v>1775555100</v>
      </c>
      <c r="S539" t="str">
        <f t="shared" si="89"/>
        <v>XAUUSD</v>
      </c>
      <c r="T539" t="str">
        <f t="shared" si="90"/>
        <v>M5</v>
      </c>
      <c r="U539">
        <f t="shared" si="91"/>
        <v>4666.75</v>
      </c>
      <c r="V539">
        <v>4662.2619000000004</v>
      </c>
      <c r="W539">
        <v>4662.4844700000003</v>
      </c>
      <c r="X539">
        <v>4671.8441300000004</v>
      </c>
      <c r="Y539">
        <v>4674.5665200000003</v>
      </c>
      <c r="Z539">
        <f t="shared" si="92"/>
        <v>4679.3112999999994</v>
      </c>
      <c r="AA539">
        <f t="shared" si="93"/>
        <v>4675.9345300000004</v>
      </c>
      <c r="AB539">
        <f t="shared" si="94"/>
        <v>4646.2986574999995</v>
      </c>
      <c r="AC539">
        <f t="shared" si="95"/>
        <v>4667.36553</v>
      </c>
      <c r="AF539">
        <f t="shared" si="96"/>
        <v>4671.8441300000004</v>
      </c>
      <c r="AG539">
        <f t="shared" si="97"/>
        <v>4679.3112999999994</v>
      </c>
      <c r="AH539">
        <f t="shared" si="98"/>
        <v>4646.2986574999995</v>
      </c>
    </row>
    <row r="540" spans="1:34" x14ac:dyDescent="0.55000000000000004">
      <c r="A540">
        <f>ALGLIB_SSA_XAUUSD!J540</f>
        <v>1775555400</v>
      </c>
      <c r="B540" t="str">
        <f>_xlfn.XLOOKUP($A540,ALGLIB_SSA_XAUUSD!$A$2:$A$1000,ALGLIB_SSA_XAUUSD!$B$2:$B$1000,"",0)</f>
        <v/>
      </c>
      <c r="C540" t="str">
        <f>_xlfn.XLOOKUP($A540,ALGLIB_SSA_XAUUSD!$A$2:$A$1000,ALGLIB_SSA_XAUUSD!$C$2:$C$1000,"",0)</f>
        <v/>
      </c>
      <c r="D540" s="1">
        <f>D530+(D542-D530)*10/12</f>
        <v>4655.1966666666667</v>
      </c>
      <c r="E540" s="1">
        <f>E530+(E542-E530)*10/12</f>
        <v>4661.9821916666669</v>
      </c>
      <c r="F540" s="1">
        <f>F530+(F542-F530)*10/12</f>
        <v>4662.4136900000003</v>
      </c>
      <c r="G540" s="1">
        <f>G530+(G542-G530)*10/12</f>
        <v>4679.1902533333332</v>
      </c>
      <c r="H540" s="1">
        <f>H530+(H542-H530)*10/12</f>
        <v>4646.1725883333329</v>
      </c>
      <c r="I540" t="str">
        <f>_xlfn.XLOOKUP($A540,ALGLIB_SSA_XAUUSD!$J$2:$J$1000,ALGLIB_SSA_XAUUSD!$K$2:$K$1000,"",0)</f>
        <v>XAUUSD</v>
      </c>
      <c r="J540" t="str">
        <f>_xlfn.XLOOKUP($A540,ALGLIB_SSA_XAUUSD!$J$2:$J$1000,ALGLIB_SSA_XAUUSD!$L$2:$L$1000,"",0)</f>
        <v>M5</v>
      </c>
      <c r="K540">
        <f>_xlfn.XLOOKUP($A540,ALGLIB_SSA_XAUUSD!$J$2:$J$1000,ALGLIB_SSA_XAUUSD!$M$2:$M$1000,"",0)</f>
        <v>4670.3999999999996</v>
      </c>
      <c r="L540">
        <f>_xlfn.XLOOKUP($A540,ALGLIB_SSA_XAUUSD!$J$2:$J$1000,ALGLIB_SSA_XAUUSD!$N$2:$N$1000,"",0)</f>
        <v>4670.8110299999998</v>
      </c>
      <c r="M540">
        <f>_xlfn.XLOOKUP($A540,ALGLIB_SSA_XAUUSD!$J$2:$J$1000,ALGLIB_SSA_XAUUSD!$O$2:$O$1000,"",0)</f>
        <v>4672.6887800000004</v>
      </c>
      <c r="N540">
        <f>_xlfn.XLOOKUP($A540,ALGLIB_SSA_XAUUSD!$J$2:$J$1000,ALGLIB_SSA_XAUUSD!$P$2:$P$1000,"",0)</f>
        <v>4674.2605100000001</v>
      </c>
      <c r="O540">
        <f>_xlfn.XLOOKUP($A540,ALGLIB_SSA_XAUUSD!$J$2:$J$1000,ALGLIB_SSA_XAUUSD!$Q$2:$Q$1000,"",0)</f>
        <v>4665.6940000000004</v>
      </c>
      <c r="R540">
        <f t="shared" si="88"/>
        <v>1775555400</v>
      </c>
      <c r="S540" t="str">
        <f t="shared" si="89"/>
        <v>XAUUSD</v>
      </c>
      <c r="T540" t="str">
        <f t="shared" si="90"/>
        <v>M5</v>
      </c>
      <c r="U540">
        <f t="shared" si="91"/>
        <v>4670.3999999999996</v>
      </c>
      <c r="V540">
        <v>4661.9821899999997</v>
      </c>
      <c r="W540">
        <v>4662.4136900000003</v>
      </c>
      <c r="X540">
        <v>4670.8110299999998</v>
      </c>
      <c r="Y540">
        <v>4672.6887800000004</v>
      </c>
      <c r="Z540">
        <f t="shared" si="92"/>
        <v>4679.1902533333332</v>
      </c>
      <c r="AA540">
        <f t="shared" si="93"/>
        <v>4674.2605100000001</v>
      </c>
      <c r="AB540">
        <f t="shared" si="94"/>
        <v>4646.1725883333329</v>
      </c>
      <c r="AC540">
        <f t="shared" si="95"/>
        <v>4665.6940000000004</v>
      </c>
      <c r="AF540">
        <f t="shared" si="96"/>
        <v>4670.8110299999998</v>
      </c>
      <c r="AG540">
        <f t="shared" si="97"/>
        <v>4679.1902533333332</v>
      </c>
      <c r="AH540">
        <f t="shared" si="98"/>
        <v>4646.1725883333329</v>
      </c>
    </row>
    <row r="541" spans="1:34" x14ac:dyDescent="0.55000000000000004">
      <c r="A541">
        <f>ALGLIB_SSA_XAUUSD!J541</f>
        <v>1775555700</v>
      </c>
      <c r="B541" t="str">
        <f>_xlfn.XLOOKUP($A541,ALGLIB_SSA_XAUUSD!$A$2:$A$1000,ALGLIB_SSA_XAUUSD!$B$2:$B$1000,"",0)</f>
        <v/>
      </c>
      <c r="C541" t="str">
        <f>_xlfn.XLOOKUP($A541,ALGLIB_SSA_XAUUSD!$A$2:$A$1000,ALGLIB_SSA_XAUUSD!$C$2:$C$1000,"",0)</f>
        <v/>
      </c>
      <c r="D541" s="1">
        <f>D530+(D542-D530)*11/12</f>
        <v>4653.628333333334</v>
      </c>
      <c r="E541" s="1">
        <f>E530+(E542-E530)*11/12</f>
        <v>4661.7024808333335</v>
      </c>
      <c r="F541" s="1">
        <f>F530+(F542-F530)*11/12</f>
        <v>4662.3429100000003</v>
      </c>
      <c r="G541" s="1">
        <f>G530+(G542-G530)*11/12</f>
        <v>4679.069206666667</v>
      </c>
      <c r="H541" s="1">
        <f>H530+(H542-H530)*11/12</f>
        <v>4646.0465191666663</v>
      </c>
      <c r="I541" t="str">
        <f>_xlfn.XLOOKUP($A541,ALGLIB_SSA_XAUUSD!$J$2:$J$1000,ALGLIB_SSA_XAUUSD!$K$2:$K$1000,"",0)</f>
        <v>XAUUSD</v>
      </c>
      <c r="J541" t="str">
        <f>_xlfn.XLOOKUP($A541,ALGLIB_SSA_XAUUSD!$J$2:$J$1000,ALGLIB_SSA_XAUUSD!$L$2:$L$1000,"",0)</f>
        <v>M5</v>
      </c>
      <c r="K541">
        <f>_xlfn.XLOOKUP($A541,ALGLIB_SSA_XAUUSD!$J$2:$J$1000,ALGLIB_SSA_XAUUSD!$M$2:$M$1000,"",0)</f>
        <v>4670.88</v>
      </c>
      <c r="L541">
        <f>_xlfn.XLOOKUP($A541,ALGLIB_SSA_XAUUSD!$J$2:$J$1000,ALGLIB_SSA_XAUUSD!$N$2:$N$1000,"",0)</f>
        <v>4670.8940899999998</v>
      </c>
      <c r="M541">
        <f>_xlfn.XLOOKUP($A541,ALGLIB_SSA_XAUUSD!$J$2:$J$1000,ALGLIB_SSA_XAUUSD!$O$2:$O$1000,"",0)</f>
        <v>4671.7914300000002</v>
      </c>
      <c r="N541">
        <f>_xlfn.XLOOKUP($A541,ALGLIB_SSA_XAUUSD!$J$2:$J$1000,ALGLIB_SSA_XAUUSD!$P$2:$P$1000,"",0)</f>
        <v>4673.9265699999996</v>
      </c>
      <c r="O541">
        <f>_xlfn.XLOOKUP($A541,ALGLIB_SSA_XAUUSD!$J$2:$J$1000,ALGLIB_SSA_XAUUSD!$Q$2:$Q$1000,"",0)</f>
        <v>4665.2532000000001</v>
      </c>
      <c r="R541">
        <f t="shared" si="88"/>
        <v>1775555700</v>
      </c>
      <c r="S541" t="str">
        <f t="shared" si="89"/>
        <v>XAUUSD</v>
      </c>
      <c r="T541" t="str">
        <f t="shared" si="90"/>
        <v>M5</v>
      </c>
      <c r="U541">
        <f t="shared" si="91"/>
        <v>4670.88</v>
      </c>
      <c r="V541">
        <v>4661.7024799999999</v>
      </c>
      <c r="W541">
        <v>4662.3429100000003</v>
      </c>
      <c r="X541">
        <v>4670.8940899999998</v>
      </c>
      <c r="Y541">
        <v>4671.7914300000002</v>
      </c>
      <c r="Z541">
        <f t="shared" si="92"/>
        <v>4679.069206666667</v>
      </c>
      <c r="AA541">
        <f t="shared" si="93"/>
        <v>4673.9265699999996</v>
      </c>
      <c r="AB541">
        <f t="shared" si="94"/>
        <v>4646.0465191666663</v>
      </c>
      <c r="AC541">
        <f t="shared" si="95"/>
        <v>4665.2532000000001</v>
      </c>
      <c r="AF541">
        <f t="shared" si="96"/>
        <v>4670.8940899999998</v>
      </c>
      <c r="AG541">
        <f t="shared" si="97"/>
        <v>4679.069206666667</v>
      </c>
      <c r="AH541">
        <f t="shared" si="98"/>
        <v>4646.0465191666663</v>
      </c>
    </row>
    <row r="542" spans="1:34" x14ac:dyDescent="0.55000000000000004">
      <c r="A542">
        <f>ALGLIB_SSA_XAUUSD!J542</f>
        <v>1775556000</v>
      </c>
      <c r="B542" t="str">
        <f>_xlfn.XLOOKUP($A542,ALGLIB_SSA_XAUUSD!$A$2:$A$1000,ALGLIB_SSA_XAUUSD!$B$2:$B$1000,"",0)</f>
        <v>XAUUSD</v>
      </c>
      <c r="C542" t="str">
        <f>_xlfn.XLOOKUP($A542,ALGLIB_SSA_XAUUSD!$A$2:$A$1000,ALGLIB_SSA_XAUUSD!$C$2:$C$1000,"",0)</f>
        <v>H1</v>
      </c>
      <c r="D542" s="2">
        <f>_xlfn.XLOOKUP($A542,ALGLIB_SSA_XAUUSD!$A$2:$A$1000,ALGLIB_SSA_XAUUSD!$D$2:$D$1000,"",0)</f>
        <v>4652.0600000000004</v>
      </c>
      <c r="E542" s="2">
        <f>_xlfn.XLOOKUP($A542,ALGLIB_SSA_XAUUSD!$A$2:$A$1000,ALGLIB_SSA_XAUUSD!$E$2:$E$1000,"",0)</f>
        <v>4661.4227700000001</v>
      </c>
      <c r="F542" s="2">
        <f>_xlfn.XLOOKUP($A542,ALGLIB_SSA_XAUUSD!$A$2:$A$1000,ALGLIB_SSA_XAUUSD!$F$2:$F$1000,"",0)</f>
        <v>4662.2721300000003</v>
      </c>
      <c r="G542" s="2">
        <f>_xlfn.XLOOKUP($A542,ALGLIB_SSA_XAUUSD!$A$2:$A$1000,ALGLIB_SSA_XAUUSD!$G$2:$G$1000,"",0)</f>
        <v>4678.9481599999999</v>
      </c>
      <c r="H542" s="2">
        <f>_xlfn.XLOOKUP($A542,ALGLIB_SSA_XAUUSD!$A$2:$A$1000,ALGLIB_SSA_XAUUSD!$H$2:$H$1000,"",0)</f>
        <v>4645.9204499999996</v>
      </c>
      <c r="I542" t="str">
        <f>_xlfn.XLOOKUP($A542,ALGLIB_SSA_XAUUSD!$J$2:$J$1000,ALGLIB_SSA_XAUUSD!$K$2:$K$1000,"",0)</f>
        <v>XAUUSD</v>
      </c>
      <c r="J542" t="str">
        <f>_xlfn.XLOOKUP($A542,ALGLIB_SSA_XAUUSD!$J$2:$J$1000,ALGLIB_SSA_XAUUSD!$L$2:$L$1000,"",0)</f>
        <v>M5</v>
      </c>
      <c r="K542">
        <f>_xlfn.XLOOKUP($A542,ALGLIB_SSA_XAUUSD!$J$2:$J$1000,ALGLIB_SSA_XAUUSD!$M$2:$M$1000,"",0)</f>
        <v>4674.91</v>
      </c>
      <c r="L542">
        <f>_xlfn.XLOOKUP($A542,ALGLIB_SSA_XAUUSD!$J$2:$J$1000,ALGLIB_SSA_XAUUSD!$N$2:$N$1000,"",0)</f>
        <v>4671.8048500000004</v>
      </c>
      <c r="M542">
        <f>_xlfn.XLOOKUP($A542,ALGLIB_SSA_XAUUSD!$J$2:$J$1000,ALGLIB_SSA_XAUUSD!$O$2:$O$1000,"",0)</f>
        <v>4671.7981399999999</v>
      </c>
      <c r="N542">
        <f>_xlfn.XLOOKUP($A542,ALGLIB_SSA_XAUUSD!$J$2:$J$1000,ALGLIB_SSA_XAUUSD!$P$2:$P$1000,"",0)</f>
        <v>4674.6446500000002</v>
      </c>
      <c r="O542">
        <f>_xlfn.XLOOKUP($A542,ALGLIB_SSA_XAUUSD!$J$2:$J$1000,ALGLIB_SSA_XAUUSD!$Q$2:$Q$1000,"",0)</f>
        <v>4665.6729400000004</v>
      </c>
      <c r="R542">
        <f t="shared" si="88"/>
        <v>1775556000</v>
      </c>
      <c r="S542" t="str">
        <f t="shared" si="89"/>
        <v>XAUUSD</v>
      </c>
      <c r="T542" t="str">
        <f t="shared" si="90"/>
        <v>M5</v>
      </c>
      <c r="U542">
        <f t="shared" si="91"/>
        <v>4674.91</v>
      </c>
      <c r="V542">
        <v>4661.4227700000001</v>
      </c>
      <c r="W542">
        <v>4662.2721300000003</v>
      </c>
      <c r="X542">
        <v>4671.8048500000004</v>
      </c>
      <c r="Y542">
        <v>4671.7981399999999</v>
      </c>
      <c r="Z542">
        <f t="shared" si="92"/>
        <v>4678.9481599999999</v>
      </c>
      <c r="AA542">
        <f t="shared" si="93"/>
        <v>4674.6446500000002</v>
      </c>
      <c r="AB542">
        <f t="shared" si="94"/>
        <v>4645.9204499999996</v>
      </c>
      <c r="AC542">
        <f t="shared" si="95"/>
        <v>4665.6729400000004</v>
      </c>
      <c r="AF542">
        <f t="shared" si="96"/>
        <v>4671.8048500000004</v>
      </c>
      <c r="AG542">
        <f t="shared" si="97"/>
        <v>4678.9481599999999</v>
      </c>
      <c r="AH542">
        <f t="shared" si="98"/>
        <v>4645.9204499999996</v>
      </c>
    </row>
    <row r="543" spans="1:34" x14ac:dyDescent="0.55000000000000004">
      <c r="A543">
        <f>ALGLIB_SSA_XAUUSD!J543</f>
        <v>1775556300</v>
      </c>
      <c r="B543" t="str">
        <f>_xlfn.XLOOKUP($A543,ALGLIB_SSA_XAUUSD!$A$2:$A$1000,ALGLIB_SSA_XAUUSD!$B$2:$B$1000,"",0)</f>
        <v/>
      </c>
      <c r="C543" t="str">
        <f>_xlfn.XLOOKUP($A543,ALGLIB_SSA_XAUUSD!$A$2:$A$1000,ALGLIB_SSA_XAUUSD!$C$2:$C$1000,"",0)</f>
        <v/>
      </c>
      <c r="D543" s="1">
        <f>D542+(D554-D542)*1/12</f>
        <v>4652.7058333333334</v>
      </c>
      <c r="E543" s="1">
        <f>E542+(E554-E542)*1/12</f>
        <v>4660.9714624999997</v>
      </c>
      <c r="F543" s="1">
        <f>F542+(F554-F542)*1/12</f>
        <v>4662.0110866666673</v>
      </c>
      <c r="G543" s="1">
        <f>G542+(G554-G542)*1/12</f>
        <v>4678.5680641666668</v>
      </c>
      <c r="H543" s="1">
        <f>H542+(H554-H542)*1/12</f>
        <v>4645.5795349999999</v>
      </c>
      <c r="I543" t="str">
        <f>_xlfn.XLOOKUP($A543,ALGLIB_SSA_XAUUSD!$J$2:$J$1000,ALGLIB_SSA_XAUUSD!$K$2:$K$1000,"",0)</f>
        <v>XAUUSD</v>
      </c>
      <c r="J543" t="str">
        <f>_xlfn.XLOOKUP($A543,ALGLIB_SSA_XAUUSD!$J$2:$J$1000,ALGLIB_SSA_XAUUSD!$L$2:$L$1000,"",0)</f>
        <v>M5</v>
      </c>
      <c r="K543">
        <f>_xlfn.XLOOKUP($A543,ALGLIB_SSA_XAUUSD!$J$2:$J$1000,ALGLIB_SSA_XAUUSD!$M$2:$M$1000,"",0)</f>
        <v>4675.0200000000004</v>
      </c>
      <c r="L543">
        <f>_xlfn.XLOOKUP($A543,ALGLIB_SSA_XAUUSD!$J$2:$J$1000,ALGLIB_SSA_XAUUSD!$N$2:$N$1000,"",0)</f>
        <v>4672.9896099999996</v>
      </c>
      <c r="M543">
        <f>_xlfn.XLOOKUP($A543,ALGLIB_SSA_XAUUSD!$J$2:$J$1000,ALGLIB_SSA_XAUUSD!$O$2:$O$1000,"",0)</f>
        <v>4672.3938699999999</v>
      </c>
      <c r="N543">
        <f>_xlfn.XLOOKUP($A543,ALGLIB_SSA_XAUUSD!$J$2:$J$1000,ALGLIB_SSA_XAUUSD!$P$2:$P$1000,"",0)</f>
        <v>4676.0024299999995</v>
      </c>
      <c r="O543">
        <f>_xlfn.XLOOKUP($A543,ALGLIB_SSA_XAUUSD!$J$2:$J$1000,ALGLIB_SSA_XAUUSD!$Q$2:$Q$1000,"",0)</f>
        <v>4666.6598999999997</v>
      </c>
      <c r="R543">
        <f t="shared" si="88"/>
        <v>1775556300</v>
      </c>
      <c r="S543" t="str">
        <f t="shared" si="89"/>
        <v>XAUUSD</v>
      </c>
      <c r="T543" t="str">
        <f t="shared" si="90"/>
        <v>M5</v>
      </c>
      <c r="U543">
        <f t="shared" si="91"/>
        <v>4675.0200000000004</v>
      </c>
      <c r="V543">
        <v>4660.9714599999998</v>
      </c>
      <c r="W543">
        <v>4662.01109</v>
      </c>
      <c r="X543">
        <v>4672.9896099999996</v>
      </c>
      <c r="Y543">
        <v>4672.3938699999999</v>
      </c>
      <c r="Z543">
        <f t="shared" si="92"/>
        <v>4678.5680641666668</v>
      </c>
      <c r="AA543">
        <f t="shared" si="93"/>
        <v>4676.0024299999995</v>
      </c>
      <c r="AB543">
        <f t="shared" si="94"/>
        <v>4645.5795349999999</v>
      </c>
      <c r="AC543">
        <f t="shared" si="95"/>
        <v>4666.6598999999997</v>
      </c>
      <c r="AF543">
        <f t="shared" si="96"/>
        <v>4672.9896099999996</v>
      </c>
      <c r="AG543">
        <f t="shared" si="97"/>
        <v>4678.5680641666668</v>
      </c>
      <c r="AH543">
        <f t="shared" si="98"/>
        <v>4645.5795349999999</v>
      </c>
    </row>
    <row r="544" spans="1:34" x14ac:dyDescent="0.55000000000000004">
      <c r="A544">
        <f>ALGLIB_SSA_XAUUSD!J544</f>
        <v>1775556600</v>
      </c>
      <c r="B544" t="str">
        <f>_xlfn.XLOOKUP($A544,ALGLIB_SSA_XAUUSD!$A$2:$A$1000,ALGLIB_SSA_XAUUSD!$B$2:$B$1000,"",0)</f>
        <v/>
      </c>
      <c r="C544" t="str">
        <f>_xlfn.XLOOKUP($A544,ALGLIB_SSA_XAUUSD!$A$2:$A$1000,ALGLIB_SSA_XAUUSD!$C$2:$C$1000,"",0)</f>
        <v/>
      </c>
      <c r="D544" s="1">
        <f>D542+(D554-D542)*2/12</f>
        <v>4653.3516666666674</v>
      </c>
      <c r="E544" s="1">
        <f>E542+(E554-E542)*2/12</f>
        <v>4660.5201550000002</v>
      </c>
      <c r="F544" s="1">
        <f>F542+(F554-F542)*2/12</f>
        <v>4661.7500433333335</v>
      </c>
      <c r="G544" s="1">
        <f>G542+(G554-G542)*2/12</f>
        <v>4678.1879683333336</v>
      </c>
      <c r="H544" s="1">
        <f>H542+(H554-H542)*2/12</f>
        <v>4645.2386200000001</v>
      </c>
      <c r="I544" t="str">
        <f>_xlfn.XLOOKUP($A544,ALGLIB_SSA_XAUUSD!$J$2:$J$1000,ALGLIB_SSA_XAUUSD!$K$2:$K$1000,"",0)</f>
        <v>XAUUSD</v>
      </c>
      <c r="J544" t="str">
        <f>_xlfn.XLOOKUP($A544,ALGLIB_SSA_XAUUSD!$J$2:$J$1000,ALGLIB_SSA_XAUUSD!$L$2:$L$1000,"",0)</f>
        <v>M5</v>
      </c>
      <c r="K544">
        <f>_xlfn.XLOOKUP($A544,ALGLIB_SSA_XAUUSD!$J$2:$J$1000,ALGLIB_SSA_XAUUSD!$M$2:$M$1000,"",0)</f>
        <v>4676.7299999999996</v>
      </c>
      <c r="L544">
        <f>_xlfn.XLOOKUP($A544,ALGLIB_SSA_XAUUSD!$J$2:$J$1000,ALGLIB_SSA_XAUUSD!$N$2:$N$1000,"",0)</f>
        <v>4673.9242199999999</v>
      </c>
      <c r="M544">
        <f>_xlfn.XLOOKUP($A544,ALGLIB_SSA_XAUUSD!$J$2:$J$1000,ALGLIB_SSA_XAUUSD!$O$2:$O$1000,"",0)</f>
        <v>4673.1590500000002</v>
      </c>
      <c r="N544">
        <f>_xlfn.XLOOKUP($A544,ALGLIB_SSA_XAUUSD!$J$2:$J$1000,ALGLIB_SSA_XAUUSD!$P$2:$P$1000,"",0)</f>
        <v>4677.3617700000004</v>
      </c>
      <c r="O544">
        <f>_xlfn.XLOOKUP($A544,ALGLIB_SSA_XAUUSD!$J$2:$J$1000,ALGLIB_SSA_XAUUSD!$Q$2:$Q$1000,"",0)</f>
        <v>4667.8288000000002</v>
      </c>
      <c r="R544">
        <f t="shared" si="88"/>
        <v>1775556600</v>
      </c>
      <c r="S544" t="str">
        <f t="shared" si="89"/>
        <v>XAUUSD</v>
      </c>
      <c r="T544" t="str">
        <f t="shared" si="90"/>
        <v>M5</v>
      </c>
      <c r="U544">
        <f t="shared" si="91"/>
        <v>4676.7299999999996</v>
      </c>
      <c r="V544">
        <v>4660.52016</v>
      </c>
      <c r="W544">
        <v>4661.7500399999999</v>
      </c>
      <c r="X544">
        <v>4673.9242199999999</v>
      </c>
      <c r="Y544">
        <v>4673.1590500000002</v>
      </c>
      <c r="Z544">
        <f t="shared" si="92"/>
        <v>4678.1879683333336</v>
      </c>
      <c r="AA544">
        <f t="shared" si="93"/>
        <v>4677.3617700000004</v>
      </c>
      <c r="AB544">
        <f t="shared" si="94"/>
        <v>4645.2386200000001</v>
      </c>
      <c r="AC544">
        <f t="shared" si="95"/>
        <v>4667.8288000000002</v>
      </c>
      <c r="AF544">
        <f t="shared" si="96"/>
        <v>4673.9242199999999</v>
      </c>
      <c r="AG544">
        <f t="shared" si="97"/>
        <v>4678.1879683333336</v>
      </c>
      <c r="AH544">
        <f t="shared" si="98"/>
        <v>4645.2386200000001</v>
      </c>
    </row>
    <row r="545" spans="1:34" x14ac:dyDescent="0.55000000000000004">
      <c r="A545">
        <f>ALGLIB_SSA_XAUUSD!J545</f>
        <v>1775556900</v>
      </c>
      <c r="B545" t="str">
        <f>_xlfn.XLOOKUP($A545,ALGLIB_SSA_XAUUSD!$A$2:$A$1000,ALGLIB_SSA_XAUUSD!$B$2:$B$1000,"",0)</f>
        <v/>
      </c>
      <c r="C545" t="str">
        <f>_xlfn.XLOOKUP($A545,ALGLIB_SSA_XAUUSD!$A$2:$A$1000,ALGLIB_SSA_XAUUSD!$C$2:$C$1000,"",0)</f>
        <v/>
      </c>
      <c r="D545" s="1">
        <f>D542+(D554-D542)*3/12</f>
        <v>4653.9975000000004</v>
      </c>
      <c r="E545" s="1">
        <f>E542+(E554-E542)*3/12</f>
        <v>4660.0688475000006</v>
      </c>
      <c r="F545" s="1">
        <f>F542+(F554-F542)*3/12</f>
        <v>4661.4890000000005</v>
      </c>
      <c r="G545" s="1">
        <f>G542+(G554-G542)*3/12</f>
        <v>4677.8078724999996</v>
      </c>
      <c r="H545" s="1">
        <f>H542+(H554-H542)*3/12</f>
        <v>4644.8977049999994</v>
      </c>
      <c r="I545" t="str">
        <f>_xlfn.XLOOKUP($A545,ALGLIB_SSA_XAUUSD!$J$2:$J$1000,ALGLIB_SSA_XAUUSD!$K$2:$K$1000,"",0)</f>
        <v>XAUUSD</v>
      </c>
      <c r="J545" t="str">
        <f>_xlfn.XLOOKUP($A545,ALGLIB_SSA_XAUUSD!$J$2:$J$1000,ALGLIB_SSA_XAUUSD!$L$2:$L$1000,"",0)</f>
        <v>M5</v>
      </c>
      <c r="K545">
        <f>_xlfn.XLOOKUP($A545,ALGLIB_SSA_XAUUSD!$J$2:$J$1000,ALGLIB_SSA_XAUUSD!$M$2:$M$1000,"",0)</f>
        <v>4677.1499999999996</v>
      </c>
      <c r="L545">
        <f>_xlfn.XLOOKUP($A545,ALGLIB_SSA_XAUUSD!$J$2:$J$1000,ALGLIB_SSA_XAUUSD!$N$2:$N$1000,"",0)</f>
        <v>4674.1193700000003</v>
      </c>
      <c r="M545">
        <f>_xlfn.XLOOKUP($A545,ALGLIB_SSA_XAUUSD!$J$2:$J$1000,ALGLIB_SSA_XAUUSD!$O$2:$O$1000,"",0)</f>
        <v>4673.6392100000003</v>
      </c>
      <c r="N545">
        <f>_xlfn.XLOOKUP($A545,ALGLIB_SSA_XAUUSD!$J$2:$J$1000,ALGLIB_SSA_XAUUSD!$P$2:$P$1000,"",0)</f>
        <v>4678.2082499999997</v>
      </c>
      <c r="O545">
        <f>_xlfn.XLOOKUP($A545,ALGLIB_SSA_XAUUSD!$J$2:$J$1000,ALGLIB_SSA_XAUUSD!$Q$2:$Q$1000,"",0)</f>
        <v>4668.4770900000003</v>
      </c>
      <c r="R545">
        <f t="shared" si="88"/>
        <v>1775556900</v>
      </c>
      <c r="S545" t="str">
        <f t="shared" si="89"/>
        <v>XAUUSD</v>
      </c>
      <c r="T545" t="str">
        <f t="shared" si="90"/>
        <v>M5</v>
      </c>
      <c r="U545">
        <f t="shared" si="91"/>
        <v>4677.1499999999996</v>
      </c>
      <c r="V545">
        <v>4660.0688499999997</v>
      </c>
      <c r="W545">
        <v>4661.4889999999996</v>
      </c>
      <c r="X545">
        <v>4674.1193700000003</v>
      </c>
      <c r="Y545">
        <v>4673.6392100000003</v>
      </c>
      <c r="Z545">
        <f t="shared" si="92"/>
        <v>4677.8078724999996</v>
      </c>
      <c r="AA545">
        <f t="shared" si="93"/>
        <v>4678.2082499999997</v>
      </c>
      <c r="AB545">
        <f t="shared" si="94"/>
        <v>4644.8977049999994</v>
      </c>
      <c r="AC545">
        <f t="shared" si="95"/>
        <v>4668.4770900000003</v>
      </c>
      <c r="AF545">
        <f t="shared" si="96"/>
        <v>4674.1193700000003</v>
      </c>
      <c r="AG545">
        <f t="shared" si="97"/>
        <v>4677.8078724999996</v>
      </c>
      <c r="AH545">
        <f t="shared" si="98"/>
        <v>4644.8977049999994</v>
      </c>
    </row>
    <row r="546" spans="1:34" x14ac:dyDescent="0.55000000000000004">
      <c r="A546">
        <f>ALGLIB_SSA_XAUUSD!J546</f>
        <v>1775557200</v>
      </c>
      <c r="B546" t="str">
        <f>_xlfn.XLOOKUP($A546,ALGLIB_SSA_XAUUSD!$A$2:$A$1000,ALGLIB_SSA_XAUUSD!$B$2:$B$1000,"",0)</f>
        <v/>
      </c>
      <c r="C546" t="str">
        <f>_xlfn.XLOOKUP($A546,ALGLIB_SSA_XAUUSD!$A$2:$A$1000,ALGLIB_SSA_XAUUSD!$C$2:$C$1000,"",0)</f>
        <v/>
      </c>
      <c r="D546" s="1">
        <f>D542+(D554-D542)*4/12</f>
        <v>4654.6433333333334</v>
      </c>
      <c r="E546" s="1">
        <f>E542+(E554-E542)*4/12</f>
        <v>4659.6175400000002</v>
      </c>
      <c r="F546" s="1">
        <f>F542+(F554-F542)*4/12</f>
        <v>4661.2279566666666</v>
      </c>
      <c r="G546" s="1">
        <f>G542+(G554-G542)*4/12</f>
        <v>4677.4277766666664</v>
      </c>
      <c r="H546" s="1">
        <f>H542+(H554-H542)*4/12</f>
        <v>4644.5567899999996</v>
      </c>
      <c r="I546" t="str">
        <f>_xlfn.XLOOKUP($A546,ALGLIB_SSA_XAUUSD!$J$2:$J$1000,ALGLIB_SSA_XAUUSD!$K$2:$K$1000,"",0)</f>
        <v>XAUUSD</v>
      </c>
      <c r="J546" t="str">
        <f>_xlfn.XLOOKUP($A546,ALGLIB_SSA_XAUUSD!$J$2:$J$1000,ALGLIB_SSA_XAUUSD!$L$2:$L$1000,"",0)</f>
        <v>M5</v>
      </c>
      <c r="K546">
        <f>_xlfn.XLOOKUP($A546,ALGLIB_SSA_XAUUSD!$J$2:$J$1000,ALGLIB_SSA_XAUUSD!$M$2:$M$1000,"",0)</f>
        <v>4672.33</v>
      </c>
      <c r="L546">
        <f>_xlfn.XLOOKUP($A546,ALGLIB_SSA_XAUUSD!$J$2:$J$1000,ALGLIB_SSA_XAUUSD!$N$2:$N$1000,"",0)</f>
        <v>4673.2681300000004</v>
      </c>
      <c r="M546">
        <f>_xlfn.XLOOKUP($A546,ALGLIB_SSA_XAUUSD!$J$2:$J$1000,ALGLIB_SSA_XAUUSD!$O$2:$O$1000,"",0)</f>
        <v>4673.4536699999999</v>
      </c>
      <c r="N546">
        <f>_xlfn.XLOOKUP($A546,ALGLIB_SSA_XAUUSD!$J$2:$J$1000,ALGLIB_SSA_XAUUSD!$P$2:$P$1000,"",0)</f>
        <v>4678.10581</v>
      </c>
      <c r="O546">
        <f>_xlfn.XLOOKUP($A546,ALGLIB_SSA_XAUUSD!$J$2:$J$1000,ALGLIB_SSA_XAUUSD!$Q$2:$Q$1000,"",0)</f>
        <v>4668.1823000000004</v>
      </c>
      <c r="R546">
        <f t="shared" si="88"/>
        <v>1775557200</v>
      </c>
      <c r="S546" t="str">
        <f t="shared" si="89"/>
        <v>XAUUSD</v>
      </c>
      <c r="T546" t="str">
        <f t="shared" si="90"/>
        <v>M5</v>
      </c>
      <c r="U546">
        <f t="shared" si="91"/>
        <v>4672.33</v>
      </c>
      <c r="V546">
        <v>4659.6175400000002</v>
      </c>
      <c r="W546">
        <v>4661.2279600000002</v>
      </c>
      <c r="X546">
        <v>4673.2681300000004</v>
      </c>
      <c r="Y546">
        <v>4673.4536699999999</v>
      </c>
      <c r="Z546">
        <f t="shared" si="92"/>
        <v>4677.4277766666664</v>
      </c>
      <c r="AA546">
        <f t="shared" si="93"/>
        <v>4678.10581</v>
      </c>
      <c r="AB546">
        <f t="shared" si="94"/>
        <v>4644.5567899999996</v>
      </c>
      <c r="AC546">
        <f t="shared" si="95"/>
        <v>4668.1823000000004</v>
      </c>
      <c r="AF546">
        <f t="shared" si="96"/>
        <v>4673.2681300000004</v>
      </c>
      <c r="AG546">
        <f t="shared" si="97"/>
        <v>4677.4277766666664</v>
      </c>
      <c r="AH546">
        <f t="shared" si="98"/>
        <v>4644.5567899999996</v>
      </c>
    </row>
    <row r="547" spans="1:34" x14ac:dyDescent="0.55000000000000004">
      <c r="A547">
        <f>ALGLIB_SSA_XAUUSD!J547</f>
        <v>1775557500</v>
      </c>
      <c r="B547" t="str">
        <f>_xlfn.XLOOKUP($A547,ALGLIB_SSA_XAUUSD!$A$2:$A$1000,ALGLIB_SSA_XAUUSD!$B$2:$B$1000,"",0)</f>
        <v/>
      </c>
      <c r="C547" t="str">
        <f>_xlfn.XLOOKUP($A547,ALGLIB_SSA_XAUUSD!$A$2:$A$1000,ALGLIB_SSA_XAUUSD!$C$2:$C$1000,"",0)</f>
        <v/>
      </c>
      <c r="D547" s="1">
        <f>D542+(D554-D542)*5/12</f>
        <v>4655.2891666666674</v>
      </c>
      <c r="E547" s="1">
        <f>E542+(E554-E542)*5/12</f>
        <v>4659.1662324999998</v>
      </c>
      <c r="F547" s="1">
        <f>F542+(F554-F542)*5/12</f>
        <v>4660.9669133333337</v>
      </c>
      <c r="G547" s="1">
        <f>G542+(G554-G542)*5/12</f>
        <v>4677.0476808333333</v>
      </c>
      <c r="H547" s="1">
        <f>H542+(H554-H542)*5/12</f>
        <v>4644.2158749999999</v>
      </c>
      <c r="I547" t="str">
        <f>_xlfn.XLOOKUP($A547,ALGLIB_SSA_XAUUSD!$J$2:$J$1000,ALGLIB_SSA_XAUUSD!$K$2:$K$1000,"",0)</f>
        <v>XAUUSD</v>
      </c>
      <c r="J547" t="str">
        <f>_xlfn.XLOOKUP($A547,ALGLIB_SSA_XAUUSD!$J$2:$J$1000,ALGLIB_SSA_XAUUSD!$L$2:$L$1000,"",0)</f>
        <v>M5</v>
      </c>
      <c r="K547">
        <f>_xlfn.XLOOKUP($A547,ALGLIB_SSA_XAUUSD!$J$2:$J$1000,ALGLIB_SSA_XAUUSD!$M$2:$M$1000,"",0)</f>
        <v>4668.12</v>
      </c>
      <c r="L547">
        <f>_xlfn.XLOOKUP($A547,ALGLIB_SSA_XAUUSD!$J$2:$J$1000,ALGLIB_SSA_XAUUSD!$N$2:$N$1000,"",0)</f>
        <v>4671.3645299999998</v>
      </c>
      <c r="M547">
        <f>_xlfn.XLOOKUP($A547,ALGLIB_SSA_XAUUSD!$J$2:$J$1000,ALGLIB_SSA_XAUUSD!$O$2:$O$1000,"",0)</f>
        <v>4672.4090999999999</v>
      </c>
      <c r="N547">
        <f>_xlfn.XLOOKUP($A547,ALGLIB_SSA_XAUUSD!$J$2:$J$1000,ALGLIB_SSA_XAUUSD!$P$2:$P$1000,"",0)</f>
        <v>4676.8599400000003</v>
      </c>
      <c r="O547">
        <f>_xlfn.XLOOKUP($A547,ALGLIB_SSA_XAUUSD!$J$2:$J$1000,ALGLIB_SSA_XAUUSD!$Q$2:$Q$1000,"",0)</f>
        <v>4666.83842</v>
      </c>
      <c r="R547">
        <f t="shared" si="88"/>
        <v>1775557500</v>
      </c>
      <c r="S547" t="str">
        <f t="shared" si="89"/>
        <v>XAUUSD</v>
      </c>
      <c r="T547" t="str">
        <f t="shared" si="90"/>
        <v>M5</v>
      </c>
      <c r="U547">
        <f t="shared" si="91"/>
        <v>4668.12</v>
      </c>
      <c r="V547">
        <v>4659.1662299999998</v>
      </c>
      <c r="W547">
        <v>4660.9669100000001</v>
      </c>
      <c r="X547">
        <v>4671.3645299999998</v>
      </c>
      <c r="Y547">
        <v>4672.4090999999999</v>
      </c>
      <c r="Z547">
        <f t="shared" si="92"/>
        <v>4677.0476808333333</v>
      </c>
      <c r="AA547">
        <f t="shared" si="93"/>
        <v>4676.8599400000003</v>
      </c>
      <c r="AB547">
        <f t="shared" si="94"/>
        <v>4644.2158749999999</v>
      </c>
      <c r="AC547">
        <f t="shared" si="95"/>
        <v>4666.83842</v>
      </c>
      <c r="AF547">
        <f t="shared" si="96"/>
        <v>4671.3645299999998</v>
      </c>
      <c r="AG547">
        <f t="shared" si="97"/>
        <v>4677.0476808333333</v>
      </c>
      <c r="AH547">
        <f t="shared" si="98"/>
        <v>4644.2158749999999</v>
      </c>
    </row>
    <row r="548" spans="1:34" x14ac:dyDescent="0.55000000000000004">
      <c r="A548">
        <f>ALGLIB_SSA_XAUUSD!J548</f>
        <v>1775557800</v>
      </c>
      <c r="B548" t="str">
        <f>_xlfn.XLOOKUP($A548,ALGLIB_SSA_XAUUSD!$A$2:$A$1000,ALGLIB_SSA_XAUUSD!$B$2:$B$1000,"",0)</f>
        <v/>
      </c>
      <c r="C548" t="str">
        <f>_xlfn.XLOOKUP($A548,ALGLIB_SSA_XAUUSD!$A$2:$A$1000,ALGLIB_SSA_XAUUSD!$C$2:$C$1000,"",0)</f>
        <v/>
      </c>
      <c r="D548" s="1">
        <f>D542+(D554-D542)*6/12</f>
        <v>4655.9350000000004</v>
      </c>
      <c r="E548" s="1">
        <f>E542+(E554-E542)*6/12</f>
        <v>4658.7149250000002</v>
      </c>
      <c r="F548" s="1">
        <f>F542+(F554-F542)*6/12</f>
        <v>4660.7058699999998</v>
      </c>
      <c r="G548" s="1">
        <f>G542+(G554-G542)*6/12</f>
        <v>4676.6675850000001</v>
      </c>
      <c r="H548" s="1">
        <f>H542+(H554-H542)*6/12</f>
        <v>4643.8749599999992</v>
      </c>
      <c r="I548" t="str">
        <f>_xlfn.XLOOKUP($A548,ALGLIB_SSA_XAUUSD!$J$2:$J$1000,ALGLIB_SSA_XAUUSD!$K$2:$K$1000,"",0)</f>
        <v>XAUUSD</v>
      </c>
      <c r="J548" t="str">
        <f>_xlfn.XLOOKUP($A548,ALGLIB_SSA_XAUUSD!$J$2:$J$1000,ALGLIB_SSA_XAUUSD!$L$2:$L$1000,"",0)</f>
        <v>M5</v>
      </c>
      <c r="K548">
        <f>_xlfn.XLOOKUP($A548,ALGLIB_SSA_XAUUSD!$J$2:$J$1000,ALGLIB_SSA_XAUUSD!$M$2:$M$1000,"",0)</f>
        <v>4667.3500000000004</v>
      </c>
      <c r="L548">
        <f>_xlfn.XLOOKUP($A548,ALGLIB_SSA_XAUUSD!$J$2:$J$1000,ALGLIB_SSA_XAUUSD!$N$2:$N$1000,"",0)</f>
        <v>4668.54601</v>
      </c>
      <c r="M548">
        <f>_xlfn.XLOOKUP($A548,ALGLIB_SSA_XAUUSD!$J$2:$J$1000,ALGLIB_SSA_XAUUSD!$O$2:$O$1000,"",0)</f>
        <v>4670.4775600000003</v>
      </c>
      <c r="N548">
        <f>_xlfn.XLOOKUP($A548,ALGLIB_SSA_XAUUSD!$J$2:$J$1000,ALGLIB_SSA_XAUUSD!$P$2:$P$1000,"",0)</f>
        <v>4674.5125500000004</v>
      </c>
      <c r="O548">
        <f>_xlfn.XLOOKUP($A548,ALGLIB_SSA_XAUUSD!$J$2:$J$1000,ALGLIB_SSA_XAUUSD!$Q$2:$Q$1000,"",0)</f>
        <v>4664.6642400000001</v>
      </c>
      <c r="R548">
        <f t="shared" si="88"/>
        <v>1775557800</v>
      </c>
      <c r="S548" t="str">
        <f t="shared" si="89"/>
        <v>XAUUSD</v>
      </c>
      <c r="T548" t="str">
        <f t="shared" si="90"/>
        <v>M5</v>
      </c>
      <c r="U548">
        <f t="shared" si="91"/>
        <v>4667.3500000000004</v>
      </c>
      <c r="V548">
        <v>4658.7149300000001</v>
      </c>
      <c r="W548">
        <v>4660.7058699999998</v>
      </c>
      <c r="X548">
        <v>4668.54601</v>
      </c>
      <c r="Y548">
        <v>4670.4775600000003</v>
      </c>
      <c r="Z548">
        <f t="shared" si="92"/>
        <v>4676.6675850000001</v>
      </c>
      <c r="AA548">
        <f t="shared" si="93"/>
        <v>4674.5125500000004</v>
      </c>
      <c r="AB548">
        <f t="shared" si="94"/>
        <v>4643.8749599999992</v>
      </c>
      <c r="AC548">
        <f t="shared" si="95"/>
        <v>4664.6642400000001</v>
      </c>
      <c r="AF548">
        <f t="shared" si="96"/>
        <v>4668.54601</v>
      </c>
      <c r="AG548">
        <f t="shared" si="97"/>
        <v>4676.6675850000001</v>
      </c>
      <c r="AH548">
        <f t="shared" si="98"/>
        <v>4643.8749599999992</v>
      </c>
    </row>
    <row r="549" spans="1:34" x14ac:dyDescent="0.55000000000000004">
      <c r="A549">
        <f>ALGLIB_SSA_XAUUSD!J549</f>
        <v>1775558100</v>
      </c>
      <c r="B549" t="str">
        <f>_xlfn.XLOOKUP($A549,ALGLIB_SSA_XAUUSD!$A$2:$A$1000,ALGLIB_SSA_XAUUSD!$B$2:$B$1000,"",0)</f>
        <v/>
      </c>
      <c r="C549" t="str">
        <f>_xlfn.XLOOKUP($A549,ALGLIB_SSA_XAUUSD!$A$2:$A$1000,ALGLIB_SSA_XAUUSD!$C$2:$C$1000,"",0)</f>
        <v/>
      </c>
      <c r="D549" s="1">
        <f>D542+(D554-D542)*7/12</f>
        <v>4656.5808333333334</v>
      </c>
      <c r="E549" s="1">
        <f>E542+(E554-E542)*7/12</f>
        <v>4658.2636175000007</v>
      </c>
      <c r="F549" s="1">
        <f>F542+(F554-F542)*7/12</f>
        <v>4660.4448266666668</v>
      </c>
      <c r="G549" s="1">
        <f>G542+(G554-G542)*7/12</f>
        <v>4676.287489166667</v>
      </c>
      <c r="H549" s="1">
        <f>H542+(H554-H542)*7/12</f>
        <v>4643.5340449999994</v>
      </c>
      <c r="I549" t="str">
        <f>_xlfn.XLOOKUP($A549,ALGLIB_SSA_XAUUSD!$J$2:$J$1000,ALGLIB_SSA_XAUUSD!$K$2:$K$1000,"",0)</f>
        <v>XAUUSD</v>
      </c>
      <c r="J549" t="str">
        <f>_xlfn.XLOOKUP($A549,ALGLIB_SSA_XAUUSD!$J$2:$J$1000,ALGLIB_SSA_XAUUSD!$L$2:$L$1000,"",0)</f>
        <v>M5</v>
      </c>
      <c r="K549">
        <f>_xlfn.XLOOKUP($A549,ALGLIB_SSA_XAUUSD!$J$2:$J$1000,ALGLIB_SSA_XAUUSD!$M$2:$M$1000,"",0)</f>
        <v>4663.3900000000003</v>
      </c>
      <c r="L549">
        <f>_xlfn.XLOOKUP($A549,ALGLIB_SSA_XAUUSD!$J$2:$J$1000,ALGLIB_SSA_XAUUSD!$N$2:$N$1000,"",0)</f>
        <v>4664.9771700000001</v>
      </c>
      <c r="M549">
        <f>_xlfn.XLOOKUP($A549,ALGLIB_SSA_XAUUSD!$J$2:$J$1000,ALGLIB_SSA_XAUUSD!$O$2:$O$1000,"",0)</f>
        <v>4667.7273599999999</v>
      </c>
      <c r="N549">
        <f>_xlfn.XLOOKUP($A549,ALGLIB_SSA_XAUUSD!$J$2:$J$1000,ALGLIB_SSA_XAUUSD!$P$2:$P$1000,"",0)</f>
        <v>4671.2408599999999</v>
      </c>
      <c r="O549">
        <f>_xlfn.XLOOKUP($A549,ALGLIB_SSA_XAUUSD!$J$2:$J$1000,ALGLIB_SSA_XAUUSD!$Q$2:$Q$1000,"",0)</f>
        <v>4661.5032899999997</v>
      </c>
      <c r="R549">
        <f t="shared" si="88"/>
        <v>1775558100</v>
      </c>
      <c r="S549" t="str">
        <f t="shared" si="89"/>
        <v>XAUUSD</v>
      </c>
      <c r="T549" t="str">
        <f t="shared" si="90"/>
        <v>M5</v>
      </c>
      <c r="U549">
        <f t="shared" si="91"/>
        <v>4663.3900000000003</v>
      </c>
      <c r="V549">
        <v>4658.2636199999997</v>
      </c>
      <c r="W549">
        <v>4660.4448300000004</v>
      </c>
      <c r="X549">
        <v>4664.9771700000001</v>
      </c>
      <c r="Y549">
        <v>4667.7273599999999</v>
      </c>
      <c r="Z549">
        <f t="shared" si="92"/>
        <v>4676.287489166667</v>
      </c>
      <c r="AA549">
        <f t="shared" si="93"/>
        <v>4671.2408599999999</v>
      </c>
      <c r="AB549">
        <f t="shared" si="94"/>
        <v>4643.5340449999994</v>
      </c>
      <c r="AC549">
        <f t="shared" si="95"/>
        <v>4661.5032899999997</v>
      </c>
      <c r="AF549">
        <f t="shared" si="96"/>
        <v>4664.9771700000001</v>
      </c>
      <c r="AG549">
        <f t="shared" si="97"/>
        <v>4676.287489166667</v>
      </c>
      <c r="AH549">
        <f t="shared" si="98"/>
        <v>4643.5340449999994</v>
      </c>
    </row>
    <row r="550" spans="1:34" x14ac:dyDescent="0.55000000000000004">
      <c r="A550">
        <f>ALGLIB_SSA_XAUUSD!J550</f>
        <v>1775558400</v>
      </c>
      <c r="B550" t="str">
        <f>_xlfn.XLOOKUP($A550,ALGLIB_SSA_XAUUSD!$A$2:$A$1000,ALGLIB_SSA_XAUUSD!$B$2:$B$1000,"",0)</f>
        <v/>
      </c>
      <c r="C550" t="str">
        <f>_xlfn.XLOOKUP($A550,ALGLIB_SSA_XAUUSD!$A$2:$A$1000,ALGLIB_SSA_XAUUSD!$C$2:$C$1000,"",0)</f>
        <v/>
      </c>
      <c r="D550" s="1">
        <f>D542+(D554-D542)*8/12</f>
        <v>4657.2266666666674</v>
      </c>
      <c r="E550" s="1">
        <f>E542+(E554-E542)*8/12</f>
        <v>4657.8123100000003</v>
      </c>
      <c r="F550" s="1">
        <f>F542+(F554-F542)*8/12</f>
        <v>4660.1837833333338</v>
      </c>
      <c r="G550" s="1">
        <f>G542+(G554-G542)*8/12</f>
        <v>4675.9073933333339</v>
      </c>
      <c r="H550" s="1">
        <f>H542+(H554-H542)*8/12</f>
        <v>4643.1931299999997</v>
      </c>
      <c r="I550" t="str">
        <f>_xlfn.XLOOKUP($A550,ALGLIB_SSA_XAUUSD!$J$2:$J$1000,ALGLIB_SSA_XAUUSD!$K$2:$K$1000,"",0)</f>
        <v>XAUUSD</v>
      </c>
      <c r="J550" t="str">
        <f>_xlfn.XLOOKUP($A550,ALGLIB_SSA_XAUUSD!$J$2:$J$1000,ALGLIB_SSA_XAUUSD!$L$2:$L$1000,"",0)</f>
        <v>M5</v>
      </c>
      <c r="K550">
        <f>_xlfn.XLOOKUP($A550,ALGLIB_SSA_XAUUSD!$J$2:$J$1000,ALGLIB_SSA_XAUUSD!$M$2:$M$1000,"",0)</f>
        <v>4662.3</v>
      </c>
      <c r="L550">
        <f>_xlfn.XLOOKUP($A550,ALGLIB_SSA_XAUUSD!$J$2:$J$1000,ALGLIB_SSA_XAUUSD!$N$2:$N$1000,"",0)</f>
        <v>4660.9828600000001</v>
      </c>
      <c r="M550">
        <f>_xlfn.XLOOKUP($A550,ALGLIB_SSA_XAUUSD!$J$2:$J$1000,ALGLIB_SSA_XAUUSD!$O$2:$O$1000,"",0)</f>
        <v>4664.3551100000004</v>
      </c>
      <c r="N550">
        <f>_xlfn.XLOOKUP($A550,ALGLIB_SSA_XAUUSD!$J$2:$J$1000,ALGLIB_SSA_XAUUSD!$P$2:$P$1000,"",0)</f>
        <v>4667.34962</v>
      </c>
      <c r="O550">
        <f>_xlfn.XLOOKUP($A550,ALGLIB_SSA_XAUUSD!$J$2:$J$1000,ALGLIB_SSA_XAUUSD!$Q$2:$Q$1000,"",0)</f>
        <v>4657.6107899999997</v>
      </c>
      <c r="R550">
        <f t="shared" si="88"/>
        <v>1775558400</v>
      </c>
      <c r="S550" t="str">
        <f t="shared" si="89"/>
        <v>XAUUSD</v>
      </c>
      <c r="T550" t="str">
        <f t="shared" si="90"/>
        <v>M5</v>
      </c>
      <c r="U550">
        <f t="shared" si="91"/>
        <v>4662.3</v>
      </c>
      <c r="V550">
        <v>4657.8123100000003</v>
      </c>
      <c r="W550">
        <v>4660.1837800000003</v>
      </c>
      <c r="X550">
        <v>4660.9828600000001</v>
      </c>
      <c r="Y550">
        <v>4664.3551100000004</v>
      </c>
      <c r="Z550">
        <f t="shared" si="92"/>
        <v>4675.9073933333339</v>
      </c>
      <c r="AA550">
        <f t="shared" si="93"/>
        <v>4667.34962</v>
      </c>
      <c r="AB550">
        <f t="shared" si="94"/>
        <v>4643.1931299999997</v>
      </c>
      <c r="AC550">
        <f t="shared" si="95"/>
        <v>4657.6107899999997</v>
      </c>
      <c r="AF550">
        <f t="shared" si="96"/>
        <v>4660.9828600000001</v>
      </c>
      <c r="AG550">
        <f t="shared" si="97"/>
        <v>4675.9073933333339</v>
      </c>
      <c r="AH550">
        <f t="shared" si="98"/>
        <v>4643.1931299999997</v>
      </c>
    </row>
    <row r="551" spans="1:34" x14ac:dyDescent="0.55000000000000004">
      <c r="A551">
        <f>ALGLIB_SSA_XAUUSD!J551</f>
        <v>1775558700</v>
      </c>
      <c r="B551" t="str">
        <f>_xlfn.XLOOKUP($A551,ALGLIB_SSA_XAUUSD!$A$2:$A$1000,ALGLIB_SSA_XAUUSD!$B$2:$B$1000,"",0)</f>
        <v/>
      </c>
      <c r="C551" t="str">
        <f>_xlfn.XLOOKUP($A551,ALGLIB_SSA_XAUUSD!$A$2:$A$1000,ALGLIB_SSA_XAUUSD!$C$2:$C$1000,"",0)</f>
        <v/>
      </c>
      <c r="D551" s="1">
        <f>D542+(D554-D542)*9/12</f>
        <v>4657.8725000000004</v>
      </c>
      <c r="E551" s="1">
        <f>E542+(E554-E542)*9/12</f>
        <v>4657.3610024999998</v>
      </c>
      <c r="F551" s="1">
        <f>F542+(F554-F542)*9/12</f>
        <v>4659.92274</v>
      </c>
      <c r="G551" s="1">
        <f>G542+(G554-G542)*9/12</f>
        <v>4675.5272975000007</v>
      </c>
      <c r="H551" s="1">
        <f>H542+(H554-H542)*9/12</f>
        <v>4642.8522149999999</v>
      </c>
      <c r="I551" t="str">
        <f>_xlfn.XLOOKUP($A551,ALGLIB_SSA_XAUUSD!$J$2:$J$1000,ALGLIB_SSA_XAUUSD!$K$2:$K$1000,"",0)</f>
        <v>XAUUSD</v>
      </c>
      <c r="J551" t="str">
        <f>_xlfn.XLOOKUP($A551,ALGLIB_SSA_XAUUSD!$J$2:$J$1000,ALGLIB_SSA_XAUUSD!$L$2:$L$1000,"",0)</f>
        <v>M5</v>
      </c>
      <c r="K551">
        <f>_xlfn.XLOOKUP($A551,ALGLIB_SSA_XAUUSD!$J$2:$J$1000,ALGLIB_SSA_XAUUSD!$M$2:$M$1000,"",0)</f>
        <v>4650.38</v>
      </c>
      <c r="L551">
        <f>_xlfn.XLOOKUP($A551,ALGLIB_SSA_XAUUSD!$J$2:$J$1000,ALGLIB_SSA_XAUUSD!$N$2:$N$1000,"",0)</f>
        <v>4656.8412099999996</v>
      </c>
      <c r="M551">
        <f>_xlfn.XLOOKUP($A551,ALGLIB_SSA_XAUUSD!$J$2:$J$1000,ALGLIB_SSA_XAUUSD!$O$2:$O$1000,"",0)</f>
        <v>4660.5981599999996</v>
      </c>
      <c r="N551">
        <f>_xlfn.XLOOKUP($A551,ALGLIB_SSA_XAUUSD!$J$2:$J$1000,ALGLIB_SSA_XAUUSD!$P$2:$P$1000,"",0)</f>
        <v>4663.2308000000003</v>
      </c>
      <c r="O551">
        <f>_xlfn.XLOOKUP($A551,ALGLIB_SSA_XAUUSD!$J$2:$J$1000,ALGLIB_SSA_XAUUSD!$Q$2:$Q$1000,"",0)</f>
        <v>4653.3888999999999</v>
      </c>
      <c r="R551">
        <f t="shared" si="88"/>
        <v>1775558700</v>
      </c>
      <c r="S551" t="str">
        <f t="shared" si="89"/>
        <v>XAUUSD</v>
      </c>
      <c r="T551" t="str">
        <f t="shared" si="90"/>
        <v>M5</v>
      </c>
      <c r="U551">
        <f t="shared" si="91"/>
        <v>4650.38</v>
      </c>
      <c r="V551">
        <v>4657.3609999999999</v>
      </c>
      <c r="W551">
        <v>4659.92274</v>
      </c>
      <c r="X551">
        <v>4656.8412099999996</v>
      </c>
      <c r="Y551">
        <v>4660.5981599999996</v>
      </c>
      <c r="Z551">
        <f t="shared" si="92"/>
        <v>4675.5272975000007</v>
      </c>
      <c r="AA551">
        <f t="shared" si="93"/>
        <v>4663.2308000000003</v>
      </c>
      <c r="AB551">
        <f t="shared" si="94"/>
        <v>4642.8522149999999</v>
      </c>
      <c r="AC551">
        <f t="shared" si="95"/>
        <v>4653.3888999999999</v>
      </c>
      <c r="AF551">
        <f t="shared" si="96"/>
        <v>4656.8412099999996</v>
      </c>
      <c r="AG551">
        <f t="shared" si="97"/>
        <v>4675.5272975000007</v>
      </c>
      <c r="AH551">
        <f t="shared" si="98"/>
        <v>4642.8522149999999</v>
      </c>
    </row>
    <row r="552" spans="1:34" x14ac:dyDescent="0.55000000000000004">
      <c r="A552">
        <f>ALGLIB_SSA_XAUUSD!J552</f>
        <v>1775559000</v>
      </c>
      <c r="B552" t="str">
        <f>_xlfn.XLOOKUP($A552,ALGLIB_SSA_XAUUSD!$A$2:$A$1000,ALGLIB_SSA_XAUUSD!$B$2:$B$1000,"",0)</f>
        <v/>
      </c>
      <c r="C552" t="str">
        <f>_xlfn.XLOOKUP($A552,ALGLIB_SSA_XAUUSD!$A$2:$A$1000,ALGLIB_SSA_XAUUSD!$C$2:$C$1000,"",0)</f>
        <v/>
      </c>
      <c r="D552" s="1">
        <f>D542+(D554-D542)*10/12</f>
        <v>4658.5183333333334</v>
      </c>
      <c r="E552" s="1">
        <f>E542+(E554-E542)*10/12</f>
        <v>4656.9096950000003</v>
      </c>
      <c r="F552" s="1">
        <f>F542+(F554-F542)*10/12</f>
        <v>4659.661696666667</v>
      </c>
      <c r="G552" s="1">
        <f>G542+(G554-G542)*10/12</f>
        <v>4675.1472016666667</v>
      </c>
      <c r="H552" s="1">
        <f>H542+(H554-H542)*10/12</f>
        <v>4642.5113000000001</v>
      </c>
      <c r="I552" t="str">
        <f>_xlfn.XLOOKUP($A552,ALGLIB_SSA_XAUUSD!$J$2:$J$1000,ALGLIB_SSA_XAUUSD!$K$2:$K$1000,"",0)</f>
        <v>XAUUSD</v>
      </c>
      <c r="J552" t="str">
        <f>_xlfn.XLOOKUP($A552,ALGLIB_SSA_XAUUSD!$J$2:$J$1000,ALGLIB_SSA_XAUUSD!$L$2:$L$1000,"",0)</f>
        <v>M5</v>
      </c>
      <c r="K552">
        <f>_xlfn.XLOOKUP($A552,ALGLIB_SSA_XAUUSD!$J$2:$J$1000,ALGLIB_SSA_XAUUSD!$M$2:$M$1000,"",0)</f>
        <v>4655.8500000000004</v>
      </c>
      <c r="L552">
        <f>_xlfn.XLOOKUP($A552,ALGLIB_SSA_XAUUSD!$J$2:$J$1000,ALGLIB_SSA_XAUUSD!$N$2:$N$1000,"",0)</f>
        <v>4653.1121800000001</v>
      </c>
      <c r="M552">
        <f>_xlfn.XLOOKUP($A552,ALGLIB_SSA_XAUUSD!$J$2:$J$1000,ALGLIB_SSA_XAUUSD!$O$2:$O$1000,"",0)</f>
        <v>4656.8551699999998</v>
      </c>
      <c r="N552">
        <f>_xlfn.XLOOKUP($A552,ALGLIB_SSA_XAUUSD!$J$2:$J$1000,ALGLIB_SSA_XAUUSD!$P$2:$P$1000,"",0)</f>
        <v>4659.2921800000004</v>
      </c>
      <c r="O552">
        <f>_xlfn.XLOOKUP($A552,ALGLIB_SSA_XAUUSD!$J$2:$J$1000,ALGLIB_SSA_XAUUSD!$Q$2:$Q$1000,"",0)</f>
        <v>4649.2285599999996</v>
      </c>
      <c r="R552">
        <f t="shared" si="88"/>
        <v>1775559000</v>
      </c>
      <c r="S552" t="str">
        <f t="shared" si="89"/>
        <v>XAUUSD</v>
      </c>
      <c r="T552" t="str">
        <f t="shared" si="90"/>
        <v>M5</v>
      </c>
      <c r="U552">
        <f t="shared" si="91"/>
        <v>4655.8500000000004</v>
      </c>
      <c r="V552">
        <v>4656.9097000000002</v>
      </c>
      <c r="W552">
        <v>4659.6616999999997</v>
      </c>
      <c r="X552">
        <v>4653.1121800000001</v>
      </c>
      <c r="Y552">
        <v>4656.8551699999998</v>
      </c>
      <c r="Z552">
        <f t="shared" si="92"/>
        <v>4675.1472016666667</v>
      </c>
      <c r="AA552">
        <f t="shared" si="93"/>
        <v>4659.2921800000004</v>
      </c>
      <c r="AB552">
        <f t="shared" si="94"/>
        <v>4642.5113000000001</v>
      </c>
      <c r="AC552">
        <f t="shared" si="95"/>
        <v>4649.2285599999996</v>
      </c>
      <c r="AF552">
        <f t="shared" si="96"/>
        <v>4653.1121800000001</v>
      </c>
      <c r="AG552">
        <f t="shared" si="97"/>
        <v>4675.1472016666667</v>
      </c>
      <c r="AH552">
        <f t="shared" si="98"/>
        <v>4642.5113000000001</v>
      </c>
    </row>
    <row r="553" spans="1:34" x14ac:dyDescent="0.55000000000000004">
      <c r="A553">
        <f>ALGLIB_SSA_XAUUSD!J553</f>
        <v>1775559300</v>
      </c>
      <c r="B553" t="str">
        <f>_xlfn.XLOOKUP($A553,ALGLIB_SSA_XAUUSD!$A$2:$A$1000,ALGLIB_SSA_XAUUSD!$B$2:$B$1000,"",0)</f>
        <v/>
      </c>
      <c r="C553" t="str">
        <f>_xlfn.XLOOKUP($A553,ALGLIB_SSA_XAUUSD!$A$2:$A$1000,ALGLIB_SSA_XAUUSD!$C$2:$C$1000,"",0)</f>
        <v/>
      </c>
      <c r="D553" s="1">
        <f>D542+(D554-D542)*11/12</f>
        <v>4659.1641666666674</v>
      </c>
      <c r="E553" s="1">
        <f>E542+(E554-E542)*11/12</f>
        <v>4656.4583875000008</v>
      </c>
      <c r="F553" s="1">
        <f>F542+(F554-F542)*11/12</f>
        <v>4659.4006533333331</v>
      </c>
      <c r="G553" s="1">
        <f>G542+(G554-G542)*11/12</f>
        <v>4674.7671058333335</v>
      </c>
      <c r="H553" s="1">
        <f>H542+(H554-H542)*11/12</f>
        <v>4642.1703849999994</v>
      </c>
      <c r="I553" t="str">
        <f>_xlfn.XLOOKUP($A553,ALGLIB_SSA_XAUUSD!$J$2:$J$1000,ALGLIB_SSA_XAUUSD!$K$2:$K$1000,"",0)</f>
        <v>XAUUSD</v>
      </c>
      <c r="J553" t="str">
        <f>_xlfn.XLOOKUP($A553,ALGLIB_SSA_XAUUSD!$J$2:$J$1000,ALGLIB_SSA_XAUUSD!$L$2:$L$1000,"",0)</f>
        <v>M5</v>
      </c>
      <c r="K553">
        <f>_xlfn.XLOOKUP($A553,ALGLIB_SSA_XAUUSD!$J$2:$J$1000,ALGLIB_SSA_XAUUSD!$M$2:$M$1000,"",0)</f>
        <v>4652.0600000000004</v>
      </c>
      <c r="L553">
        <f>_xlfn.XLOOKUP($A553,ALGLIB_SSA_XAUUSD!$J$2:$J$1000,ALGLIB_SSA_XAUUSD!$N$2:$N$1000,"",0)</f>
        <v>4649.8206300000002</v>
      </c>
      <c r="M553">
        <f>_xlfn.XLOOKUP($A553,ALGLIB_SSA_XAUUSD!$J$2:$J$1000,ALGLIB_SSA_XAUUSD!$O$2:$O$1000,"",0)</f>
        <v>4653.3379000000004</v>
      </c>
      <c r="N553">
        <f>_xlfn.XLOOKUP($A553,ALGLIB_SSA_XAUUSD!$J$2:$J$1000,ALGLIB_SSA_XAUUSD!$P$2:$P$1000,"",0)</f>
        <v>4655.8226400000003</v>
      </c>
      <c r="O553">
        <f>_xlfn.XLOOKUP($A553,ALGLIB_SSA_XAUUSD!$J$2:$J$1000,ALGLIB_SSA_XAUUSD!$Q$2:$Q$1000,"",0)</f>
        <v>4645.3721100000002</v>
      </c>
      <c r="R553">
        <f t="shared" si="88"/>
        <v>1775559300</v>
      </c>
      <c r="S553" t="str">
        <f t="shared" si="89"/>
        <v>XAUUSD</v>
      </c>
      <c r="T553" t="str">
        <f t="shared" si="90"/>
        <v>M5</v>
      </c>
      <c r="U553">
        <f t="shared" si="91"/>
        <v>4652.0600000000004</v>
      </c>
      <c r="V553">
        <v>4656.4583899999998</v>
      </c>
      <c r="W553">
        <v>4659.4006499999996</v>
      </c>
      <c r="X553">
        <v>4649.8206300000002</v>
      </c>
      <c r="Y553">
        <v>4653.3379000000004</v>
      </c>
      <c r="Z553">
        <f t="shared" si="92"/>
        <v>4674.7671058333335</v>
      </c>
      <c r="AA553">
        <f t="shared" si="93"/>
        <v>4655.8226400000003</v>
      </c>
      <c r="AB553">
        <f t="shared" si="94"/>
        <v>4642.1703849999994</v>
      </c>
      <c r="AC553">
        <f t="shared" si="95"/>
        <v>4645.3721100000002</v>
      </c>
      <c r="AF553">
        <f t="shared" si="96"/>
        <v>4649.8206300000002</v>
      </c>
      <c r="AG553">
        <f t="shared" si="97"/>
        <v>4674.7671058333335</v>
      </c>
      <c r="AH553">
        <f t="shared" si="98"/>
        <v>4642.1703849999994</v>
      </c>
    </row>
    <row r="554" spans="1:34" x14ac:dyDescent="0.55000000000000004">
      <c r="A554">
        <f>ALGLIB_SSA_XAUUSD!J554</f>
        <v>1775559600</v>
      </c>
      <c r="B554" t="str">
        <f>_xlfn.XLOOKUP($A554,ALGLIB_SSA_XAUUSD!$A$2:$A$1000,ALGLIB_SSA_XAUUSD!$B$2:$B$1000,"",0)</f>
        <v>XAUUSD</v>
      </c>
      <c r="C554" t="str">
        <f>_xlfn.XLOOKUP($A554,ALGLIB_SSA_XAUUSD!$A$2:$A$1000,ALGLIB_SSA_XAUUSD!$C$2:$C$1000,"",0)</f>
        <v>H1</v>
      </c>
      <c r="D554" s="2">
        <f>_xlfn.XLOOKUP($A554,ALGLIB_SSA_XAUUSD!$A$2:$A$1000,ALGLIB_SSA_XAUUSD!$D$2:$D$1000,"",0)</f>
        <v>4659.8100000000004</v>
      </c>
      <c r="E554" s="2">
        <f>_xlfn.XLOOKUP($A554,ALGLIB_SSA_XAUUSD!$A$2:$A$1000,ALGLIB_SSA_XAUUSD!$E$2:$E$1000,"",0)</f>
        <v>4656.0070800000003</v>
      </c>
      <c r="F554" s="2">
        <f>_xlfn.XLOOKUP($A554,ALGLIB_SSA_XAUUSD!$A$2:$A$1000,ALGLIB_SSA_XAUUSD!$F$2:$F$1000,"",0)</f>
        <v>4659.1396100000002</v>
      </c>
      <c r="G554" s="2">
        <f>_xlfn.XLOOKUP($A554,ALGLIB_SSA_XAUUSD!$A$2:$A$1000,ALGLIB_SSA_XAUUSD!$G$2:$G$1000,"",0)</f>
        <v>4674.3870100000004</v>
      </c>
      <c r="H554" s="2">
        <f>_xlfn.XLOOKUP($A554,ALGLIB_SSA_XAUUSD!$A$2:$A$1000,ALGLIB_SSA_XAUUSD!$H$2:$H$1000,"",0)</f>
        <v>4641.8294699999997</v>
      </c>
      <c r="I554" t="str">
        <f>_xlfn.XLOOKUP($A554,ALGLIB_SSA_XAUUSD!$J$2:$J$1000,ALGLIB_SSA_XAUUSD!$K$2:$K$1000,"",0)</f>
        <v>XAUUSD</v>
      </c>
      <c r="J554" t="str">
        <f>_xlfn.XLOOKUP($A554,ALGLIB_SSA_XAUUSD!$J$2:$J$1000,ALGLIB_SSA_XAUUSD!$L$2:$L$1000,"",0)</f>
        <v>M5</v>
      </c>
      <c r="K554">
        <f>_xlfn.XLOOKUP($A554,ALGLIB_SSA_XAUUSD!$J$2:$J$1000,ALGLIB_SSA_XAUUSD!$M$2:$M$1000,"",0)</f>
        <v>4654.3999999999996</v>
      </c>
      <c r="L554">
        <f>_xlfn.XLOOKUP($A554,ALGLIB_SSA_XAUUSD!$J$2:$J$1000,ALGLIB_SSA_XAUUSD!$N$2:$N$1000,"",0)</f>
        <v>4647.2282800000003</v>
      </c>
      <c r="M554">
        <f>_xlfn.XLOOKUP($A554,ALGLIB_SSA_XAUUSD!$J$2:$J$1000,ALGLIB_SSA_XAUUSD!$O$2:$O$1000,"",0)</f>
        <v>4650.2830899999999</v>
      </c>
      <c r="N554">
        <f>_xlfn.XLOOKUP($A554,ALGLIB_SSA_XAUUSD!$J$2:$J$1000,ALGLIB_SSA_XAUUSD!$P$2:$P$1000,"",0)</f>
        <v>4653.0171399999999</v>
      </c>
      <c r="O554">
        <f>_xlfn.XLOOKUP($A554,ALGLIB_SSA_XAUUSD!$J$2:$J$1000,ALGLIB_SSA_XAUUSD!$Q$2:$Q$1000,"",0)</f>
        <v>4642.0777600000001</v>
      </c>
      <c r="R554">
        <f t="shared" si="88"/>
        <v>1775559600</v>
      </c>
      <c r="S554" t="str">
        <f t="shared" si="89"/>
        <v>XAUUSD</v>
      </c>
      <c r="T554" t="str">
        <f t="shared" si="90"/>
        <v>M5</v>
      </c>
      <c r="U554">
        <f t="shared" si="91"/>
        <v>4654.3999999999996</v>
      </c>
      <c r="V554">
        <v>4656.0070800000003</v>
      </c>
      <c r="W554">
        <v>4659.1396100000002</v>
      </c>
      <c r="X554">
        <v>4647.2282800000003</v>
      </c>
      <c r="Y554">
        <v>4650.2830899999999</v>
      </c>
      <c r="Z554">
        <f t="shared" si="92"/>
        <v>4674.3870100000004</v>
      </c>
      <c r="AA554">
        <f t="shared" si="93"/>
        <v>4653.0171399999999</v>
      </c>
      <c r="AB554">
        <f t="shared" si="94"/>
        <v>4641.8294699999997</v>
      </c>
      <c r="AC554">
        <f t="shared" si="95"/>
        <v>4642.0777600000001</v>
      </c>
      <c r="AF554">
        <f t="shared" si="96"/>
        <v>4647.2282800000003</v>
      </c>
      <c r="AG554">
        <f t="shared" si="97"/>
        <v>4674.3870100000004</v>
      </c>
      <c r="AH554">
        <f t="shared" si="98"/>
        <v>4641.8294699999997</v>
      </c>
    </row>
    <row r="555" spans="1:34" x14ac:dyDescent="0.55000000000000004">
      <c r="A555">
        <f>ALGLIB_SSA_XAUUSD!J555</f>
        <v>1775559900</v>
      </c>
      <c r="B555" t="str">
        <f>_xlfn.XLOOKUP($A555,ALGLIB_SSA_XAUUSD!$A$2:$A$1000,ALGLIB_SSA_XAUUSD!$B$2:$B$1000,"",0)</f>
        <v/>
      </c>
      <c r="C555" t="str">
        <f>_xlfn.XLOOKUP($A555,ALGLIB_SSA_XAUUSD!$A$2:$A$1000,ALGLIB_SSA_XAUUSD!$C$2:$C$1000,"",0)</f>
        <v/>
      </c>
      <c r="D555" s="1">
        <f>D554+(D566-D554)*1/12</f>
        <v>4659.1158333333333</v>
      </c>
      <c r="E555" s="1">
        <f>E554+(E566-E554)*1/12</f>
        <v>4655.464584166667</v>
      </c>
      <c r="F555" s="1">
        <f>F554+(F566-F554)*1/12</f>
        <v>4658.7378399999998</v>
      </c>
      <c r="G555" s="1">
        <f>G554+(G566-G554)*1/12</f>
        <v>4673.8698016666667</v>
      </c>
      <c r="H555" s="1">
        <f>H554+(H566-H554)*1/12</f>
        <v>4641.3899766666664</v>
      </c>
      <c r="I555" t="str">
        <f>_xlfn.XLOOKUP($A555,ALGLIB_SSA_XAUUSD!$J$2:$J$1000,ALGLIB_SSA_XAUUSD!$K$2:$K$1000,"",0)</f>
        <v>XAUUSD</v>
      </c>
      <c r="J555" t="str">
        <f>_xlfn.XLOOKUP($A555,ALGLIB_SSA_XAUUSD!$J$2:$J$1000,ALGLIB_SSA_XAUUSD!$L$2:$L$1000,"",0)</f>
        <v>M5</v>
      </c>
      <c r="K555">
        <f>_xlfn.XLOOKUP($A555,ALGLIB_SSA_XAUUSD!$J$2:$J$1000,ALGLIB_SSA_XAUUSD!$M$2:$M$1000,"",0)</f>
        <v>4651.3900000000003</v>
      </c>
      <c r="L555">
        <f>_xlfn.XLOOKUP($A555,ALGLIB_SSA_XAUUSD!$J$2:$J$1000,ALGLIB_SSA_XAUUSD!$N$2:$N$1000,"",0)</f>
        <v>4645.4040400000004</v>
      </c>
      <c r="M555">
        <f>_xlfn.XLOOKUP($A555,ALGLIB_SSA_XAUUSD!$J$2:$J$1000,ALGLIB_SSA_XAUUSD!$O$2:$O$1000,"",0)</f>
        <v>4647.8435600000003</v>
      </c>
      <c r="N555">
        <f>_xlfn.XLOOKUP($A555,ALGLIB_SSA_XAUUSD!$J$2:$J$1000,ALGLIB_SSA_XAUUSD!$P$2:$P$1000,"",0)</f>
        <v>4651.04684</v>
      </c>
      <c r="O555">
        <f>_xlfn.XLOOKUP($A555,ALGLIB_SSA_XAUUSD!$J$2:$J$1000,ALGLIB_SSA_XAUUSD!$Q$2:$Q$1000,"",0)</f>
        <v>4639.6665999999996</v>
      </c>
      <c r="R555">
        <f t="shared" si="88"/>
        <v>1775559900</v>
      </c>
      <c r="S555" t="str">
        <f t="shared" si="89"/>
        <v>XAUUSD</v>
      </c>
      <c r="T555" t="str">
        <f t="shared" si="90"/>
        <v>M5</v>
      </c>
      <c r="U555">
        <f t="shared" si="91"/>
        <v>4651.3900000000003</v>
      </c>
      <c r="V555">
        <v>4655.4645799999998</v>
      </c>
      <c r="W555">
        <v>4658.7378399999998</v>
      </c>
      <c r="X555">
        <v>4645.4040400000004</v>
      </c>
      <c r="Y555">
        <v>4647.8435600000003</v>
      </c>
      <c r="Z555">
        <f t="shared" si="92"/>
        <v>4673.8698016666667</v>
      </c>
      <c r="AA555">
        <f t="shared" si="93"/>
        <v>4651.04684</v>
      </c>
      <c r="AB555">
        <f t="shared" si="94"/>
        <v>4641.3899766666664</v>
      </c>
      <c r="AC555">
        <f t="shared" si="95"/>
        <v>4639.6665999999996</v>
      </c>
      <c r="AF555">
        <f t="shared" si="96"/>
        <v>4645.4040400000004</v>
      </c>
      <c r="AG555">
        <f t="shared" si="97"/>
        <v>4673.8698016666667</v>
      </c>
      <c r="AH555">
        <f t="shared" si="98"/>
        <v>4641.3899766666664</v>
      </c>
    </row>
    <row r="556" spans="1:34" x14ac:dyDescent="0.55000000000000004">
      <c r="A556">
        <f>ALGLIB_SSA_XAUUSD!J556</f>
        <v>1775560200</v>
      </c>
      <c r="B556" t="str">
        <f>_xlfn.XLOOKUP($A556,ALGLIB_SSA_XAUUSD!$A$2:$A$1000,ALGLIB_SSA_XAUUSD!$B$2:$B$1000,"",0)</f>
        <v/>
      </c>
      <c r="C556" t="str">
        <f>_xlfn.XLOOKUP($A556,ALGLIB_SSA_XAUUSD!$A$2:$A$1000,ALGLIB_SSA_XAUUSD!$C$2:$C$1000,"",0)</f>
        <v/>
      </c>
      <c r="D556" s="1">
        <f>D554+(D566-D554)*2/12</f>
        <v>4658.4216666666671</v>
      </c>
      <c r="E556" s="1">
        <f>E554+(E566-E554)*2/12</f>
        <v>4654.9220883333337</v>
      </c>
      <c r="F556" s="1">
        <f>F554+(F566-F554)*2/12</f>
        <v>4658.3360700000003</v>
      </c>
      <c r="G556" s="1">
        <f>G554+(G566-G554)*2/12</f>
        <v>4673.352593333334</v>
      </c>
      <c r="H556" s="1">
        <f>H554+(H566-H554)*2/12</f>
        <v>4640.9504833333331</v>
      </c>
      <c r="I556" t="str">
        <f>_xlfn.XLOOKUP($A556,ALGLIB_SSA_XAUUSD!$J$2:$J$1000,ALGLIB_SSA_XAUUSD!$K$2:$K$1000,"",0)</f>
        <v>XAUUSD</v>
      </c>
      <c r="J556" t="str">
        <f>_xlfn.XLOOKUP($A556,ALGLIB_SSA_XAUUSD!$J$2:$J$1000,ALGLIB_SSA_XAUUSD!$L$2:$L$1000,"",0)</f>
        <v>M5</v>
      </c>
      <c r="K556">
        <f>_xlfn.XLOOKUP($A556,ALGLIB_SSA_XAUUSD!$J$2:$J$1000,ALGLIB_SSA_XAUUSD!$M$2:$M$1000,"",0)</f>
        <v>4635.79</v>
      </c>
      <c r="L556">
        <f>_xlfn.XLOOKUP($A556,ALGLIB_SSA_XAUUSD!$J$2:$J$1000,ALGLIB_SSA_XAUUSD!$N$2:$N$1000,"",0)</f>
        <v>4644.5082400000001</v>
      </c>
      <c r="M556">
        <f>_xlfn.XLOOKUP($A556,ALGLIB_SSA_XAUUSD!$J$2:$J$1000,ALGLIB_SSA_XAUUSD!$O$2:$O$1000,"",0)</f>
        <v>4646.1759000000002</v>
      </c>
      <c r="N556">
        <f>_xlfn.XLOOKUP($A556,ALGLIB_SSA_XAUUSD!$J$2:$J$1000,ALGLIB_SSA_XAUUSD!$P$2:$P$1000,"",0)</f>
        <v>4649.9437200000002</v>
      </c>
      <c r="O556">
        <f>_xlfn.XLOOKUP($A556,ALGLIB_SSA_XAUUSD!$J$2:$J$1000,ALGLIB_SSA_XAUUSD!$Q$2:$Q$1000,"",0)</f>
        <v>4638.3171300000004</v>
      </c>
      <c r="R556">
        <f t="shared" si="88"/>
        <v>1775560200</v>
      </c>
      <c r="S556" t="str">
        <f t="shared" si="89"/>
        <v>XAUUSD</v>
      </c>
      <c r="T556" t="str">
        <f t="shared" si="90"/>
        <v>M5</v>
      </c>
      <c r="U556">
        <f t="shared" si="91"/>
        <v>4635.79</v>
      </c>
      <c r="V556">
        <v>4654.92209</v>
      </c>
      <c r="W556">
        <v>4658.3360700000003</v>
      </c>
      <c r="X556">
        <v>4644.5082400000001</v>
      </c>
      <c r="Y556">
        <v>4646.1759000000002</v>
      </c>
      <c r="Z556">
        <f t="shared" si="92"/>
        <v>4673.352593333334</v>
      </c>
      <c r="AA556">
        <f t="shared" si="93"/>
        <v>4649.9437200000002</v>
      </c>
      <c r="AB556">
        <f t="shared" si="94"/>
        <v>4640.9504833333331</v>
      </c>
      <c r="AC556">
        <f t="shared" si="95"/>
        <v>4638.3171300000004</v>
      </c>
      <c r="AF556">
        <f t="shared" si="96"/>
        <v>4644.5082400000001</v>
      </c>
      <c r="AG556">
        <f t="shared" si="97"/>
        <v>4673.352593333334</v>
      </c>
      <c r="AH556">
        <f t="shared" si="98"/>
        <v>4640.9504833333331</v>
      </c>
    </row>
    <row r="557" spans="1:34" x14ac:dyDescent="0.55000000000000004">
      <c r="A557">
        <f>ALGLIB_SSA_XAUUSD!J557</f>
        <v>1775560500</v>
      </c>
      <c r="B557" t="str">
        <f>_xlfn.XLOOKUP($A557,ALGLIB_SSA_XAUUSD!$A$2:$A$1000,ALGLIB_SSA_XAUUSD!$B$2:$B$1000,"",0)</f>
        <v/>
      </c>
      <c r="C557" t="str">
        <f>_xlfn.XLOOKUP($A557,ALGLIB_SSA_XAUUSD!$A$2:$A$1000,ALGLIB_SSA_XAUUSD!$C$2:$C$1000,"",0)</f>
        <v/>
      </c>
      <c r="D557" s="1">
        <f>D554+(D566-D554)*3/12</f>
        <v>4657.7275</v>
      </c>
      <c r="E557" s="1">
        <f>E554+(E566-E554)*3/12</f>
        <v>4654.3795925000004</v>
      </c>
      <c r="F557" s="1">
        <f>F554+(F566-F554)*3/12</f>
        <v>4657.9342999999999</v>
      </c>
      <c r="G557" s="1">
        <f>G554+(G566-G554)*3/12</f>
        <v>4672.8353850000003</v>
      </c>
      <c r="H557" s="1">
        <f>H554+(H566-H554)*3/12</f>
        <v>4640.5109899999998</v>
      </c>
      <c r="I557" t="str">
        <f>_xlfn.XLOOKUP($A557,ALGLIB_SSA_XAUUSD!$J$2:$J$1000,ALGLIB_SSA_XAUUSD!$K$2:$K$1000,"",0)</f>
        <v>XAUUSD</v>
      </c>
      <c r="J557" t="str">
        <f>_xlfn.XLOOKUP($A557,ALGLIB_SSA_XAUUSD!$J$2:$J$1000,ALGLIB_SSA_XAUUSD!$L$2:$L$1000,"",0)</f>
        <v>M5</v>
      </c>
      <c r="K557">
        <f>_xlfn.XLOOKUP($A557,ALGLIB_SSA_XAUUSD!$J$2:$J$1000,ALGLIB_SSA_XAUUSD!$M$2:$M$1000,"",0)</f>
        <v>4639.88</v>
      </c>
      <c r="L557">
        <f>_xlfn.XLOOKUP($A557,ALGLIB_SSA_XAUUSD!$J$2:$J$1000,ALGLIB_SSA_XAUUSD!$N$2:$N$1000,"",0)</f>
        <v>4644.9469900000004</v>
      </c>
      <c r="M557">
        <f>_xlfn.XLOOKUP($A557,ALGLIB_SSA_XAUUSD!$J$2:$J$1000,ALGLIB_SSA_XAUUSD!$O$2:$O$1000,"",0)</f>
        <v>4645.5614500000001</v>
      </c>
      <c r="N557">
        <f>_xlfn.XLOOKUP($A557,ALGLIB_SSA_XAUUSD!$J$2:$J$1000,ALGLIB_SSA_XAUUSD!$P$2:$P$1000,"",0)</f>
        <v>4649.8049799999999</v>
      </c>
      <c r="O557">
        <f>_xlfn.XLOOKUP($A557,ALGLIB_SSA_XAUUSD!$J$2:$J$1000,ALGLIB_SSA_XAUUSD!$Q$2:$Q$1000,"",0)</f>
        <v>4638.5486199999996</v>
      </c>
      <c r="R557">
        <f t="shared" si="88"/>
        <v>1775560500</v>
      </c>
      <c r="S557" t="str">
        <f t="shared" si="89"/>
        <v>XAUUSD</v>
      </c>
      <c r="T557" t="str">
        <f t="shared" si="90"/>
        <v>M5</v>
      </c>
      <c r="U557">
        <f t="shared" si="91"/>
        <v>4639.88</v>
      </c>
      <c r="V557">
        <v>4654.3795899999996</v>
      </c>
      <c r="W557">
        <v>4657.9342999999999</v>
      </c>
      <c r="X557">
        <v>4644.9469900000004</v>
      </c>
      <c r="Y557">
        <v>4645.5614500000001</v>
      </c>
      <c r="Z557">
        <f t="shared" si="92"/>
        <v>4672.8353850000003</v>
      </c>
      <c r="AA557">
        <f t="shared" si="93"/>
        <v>4649.8049799999999</v>
      </c>
      <c r="AB557">
        <f t="shared" si="94"/>
        <v>4640.5109899999998</v>
      </c>
      <c r="AC557">
        <f t="shared" si="95"/>
        <v>4638.5486199999996</v>
      </c>
      <c r="AF557">
        <f t="shared" si="96"/>
        <v>4644.9469900000004</v>
      </c>
      <c r="AG557">
        <f t="shared" si="97"/>
        <v>4672.8353850000003</v>
      </c>
      <c r="AH557">
        <f t="shared" si="98"/>
        <v>4640.5109899999998</v>
      </c>
    </row>
    <row r="558" spans="1:34" x14ac:dyDescent="0.55000000000000004">
      <c r="A558">
        <f>ALGLIB_SSA_XAUUSD!J558</f>
        <v>1775560800</v>
      </c>
      <c r="B558" t="str">
        <f>_xlfn.XLOOKUP($A558,ALGLIB_SSA_XAUUSD!$A$2:$A$1000,ALGLIB_SSA_XAUUSD!$B$2:$B$1000,"",0)</f>
        <v/>
      </c>
      <c r="C558" t="str">
        <f>_xlfn.XLOOKUP($A558,ALGLIB_SSA_XAUUSD!$A$2:$A$1000,ALGLIB_SSA_XAUUSD!$C$2:$C$1000,"",0)</f>
        <v/>
      </c>
      <c r="D558" s="1">
        <f>D554+(D566-D554)*4/12</f>
        <v>4657.0333333333338</v>
      </c>
      <c r="E558" s="1">
        <f>E554+(E566-E554)*4/12</f>
        <v>4653.8370966666671</v>
      </c>
      <c r="F558" s="1">
        <f>F554+(F566-F554)*4/12</f>
        <v>4657.5325300000004</v>
      </c>
      <c r="G558" s="1">
        <f>G554+(G566-G554)*4/12</f>
        <v>4672.3181766666667</v>
      </c>
      <c r="H558" s="1">
        <f>H554+(H566-H554)*4/12</f>
        <v>4640.0714966666665</v>
      </c>
      <c r="I558" t="str">
        <f>_xlfn.XLOOKUP($A558,ALGLIB_SSA_XAUUSD!$J$2:$J$1000,ALGLIB_SSA_XAUUSD!$K$2:$K$1000,"",0)</f>
        <v>XAUUSD</v>
      </c>
      <c r="J558" t="str">
        <f>_xlfn.XLOOKUP($A558,ALGLIB_SSA_XAUUSD!$J$2:$J$1000,ALGLIB_SSA_XAUUSD!$L$2:$L$1000,"",0)</f>
        <v>M5</v>
      </c>
      <c r="K558">
        <f>_xlfn.XLOOKUP($A558,ALGLIB_SSA_XAUUSD!$J$2:$J$1000,ALGLIB_SSA_XAUUSD!$M$2:$M$1000,"",0)</f>
        <v>4645.3</v>
      </c>
      <c r="L558">
        <f>_xlfn.XLOOKUP($A558,ALGLIB_SSA_XAUUSD!$J$2:$J$1000,ALGLIB_SSA_XAUUSD!$N$2:$N$1000,"",0)</f>
        <v>4646.4829099999997</v>
      </c>
      <c r="M558">
        <f>_xlfn.XLOOKUP($A558,ALGLIB_SSA_XAUUSD!$J$2:$J$1000,ALGLIB_SSA_XAUUSD!$O$2:$O$1000,"",0)</f>
        <v>4646.0221799999999</v>
      </c>
      <c r="N558">
        <f>_xlfn.XLOOKUP($A558,ALGLIB_SSA_XAUUSD!$J$2:$J$1000,ALGLIB_SSA_XAUUSD!$P$2:$P$1000,"",0)</f>
        <v>4650.7445200000002</v>
      </c>
      <c r="O558">
        <f>_xlfn.XLOOKUP($A558,ALGLIB_SSA_XAUUSD!$J$2:$J$1000,ALGLIB_SSA_XAUUSD!$Q$2:$Q$1000,"",0)</f>
        <v>4640.1692700000003</v>
      </c>
      <c r="R558">
        <f t="shared" si="88"/>
        <v>1775560800</v>
      </c>
      <c r="S558" t="str">
        <f t="shared" si="89"/>
        <v>XAUUSD</v>
      </c>
      <c r="T558" t="str">
        <f t="shared" si="90"/>
        <v>M5</v>
      </c>
      <c r="U558">
        <f t="shared" si="91"/>
        <v>4645.3</v>
      </c>
      <c r="V558">
        <v>4653.8370999999997</v>
      </c>
      <c r="W558">
        <v>4657.5325300000004</v>
      </c>
      <c r="X558">
        <v>4646.4829099999997</v>
      </c>
      <c r="Y558">
        <v>4646.0221799999999</v>
      </c>
      <c r="Z558">
        <f t="shared" si="92"/>
        <v>4672.3181766666667</v>
      </c>
      <c r="AA558">
        <f t="shared" si="93"/>
        <v>4650.7445200000002</v>
      </c>
      <c r="AB558">
        <f t="shared" si="94"/>
        <v>4640.0714966666665</v>
      </c>
      <c r="AC558">
        <f t="shared" si="95"/>
        <v>4640.1692700000003</v>
      </c>
      <c r="AF558">
        <f t="shared" si="96"/>
        <v>4646.4829099999997</v>
      </c>
      <c r="AG558">
        <f t="shared" si="97"/>
        <v>4672.3181766666667</v>
      </c>
      <c r="AH558">
        <f t="shared" si="98"/>
        <v>4640.0714966666665</v>
      </c>
    </row>
    <row r="559" spans="1:34" x14ac:dyDescent="0.55000000000000004">
      <c r="A559">
        <f>ALGLIB_SSA_XAUUSD!J559</f>
        <v>1775561100</v>
      </c>
      <c r="B559" t="str">
        <f>_xlfn.XLOOKUP($A559,ALGLIB_SSA_XAUUSD!$A$2:$A$1000,ALGLIB_SSA_XAUUSD!$B$2:$B$1000,"",0)</f>
        <v/>
      </c>
      <c r="C559" t="str">
        <f>_xlfn.XLOOKUP($A559,ALGLIB_SSA_XAUUSD!$A$2:$A$1000,ALGLIB_SSA_XAUUSD!$C$2:$C$1000,"",0)</f>
        <v/>
      </c>
      <c r="D559" s="1">
        <f>D554+(D566-D554)*5/12</f>
        <v>4656.3391666666666</v>
      </c>
      <c r="E559" s="1">
        <f>E554+(E566-E554)*5/12</f>
        <v>4653.2946008333338</v>
      </c>
      <c r="F559" s="1">
        <f>F554+(F566-F554)*5/12</f>
        <v>4657.13076</v>
      </c>
      <c r="G559" s="1">
        <f>G554+(G566-G554)*5/12</f>
        <v>4671.8009683333339</v>
      </c>
      <c r="H559" s="1">
        <f>H554+(H566-H554)*5/12</f>
        <v>4639.6320033333332</v>
      </c>
      <c r="I559" t="str">
        <f>_xlfn.XLOOKUP($A559,ALGLIB_SSA_XAUUSD!$J$2:$J$1000,ALGLIB_SSA_XAUUSD!$K$2:$K$1000,"",0)</f>
        <v>XAUUSD</v>
      </c>
      <c r="J559" t="str">
        <f>_xlfn.XLOOKUP($A559,ALGLIB_SSA_XAUUSD!$J$2:$J$1000,ALGLIB_SSA_XAUUSD!$L$2:$L$1000,"",0)</f>
        <v>M5</v>
      </c>
      <c r="K559">
        <f>_xlfn.XLOOKUP($A559,ALGLIB_SSA_XAUUSD!$J$2:$J$1000,ALGLIB_SSA_XAUUSD!$M$2:$M$1000,"",0)</f>
        <v>4648.16</v>
      </c>
      <c r="L559">
        <f>_xlfn.XLOOKUP($A559,ALGLIB_SSA_XAUUSD!$J$2:$J$1000,ALGLIB_SSA_XAUUSD!$N$2:$N$1000,"",0)</f>
        <v>4648.7297399999998</v>
      </c>
      <c r="M559">
        <f>_xlfn.XLOOKUP($A559,ALGLIB_SSA_XAUUSD!$J$2:$J$1000,ALGLIB_SSA_XAUUSD!$O$2:$O$1000,"",0)</f>
        <v>4647.3759600000003</v>
      </c>
      <c r="N559">
        <f>_xlfn.XLOOKUP($A559,ALGLIB_SSA_XAUUSD!$J$2:$J$1000,ALGLIB_SSA_XAUUSD!$P$2:$P$1000,"",0)</f>
        <v>4652.44337</v>
      </c>
      <c r="O559">
        <f>_xlfn.XLOOKUP($A559,ALGLIB_SSA_XAUUSD!$J$2:$J$1000,ALGLIB_SSA_XAUUSD!$Q$2:$Q$1000,"",0)</f>
        <v>4642.7890500000003</v>
      </c>
      <c r="R559">
        <f t="shared" si="88"/>
        <v>1775561100</v>
      </c>
      <c r="S559" t="str">
        <f t="shared" si="89"/>
        <v>XAUUSD</v>
      </c>
      <c r="T559" t="str">
        <f t="shared" si="90"/>
        <v>M5</v>
      </c>
      <c r="U559">
        <f t="shared" si="91"/>
        <v>4648.16</v>
      </c>
      <c r="V559">
        <v>4653.2946000000002</v>
      </c>
      <c r="W559">
        <v>4657.13076</v>
      </c>
      <c r="X559">
        <v>4648.7297399999998</v>
      </c>
      <c r="Y559">
        <v>4647.3759600000003</v>
      </c>
      <c r="Z559">
        <f t="shared" si="92"/>
        <v>4671.8009683333339</v>
      </c>
      <c r="AA559">
        <f t="shared" si="93"/>
        <v>4652.44337</v>
      </c>
      <c r="AB559">
        <f t="shared" si="94"/>
        <v>4639.6320033333332</v>
      </c>
      <c r="AC559">
        <f t="shared" si="95"/>
        <v>4642.7890500000003</v>
      </c>
      <c r="AF559">
        <f t="shared" si="96"/>
        <v>4648.7297399999998</v>
      </c>
      <c r="AG559">
        <f t="shared" si="97"/>
        <v>4671.8009683333339</v>
      </c>
      <c r="AH559">
        <f t="shared" si="98"/>
        <v>4639.6320033333332</v>
      </c>
    </row>
    <row r="560" spans="1:34" x14ac:dyDescent="0.55000000000000004">
      <c r="A560">
        <f>ALGLIB_SSA_XAUUSD!J560</f>
        <v>1775561400</v>
      </c>
      <c r="B560" t="str">
        <f>_xlfn.XLOOKUP($A560,ALGLIB_SSA_XAUUSD!$A$2:$A$1000,ALGLIB_SSA_XAUUSD!$B$2:$B$1000,"",0)</f>
        <v/>
      </c>
      <c r="C560" t="str">
        <f>_xlfn.XLOOKUP($A560,ALGLIB_SSA_XAUUSD!$A$2:$A$1000,ALGLIB_SSA_XAUUSD!$C$2:$C$1000,"",0)</f>
        <v/>
      </c>
      <c r="D560" s="1">
        <f>D554+(D566-D554)*6/12</f>
        <v>4655.6450000000004</v>
      </c>
      <c r="E560" s="1">
        <f>E554+(E566-E554)*6/12</f>
        <v>4652.7521049999996</v>
      </c>
      <c r="F560" s="1">
        <f>F554+(F566-F554)*6/12</f>
        <v>4656.7289899999996</v>
      </c>
      <c r="G560" s="1">
        <f>G554+(G566-G554)*6/12</f>
        <v>4671.2837600000003</v>
      </c>
      <c r="H560" s="1">
        <f>H554+(H566-H554)*6/12</f>
        <v>4639.1925099999999</v>
      </c>
      <c r="I560" t="str">
        <f>_xlfn.XLOOKUP($A560,ALGLIB_SSA_XAUUSD!$J$2:$J$1000,ALGLIB_SSA_XAUUSD!$K$2:$K$1000,"",0)</f>
        <v>XAUUSD</v>
      </c>
      <c r="J560" t="str">
        <f>_xlfn.XLOOKUP($A560,ALGLIB_SSA_XAUUSD!$J$2:$J$1000,ALGLIB_SSA_XAUUSD!$L$2:$L$1000,"",0)</f>
        <v>M5</v>
      </c>
      <c r="K560">
        <f>_xlfn.XLOOKUP($A560,ALGLIB_SSA_XAUUSD!$J$2:$J$1000,ALGLIB_SSA_XAUUSD!$M$2:$M$1000,"",0)</f>
        <v>4649.76</v>
      </c>
      <c r="L560">
        <f>_xlfn.XLOOKUP($A560,ALGLIB_SSA_XAUUSD!$J$2:$J$1000,ALGLIB_SSA_XAUUSD!$N$2:$N$1000,"",0)</f>
        <v>4651.3382700000002</v>
      </c>
      <c r="M560">
        <f>_xlfn.XLOOKUP($A560,ALGLIB_SSA_XAUUSD!$J$2:$J$1000,ALGLIB_SSA_XAUUSD!$O$2:$O$1000,"",0)</f>
        <v>4649.3571199999997</v>
      </c>
      <c r="N560">
        <f>_xlfn.XLOOKUP($A560,ALGLIB_SSA_XAUUSD!$J$2:$J$1000,ALGLIB_SSA_XAUUSD!$P$2:$P$1000,"",0)</f>
        <v>4654.5179500000004</v>
      </c>
      <c r="O560">
        <f>_xlfn.XLOOKUP($A560,ALGLIB_SSA_XAUUSD!$J$2:$J$1000,ALGLIB_SSA_XAUUSD!$Q$2:$Q$1000,"",0)</f>
        <v>4645.8674499999997</v>
      </c>
      <c r="R560">
        <f t="shared" si="88"/>
        <v>1775561400</v>
      </c>
      <c r="S560" t="str">
        <f t="shared" si="89"/>
        <v>XAUUSD</v>
      </c>
      <c r="T560" t="str">
        <f t="shared" si="90"/>
        <v>M5</v>
      </c>
      <c r="U560">
        <f t="shared" si="91"/>
        <v>4649.76</v>
      </c>
      <c r="V560">
        <v>4652.7520999999997</v>
      </c>
      <c r="W560">
        <v>4656.7289899999996</v>
      </c>
      <c r="X560">
        <v>4651.3382700000002</v>
      </c>
      <c r="Y560">
        <v>4649.3571199999997</v>
      </c>
      <c r="Z560">
        <f t="shared" si="92"/>
        <v>4671.2837600000003</v>
      </c>
      <c r="AA560">
        <f t="shared" si="93"/>
        <v>4654.5179500000004</v>
      </c>
      <c r="AB560">
        <f t="shared" si="94"/>
        <v>4639.1925099999999</v>
      </c>
      <c r="AC560">
        <f t="shared" si="95"/>
        <v>4645.8674499999997</v>
      </c>
      <c r="AF560">
        <f t="shared" si="96"/>
        <v>4651.3382700000002</v>
      </c>
      <c r="AG560">
        <f t="shared" si="97"/>
        <v>4671.2837600000003</v>
      </c>
      <c r="AH560">
        <f t="shared" si="98"/>
        <v>4639.1925099999999</v>
      </c>
    </row>
    <row r="561" spans="1:34" x14ac:dyDescent="0.55000000000000004">
      <c r="A561">
        <f>ALGLIB_SSA_XAUUSD!J561</f>
        <v>1775561700</v>
      </c>
      <c r="B561" t="str">
        <f>_xlfn.XLOOKUP($A561,ALGLIB_SSA_XAUUSD!$A$2:$A$1000,ALGLIB_SSA_XAUUSD!$B$2:$B$1000,"",0)</f>
        <v/>
      </c>
      <c r="C561" t="str">
        <f>_xlfn.XLOOKUP($A561,ALGLIB_SSA_XAUUSD!$A$2:$A$1000,ALGLIB_SSA_XAUUSD!$C$2:$C$1000,"",0)</f>
        <v/>
      </c>
      <c r="D561" s="1">
        <f>D554+(D566-D554)*7/12</f>
        <v>4654.9508333333333</v>
      </c>
      <c r="E561" s="1">
        <f>E554+(E566-E554)*7/12</f>
        <v>4652.2096091666663</v>
      </c>
      <c r="F561" s="1">
        <f>F554+(F566-F554)*7/12</f>
        <v>4656.3272200000001</v>
      </c>
      <c r="G561" s="1">
        <f>G554+(G566-G554)*7/12</f>
        <v>4670.7665516666666</v>
      </c>
      <c r="H561" s="1">
        <f>H554+(H566-H554)*7/12</f>
        <v>4638.7530166666666</v>
      </c>
      <c r="I561" t="str">
        <f>_xlfn.XLOOKUP($A561,ALGLIB_SSA_XAUUSD!$J$2:$J$1000,ALGLIB_SSA_XAUUSD!$K$2:$K$1000,"",0)</f>
        <v>XAUUSD</v>
      </c>
      <c r="J561" t="str">
        <f>_xlfn.XLOOKUP($A561,ALGLIB_SSA_XAUUSD!$J$2:$J$1000,ALGLIB_SSA_XAUUSD!$L$2:$L$1000,"",0)</f>
        <v>M5</v>
      </c>
      <c r="K561">
        <f>_xlfn.XLOOKUP($A561,ALGLIB_SSA_XAUUSD!$J$2:$J$1000,ALGLIB_SSA_XAUUSD!$M$2:$M$1000,"",0)</f>
        <v>4654.79</v>
      </c>
      <c r="L561">
        <f>_xlfn.XLOOKUP($A561,ALGLIB_SSA_XAUUSD!$J$2:$J$1000,ALGLIB_SSA_XAUUSD!$N$2:$N$1000,"",0)</f>
        <v>4653.9975199999999</v>
      </c>
      <c r="M561">
        <f>_xlfn.XLOOKUP($A561,ALGLIB_SSA_XAUUSD!$J$2:$J$1000,ALGLIB_SSA_XAUUSD!$O$2:$O$1000,"",0)</f>
        <v>4651.6773199999998</v>
      </c>
      <c r="N561">
        <f>_xlfn.XLOOKUP($A561,ALGLIB_SSA_XAUUSD!$J$2:$J$1000,ALGLIB_SSA_XAUUSD!$P$2:$P$1000,"",0)</f>
        <v>4656.7390100000002</v>
      </c>
      <c r="O561">
        <f>_xlfn.XLOOKUP($A561,ALGLIB_SSA_XAUUSD!$J$2:$J$1000,ALGLIB_SSA_XAUUSD!$Q$2:$Q$1000,"",0)</f>
        <v>4648.9659899999997</v>
      </c>
      <c r="R561">
        <f t="shared" si="88"/>
        <v>1775561700</v>
      </c>
      <c r="S561" t="str">
        <f t="shared" si="89"/>
        <v>XAUUSD</v>
      </c>
      <c r="T561" t="str">
        <f t="shared" si="90"/>
        <v>M5</v>
      </c>
      <c r="U561">
        <f t="shared" si="91"/>
        <v>4654.79</v>
      </c>
      <c r="V561">
        <v>4652.2096099999999</v>
      </c>
      <c r="W561">
        <v>4656.3272200000001</v>
      </c>
      <c r="X561">
        <v>4653.9975199999999</v>
      </c>
      <c r="Y561">
        <v>4651.6773199999998</v>
      </c>
      <c r="Z561">
        <f t="shared" si="92"/>
        <v>4670.7665516666666</v>
      </c>
      <c r="AA561">
        <f t="shared" si="93"/>
        <v>4656.7390100000002</v>
      </c>
      <c r="AB561">
        <f t="shared" si="94"/>
        <v>4638.7530166666666</v>
      </c>
      <c r="AC561">
        <f t="shared" si="95"/>
        <v>4648.9659899999997</v>
      </c>
      <c r="AF561">
        <f t="shared" si="96"/>
        <v>4653.9975199999999</v>
      </c>
      <c r="AG561">
        <f t="shared" si="97"/>
        <v>4670.7665516666666</v>
      </c>
      <c r="AH561">
        <f t="shared" si="98"/>
        <v>4638.7530166666666</v>
      </c>
    </row>
    <row r="562" spans="1:34" x14ac:dyDescent="0.55000000000000004">
      <c r="A562">
        <f>ALGLIB_SSA_XAUUSD!J562</f>
        <v>1775562000</v>
      </c>
      <c r="B562" t="str">
        <f>_xlfn.XLOOKUP($A562,ALGLIB_SSA_XAUUSD!$A$2:$A$1000,ALGLIB_SSA_XAUUSD!$B$2:$B$1000,"",0)</f>
        <v/>
      </c>
      <c r="C562" t="str">
        <f>_xlfn.XLOOKUP($A562,ALGLIB_SSA_XAUUSD!$A$2:$A$1000,ALGLIB_SSA_XAUUSD!$C$2:$C$1000,"",0)</f>
        <v/>
      </c>
      <c r="D562" s="1">
        <f>D554+(D566-D554)*8/12</f>
        <v>4654.2566666666662</v>
      </c>
      <c r="E562" s="1">
        <f>E554+(E566-E554)*8/12</f>
        <v>4651.667113333333</v>
      </c>
      <c r="F562" s="1">
        <f>F554+(F566-F554)*8/12</f>
        <v>4655.9254499999997</v>
      </c>
      <c r="G562" s="1">
        <f>G554+(G566-G554)*8/12</f>
        <v>4670.2493433333339</v>
      </c>
      <c r="H562" s="1">
        <f>H554+(H566-H554)*8/12</f>
        <v>4638.3135233333333</v>
      </c>
      <c r="I562" t="str">
        <f>_xlfn.XLOOKUP($A562,ALGLIB_SSA_XAUUSD!$J$2:$J$1000,ALGLIB_SSA_XAUUSD!$K$2:$K$1000,"",0)</f>
        <v>XAUUSD</v>
      </c>
      <c r="J562" t="str">
        <f>_xlfn.XLOOKUP($A562,ALGLIB_SSA_XAUUSD!$J$2:$J$1000,ALGLIB_SSA_XAUUSD!$L$2:$L$1000,"",0)</f>
        <v>M5</v>
      </c>
      <c r="K562">
        <f>_xlfn.XLOOKUP($A562,ALGLIB_SSA_XAUUSD!$J$2:$J$1000,ALGLIB_SSA_XAUUSD!$M$2:$M$1000,"",0)</f>
        <v>4663.1000000000004</v>
      </c>
      <c r="L562">
        <f>_xlfn.XLOOKUP($A562,ALGLIB_SSA_XAUUSD!$J$2:$J$1000,ALGLIB_SSA_XAUUSD!$N$2:$N$1000,"",0)</f>
        <v>4656.3387899999998</v>
      </c>
      <c r="M562">
        <f>_xlfn.XLOOKUP($A562,ALGLIB_SSA_XAUUSD!$J$2:$J$1000,ALGLIB_SSA_XAUUSD!$O$2:$O$1000,"",0)</f>
        <v>4654.0080500000004</v>
      </c>
      <c r="N562">
        <f>_xlfn.XLOOKUP($A562,ALGLIB_SSA_XAUUSD!$J$2:$J$1000,ALGLIB_SSA_XAUUSD!$P$2:$P$1000,"",0)</f>
        <v>4658.8073000000004</v>
      </c>
      <c r="O562">
        <f>_xlfn.XLOOKUP($A562,ALGLIB_SSA_XAUUSD!$J$2:$J$1000,ALGLIB_SSA_XAUUSD!$Q$2:$Q$1000,"",0)</f>
        <v>4651.7584299999999</v>
      </c>
      <c r="R562">
        <f t="shared" si="88"/>
        <v>1775562000</v>
      </c>
      <c r="S562" t="str">
        <f t="shared" si="89"/>
        <v>XAUUSD</v>
      </c>
      <c r="T562" t="str">
        <f t="shared" si="90"/>
        <v>M5</v>
      </c>
      <c r="U562">
        <f t="shared" si="91"/>
        <v>4663.1000000000004</v>
      </c>
      <c r="V562">
        <v>4651.6671100000003</v>
      </c>
      <c r="W562">
        <v>4655.9254499999997</v>
      </c>
      <c r="X562">
        <v>4656.3387899999998</v>
      </c>
      <c r="Y562">
        <v>4654.0080500000004</v>
      </c>
      <c r="Z562">
        <f t="shared" si="92"/>
        <v>4670.2493433333339</v>
      </c>
      <c r="AA562">
        <f t="shared" si="93"/>
        <v>4658.8073000000004</v>
      </c>
      <c r="AB562">
        <f t="shared" si="94"/>
        <v>4638.3135233333333</v>
      </c>
      <c r="AC562">
        <f t="shared" si="95"/>
        <v>4651.7584299999999</v>
      </c>
      <c r="AF562">
        <f t="shared" si="96"/>
        <v>4656.3387899999998</v>
      </c>
      <c r="AG562">
        <f t="shared" si="97"/>
        <v>4670.2493433333339</v>
      </c>
      <c r="AH562">
        <f t="shared" si="98"/>
        <v>4638.3135233333333</v>
      </c>
    </row>
    <row r="563" spans="1:34" x14ac:dyDescent="0.55000000000000004">
      <c r="A563">
        <f>ALGLIB_SSA_XAUUSD!J563</f>
        <v>1775562300</v>
      </c>
      <c r="B563" t="str">
        <f>_xlfn.XLOOKUP($A563,ALGLIB_SSA_XAUUSD!$A$2:$A$1000,ALGLIB_SSA_XAUUSD!$B$2:$B$1000,"",0)</f>
        <v/>
      </c>
      <c r="C563" t="str">
        <f>_xlfn.XLOOKUP($A563,ALGLIB_SSA_XAUUSD!$A$2:$A$1000,ALGLIB_SSA_XAUUSD!$C$2:$C$1000,"",0)</f>
        <v/>
      </c>
      <c r="D563" s="1">
        <f>D554+(D566-D554)*9/12</f>
        <v>4653.5625</v>
      </c>
      <c r="E563" s="1">
        <f>E554+(E566-E554)*9/12</f>
        <v>4651.1246174999997</v>
      </c>
      <c r="F563" s="1">
        <f>F554+(F566-F554)*9/12</f>
        <v>4655.5236800000002</v>
      </c>
      <c r="G563" s="1">
        <f>G554+(G566-G554)*9/12</f>
        <v>4669.7321350000002</v>
      </c>
      <c r="H563" s="1">
        <f>H554+(H566-H554)*9/12</f>
        <v>4637.8740299999999</v>
      </c>
      <c r="I563" t="str">
        <f>_xlfn.XLOOKUP($A563,ALGLIB_SSA_XAUUSD!$J$2:$J$1000,ALGLIB_SSA_XAUUSD!$K$2:$K$1000,"",0)</f>
        <v>XAUUSD</v>
      </c>
      <c r="J563" t="str">
        <f>_xlfn.XLOOKUP($A563,ALGLIB_SSA_XAUUSD!$J$2:$J$1000,ALGLIB_SSA_XAUUSD!$L$2:$L$1000,"",0)</f>
        <v>M5</v>
      </c>
      <c r="K563">
        <f>_xlfn.XLOOKUP($A563,ALGLIB_SSA_XAUUSD!$J$2:$J$1000,ALGLIB_SSA_XAUUSD!$M$2:$M$1000,"",0)</f>
        <v>4660.67</v>
      </c>
      <c r="L563">
        <f>_xlfn.XLOOKUP($A563,ALGLIB_SSA_XAUUSD!$J$2:$J$1000,ALGLIB_SSA_XAUUSD!$N$2:$N$1000,"",0)</f>
        <v>4657.9901399999999</v>
      </c>
      <c r="M563">
        <f>_xlfn.XLOOKUP($A563,ALGLIB_SSA_XAUUSD!$J$2:$J$1000,ALGLIB_SSA_XAUUSD!$O$2:$O$1000,"",0)</f>
        <v>4655.9991</v>
      </c>
      <c r="N563">
        <f>_xlfn.XLOOKUP($A563,ALGLIB_SSA_XAUUSD!$J$2:$J$1000,ALGLIB_SSA_XAUUSD!$P$2:$P$1000,"",0)</f>
        <v>4660.4619300000004</v>
      </c>
      <c r="O563">
        <f>_xlfn.XLOOKUP($A563,ALGLIB_SSA_XAUUSD!$J$2:$J$1000,ALGLIB_SSA_XAUUSD!$Q$2:$Q$1000,"",0)</f>
        <v>4653.8915100000004</v>
      </c>
      <c r="R563">
        <f t="shared" si="88"/>
        <v>1775562300</v>
      </c>
      <c r="S563" t="str">
        <f t="shared" si="89"/>
        <v>XAUUSD</v>
      </c>
      <c r="T563" t="str">
        <f t="shared" si="90"/>
        <v>M5</v>
      </c>
      <c r="U563">
        <f t="shared" si="91"/>
        <v>4660.67</v>
      </c>
      <c r="V563">
        <v>4651.1246199999996</v>
      </c>
      <c r="W563">
        <v>4655.5236800000002</v>
      </c>
      <c r="X563">
        <v>4657.9901399999999</v>
      </c>
      <c r="Y563">
        <v>4655.9991</v>
      </c>
      <c r="Z563">
        <f t="shared" si="92"/>
        <v>4669.7321350000002</v>
      </c>
      <c r="AA563">
        <f t="shared" si="93"/>
        <v>4660.4619300000004</v>
      </c>
      <c r="AB563">
        <f t="shared" si="94"/>
        <v>4637.8740299999999</v>
      </c>
      <c r="AC563">
        <f t="shared" si="95"/>
        <v>4653.8915100000004</v>
      </c>
      <c r="AF563">
        <f t="shared" si="96"/>
        <v>4657.9901399999999</v>
      </c>
      <c r="AG563">
        <f t="shared" si="97"/>
        <v>4669.7321350000002</v>
      </c>
      <c r="AH563">
        <f t="shared" si="98"/>
        <v>4637.8740299999999</v>
      </c>
    </row>
    <row r="564" spans="1:34" x14ac:dyDescent="0.55000000000000004">
      <c r="A564">
        <f>ALGLIB_SSA_XAUUSD!J564</f>
        <v>1775562600</v>
      </c>
      <c r="B564" t="str">
        <f>_xlfn.XLOOKUP($A564,ALGLIB_SSA_XAUUSD!$A$2:$A$1000,ALGLIB_SSA_XAUUSD!$B$2:$B$1000,"",0)</f>
        <v/>
      </c>
      <c r="C564" t="str">
        <f>_xlfn.XLOOKUP($A564,ALGLIB_SSA_XAUUSD!$A$2:$A$1000,ALGLIB_SSA_XAUUSD!$C$2:$C$1000,"",0)</f>
        <v/>
      </c>
      <c r="D564" s="1">
        <f>D554+(D566-D554)*10/12</f>
        <v>4652.8683333333329</v>
      </c>
      <c r="E564" s="1">
        <f>E554+(E566-E554)*10/12</f>
        <v>4650.5821216666664</v>
      </c>
      <c r="F564" s="1">
        <f>F554+(F566-F554)*10/12</f>
        <v>4655.1219099999998</v>
      </c>
      <c r="G564" s="1">
        <f>G554+(G566-G554)*10/12</f>
        <v>4669.2149266666665</v>
      </c>
      <c r="H564" s="1">
        <f>H554+(H566-H554)*10/12</f>
        <v>4637.4345366666666</v>
      </c>
      <c r="I564" t="str">
        <f>_xlfn.XLOOKUP($A564,ALGLIB_SSA_XAUUSD!$J$2:$J$1000,ALGLIB_SSA_XAUUSD!$K$2:$K$1000,"",0)</f>
        <v>XAUUSD</v>
      </c>
      <c r="J564" t="str">
        <f>_xlfn.XLOOKUP($A564,ALGLIB_SSA_XAUUSD!$J$2:$J$1000,ALGLIB_SSA_XAUUSD!$L$2:$L$1000,"",0)</f>
        <v>M5</v>
      </c>
      <c r="K564">
        <f>_xlfn.XLOOKUP($A564,ALGLIB_SSA_XAUUSD!$J$2:$J$1000,ALGLIB_SSA_XAUUSD!$M$2:$M$1000,"",0)</f>
        <v>4658.6499999999996</v>
      </c>
      <c r="L564">
        <f>_xlfn.XLOOKUP($A564,ALGLIB_SSA_XAUUSD!$J$2:$J$1000,ALGLIB_SSA_XAUUSD!$N$2:$N$1000,"",0)</f>
        <v>4659.0090200000004</v>
      </c>
      <c r="M564">
        <f>_xlfn.XLOOKUP($A564,ALGLIB_SSA_XAUUSD!$J$2:$J$1000,ALGLIB_SSA_XAUUSD!$O$2:$O$1000,"",0)</f>
        <v>4657.5040600000002</v>
      </c>
      <c r="N564">
        <f>_xlfn.XLOOKUP($A564,ALGLIB_SSA_XAUUSD!$J$2:$J$1000,ALGLIB_SSA_XAUUSD!$P$2:$P$1000,"",0)</f>
        <v>4661.6678300000003</v>
      </c>
      <c r="O564">
        <f>_xlfn.XLOOKUP($A564,ALGLIB_SSA_XAUUSD!$J$2:$J$1000,ALGLIB_SSA_XAUUSD!$Q$2:$Q$1000,"",0)</f>
        <v>4655.2328100000004</v>
      </c>
      <c r="R564">
        <f t="shared" si="88"/>
        <v>1775562600</v>
      </c>
      <c r="S564" t="str">
        <f t="shared" si="89"/>
        <v>XAUUSD</v>
      </c>
      <c r="T564" t="str">
        <f t="shared" si="90"/>
        <v>M5</v>
      </c>
      <c r="U564">
        <f t="shared" si="91"/>
        <v>4658.6499999999996</v>
      </c>
      <c r="V564">
        <v>4650.58212</v>
      </c>
      <c r="W564">
        <v>4655.1219099999998</v>
      </c>
      <c r="X564">
        <v>4659.0090200000004</v>
      </c>
      <c r="Y564">
        <v>4657.5040600000002</v>
      </c>
      <c r="Z564">
        <f t="shared" si="92"/>
        <v>4669.2149266666665</v>
      </c>
      <c r="AA564">
        <f t="shared" si="93"/>
        <v>4661.6678300000003</v>
      </c>
      <c r="AB564">
        <f t="shared" si="94"/>
        <v>4637.4345366666666</v>
      </c>
      <c r="AC564">
        <f t="shared" si="95"/>
        <v>4655.2328100000004</v>
      </c>
      <c r="AF564">
        <f t="shared" si="96"/>
        <v>4659.0090200000004</v>
      </c>
      <c r="AG564">
        <f t="shared" si="97"/>
        <v>4669.2149266666665</v>
      </c>
      <c r="AH564">
        <f t="shared" si="98"/>
        <v>4637.4345366666666</v>
      </c>
    </row>
    <row r="565" spans="1:34" x14ac:dyDescent="0.55000000000000004">
      <c r="A565">
        <f>ALGLIB_SSA_XAUUSD!J565</f>
        <v>1775562900</v>
      </c>
      <c r="B565" t="str">
        <f>_xlfn.XLOOKUP($A565,ALGLIB_SSA_XAUUSD!$A$2:$A$1000,ALGLIB_SSA_XAUUSD!$B$2:$B$1000,"",0)</f>
        <v/>
      </c>
      <c r="C565" t="str">
        <f>_xlfn.XLOOKUP($A565,ALGLIB_SSA_XAUUSD!$A$2:$A$1000,ALGLIB_SSA_XAUUSD!$C$2:$C$1000,"",0)</f>
        <v/>
      </c>
      <c r="D565" s="1">
        <f>D554+(D566-D554)*11/12</f>
        <v>4652.1741666666667</v>
      </c>
      <c r="E565" s="1">
        <f>E554+(E566-E554)*11/12</f>
        <v>4650.039625833333</v>
      </c>
      <c r="F565" s="1">
        <f>F554+(F566-F554)*11/12</f>
        <v>4654.7201400000004</v>
      </c>
      <c r="G565" s="1">
        <f>G554+(G566-G554)*11/12</f>
        <v>4668.6977183333338</v>
      </c>
      <c r="H565" s="1">
        <f>H554+(H566-H554)*11/12</f>
        <v>4636.9950433333333</v>
      </c>
      <c r="I565" t="str">
        <f>_xlfn.XLOOKUP($A565,ALGLIB_SSA_XAUUSD!$J$2:$J$1000,ALGLIB_SSA_XAUUSD!$K$2:$K$1000,"",0)</f>
        <v>XAUUSD</v>
      </c>
      <c r="J565" t="str">
        <f>_xlfn.XLOOKUP($A565,ALGLIB_SSA_XAUUSD!$J$2:$J$1000,ALGLIB_SSA_XAUUSD!$L$2:$L$1000,"",0)</f>
        <v>M5</v>
      </c>
      <c r="K565">
        <f>_xlfn.XLOOKUP($A565,ALGLIB_SSA_XAUUSD!$J$2:$J$1000,ALGLIB_SSA_XAUUSD!$M$2:$M$1000,"",0)</f>
        <v>4659.8100000000004</v>
      </c>
      <c r="L565">
        <f>_xlfn.XLOOKUP($A565,ALGLIB_SSA_XAUUSD!$J$2:$J$1000,ALGLIB_SSA_XAUUSD!$N$2:$N$1000,"",0)</f>
        <v>4659.5374000000002</v>
      </c>
      <c r="M565">
        <f>_xlfn.XLOOKUP($A565,ALGLIB_SSA_XAUUSD!$J$2:$J$1000,ALGLIB_SSA_XAUUSD!$O$2:$O$1000,"",0)</f>
        <v>4658.5207300000002</v>
      </c>
      <c r="N565">
        <f>_xlfn.XLOOKUP($A565,ALGLIB_SSA_XAUUSD!$J$2:$J$1000,ALGLIB_SSA_XAUUSD!$P$2:$P$1000,"",0)</f>
        <v>4662.5101800000002</v>
      </c>
      <c r="O565">
        <f>_xlfn.XLOOKUP($A565,ALGLIB_SSA_XAUUSD!$J$2:$J$1000,ALGLIB_SSA_XAUUSD!$Q$2:$Q$1000,"",0)</f>
        <v>4655.8455700000004</v>
      </c>
      <c r="R565">
        <f t="shared" si="88"/>
        <v>1775562900</v>
      </c>
      <c r="S565" t="str">
        <f t="shared" si="89"/>
        <v>XAUUSD</v>
      </c>
      <c r="T565" t="str">
        <f t="shared" si="90"/>
        <v>M5</v>
      </c>
      <c r="U565">
        <f t="shared" si="91"/>
        <v>4659.8100000000004</v>
      </c>
      <c r="V565">
        <v>4650.0396300000002</v>
      </c>
      <c r="W565">
        <v>4654.7201400000004</v>
      </c>
      <c r="X565">
        <v>4659.5374000000002</v>
      </c>
      <c r="Y565">
        <v>4658.5207300000002</v>
      </c>
      <c r="Z565">
        <f t="shared" si="92"/>
        <v>4668.6977183333338</v>
      </c>
      <c r="AA565">
        <f t="shared" si="93"/>
        <v>4662.5101800000002</v>
      </c>
      <c r="AB565">
        <f t="shared" si="94"/>
        <v>4636.9950433333333</v>
      </c>
      <c r="AC565">
        <f t="shared" si="95"/>
        <v>4655.8455700000004</v>
      </c>
      <c r="AF565">
        <f t="shared" si="96"/>
        <v>4659.5374000000002</v>
      </c>
      <c r="AG565">
        <f t="shared" si="97"/>
        <v>4668.6977183333338</v>
      </c>
      <c r="AH565">
        <f t="shared" si="98"/>
        <v>4636.9950433333333</v>
      </c>
    </row>
    <row r="566" spans="1:34" x14ac:dyDescent="0.55000000000000004">
      <c r="A566">
        <f>ALGLIB_SSA_XAUUSD!J566</f>
        <v>1775563200</v>
      </c>
      <c r="B566" t="str">
        <f>_xlfn.XLOOKUP($A566,ALGLIB_SSA_XAUUSD!$A$2:$A$1000,ALGLIB_SSA_XAUUSD!$B$2:$B$1000,"",0)</f>
        <v>XAUUSD</v>
      </c>
      <c r="C566" t="str">
        <f>_xlfn.XLOOKUP($A566,ALGLIB_SSA_XAUUSD!$A$2:$A$1000,ALGLIB_SSA_XAUUSD!$C$2:$C$1000,"",0)</f>
        <v>H1</v>
      </c>
      <c r="D566" s="2">
        <f>_xlfn.XLOOKUP($A566,ALGLIB_SSA_XAUUSD!$A$2:$A$1000,ALGLIB_SSA_XAUUSD!$D$2:$D$1000,"",0)</f>
        <v>4651.4799999999996</v>
      </c>
      <c r="E566" s="2">
        <f>_xlfn.XLOOKUP($A566,ALGLIB_SSA_XAUUSD!$A$2:$A$1000,ALGLIB_SSA_XAUUSD!$E$2:$E$1000,"",0)</f>
        <v>4649.4971299999997</v>
      </c>
      <c r="F566" s="2">
        <f>_xlfn.XLOOKUP($A566,ALGLIB_SSA_XAUUSD!$A$2:$A$1000,ALGLIB_SSA_XAUUSD!$F$2:$F$1000,"",0)</f>
        <v>4654.31837</v>
      </c>
      <c r="G566" s="2">
        <f>_xlfn.XLOOKUP($A566,ALGLIB_SSA_XAUUSD!$A$2:$A$1000,ALGLIB_SSA_XAUUSD!$G$2:$G$1000,"",0)</f>
        <v>4668.1805100000001</v>
      </c>
      <c r="H566" s="2">
        <f>_xlfn.XLOOKUP($A566,ALGLIB_SSA_XAUUSD!$A$2:$A$1000,ALGLIB_SSA_XAUUSD!$H$2:$H$1000,"",0)</f>
        <v>4636.55555</v>
      </c>
      <c r="I566" t="str">
        <f>_xlfn.XLOOKUP($A566,ALGLIB_SSA_XAUUSD!$J$2:$J$1000,ALGLIB_SSA_XAUUSD!$K$2:$K$1000,"",0)</f>
        <v>XAUUSD</v>
      </c>
      <c r="J566" t="str">
        <f>_xlfn.XLOOKUP($A566,ALGLIB_SSA_XAUUSD!$J$2:$J$1000,ALGLIB_SSA_XAUUSD!$L$2:$L$1000,"",0)</f>
        <v>M5</v>
      </c>
      <c r="K566">
        <f>_xlfn.XLOOKUP($A566,ALGLIB_SSA_XAUUSD!$J$2:$J$1000,ALGLIB_SSA_XAUUSD!$M$2:$M$1000,"",0)</f>
        <v>4658.07</v>
      </c>
      <c r="L566">
        <f>_xlfn.XLOOKUP($A566,ALGLIB_SSA_XAUUSD!$J$2:$J$1000,ALGLIB_SSA_XAUUSD!$N$2:$N$1000,"",0)</f>
        <v>4659.7477799999997</v>
      </c>
      <c r="M566">
        <f>_xlfn.XLOOKUP($A566,ALGLIB_SSA_XAUUSD!$J$2:$J$1000,ALGLIB_SSA_XAUUSD!$O$2:$O$1000,"",0)</f>
        <v>4659.1342599999998</v>
      </c>
      <c r="N566">
        <f>_xlfn.XLOOKUP($A566,ALGLIB_SSA_XAUUSD!$J$2:$J$1000,ALGLIB_SSA_XAUUSD!$P$2:$P$1000,"",0)</f>
        <v>4663.1141299999999</v>
      </c>
      <c r="O566">
        <f>_xlfn.XLOOKUP($A566,ALGLIB_SSA_XAUUSD!$J$2:$J$1000,ALGLIB_SSA_XAUUSD!$Q$2:$Q$1000,"",0)</f>
        <v>4655.9437500000004</v>
      </c>
      <c r="R566">
        <f t="shared" si="88"/>
        <v>1775563200</v>
      </c>
      <c r="S566" t="str">
        <f t="shared" si="89"/>
        <v>XAUUSD</v>
      </c>
      <c r="T566" t="str">
        <f t="shared" si="90"/>
        <v>M5</v>
      </c>
      <c r="U566">
        <f t="shared" si="91"/>
        <v>4658.07</v>
      </c>
      <c r="V566">
        <v>4649.4971299999997</v>
      </c>
      <c r="W566">
        <v>4654.31837</v>
      </c>
      <c r="X566">
        <v>4659.7477799999997</v>
      </c>
      <c r="Y566">
        <v>4659.1342599999998</v>
      </c>
      <c r="Z566">
        <f t="shared" si="92"/>
        <v>4668.1805100000001</v>
      </c>
      <c r="AA566">
        <f t="shared" si="93"/>
        <v>4663.1141299999999</v>
      </c>
      <c r="AB566">
        <f t="shared" si="94"/>
        <v>4636.55555</v>
      </c>
      <c r="AC566">
        <f t="shared" si="95"/>
        <v>4655.9437500000004</v>
      </c>
      <c r="AF566">
        <f t="shared" si="96"/>
        <v>4659.7477799999997</v>
      </c>
      <c r="AG566">
        <f t="shared" si="97"/>
        <v>4668.1805100000001</v>
      </c>
      <c r="AH566">
        <f t="shared" si="98"/>
        <v>4636.55555</v>
      </c>
    </row>
    <row r="567" spans="1:34" x14ac:dyDescent="0.55000000000000004">
      <c r="A567">
        <f>ALGLIB_SSA_XAUUSD!J567</f>
        <v>1775563500</v>
      </c>
      <c r="B567" t="str">
        <f>_xlfn.XLOOKUP($A567,ALGLIB_SSA_XAUUSD!$A$2:$A$1000,ALGLIB_SSA_XAUUSD!$B$2:$B$1000,"",0)</f>
        <v/>
      </c>
      <c r="C567" t="str">
        <f>_xlfn.XLOOKUP($A567,ALGLIB_SSA_XAUUSD!$A$2:$A$1000,ALGLIB_SSA_XAUUSD!$C$2:$C$1000,"",0)</f>
        <v/>
      </c>
      <c r="D567" s="1">
        <f>D566+(D578-D566)*1/12</f>
        <v>4650.8849999999993</v>
      </c>
      <c r="E567" s="1">
        <f>E566+(E578-E566)*1/12</f>
        <v>4649.0201933333328</v>
      </c>
      <c r="F567" s="1">
        <f>F566+(F578-F566)*1/12</f>
        <v>4653.8790166666668</v>
      </c>
      <c r="G567" s="1">
        <f>G566+(G578-G566)*1/12</f>
        <v>4667.657484166667</v>
      </c>
      <c r="H567" s="1">
        <f>H566+(H578-H566)*1/12</f>
        <v>4636.0903975000001</v>
      </c>
      <c r="I567" t="str">
        <f>_xlfn.XLOOKUP($A567,ALGLIB_SSA_XAUUSD!$J$2:$J$1000,ALGLIB_SSA_XAUUSD!$K$2:$K$1000,"",0)</f>
        <v>XAUUSD</v>
      </c>
      <c r="J567" t="str">
        <f>_xlfn.XLOOKUP($A567,ALGLIB_SSA_XAUUSD!$J$2:$J$1000,ALGLIB_SSA_XAUUSD!$L$2:$L$1000,"",0)</f>
        <v>M5</v>
      </c>
      <c r="K567">
        <f>_xlfn.XLOOKUP($A567,ALGLIB_SSA_XAUUSD!$J$2:$J$1000,ALGLIB_SSA_XAUUSD!$M$2:$M$1000,"",0)</f>
        <v>4656.12</v>
      </c>
      <c r="L567">
        <f>_xlfn.XLOOKUP($A567,ALGLIB_SSA_XAUUSD!$J$2:$J$1000,ALGLIB_SSA_XAUUSD!$N$2:$N$1000,"",0)</f>
        <v>4659.8872199999996</v>
      </c>
      <c r="M567">
        <f>_xlfn.XLOOKUP($A567,ALGLIB_SSA_XAUUSD!$J$2:$J$1000,ALGLIB_SSA_XAUUSD!$O$2:$O$1000,"",0)</f>
        <v>4659.5107399999997</v>
      </c>
      <c r="N567">
        <f>_xlfn.XLOOKUP($A567,ALGLIB_SSA_XAUUSD!$J$2:$J$1000,ALGLIB_SSA_XAUUSD!$P$2:$P$1000,"",0)</f>
        <v>4663.6419900000001</v>
      </c>
      <c r="O567">
        <f>_xlfn.XLOOKUP($A567,ALGLIB_SSA_XAUUSD!$J$2:$J$1000,ALGLIB_SSA_XAUUSD!$Q$2:$Q$1000,"",0)</f>
        <v>4655.8665899999996</v>
      </c>
      <c r="R567">
        <f t="shared" si="88"/>
        <v>1775563500</v>
      </c>
      <c r="S567" t="str">
        <f t="shared" si="89"/>
        <v>XAUUSD</v>
      </c>
      <c r="T567" t="str">
        <f t="shared" si="90"/>
        <v>M5</v>
      </c>
      <c r="U567">
        <f t="shared" si="91"/>
        <v>4656.12</v>
      </c>
      <c r="V567">
        <v>4649.0201900000002</v>
      </c>
      <c r="W567">
        <v>4653.8790200000003</v>
      </c>
      <c r="X567">
        <v>4659.8872199999996</v>
      </c>
      <c r="Y567">
        <v>4659.5107399999997</v>
      </c>
      <c r="Z567">
        <f t="shared" si="92"/>
        <v>4667.657484166667</v>
      </c>
      <c r="AA567">
        <f t="shared" si="93"/>
        <v>4663.6419900000001</v>
      </c>
      <c r="AB567">
        <f t="shared" si="94"/>
        <v>4636.0903975000001</v>
      </c>
      <c r="AC567">
        <f t="shared" si="95"/>
        <v>4655.8665899999996</v>
      </c>
      <c r="AF567">
        <f t="shared" si="96"/>
        <v>4659.8872199999996</v>
      </c>
      <c r="AG567">
        <f t="shared" si="97"/>
        <v>4667.657484166667</v>
      </c>
      <c r="AH567">
        <f t="shared" si="98"/>
        <v>4636.0903975000001</v>
      </c>
    </row>
    <row r="568" spans="1:34" x14ac:dyDescent="0.55000000000000004">
      <c r="A568">
        <f>ALGLIB_SSA_XAUUSD!J568</f>
        <v>1775563800</v>
      </c>
      <c r="B568" t="str">
        <f>_xlfn.XLOOKUP($A568,ALGLIB_SSA_XAUUSD!$A$2:$A$1000,ALGLIB_SSA_XAUUSD!$B$2:$B$1000,"",0)</f>
        <v/>
      </c>
      <c r="C568" t="str">
        <f>_xlfn.XLOOKUP($A568,ALGLIB_SSA_XAUUSD!$A$2:$A$1000,ALGLIB_SSA_XAUUSD!$C$2:$C$1000,"",0)</f>
        <v/>
      </c>
      <c r="D568" s="1">
        <f>D566+(D578-D566)*2/12</f>
        <v>4650.29</v>
      </c>
      <c r="E568" s="1">
        <f>E566+(E578-E566)*2/12</f>
        <v>4648.5432566666668</v>
      </c>
      <c r="F568" s="1">
        <f>F566+(F578-F566)*2/12</f>
        <v>4653.4396633333336</v>
      </c>
      <c r="G568" s="1">
        <f>G566+(G578-G566)*2/12</f>
        <v>4667.1344583333339</v>
      </c>
      <c r="H568" s="1">
        <f>H566+(H578-H566)*2/12</f>
        <v>4635.6252450000002</v>
      </c>
      <c r="I568" t="str">
        <f>_xlfn.XLOOKUP($A568,ALGLIB_SSA_XAUUSD!$J$2:$J$1000,ALGLIB_SSA_XAUUSD!$K$2:$K$1000,"",0)</f>
        <v>XAUUSD</v>
      </c>
      <c r="J568" t="str">
        <f>_xlfn.XLOOKUP($A568,ALGLIB_SSA_XAUUSD!$J$2:$J$1000,ALGLIB_SSA_XAUUSD!$L$2:$L$1000,"",0)</f>
        <v>M5</v>
      </c>
      <c r="K568">
        <f>_xlfn.XLOOKUP($A568,ALGLIB_SSA_XAUUSD!$J$2:$J$1000,ALGLIB_SSA_XAUUSD!$M$2:$M$1000,"",0)</f>
        <v>4655.16</v>
      </c>
      <c r="L568">
        <f>_xlfn.XLOOKUP($A568,ALGLIB_SSA_XAUUSD!$J$2:$J$1000,ALGLIB_SSA_XAUUSD!$N$2:$N$1000,"",0)</f>
        <v>4660.1567999999997</v>
      </c>
      <c r="M568">
        <f>_xlfn.XLOOKUP($A568,ALGLIB_SSA_XAUUSD!$J$2:$J$1000,ALGLIB_SSA_XAUUSD!$O$2:$O$1000,"",0)</f>
        <v>4659.8337700000002</v>
      </c>
      <c r="N568">
        <f>_xlfn.XLOOKUP($A568,ALGLIB_SSA_XAUUSD!$J$2:$J$1000,ALGLIB_SSA_XAUUSD!$P$2:$P$1000,"",0)</f>
        <v>4664.1448899999996</v>
      </c>
      <c r="O568">
        <f>_xlfn.XLOOKUP($A568,ALGLIB_SSA_XAUUSD!$J$2:$J$1000,ALGLIB_SSA_XAUUSD!$Q$2:$Q$1000,"",0)</f>
        <v>4655.9398899999997</v>
      </c>
      <c r="R568">
        <f t="shared" si="88"/>
        <v>1775563800</v>
      </c>
      <c r="S568" t="str">
        <f t="shared" si="89"/>
        <v>XAUUSD</v>
      </c>
      <c r="T568" t="str">
        <f t="shared" si="90"/>
        <v>M5</v>
      </c>
      <c r="U568">
        <f t="shared" si="91"/>
        <v>4655.16</v>
      </c>
      <c r="V568">
        <v>4648.5432600000004</v>
      </c>
      <c r="W568">
        <v>4653.43966</v>
      </c>
      <c r="X568">
        <v>4660.1567999999997</v>
      </c>
      <c r="Y568">
        <v>4659.8337700000002</v>
      </c>
      <c r="Z568">
        <f t="shared" si="92"/>
        <v>4667.1344583333339</v>
      </c>
      <c r="AA568">
        <f t="shared" si="93"/>
        <v>4664.1448899999996</v>
      </c>
      <c r="AB568">
        <f t="shared" si="94"/>
        <v>4635.6252450000002</v>
      </c>
      <c r="AC568">
        <f t="shared" si="95"/>
        <v>4655.9398899999997</v>
      </c>
      <c r="AF568">
        <f t="shared" si="96"/>
        <v>4660.1567999999997</v>
      </c>
      <c r="AG568">
        <f t="shared" si="97"/>
        <v>4667.1344583333339</v>
      </c>
      <c r="AH568">
        <f t="shared" si="98"/>
        <v>4635.6252450000002</v>
      </c>
    </row>
    <row r="569" spans="1:34" x14ac:dyDescent="0.55000000000000004">
      <c r="A569">
        <f>ALGLIB_SSA_XAUUSD!J569</f>
        <v>1775564100</v>
      </c>
      <c r="B569" t="str">
        <f>_xlfn.XLOOKUP($A569,ALGLIB_SSA_XAUUSD!$A$2:$A$1000,ALGLIB_SSA_XAUUSD!$B$2:$B$1000,"",0)</f>
        <v/>
      </c>
      <c r="C569" t="str">
        <f>_xlfn.XLOOKUP($A569,ALGLIB_SSA_XAUUSD!$A$2:$A$1000,ALGLIB_SSA_XAUUSD!$C$2:$C$1000,"",0)</f>
        <v/>
      </c>
      <c r="D569" s="1">
        <f>D566+(D578-D566)*3/12</f>
        <v>4649.6949999999997</v>
      </c>
      <c r="E569" s="1">
        <f>E566+(E578-E566)*3/12</f>
        <v>4648.0663199999999</v>
      </c>
      <c r="F569" s="1">
        <f>F566+(F578-F566)*3/12</f>
        <v>4653.0003099999994</v>
      </c>
      <c r="G569" s="1">
        <f>G566+(G578-G566)*3/12</f>
        <v>4666.6114324999999</v>
      </c>
      <c r="H569" s="1">
        <f>H566+(H578-H566)*3/12</f>
        <v>4635.1600925000002</v>
      </c>
      <c r="I569" t="str">
        <f>_xlfn.XLOOKUP($A569,ALGLIB_SSA_XAUUSD!$J$2:$J$1000,ALGLIB_SSA_XAUUSD!$K$2:$K$1000,"",0)</f>
        <v>XAUUSD</v>
      </c>
      <c r="J569" t="str">
        <f>_xlfn.XLOOKUP($A569,ALGLIB_SSA_XAUUSD!$J$2:$J$1000,ALGLIB_SSA_XAUUSD!$L$2:$L$1000,"",0)</f>
        <v>M5</v>
      </c>
      <c r="K569">
        <f>_xlfn.XLOOKUP($A569,ALGLIB_SSA_XAUUSD!$J$2:$J$1000,ALGLIB_SSA_XAUUSD!$M$2:$M$1000,"",0)</f>
        <v>4658.6000000000004</v>
      </c>
      <c r="L569">
        <f>_xlfn.XLOOKUP($A569,ALGLIB_SSA_XAUUSD!$J$2:$J$1000,ALGLIB_SSA_XAUUSD!$N$2:$N$1000,"",0)</f>
        <v>4660.6289800000004</v>
      </c>
      <c r="M569">
        <f>_xlfn.XLOOKUP($A569,ALGLIB_SSA_XAUUSD!$J$2:$J$1000,ALGLIB_SSA_XAUUSD!$O$2:$O$1000,"",0)</f>
        <v>4660.2313800000002</v>
      </c>
      <c r="N569">
        <f>_xlfn.XLOOKUP($A569,ALGLIB_SSA_XAUUSD!$J$2:$J$1000,ALGLIB_SSA_XAUUSD!$P$2:$P$1000,"",0)</f>
        <v>4664.8589400000001</v>
      </c>
      <c r="O569">
        <f>_xlfn.XLOOKUP($A569,ALGLIB_SSA_XAUUSD!$J$2:$J$1000,ALGLIB_SSA_XAUUSD!$Q$2:$Q$1000,"",0)</f>
        <v>4656.2596199999998</v>
      </c>
      <c r="R569">
        <f t="shared" si="88"/>
        <v>1775564100</v>
      </c>
      <c r="S569" t="str">
        <f t="shared" si="89"/>
        <v>XAUUSD</v>
      </c>
      <c r="T569" t="str">
        <f t="shared" si="90"/>
        <v>M5</v>
      </c>
      <c r="U569">
        <f t="shared" si="91"/>
        <v>4658.6000000000004</v>
      </c>
      <c r="V569">
        <v>4648.0663199999999</v>
      </c>
      <c r="W569">
        <v>4653.0003100000004</v>
      </c>
      <c r="X569">
        <v>4660.6289800000004</v>
      </c>
      <c r="Y569">
        <v>4660.2313800000002</v>
      </c>
      <c r="Z569">
        <f t="shared" si="92"/>
        <v>4666.6114324999999</v>
      </c>
      <c r="AA569">
        <f t="shared" si="93"/>
        <v>4664.8589400000001</v>
      </c>
      <c r="AB569">
        <f t="shared" si="94"/>
        <v>4635.1600925000002</v>
      </c>
      <c r="AC569">
        <f t="shared" si="95"/>
        <v>4656.2596199999998</v>
      </c>
      <c r="AF569">
        <f t="shared" si="96"/>
        <v>4660.6289800000004</v>
      </c>
      <c r="AG569">
        <f t="shared" si="97"/>
        <v>4666.6114324999999</v>
      </c>
      <c r="AH569">
        <f t="shared" si="98"/>
        <v>4635.1600925000002</v>
      </c>
    </row>
    <row r="570" spans="1:34" x14ac:dyDescent="0.55000000000000004">
      <c r="A570">
        <f>ALGLIB_SSA_XAUUSD!J570</f>
        <v>1775564400</v>
      </c>
      <c r="B570" t="str">
        <f>_xlfn.XLOOKUP($A570,ALGLIB_SSA_XAUUSD!$A$2:$A$1000,ALGLIB_SSA_XAUUSD!$B$2:$B$1000,"",0)</f>
        <v/>
      </c>
      <c r="C570" t="str">
        <f>_xlfn.XLOOKUP($A570,ALGLIB_SSA_XAUUSD!$A$2:$A$1000,ALGLIB_SSA_XAUUSD!$C$2:$C$1000,"",0)</f>
        <v/>
      </c>
      <c r="D570" s="1">
        <f>D566+(D578-D566)*4/12</f>
        <v>4649.0999999999995</v>
      </c>
      <c r="E570" s="1">
        <f>E566+(E578-E566)*4/12</f>
        <v>4647.589383333333</v>
      </c>
      <c r="F570" s="1">
        <f>F566+(F578-F566)*4/12</f>
        <v>4652.5609566666662</v>
      </c>
      <c r="G570" s="1">
        <f>G566+(G578-G566)*4/12</f>
        <v>4666.0884066666667</v>
      </c>
      <c r="H570" s="1">
        <f>H566+(H578-H566)*4/12</f>
        <v>4634.6949400000003</v>
      </c>
      <c r="I570" t="str">
        <f>_xlfn.XLOOKUP($A570,ALGLIB_SSA_XAUUSD!$J$2:$J$1000,ALGLIB_SSA_XAUUSD!$K$2:$K$1000,"",0)</f>
        <v>XAUUSD</v>
      </c>
      <c r="J570" t="str">
        <f>_xlfn.XLOOKUP($A570,ALGLIB_SSA_XAUUSD!$J$2:$J$1000,ALGLIB_SSA_XAUUSD!$L$2:$L$1000,"",0)</f>
        <v>M5</v>
      </c>
      <c r="K570">
        <f>_xlfn.XLOOKUP($A570,ALGLIB_SSA_XAUUSD!$J$2:$J$1000,ALGLIB_SSA_XAUUSD!$M$2:$M$1000,"",0)</f>
        <v>4666.75</v>
      </c>
      <c r="L570">
        <f>_xlfn.XLOOKUP($A570,ALGLIB_SSA_XAUUSD!$J$2:$J$1000,ALGLIB_SSA_XAUUSD!$N$2:$N$1000,"",0)</f>
        <v>4661.1045999999997</v>
      </c>
      <c r="M570">
        <f>_xlfn.XLOOKUP($A570,ALGLIB_SSA_XAUUSD!$J$2:$J$1000,ALGLIB_SSA_XAUUSD!$O$2:$O$1000,"",0)</f>
        <v>4660.6679899999999</v>
      </c>
      <c r="N570">
        <f>_xlfn.XLOOKUP($A570,ALGLIB_SSA_XAUUSD!$J$2:$J$1000,ALGLIB_SSA_XAUUSD!$P$2:$P$1000,"",0)</f>
        <v>4665.5620500000005</v>
      </c>
      <c r="O570">
        <f>_xlfn.XLOOKUP($A570,ALGLIB_SSA_XAUUSD!$J$2:$J$1000,ALGLIB_SSA_XAUUSD!$Q$2:$Q$1000,"",0)</f>
        <v>4656.7841399999998</v>
      </c>
      <c r="R570">
        <f t="shared" si="88"/>
        <v>1775564400</v>
      </c>
      <c r="S570" t="str">
        <f t="shared" si="89"/>
        <v>XAUUSD</v>
      </c>
      <c r="T570" t="str">
        <f t="shared" si="90"/>
        <v>M5</v>
      </c>
      <c r="U570">
        <f t="shared" si="91"/>
        <v>4666.75</v>
      </c>
      <c r="V570">
        <v>4647.5893800000003</v>
      </c>
      <c r="W570">
        <v>4652.5609599999998</v>
      </c>
      <c r="X570">
        <v>4661.1045999999997</v>
      </c>
      <c r="Y570">
        <v>4660.6679899999999</v>
      </c>
      <c r="Z570">
        <f t="shared" si="92"/>
        <v>4666.0884066666667</v>
      </c>
      <c r="AA570">
        <f t="shared" si="93"/>
        <v>4665.5620500000005</v>
      </c>
      <c r="AB570">
        <f t="shared" si="94"/>
        <v>4634.6949400000003</v>
      </c>
      <c r="AC570">
        <f t="shared" si="95"/>
        <v>4656.7841399999998</v>
      </c>
      <c r="AF570">
        <f t="shared" si="96"/>
        <v>4661.1045999999997</v>
      </c>
      <c r="AG570">
        <f t="shared" si="97"/>
        <v>4666.0884066666667</v>
      </c>
      <c r="AH570">
        <f t="shared" si="98"/>
        <v>4634.6949400000003</v>
      </c>
    </row>
    <row r="571" spans="1:34" x14ac:dyDescent="0.55000000000000004">
      <c r="A571">
        <f>ALGLIB_SSA_XAUUSD!J571</f>
        <v>1775564700</v>
      </c>
      <c r="B571" t="str">
        <f>_xlfn.XLOOKUP($A571,ALGLIB_SSA_XAUUSD!$A$2:$A$1000,ALGLIB_SSA_XAUUSD!$B$2:$B$1000,"",0)</f>
        <v/>
      </c>
      <c r="C571" t="str">
        <f>_xlfn.XLOOKUP($A571,ALGLIB_SSA_XAUUSD!$A$2:$A$1000,ALGLIB_SSA_XAUUSD!$C$2:$C$1000,"",0)</f>
        <v/>
      </c>
      <c r="D571" s="1">
        <f>D566+(D578-D566)*5/12</f>
        <v>4648.5050000000001</v>
      </c>
      <c r="E571" s="1">
        <f>E566+(E578-E566)*5/12</f>
        <v>4647.112446666667</v>
      </c>
      <c r="F571" s="1">
        <f>F566+(F578-F566)*5/12</f>
        <v>4652.121603333333</v>
      </c>
      <c r="G571" s="1">
        <f>G566+(G578-G566)*5/12</f>
        <v>4665.5653808333336</v>
      </c>
      <c r="H571" s="1">
        <f>H566+(H578-H566)*5/12</f>
        <v>4634.2297875000004</v>
      </c>
      <c r="I571" t="str">
        <f>_xlfn.XLOOKUP($A571,ALGLIB_SSA_XAUUSD!$J$2:$J$1000,ALGLIB_SSA_XAUUSD!$K$2:$K$1000,"",0)</f>
        <v>XAUUSD</v>
      </c>
      <c r="J571" t="str">
        <f>_xlfn.XLOOKUP($A571,ALGLIB_SSA_XAUUSD!$J$2:$J$1000,ALGLIB_SSA_XAUUSD!$L$2:$L$1000,"",0)</f>
        <v>M5</v>
      </c>
      <c r="K571">
        <f>_xlfn.XLOOKUP($A571,ALGLIB_SSA_XAUUSD!$J$2:$J$1000,ALGLIB_SSA_XAUUSD!$M$2:$M$1000,"",0)</f>
        <v>4665.6899999999996</v>
      </c>
      <c r="L571">
        <f>_xlfn.XLOOKUP($A571,ALGLIB_SSA_XAUUSD!$J$2:$J$1000,ALGLIB_SSA_XAUUSD!$N$2:$N$1000,"",0)</f>
        <v>4661.1839200000004</v>
      </c>
      <c r="M571">
        <f>_xlfn.XLOOKUP($A571,ALGLIB_SSA_XAUUSD!$J$2:$J$1000,ALGLIB_SSA_XAUUSD!$O$2:$O$1000,"",0)</f>
        <v>4660.9259499999998</v>
      </c>
      <c r="N571">
        <f>_xlfn.XLOOKUP($A571,ALGLIB_SSA_XAUUSD!$J$2:$J$1000,ALGLIB_SSA_XAUUSD!$P$2:$P$1000,"",0)</f>
        <v>4665.9031100000002</v>
      </c>
      <c r="O571">
        <f>_xlfn.XLOOKUP($A571,ALGLIB_SSA_XAUUSD!$J$2:$J$1000,ALGLIB_SSA_XAUUSD!$Q$2:$Q$1000,"",0)</f>
        <v>4657.1785</v>
      </c>
      <c r="R571">
        <f t="shared" si="88"/>
        <v>1775564700</v>
      </c>
      <c r="S571" t="str">
        <f t="shared" si="89"/>
        <v>XAUUSD</v>
      </c>
      <c r="T571" t="str">
        <f t="shared" si="90"/>
        <v>M5</v>
      </c>
      <c r="U571">
        <f t="shared" si="91"/>
        <v>4665.6899999999996</v>
      </c>
      <c r="V571">
        <v>4647.1124499999996</v>
      </c>
      <c r="W571">
        <v>4652.1216000000004</v>
      </c>
      <c r="X571">
        <v>4661.1839200000004</v>
      </c>
      <c r="Y571">
        <v>4660.9259499999998</v>
      </c>
      <c r="Z571">
        <f t="shared" si="92"/>
        <v>4665.5653808333336</v>
      </c>
      <c r="AA571">
        <f t="shared" si="93"/>
        <v>4665.9031100000002</v>
      </c>
      <c r="AB571">
        <f t="shared" si="94"/>
        <v>4634.2297875000004</v>
      </c>
      <c r="AC571">
        <f t="shared" si="95"/>
        <v>4657.1785</v>
      </c>
      <c r="AF571">
        <f t="shared" si="96"/>
        <v>4661.1839200000004</v>
      </c>
      <c r="AG571">
        <f t="shared" si="97"/>
        <v>4665.5653808333336</v>
      </c>
      <c r="AH571">
        <f t="shared" si="98"/>
        <v>4634.2297875000004</v>
      </c>
    </row>
    <row r="572" spans="1:34" x14ac:dyDescent="0.55000000000000004">
      <c r="A572">
        <f>ALGLIB_SSA_XAUUSD!J572</f>
        <v>1775565000</v>
      </c>
      <c r="B572" t="str">
        <f>_xlfn.XLOOKUP($A572,ALGLIB_SSA_XAUUSD!$A$2:$A$1000,ALGLIB_SSA_XAUUSD!$B$2:$B$1000,"",0)</f>
        <v/>
      </c>
      <c r="C572" t="str">
        <f>_xlfn.XLOOKUP($A572,ALGLIB_SSA_XAUUSD!$A$2:$A$1000,ALGLIB_SSA_XAUUSD!$C$2:$C$1000,"",0)</f>
        <v/>
      </c>
      <c r="D572" s="1">
        <f>D566+(D578-D566)*6/12</f>
        <v>4647.91</v>
      </c>
      <c r="E572" s="1">
        <f>E566+(E578-E566)*6/12</f>
        <v>4646.6355100000001</v>
      </c>
      <c r="F572" s="1">
        <f>F566+(F578-F566)*6/12</f>
        <v>4651.6822499999998</v>
      </c>
      <c r="G572" s="1">
        <f>G566+(G578-G566)*6/12</f>
        <v>4665.0423549999996</v>
      </c>
      <c r="H572" s="1">
        <f>H566+(H578-H566)*6/12</f>
        <v>4633.7646349999995</v>
      </c>
      <c r="I572" t="str">
        <f>_xlfn.XLOOKUP($A572,ALGLIB_SSA_XAUUSD!$J$2:$J$1000,ALGLIB_SSA_XAUUSD!$K$2:$K$1000,"",0)</f>
        <v>XAUUSD</v>
      </c>
      <c r="J572" t="str">
        <f>_xlfn.XLOOKUP($A572,ALGLIB_SSA_XAUUSD!$J$2:$J$1000,ALGLIB_SSA_XAUUSD!$L$2:$L$1000,"",0)</f>
        <v>M5</v>
      </c>
      <c r="K572">
        <f>_xlfn.XLOOKUP($A572,ALGLIB_SSA_XAUUSD!$J$2:$J$1000,ALGLIB_SSA_XAUUSD!$M$2:$M$1000,"",0)</f>
        <v>4661.04</v>
      </c>
      <c r="L572">
        <f>_xlfn.XLOOKUP($A572,ALGLIB_SSA_XAUUSD!$J$2:$J$1000,ALGLIB_SSA_XAUUSD!$N$2:$N$1000,"",0)</f>
        <v>4660.7092199999997</v>
      </c>
      <c r="M572">
        <f>_xlfn.XLOOKUP($A572,ALGLIB_SSA_XAUUSD!$J$2:$J$1000,ALGLIB_SSA_XAUUSD!$O$2:$O$1000,"",0)</f>
        <v>4660.8175899999997</v>
      </c>
      <c r="N572">
        <f>_xlfn.XLOOKUP($A572,ALGLIB_SSA_XAUUSD!$J$2:$J$1000,ALGLIB_SSA_XAUUSD!$P$2:$P$1000,"",0)</f>
        <v>4665.7553900000003</v>
      </c>
      <c r="O572">
        <f>_xlfn.XLOOKUP($A572,ALGLIB_SSA_XAUUSD!$J$2:$J$1000,ALGLIB_SSA_XAUUSD!$Q$2:$Q$1000,"",0)</f>
        <v>4657.0327500000003</v>
      </c>
      <c r="R572">
        <f t="shared" si="88"/>
        <v>1775565000</v>
      </c>
      <c r="S572" t="str">
        <f t="shared" si="89"/>
        <v>XAUUSD</v>
      </c>
      <c r="T572" t="str">
        <f t="shared" si="90"/>
        <v>M5</v>
      </c>
      <c r="U572">
        <f t="shared" si="91"/>
        <v>4661.04</v>
      </c>
      <c r="V572">
        <v>4646.6355100000001</v>
      </c>
      <c r="W572">
        <v>4651.6822499999998</v>
      </c>
      <c r="X572">
        <v>4660.7092199999997</v>
      </c>
      <c r="Y572">
        <v>4660.8175899999997</v>
      </c>
      <c r="Z572">
        <f t="shared" si="92"/>
        <v>4665.0423549999996</v>
      </c>
      <c r="AA572">
        <f t="shared" si="93"/>
        <v>4665.7553900000003</v>
      </c>
      <c r="AB572">
        <f t="shared" si="94"/>
        <v>4633.7646349999995</v>
      </c>
      <c r="AC572">
        <f t="shared" si="95"/>
        <v>4657.0327500000003</v>
      </c>
      <c r="AF572">
        <f t="shared" si="96"/>
        <v>4660.7092199999997</v>
      </c>
      <c r="AG572">
        <f t="shared" si="97"/>
        <v>4665.0423549999996</v>
      </c>
      <c r="AH572">
        <f t="shared" si="98"/>
        <v>4633.7646349999995</v>
      </c>
    </row>
    <row r="573" spans="1:34" x14ac:dyDescent="0.55000000000000004">
      <c r="A573">
        <f>ALGLIB_SSA_XAUUSD!J573</f>
        <v>1775565300</v>
      </c>
      <c r="B573" t="str">
        <f>_xlfn.XLOOKUP($A573,ALGLIB_SSA_XAUUSD!$A$2:$A$1000,ALGLIB_SSA_XAUUSD!$B$2:$B$1000,"",0)</f>
        <v/>
      </c>
      <c r="C573" t="str">
        <f>_xlfn.XLOOKUP($A573,ALGLIB_SSA_XAUUSD!$A$2:$A$1000,ALGLIB_SSA_XAUUSD!$C$2:$C$1000,"",0)</f>
        <v/>
      </c>
      <c r="D573" s="1">
        <f>D566+(D578-D566)*7/12</f>
        <v>4647.3149999999996</v>
      </c>
      <c r="E573" s="1">
        <f>E566+(E578-E566)*7/12</f>
        <v>4646.1585733333332</v>
      </c>
      <c r="F573" s="1">
        <f>F566+(F578-F566)*7/12</f>
        <v>4651.2428966666666</v>
      </c>
      <c r="G573" s="1">
        <f>G566+(G578-G566)*7/12</f>
        <v>4664.5193291666665</v>
      </c>
      <c r="H573" s="1">
        <f>H566+(H578-H566)*7/12</f>
        <v>4633.2994824999996</v>
      </c>
      <c r="I573" t="str">
        <f>_xlfn.XLOOKUP($A573,ALGLIB_SSA_XAUUSD!$J$2:$J$1000,ALGLIB_SSA_XAUUSD!$K$2:$K$1000,"",0)</f>
        <v>XAUUSD</v>
      </c>
      <c r="J573" t="str">
        <f>_xlfn.XLOOKUP($A573,ALGLIB_SSA_XAUUSD!$J$2:$J$1000,ALGLIB_SSA_XAUUSD!$L$2:$L$1000,"",0)</f>
        <v>M5</v>
      </c>
      <c r="K573">
        <f>_xlfn.XLOOKUP($A573,ALGLIB_SSA_XAUUSD!$J$2:$J$1000,ALGLIB_SSA_XAUUSD!$M$2:$M$1000,"",0)</f>
        <v>4663.34</v>
      </c>
      <c r="L573">
        <f>_xlfn.XLOOKUP($A573,ALGLIB_SSA_XAUUSD!$J$2:$J$1000,ALGLIB_SSA_XAUUSD!$N$2:$N$1000,"",0)</f>
        <v>4659.69092</v>
      </c>
      <c r="M573">
        <f>_xlfn.XLOOKUP($A573,ALGLIB_SSA_XAUUSD!$J$2:$J$1000,ALGLIB_SSA_XAUUSD!$O$2:$O$1000,"",0)</f>
        <v>4660.25425</v>
      </c>
      <c r="N573">
        <f>_xlfn.XLOOKUP($A573,ALGLIB_SSA_XAUUSD!$J$2:$J$1000,ALGLIB_SSA_XAUUSD!$P$2:$P$1000,"",0)</f>
        <v>4665.0103200000003</v>
      </c>
      <c r="O573">
        <f>_xlfn.XLOOKUP($A573,ALGLIB_SSA_XAUUSD!$J$2:$J$1000,ALGLIB_SSA_XAUUSD!$Q$2:$Q$1000,"",0)</f>
        <v>4656.2882</v>
      </c>
      <c r="R573">
        <f t="shared" si="88"/>
        <v>1775565300</v>
      </c>
      <c r="S573" t="str">
        <f t="shared" si="89"/>
        <v>XAUUSD</v>
      </c>
      <c r="T573" t="str">
        <f t="shared" si="90"/>
        <v>M5</v>
      </c>
      <c r="U573">
        <f t="shared" si="91"/>
        <v>4663.34</v>
      </c>
      <c r="V573">
        <v>4646.1585699999996</v>
      </c>
      <c r="W573">
        <v>4651.2429000000002</v>
      </c>
      <c r="X573">
        <v>4659.69092</v>
      </c>
      <c r="Y573">
        <v>4660.25425</v>
      </c>
      <c r="Z573">
        <f t="shared" si="92"/>
        <v>4664.5193291666665</v>
      </c>
      <c r="AA573">
        <f t="shared" si="93"/>
        <v>4665.0103200000003</v>
      </c>
      <c r="AB573">
        <f t="shared" si="94"/>
        <v>4633.2994824999996</v>
      </c>
      <c r="AC573">
        <f t="shared" si="95"/>
        <v>4656.2882</v>
      </c>
      <c r="AF573">
        <f t="shared" si="96"/>
        <v>4659.69092</v>
      </c>
      <c r="AG573">
        <f t="shared" si="97"/>
        <v>4664.5193291666665</v>
      </c>
      <c r="AH573">
        <f t="shared" si="98"/>
        <v>4633.2994824999996</v>
      </c>
    </row>
    <row r="574" spans="1:34" x14ac:dyDescent="0.55000000000000004">
      <c r="A574">
        <f>ALGLIB_SSA_XAUUSD!J574</f>
        <v>1775565600</v>
      </c>
      <c r="B574" t="str">
        <f>_xlfn.XLOOKUP($A574,ALGLIB_SSA_XAUUSD!$A$2:$A$1000,ALGLIB_SSA_XAUUSD!$B$2:$B$1000,"",0)</f>
        <v/>
      </c>
      <c r="C574" t="str">
        <f>_xlfn.XLOOKUP($A574,ALGLIB_SSA_XAUUSD!$A$2:$A$1000,ALGLIB_SSA_XAUUSD!$C$2:$C$1000,"",0)</f>
        <v/>
      </c>
      <c r="D574" s="1">
        <f>D566+(D578-D566)*8/12</f>
        <v>4646.72</v>
      </c>
      <c r="E574" s="1">
        <f>E566+(E578-E566)*8/12</f>
        <v>4645.6816366666671</v>
      </c>
      <c r="F574" s="1">
        <f>F566+(F578-F566)*8/12</f>
        <v>4650.8035433333334</v>
      </c>
      <c r="G574" s="1">
        <f>G566+(G578-G566)*8/12</f>
        <v>4663.9963033333333</v>
      </c>
      <c r="H574" s="1">
        <f>H566+(H578-H566)*8/12</f>
        <v>4632.8343299999997</v>
      </c>
      <c r="I574" t="str">
        <f>_xlfn.XLOOKUP($A574,ALGLIB_SSA_XAUUSD!$J$2:$J$1000,ALGLIB_SSA_XAUUSD!$K$2:$K$1000,"",0)</f>
        <v>XAUUSD</v>
      </c>
      <c r="J574" t="str">
        <f>_xlfn.XLOOKUP($A574,ALGLIB_SSA_XAUUSD!$J$2:$J$1000,ALGLIB_SSA_XAUUSD!$L$2:$L$1000,"",0)</f>
        <v>M5</v>
      </c>
      <c r="K574">
        <f>_xlfn.XLOOKUP($A574,ALGLIB_SSA_XAUUSD!$J$2:$J$1000,ALGLIB_SSA_XAUUSD!$M$2:$M$1000,"",0)</f>
        <v>4656.8900000000003</v>
      </c>
      <c r="L574">
        <f>_xlfn.XLOOKUP($A574,ALGLIB_SSA_XAUUSD!$J$2:$J$1000,ALGLIB_SSA_XAUUSD!$N$2:$N$1000,"",0)</f>
        <v>4658.0845600000002</v>
      </c>
      <c r="M574">
        <f>_xlfn.XLOOKUP($A574,ALGLIB_SSA_XAUUSD!$J$2:$J$1000,ALGLIB_SSA_XAUUSD!$O$2:$O$1000,"",0)</f>
        <v>4659.1694100000004</v>
      </c>
      <c r="N574">
        <f>_xlfn.XLOOKUP($A574,ALGLIB_SSA_XAUUSD!$J$2:$J$1000,ALGLIB_SSA_XAUUSD!$P$2:$P$1000,"",0)</f>
        <v>4663.6982900000003</v>
      </c>
      <c r="O574">
        <f>_xlfn.XLOOKUP($A574,ALGLIB_SSA_XAUUSD!$J$2:$J$1000,ALGLIB_SSA_XAUUSD!$Q$2:$Q$1000,"",0)</f>
        <v>4654.9562900000001</v>
      </c>
      <c r="R574">
        <f t="shared" si="88"/>
        <v>1775565600</v>
      </c>
      <c r="S574" t="str">
        <f t="shared" si="89"/>
        <v>XAUUSD</v>
      </c>
      <c r="T574" t="str">
        <f t="shared" si="90"/>
        <v>M5</v>
      </c>
      <c r="U574">
        <f t="shared" si="91"/>
        <v>4656.8900000000003</v>
      </c>
      <c r="V574">
        <v>4645.6816399999998</v>
      </c>
      <c r="W574">
        <v>4650.8035399999999</v>
      </c>
      <c r="X574">
        <v>4658.0845600000002</v>
      </c>
      <c r="Y574">
        <v>4659.1694100000004</v>
      </c>
      <c r="Z574">
        <f t="shared" si="92"/>
        <v>4663.9963033333333</v>
      </c>
      <c r="AA574">
        <f t="shared" si="93"/>
        <v>4663.6982900000003</v>
      </c>
      <c r="AB574">
        <f t="shared" si="94"/>
        <v>4632.8343299999997</v>
      </c>
      <c r="AC574">
        <f t="shared" si="95"/>
        <v>4654.9562900000001</v>
      </c>
      <c r="AF574">
        <f t="shared" si="96"/>
        <v>4658.0845600000002</v>
      </c>
      <c r="AG574">
        <f t="shared" si="97"/>
        <v>4663.9963033333333</v>
      </c>
      <c r="AH574">
        <f t="shared" si="98"/>
        <v>4632.8343299999997</v>
      </c>
    </row>
    <row r="575" spans="1:34" x14ac:dyDescent="0.55000000000000004">
      <c r="A575">
        <f>ALGLIB_SSA_XAUUSD!J575</f>
        <v>1775565900</v>
      </c>
      <c r="B575" t="str">
        <f>_xlfn.XLOOKUP($A575,ALGLIB_SSA_XAUUSD!$A$2:$A$1000,ALGLIB_SSA_XAUUSD!$B$2:$B$1000,"",0)</f>
        <v/>
      </c>
      <c r="C575" t="str">
        <f>_xlfn.XLOOKUP($A575,ALGLIB_SSA_XAUUSD!$A$2:$A$1000,ALGLIB_SSA_XAUUSD!$C$2:$C$1000,"",0)</f>
        <v/>
      </c>
      <c r="D575" s="1">
        <f>D566+(D578-D566)*9/12</f>
        <v>4646.125</v>
      </c>
      <c r="E575" s="1">
        <f>E566+(E578-E566)*9/12</f>
        <v>4645.2047000000002</v>
      </c>
      <c r="F575" s="1">
        <f>F566+(F578-F566)*9/12</f>
        <v>4650.3641900000002</v>
      </c>
      <c r="G575" s="1">
        <f>G566+(G578-G566)*9/12</f>
        <v>4663.4732775000002</v>
      </c>
      <c r="H575" s="1">
        <f>H566+(H578-H566)*9/12</f>
        <v>4632.3691774999998</v>
      </c>
      <c r="I575" t="str">
        <f>_xlfn.XLOOKUP($A575,ALGLIB_SSA_XAUUSD!$J$2:$J$1000,ALGLIB_SSA_XAUUSD!$K$2:$K$1000,"",0)</f>
        <v>XAUUSD</v>
      </c>
      <c r="J575" t="str">
        <f>_xlfn.XLOOKUP($A575,ALGLIB_SSA_XAUUSD!$J$2:$J$1000,ALGLIB_SSA_XAUUSD!$L$2:$L$1000,"",0)</f>
        <v>M5</v>
      </c>
      <c r="K575">
        <f>_xlfn.XLOOKUP($A575,ALGLIB_SSA_XAUUSD!$J$2:$J$1000,ALGLIB_SSA_XAUUSD!$M$2:$M$1000,"",0)</f>
        <v>4648.6400000000003</v>
      </c>
      <c r="L575">
        <f>_xlfn.XLOOKUP($A575,ALGLIB_SSA_XAUUSD!$J$2:$J$1000,ALGLIB_SSA_XAUUSD!$N$2:$N$1000,"",0)</f>
        <v>4656.2162500000004</v>
      </c>
      <c r="M575">
        <f>_xlfn.XLOOKUP($A575,ALGLIB_SSA_XAUUSD!$J$2:$J$1000,ALGLIB_SSA_XAUUSD!$O$2:$O$1000,"",0)</f>
        <v>4657.69283</v>
      </c>
      <c r="N575">
        <f>_xlfn.XLOOKUP($A575,ALGLIB_SSA_XAUUSD!$J$2:$J$1000,ALGLIB_SSA_XAUUSD!$P$2:$P$1000,"",0)</f>
        <v>4661.9000100000003</v>
      </c>
      <c r="O575">
        <f>_xlfn.XLOOKUP($A575,ALGLIB_SSA_XAUUSD!$J$2:$J$1000,ALGLIB_SSA_XAUUSD!$Q$2:$Q$1000,"",0)</f>
        <v>4653.1912300000004</v>
      </c>
      <c r="R575">
        <f t="shared" si="88"/>
        <v>1775565900</v>
      </c>
      <c r="S575" t="str">
        <f t="shared" si="89"/>
        <v>XAUUSD</v>
      </c>
      <c r="T575" t="str">
        <f t="shared" si="90"/>
        <v>M5</v>
      </c>
      <c r="U575">
        <f t="shared" si="91"/>
        <v>4648.6400000000003</v>
      </c>
      <c r="V575">
        <v>4645.2047000000002</v>
      </c>
      <c r="W575">
        <v>4650.3641900000002</v>
      </c>
      <c r="X575">
        <v>4656.2162500000004</v>
      </c>
      <c r="Y575">
        <v>4657.69283</v>
      </c>
      <c r="Z575">
        <f t="shared" si="92"/>
        <v>4663.4732775000002</v>
      </c>
      <c r="AA575">
        <f t="shared" si="93"/>
        <v>4661.9000100000003</v>
      </c>
      <c r="AB575">
        <f t="shared" si="94"/>
        <v>4632.3691774999998</v>
      </c>
      <c r="AC575">
        <f t="shared" si="95"/>
        <v>4653.1912300000004</v>
      </c>
      <c r="AF575">
        <f t="shared" si="96"/>
        <v>4656.2162500000004</v>
      </c>
      <c r="AG575">
        <f t="shared" si="97"/>
        <v>4663.4732775000002</v>
      </c>
      <c r="AH575">
        <f t="shared" si="98"/>
        <v>4632.3691774999998</v>
      </c>
    </row>
    <row r="576" spans="1:34" x14ac:dyDescent="0.55000000000000004">
      <c r="A576">
        <f>ALGLIB_SSA_XAUUSD!J576</f>
        <v>1775566200</v>
      </c>
      <c r="B576" t="str">
        <f>_xlfn.XLOOKUP($A576,ALGLIB_SSA_XAUUSD!$A$2:$A$1000,ALGLIB_SSA_XAUUSD!$B$2:$B$1000,"",0)</f>
        <v/>
      </c>
      <c r="C576" t="str">
        <f>_xlfn.XLOOKUP($A576,ALGLIB_SSA_XAUUSD!$A$2:$A$1000,ALGLIB_SSA_XAUUSD!$C$2:$C$1000,"",0)</f>
        <v/>
      </c>
      <c r="D576" s="1">
        <f>D566+(D578-D566)*10/12</f>
        <v>4645.53</v>
      </c>
      <c r="E576" s="1">
        <f>E566+(E578-E566)*10/12</f>
        <v>4644.7277633333333</v>
      </c>
      <c r="F576" s="1">
        <f>F566+(F578-F566)*10/12</f>
        <v>4649.9248366666661</v>
      </c>
      <c r="G576" s="1">
        <f>G566+(G578-G566)*10/12</f>
        <v>4662.9502516666671</v>
      </c>
      <c r="H576" s="1">
        <f>H566+(H578-H566)*10/12</f>
        <v>4631.9040249999998</v>
      </c>
      <c r="I576" t="str">
        <f>_xlfn.XLOOKUP($A576,ALGLIB_SSA_XAUUSD!$J$2:$J$1000,ALGLIB_SSA_XAUUSD!$K$2:$K$1000,"",0)</f>
        <v>XAUUSD</v>
      </c>
      <c r="J576" t="str">
        <f>_xlfn.XLOOKUP($A576,ALGLIB_SSA_XAUUSD!$J$2:$J$1000,ALGLIB_SSA_XAUUSD!$L$2:$L$1000,"",0)</f>
        <v>M5</v>
      </c>
      <c r="K576">
        <f>_xlfn.XLOOKUP($A576,ALGLIB_SSA_XAUUSD!$J$2:$J$1000,ALGLIB_SSA_XAUUSD!$M$2:$M$1000,"",0)</f>
        <v>4654.3999999999996</v>
      </c>
      <c r="L576">
        <f>_xlfn.XLOOKUP($A576,ALGLIB_SSA_XAUUSD!$J$2:$J$1000,ALGLIB_SSA_XAUUSD!$N$2:$N$1000,"",0)</f>
        <v>4654.5732099999996</v>
      </c>
      <c r="M576">
        <f>_xlfn.XLOOKUP($A576,ALGLIB_SSA_XAUUSD!$J$2:$J$1000,ALGLIB_SSA_XAUUSD!$O$2:$O$1000,"",0)</f>
        <v>4656.1330200000002</v>
      </c>
      <c r="N576">
        <f>_xlfn.XLOOKUP($A576,ALGLIB_SSA_XAUUSD!$J$2:$J$1000,ALGLIB_SSA_XAUUSD!$P$2:$P$1000,"",0)</f>
        <v>4660.0497400000004</v>
      </c>
      <c r="O576">
        <f>_xlfn.XLOOKUP($A576,ALGLIB_SSA_XAUUSD!$J$2:$J$1000,ALGLIB_SSA_XAUUSD!$Q$2:$Q$1000,"",0)</f>
        <v>4651.4445299999998</v>
      </c>
      <c r="R576">
        <f t="shared" si="88"/>
        <v>1775566200</v>
      </c>
      <c r="S576" t="str">
        <f t="shared" si="89"/>
        <v>XAUUSD</v>
      </c>
      <c r="T576" t="str">
        <f t="shared" si="90"/>
        <v>M5</v>
      </c>
      <c r="U576">
        <f t="shared" si="91"/>
        <v>4654.3999999999996</v>
      </c>
      <c r="V576">
        <v>4644.7277599999998</v>
      </c>
      <c r="W576">
        <v>4649.9248399999997</v>
      </c>
      <c r="X576">
        <v>4654.5732099999996</v>
      </c>
      <c r="Y576">
        <v>4656.1330200000002</v>
      </c>
      <c r="Z576">
        <f t="shared" si="92"/>
        <v>4662.9502516666671</v>
      </c>
      <c r="AA576">
        <f t="shared" si="93"/>
        <v>4660.0497400000004</v>
      </c>
      <c r="AB576">
        <f t="shared" si="94"/>
        <v>4631.9040249999998</v>
      </c>
      <c r="AC576">
        <f t="shared" si="95"/>
        <v>4651.4445299999998</v>
      </c>
      <c r="AF576">
        <f t="shared" si="96"/>
        <v>4654.5732099999996</v>
      </c>
      <c r="AG576">
        <f t="shared" si="97"/>
        <v>4662.9502516666671</v>
      </c>
      <c r="AH576">
        <f t="shared" si="98"/>
        <v>4631.9040249999998</v>
      </c>
    </row>
    <row r="577" spans="1:34" x14ac:dyDescent="0.55000000000000004">
      <c r="A577">
        <f>ALGLIB_SSA_XAUUSD!J577</f>
        <v>1775566500</v>
      </c>
      <c r="B577" t="str">
        <f>_xlfn.XLOOKUP($A577,ALGLIB_SSA_XAUUSD!$A$2:$A$1000,ALGLIB_SSA_XAUUSD!$B$2:$B$1000,"",0)</f>
        <v/>
      </c>
      <c r="C577" t="str">
        <f>_xlfn.XLOOKUP($A577,ALGLIB_SSA_XAUUSD!$A$2:$A$1000,ALGLIB_SSA_XAUUSD!$C$2:$C$1000,"",0)</f>
        <v/>
      </c>
      <c r="D577" s="1">
        <f>D566+(D578-D566)*11/12</f>
        <v>4644.9350000000004</v>
      </c>
      <c r="E577" s="1">
        <f>E566+(E578-E566)*11/12</f>
        <v>4644.2508266666673</v>
      </c>
      <c r="F577" s="1">
        <f>F566+(F578-F566)*11/12</f>
        <v>4649.4854833333329</v>
      </c>
      <c r="G577" s="1">
        <f>G566+(G578-G566)*11/12</f>
        <v>4662.4272258333331</v>
      </c>
      <c r="H577" s="1">
        <f>H566+(H578-H566)*11/12</f>
        <v>4631.4388724999999</v>
      </c>
      <c r="I577" t="str">
        <f>_xlfn.XLOOKUP($A577,ALGLIB_SSA_XAUUSD!$J$2:$J$1000,ALGLIB_SSA_XAUUSD!$K$2:$K$1000,"",0)</f>
        <v>XAUUSD</v>
      </c>
      <c r="J577" t="str">
        <f>_xlfn.XLOOKUP($A577,ALGLIB_SSA_XAUUSD!$J$2:$J$1000,ALGLIB_SSA_XAUUSD!$L$2:$L$1000,"",0)</f>
        <v>M5</v>
      </c>
      <c r="K577">
        <f>_xlfn.XLOOKUP($A577,ALGLIB_SSA_XAUUSD!$J$2:$J$1000,ALGLIB_SSA_XAUUSD!$M$2:$M$1000,"",0)</f>
        <v>4651.4799999999996</v>
      </c>
      <c r="L577">
        <f>_xlfn.XLOOKUP($A577,ALGLIB_SSA_XAUUSD!$J$2:$J$1000,ALGLIB_SSA_XAUUSD!$N$2:$N$1000,"",0)</f>
        <v>4653.3357100000003</v>
      </c>
      <c r="M577">
        <f>_xlfn.XLOOKUP($A577,ALGLIB_SSA_XAUUSD!$J$2:$J$1000,ALGLIB_SSA_XAUUSD!$O$2:$O$1000,"",0)</f>
        <v>4654.7343700000001</v>
      </c>
      <c r="N577">
        <f>_xlfn.XLOOKUP($A577,ALGLIB_SSA_XAUUSD!$J$2:$J$1000,ALGLIB_SSA_XAUUSD!$P$2:$P$1000,"",0)</f>
        <v>4658.5015700000004</v>
      </c>
      <c r="O577">
        <f>_xlfn.XLOOKUP($A577,ALGLIB_SSA_XAUUSD!$J$2:$J$1000,ALGLIB_SSA_XAUUSD!$Q$2:$Q$1000,"",0)</f>
        <v>4650.0480600000001</v>
      </c>
      <c r="R577">
        <f t="shared" si="88"/>
        <v>1775566500</v>
      </c>
      <c r="S577" t="str">
        <f t="shared" si="89"/>
        <v>XAUUSD</v>
      </c>
      <c r="T577" t="str">
        <f t="shared" si="90"/>
        <v>M5</v>
      </c>
      <c r="U577">
        <f t="shared" si="91"/>
        <v>4651.4799999999996</v>
      </c>
      <c r="V577">
        <v>4644.25083</v>
      </c>
      <c r="W577">
        <v>4649.4854800000003</v>
      </c>
      <c r="X577">
        <v>4653.3357100000003</v>
      </c>
      <c r="Y577">
        <v>4654.7343700000001</v>
      </c>
      <c r="Z577">
        <f t="shared" si="92"/>
        <v>4662.4272258333331</v>
      </c>
      <c r="AA577">
        <f t="shared" si="93"/>
        <v>4658.5015700000004</v>
      </c>
      <c r="AB577">
        <f t="shared" si="94"/>
        <v>4631.4388724999999</v>
      </c>
      <c r="AC577">
        <f t="shared" si="95"/>
        <v>4650.0480600000001</v>
      </c>
      <c r="AF577">
        <f t="shared" si="96"/>
        <v>4653.3357100000003</v>
      </c>
      <c r="AG577">
        <f t="shared" si="97"/>
        <v>4662.4272258333331</v>
      </c>
      <c r="AH577">
        <f t="shared" si="98"/>
        <v>4631.4388724999999</v>
      </c>
    </row>
    <row r="578" spans="1:34" x14ac:dyDescent="0.55000000000000004">
      <c r="A578">
        <f>ALGLIB_SSA_XAUUSD!J578</f>
        <v>1775566800</v>
      </c>
      <c r="B578" t="str">
        <f>_xlfn.XLOOKUP($A578,ALGLIB_SSA_XAUUSD!$A$2:$A$1000,ALGLIB_SSA_XAUUSD!$B$2:$B$1000,"",0)</f>
        <v>XAUUSD</v>
      </c>
      <c r="C578" t="str">
        <f>_xlfn.XLOOKUP($A578,ALGLIB_SSA_XAUUSD!$A$2:$A$1000,ALGLIB_SSA_XAUUSD!$C$2:$C$1000,"",0)</f>
        <v>H1</v>
      </c>
      <c r="D578" s="2">
        <f>_xlfn.XLOOKUP($A578,ALGLIB_SSA_XAUUSD!$A$2:$A$1000,ALGLIB_SSA_XAUUSD!$D$2:$D$1000,"",0)</f>
        <v>4644.34</v>
      </c>
      <c r="E578" s="2">
        <f>_xlfn.XLOOKUP($A578,ALGLIB_SSA_XAUUSD!$A$2:$A$1000,ALGLIB_SSA_XAUUSD!$E$2:$E$1000,"",0)</f>
        <v>4643.7738900000004</v>
      </c>
      <c r="F578" s="2">
        <f>_xlfn.XLOOKUP($A578,ALGLIB_SSA_XAUUSD!$A$2:$A$1000,ALGLIB_SSA_XAUUSD!$F$2:$F$1000,"",0)</f>
        <v>4649.0461299999997</v>
      </c>
      <c r="G578" s="2">
        <f>_xlfn.XLOOKUP($A578,ALGLIB_SSA_XAUUSD!$A$2:$A$1000,ALGLIB_SSA_XAUUSD!$G$2:$G$1000,"",0)</f>
        <v>4661.9041999999999</v>
      </c>
      <c r="H578" s="2">
        <f>_xlfn.XLOOKUP($A578,ALGLIB_SSA_XAUUSD!$A$2:$A$1000,ALGLIB_SSA_XAUUSD!$H$2:$H$1000,"",0)</f>
        <v>4630.97372</v>
      </c>
      <c r="I578" t="str">
        <f>_xlfn.XLOOKUP($A578,ALGLIB_SSA_XAUUSD!$J$2:$J$1000,ALGLIB_SSA_XAUUSD!$K$2:$K$1000,"",0)</f>
        <v>XAUUSD</v>
      </c>
      <c r="J578" t="str">
        <f>_xlfn.XLOOKUP($A578,ALGLIB_SSA_XAUUSD!$J$2:$J$1000,ALGLIB_SSA_XAUUSD!$L$2:$L$1000,"",0)</f>
        <v>M5</v>
      </c>
      <c r="K578">
        <f>_xlfn.XLOOKUP($A578,ALGLIB_SSA_XAUUSD!$J$2:$J$1000,ALGLIB_SSA_XAUUSD!$M$2:$M$1000,"",0)</f>
        <v>4655.66</v>
      </c>
      <c r="L578">
        <f>_xlfn.XLOOKUP($A578,ALGLIB_SSA_XAUUSD!$J$2:$J$1000,ALGLIB_SSA_XAUUSD!$N$2:$N$1000,"",0)</f>
        <v>4652.82395</v>
      </c>
      <c r="M578">
        <f>_xlfn.XLOOKUP($A578,ALGLIB_SSA_XAUUSD!$J$2:$J$1000,ALGLIB_SSA_XAUUSD!$O$2:$O$1000,"",0)</f>
        <v>4653.77916</v>
      </c>
      <c r="N578">
        <f>_xlfn.XLOOKUP($A578,ALGLIB_SSA_XAUUSD!$J$2:$J$1000,ALGLIB_SSA_XAUUSD!$P$2:$P$1000,"",0)</f>
        <v>4657.4281300000002</v>
      </c>
      <c r="O578">
        <f>_xlfn.XLOOKUP($A578,ALGLIB_SSA_XAUUSD!$J$2:$J$1000,ALGLIB_SSA_XAUUSD!$Q$2:$Q$1000,"",0)</f>
        <v>4649.1859299999996</v>
      </c>
      <c r="R578">
        <f t="shared" si="88"/>
        <v>1775566800</v>
      </c>
      <c r="S578" t="str">
        <f t="shared" si="89"/>
        <v>XAUUSD</v>
      </c>
      <c r="T578" t="str">
        <f t="shared" si="90"/>
        <v>M5</v>
      </c>
      <c r="U578">
        <f t="shared" si="91"/>
        <v>4655.66</v>
      </c>
      <c r="V578">
        <v>4643.7738900000004</v>
      </c>
      <c r="W578">
        <v>4649.0461299999997</v>
      </c>
      <c r="X578">
        <v>4652.82395</v>
      </c>
      <c r="Y578">
        <v>4653.77916</v>
      </c>
      <c r="Z578">
        <f t="shared" si="92"/>
        <v>4661.9041999999999</v>
      </c>
      <c r="AA578">
        <f t="shared" si="93"/>
        <v>4657.4281300000002</v>
      </c>
      <c r="AB578">
        <f t="shared" si="94"/>
        <v>4630.97372</v>
      </c>
      <c r="AC578">
        <f t="shared" si="95"/>
        <v>4649.1859299999996</v>
      </c>
      <c r="AF578">
        <f t="shared" si="96"/>
        <v>4652.82395</v>
      </c>
      <c r="AG578">
        <f t="shared" si="97"/>
        <v>4661.9041999999999</v>
      </c>
      <c r="AH578">
        <f t="shared" si="98"/>
        <v>4630.97372</v>
      </c>
    </row>
    <row r="579" spans="1:34" x14ac:dyDescent="0.55000000000000004">
      <c r="A579">
        <f>ALGLIB_SSA_XAUUSD!J579</f>
        <v>1775567100</v>
      </c>
      <c r="B579" t="str">
        <f>_xlfn.XLOOKUP($A579,ALGLIB_SSA_XAUUSD!$A$2:$A$1000,ALGLIB_SSA_XAUUSD!$B$2:$B$1000,"",0)</f>
        <v/>
      </c>
      <c r="C579" t="str">
        <f>_xlfn.XLOOKUP($A579,ALGLIB_SSA_XAUUSD!$A$2:$A$1000,ALGLIB_SSA_XAUUSD!$C$2:$C$1000,"",0)</f>
        <v/>
      </c>
      <c r="D579" s="1">
        <f>D578+(D590-D578)*1/12</f>
        <v>4643.4308333333338</v>
      </c>
      <c r="E579" s="1">
        <f>E578+(E590-E578)*1/12</f>
        <v>4643.5465033333339</v>
      </c>
      <c r="F579" s="1">
        <f>F578+(F590-F578)*1/12</f>
        <v>4648.7127599999994</v>
      </c>
      <c r="G579" s="1">
        <f>G578+(G590-G578)*1/12</f>
        <v>4661.5787625000003</v>
      </c>
      <c r="H579" s="1">
        <f>H578+(H590-H578)*1/12</f>
        <v>4630.6523066666668</v>
      </c>
      <c r="I579" t="str">
        <f>_xlfn.XLOOKUP($A579,ALGLIB_SSA_XAUUSD!$J$2:$J$1000,ALGLIB_SSA_XAUUSD!$K$2:$K$1000,"",0)</f>
        <v>XAUUSD</v>
      </c>
      <c r="J579" t="str">
        <f>_xlfn.XLOOKUP($A579,ALGLIB_SSA_XAUUSD!$J$2:$J$1000,ALGLIB_SSA_XAUUSD!$L$2:$L$1000,"",0)</f>
        <v>M5</v>
      </c>
      <c r="K579">
        <f>_xlfn.XLOOKUP($A579,ALGLIB_SSA_XAUUSD!$J$2:$J$1000,ALGLIB_SSA_XAUUSD!$M$2:$M$1000,"",0)</f>
        <v>4655.71</v>
      </c>
      <c r="L579">
        <f>_xlfn.XLOOKUP($A579,ALGLIB_SSA_XAUUSD!$J$2:$J$1000,ALGLIB_SSA_XAUUSD!$N$2:$N$1000,"",0)</f>
        <v>4653.0368500000004</v>
      </c>
      <c r="M579">
        <f>_xlfn.XLOOKUP($A579,ALGLIB_SSA_XAUUSD!$J$2:$J$1000,ALGLIB_SSA_XAUUSD!$O$2:$O$1000,"",0)</f>
        <v>4653.4080000000004</v>
      </c>
      <c r="N579">
        <f>_xlfn.XLOOKUP($A579,ALGLIB_SSA_XAUUSD!$J$2:$J$1000,ALGLIB_SSA_XAUUSD!$P$2:$P$1000,"",0)</f>
        <v>4657.1511799999998</v>
      </c>
      <c r="O579">
        <f>_xlfn.XLOOKUP($A579,ALGLIB_SSA_XAUUSD!$J$2:$J$1000,ALGLIB_SSA_XAUUSD!$Q$2:$Q$1000,"",0)</f>
        <v>4649.0913200000005</v>
      </c>
      <c r="R579">
        <f t="shared" ref="R579:R642" si="99">A579</f>
        <v>1775567100</v>
      </c>
      <c r="S579" t="str">
        <f t="shared" ref="S579:S642" si="100">I579</f>
        <v>XAUUSD</v>
      </c>
      <c r="T579" t="str">
        <f t="shared" ref="T579:T642" si="101">J579</f>
        <v>M5</v>
      </c>
      <c r="U579">
        <f t="shared" ref="U579:U642" si="102">K579</f>
        <v>4655.71</v>
      </c>
      <c r="V579">
        <v>4643.5465000000004</v>
      </c>
      <c r="W579">
        <v>4648.7127600000003</v>
      </c>
      <c r="X579">
        <v>4653.0368500000004</v>
      </c>
      <c r="Y579">
        <v>4653.4080000000004</v>
      </c>
      <c r="Z579">
        <f t="shared" ref="Z579:Z642" si="103">G579</f>
        <v>4661.5787625000003</v>
      </c>
      <c r="AA579">
        <f t="shared" ref="AA579:AA642" si="104">N579</f>
        <v>4657.1511799999998</v>
      </c>
      <c r="AB579">
        <f t="shared" ref="AB579:AB642" si="105">H579</f>
        <v>4630.6523066666668</v>
      </c>
      <c r="AC579">
        <f t="shared" ref="AC579:AC642" si="106">O579</f>
        <v>4649.0913200000005</v>
      </c>
      <c r="AF579">
        <f t="shared" ref="AF579:AF642" si="107">X579</f>
        <v>4653.0368500000004</v>
      </c>
      <c r="AG579">
        <f t="shared" ref="AG579:AG642" si="108">Z579</f>
        <v>4661.5787625000003</v>
      </c>
      <c r="AH579">
        <f t="shared" ref="AH579:AH642" si="109">AB579</f>
        <v>4630.6523066666668</v>
      </c>
    </row>
    <row r="580" spans="1:34" x14ac:dyDescent="0.55000000000000004">
      <c r="A580">
        <f>ALGLIB_SSA_XAUUSD!J580</f>
        <v>1775567400</v>
      </c>
      <c r="B580" t="str">
        <f>_xlfn.XLOOKUP($A580,ALGLIB_SSA_XAUUSD!$A$2:$A$1000,ALGLIB_SSA_XAUUSD!$B$2:$B$1000,"",0)</f>
        <v/>
      </c>
      <c r="C580" t="str">
        <f>_xlfn.XLOOKUP($A580,ALGLIB_SSA_XAUUSD!$A$2:$A$1000,ALGLIB_SSA_XAUUSD!$C$2:$C$1000,"",0)</f>
        <v/>
      </c>
      <c r="D580" s="1">
        <f>D578+(D590-D578)*2/12</f>
        <v>4642.5216666666665</v>
      </c>
      <c r="E580" s="1">
        <f>E578+(E590-E578)*2/12</f>
        <v>4643.3191166666675</v>
      </c>
      <c r="F580" s="1">
        <f>F578+(F590-F578)*2/12</f>
        <v>4648.3793900000001</v>
      </c>
      <c r="G580" s="1">
        <f>G578+(G590-G578)*2/12</f>
        <v>4661.2533249999997</v>
      </c>
      <c r="H580" s="1">
        <f>H578+(H590-H578)*2/12</f>
        <v>4630.3308933333337</v>
      </c>
      <c r="I580" t="str">
        <f>_xlfn.XLOOKUP($A580,ALGLIB_SSA_XAUUSD!$J$2:$J$1000,ALGLIB_SSA_XAUUSD!$K$2:$K$1000,"",0)</f>
        <v>XAUUSD</v>
      </c>
      <c r="J580" t="str">
        <f>_xlfn.XLOOKUP($A580,ALGLIB_SSA_XAUUSD!$J$2:$J$1000,ALGLIB_SSA_XAUUSD!$L$2:$L$1000,"",0)</f>
        <v>M5</v>
      </c>
      <c r="K580">
        <f>_xlfn.XLOOKUP($A580,ALGLIB_SSA_XAUUSD!$J$2:$J$1000,ALGLIB_SSA_XAUUSD!$M$2:$M$1000,"",0)</f>
        <v>4656.78</v>
      </c>
      <c r="L580">
        <f>_xlfn.XLOOKUP($A580,ALGLIB_SSA_XAUUSD!$J$2:$J$1000,ALGLIB_SSA_XAUUSD!$N$2:$N$1000,"",0)</f>
        <v>4653.8663999999999</v>
      </c>
      <c r="M580">
        <f>_xlfn.XLOOKUP($A580,ALGLIB_SSA_XAUUSD!$J$2:$J$1000,ALGLIB_SSA_XAUUSD!$O$2:$O$1000,"",0)</f>
        <v>4653.6372000000001</v>
      </c>
      <c r="N580">
        <f>_xlfn.XLOOKUP($A580,ALGLIB_SSA_XAUUSD!$J$2:$J$1000,ALGLIB_SSA_XAUUSD!$P$2:$P$1000,"",0)</f>
        <v>4657.6452200000003</v>
      </c>
      <c r="O580">
        <f>_xlfn.XLOOKUP($A580,ALGLIB_SSA_XAUUSD!$J$2:$J$1000,ALGLIB_SSA_XAUUSD!$Q$2:$Q$1000,"",0)</f>
        <v>4649.6353300000001</v>
      </c>
      <c r="R580">
        <f t="shared" si="99"/>
        <v>1775567400</v>
      </c>
      <c r="S580" t="str">
        <f t="shared" si="100"/>
        <v>XAUUSD</v>
      </c>
      <c r="T580" t="str">
        <f t="shared" si="101"/>
        <v>M5</v>
      </c>
      <c r="U580">
        <f t="shared" si="102"/>
        <v>4656.78</v>
      </c>
      <c r="V580">
        <v>4643.3191200000001</v>
      </c>
      <c r="W580">
        <v>4648.3793900000001</v>
      </c>
      <c r="X580">
        <v>4653.8663999999999</v>
      </c>
      <c r="Y580">
        <v>4653.6372000000001</v>
      </c>
      <c r="Z580">
        <f t="shared" si="103"/>
        <v>4661.2533249999997</v>
      </c>
      <c r="AA580">
        <f t="shared" si="104"/>
        <v>4657.6452200000003</v>
      </c>
      <c r="AB580">
        <f t="shared" si="105"/>
        <v>4630.3308933333337</v>
      </c>
      <c r="AC580">
        <f t="shared" si="106"/>
        <v>4649.6353300000001</v>
      </c>
      <c r="AF580">
        <f t="shared" si="107"/>
        <v>4653.8663999999999</v>
      </c>
      <c r="AG580">
        <f t="shared" si="108"/>
        <v>4661.2533249999997</v>
      </c>
      <c r="AH580">
        <f t="shared" si="109"/>
        <v>4630.3308933333337</v>
      </c>
    </row>
    <row r="581" spans="1:34" x14ac:dyDescent="0.55000000000000004">
      <c r="A581">
        <f>ALGLIB_SSA_XAUUSD!J581</f>
        <v>1775567700</v>
      </c>
      <c r="B581" t="str">
        <f>_xlfn.XLOOKUP($A581,ALGLIB_SSA_XAUUSD!$A$2:$A$1000,ALGLIB_SSA_XAUUSD!$B$2:$B$1000,"",0)</f>
        <v/>
      </c>
      <c r="C581" t="str">
        <f>_xlfn.XLOOKUP($A581,ALGLIB_SSA_XAUUSD!$A$2:$A$1000,ALGLIB_SSA_XAUUSD!$C$2:$C$1000,"",0)</f>
        <v/>
      </c>
      <c r="D581" s="1">
        <f>D578+(D590-D578)*3/12</f>
        <v>4641.6125000000002</v>
      </c>
      <c r="E581" s="1">
        <f>E578+(E590-E578)*3/12</f>
        <v>4643.0917300000001</v>
      </c>
      <c r="F581" s="1">
        <f>F578+(F590-F578)*3/12</f>
        <v>4648.0460199999998</v>
      </c>
      <c r="G581" s="1">
        <f>G578+(G590-G578)*3/12</f>
        <v>4660.9278875</v>
      </c>
      <c r="H581" s="1">
        <f>H578+(H590-H578)*3/12</f>
        <v>4630.0094799999997</v>
      </c>
      <c r="I581" t="str">
        <f>_xlfn.XLOOKUP($A581,ALGLIB_SSA_XAUUSD!$J$2:$J$1000,ALGLIB_SSA_XAUUSD!$K$2:$K$1000,"",0)</f>
        <v>XAUUSD</v>
      </c>
      <c r="J581" t="str">
        <f>_xlfn.XLOOKUP($A581,ALGLIB_SSA_XAUUSD!$J$2:$J$1000,ALGLIB_SSA_XAUUSD!$L$2:$L$1000,"",0)</f>
        <v>M5</v>
      </c>
      <c r="K581">
        <f>_xlfn.XLOOKUP($A581,ALGLIB_SSA_XAUUSD!$J$2:$J$1000,ALGLIB_SSA_XAUUSD!$M$2:$M$1000,"",0)</f>
        <v>4651.0200000000004</v>
      </c>
      <c r="L581">
        <f>_xlfn.XLOOKUP($A581,ALGLIB_SSA_XAUUSD!$J$2:$J$1000,ALGLIB_SSA_XAUUSD!$N$2:$N$1000,"",0)</f>
        <v>4654.9570100000001</v>
      </c>
      <c r="M581">
        <f>_xlfn.XLOOKUP($A581,ALGLIB_SSA_XAUUSD!$J$2:$J$1000,ALGLIB_SSA_XAUUSD!$O$2:$O$1000,"",0)</f>
        <v>4654.2970999999998</v>
      </c>
      <c r="N581">
        <f>_xlfn.XLOOKUP($A581,ALGLIB_SSA_XAUUSD!$J$2:$J$1000,ALGLIB_SSA_XAUUSD!$P$2:$P$1000,"",0)</f>
        <v>4658.7688200000002</v>
      </c>
      <c r="O581">
        <f>_xlfn.XLOOKUP($A581,ALGLIB_SSA_XAUUSD!$J$2:$J$1000,ALGLIB_SSA_XAUUSD!$Q$2:$Q$1000,"",0)</f>
        <v>4650.6191799999997</v>
      </c>
      <c r="R581">
        <f t="shared" si="99"/>
        <v>1775567700</v>
      </c>
      <c r="S581" t="str">
        <f t="shared" si="100"/>
        <v>XAUUSD</v>
      </c>
      <c r="T581" t="str">
        <f t="shared" si="101"/>
        <v>M5</v>
      </c>
      <c r="U581">
        <f t="shared" si="102"/>
        <v>4651.0200000000004</v>
      </c>
      <c r="V581">
        <v>4643.0917300000001</v>
      </c>
      <c r="W581">
        <v>4648.0460199999998</v>
      </c>
      <c r="X581">
        <v>4654.9570100000001</v>
      </c>
      <c r="Y581">
        <v>4654.2970999999998</v>
      </c>
      <c r="Z581">
        <f t="shared" si="103"/>
        <v>4660.9278875</v>
      </c>
      <c r="AA581">
        <f t="shared" si="104"/>
        <v>4658.7688200000002</v>
      </c>
      <c r="AB581">
        <f t="shared" si="105"/>
        <v>4630.0094799999997</v>
      </c>
      <c r="AC581">
        <f t="shared" si="106"/>
        <v>4650.6191799999997</v>
      </c>
      <c r="AF581">
        <f t="shared" si="107"/>
        <v>4654.9570100000001</v>
      </c>
      <c r="AG581">
        <f t="shared" si="108"/>
        <v>4660.9278875</v>
      </c>
      <c r="AH581">
        <f t="shared" si="109"/>
        <v>4630.0094799999997</v>
      </c>
    </row>
    <row r="582" spans="1:34" x14ac:dyDescent="0.55000000000000004">
      <c r="A582">
        <f>ALGLIB_SSA_XAUUSD!J582</f>
        <v>1775568000</v>
      </c>
      <c r="B582" t="str">
        <f>_xlfn.XLOOKUP($A582,ALGLIB_SSA_XAUUSD!$A$2:$A$1000,ALGLIB_SSA_XAUUSD!$B$2:$B$1000,"",0)</f>
        <v/>
      </c>
      <c r="C582" t="str">
        <f>_xlfn.XLOOKUP($A582,ALGLIB_SSA_XAUUSD!$A$2:$A$1000,ALGLIB_SSA_XAUUSD!$C$2:$C$1000,"",0)</f>
        <v/>
      </c>
      <c r="D582" s="1">
        <f>D578+(D590-D578)*4/12</f>
        <v>4640.7033333333338</v>
      </c>
      <c r="E582" s="1">
        <f>E578+(E590-E578)*4/12</f>
        <v>4642.8643433333336</v>
      </c>
      <c r="F582" s="1">
        <f>F578+(F590-F578)*4/12</f>
        <v>4647.7126499999995</v>
      </c>
      <c r="G582" s="1">
        <f>G578+(G590-G578)*4/12</f>
        <v>4660.6024500000003</v>
      </c>
      <c r="H582" s="1">
        <f>H578+(H590-H578)*4/12</f>
        <v>4629.6880666666666</v>
      </c>
      <c r="I582" t="str">
        <f>_xlfn.XLOOKUP($A582,ALGLIB_SSA_XAUUSD!$J$2:$J$1000,ALGLIB_SSA_XAUUSD!$K$2:$K$1000,"",0)</f>
        <v>XAUUSD</v>
      </c>
      <c r="J582" t="str">
        <f>_xlfn.XLOOKUP($A582,ALGLIB_SSA_XAUUSD!$J$2:$J$1000,ALGLIB_SSA_XAUUSD!$L$2:$L$1000,"",0)</f>
        <v>M5</v>
      </c>
      <c r="K582">
        <f>_xlfn.XLOOKUP($A582,ALGLIB_SSA_XAUUSD!$J$2:$J$1000,ALGLIB_SSA_XAUUSD!$M$2:$M$1000,"",0)</f>
        <v>4659.24</v>
      </c>
      <c r="L582">
        <f>_xlfn.XLOOKUP($A582,ALGLIB_SSA_XAUUSD!$J$2:$J$1000,ALGLIB_SSA_XAUUSD!$N$2:$N$1000,"",0)</f>
        <v>4655.9483499999997</v>
      </c>
      <c r="M582">
        <f>_xlfn.XLOOKUP($A582,ALGLIB_SSA_XAUUSD!$J$2:$J$1000,ALGLIB_SSA_XAUUSD!$O$2:$O$1000,"",0)</f>
        <v>4655.12273</v>
      </c>
      <c r="N582">
        <f>_xlfn.XLOOKUP($A582,ALGLIB_SSA_XAUUSD!$J$2:$J$1000,ALGLIB_SSA_XAUUSD!$P$2:$P$1000,"",0)</f>
        <v>4660.0614400000004</v>
      </c>
      <c r="O582">
        <f>_xlfn.XLOOKUP($A582,ALGLIB_SSA_XAUUSD!$J$2:$J$1000,ALGLIB_SSA_XAUUSD!$Q$2:$Q$1000,"",0)</f>
        <v>4651.6072599999998</v>
      </c>
      <c r="R582">
        <f t="shared" si="99"/>
        <v>1775568000</v>
      </c>
      <c r="S582" t="str">
        <f t="shared" si="100"/>
        <v>XAUUSD</v>
      </c>
      <c r="T582" t="str">
        <f t="shared" si="101"/>
        <v>M5</v>
      </c>
      <c r="U582">
        <f t="shared" si="102"/>
        <v>4659.24</v>
      </c>
      <c r="V582">
        <v>4642.8643400000001</v>
      </c>
      <c r="W582">
        <v>4647.7126500000004</v>
      </c>
      <c r="X582">
        <v>4655.9483499999997</v>
      </c>
      <c r="Y582">
        <v>4655.12273</v>
      </c>
      <c r="Z582">
        <f t="shared" si="103"/>
        <v>4660.6024500000003</v>
      </c>
      <c r="AA582">
        <f t="shared" si="104"/>
        <v>4660.0614400000004</v>
      </c>
      <c r="AB582">
        <f t="shared" si="105"/>
        <v>4629.6880666666666</v>
      </c>
      <c r="AC582">
        <f t="shared" si="106"/>
        <v>4651.6072599999998</v>
      </c>
      <c r="AF582">
        <f t="shared" si="107"/>
        <v>4655.9483499999997</v>
      </c>
      <c r="AG582">
        <f t="shared" si="108"/>
        <v>4660.6024500000003</v>
      </c>
      <c r="AH582">
        <f t="shared" si="109"/>
        <v>4629.6880666666666</v>
      </c>
    </row>
    <row r="583" spans="1:34" x14ac:dyDescent="0.55000000000000004">
      <c r="A583">
        <f>ALGLIB_SSA_XAUUSD!J583</f>
        <v>1775568300</v>
      </c>
      <c r="B583" t="str">
        <f>_xlfn.XLOOKUP($A583,ALGLIB_SSA_XAUUSD!$A$2:$A$1000,ALGLIB_SSA_XAUUSD!$B$2:$B$1000,"",0)</f>
        <v/>
      </c>
      <c r="C583" t="str">
        <f>_xlfn.XLOOKUP($A583,ALGLIB_SSA_XAUUSD!$A$2:$A$1000,ALGLIB_SSA_XAUUSD!$C$2:$C$1000,"",0)</f>
        <v/>
      </c>
      <c r="D583" s="1">
        <f>D578+(D590-D578)*5/12</f>
        <v>4639.7941666666666</v>
      </c>
      <c r="E583" s="1">
        <f>E578+(E590-E578)*5/12</f>
        <v>4642.6369566666672</v>
      </c>
      <c r="F583" s="1">
        <f>F578+(F590-F578)*5/12</f>
        <v>4647.3792800000001</v>
      </c>
      <c r="G583" s="1">
        <f>G578+(G590-G578)*5/12</f>
        <v>4660.2770124999997</v>
      </c>
      <c r="H583" s="1">
        <f>H578+(H590-H578)*5/12</f>
        <v>4629.3666533333335</v>
      </c>
      <c r="I583" t="str">
        <f>_xlfn.XLOOKUP($A583,ALGLIB_SSA_XAUUSD!$J$2:$J$1000,ALGLIB_SSA_XAUUSD!$K$2:$K$1000,"",0)</f>
        <v>XAUUSD</v>
      </c>
      <c r="J583" t="str">
        <f>_xlfn.XLOOKUP($A583,ALGLIB_SSA_XAUUSD!$J$2:$J$1000,ALGLIB_SSA_XAUUSD!$L$2:$L$1000,"",0)</f>
        <v>M5</v>
      </c>
      <c r="K583">
        <f>_xlfn.XLOOKUP($A583,ALGLIB_SSA_XAUUSD!$J$2:$J$1000,ALGLIB_SSA_XAUUSD!$M$2:$M$1000,"",0)</f>
        <v>4658.2299999999996</v>
      </c>
      <c r="L583">
        <f>_xlfn.XLOOKUP($A583,ALGLIB_SSA_XAUUSD!$J$2:$J$1000,ALGLIB_SSA_XAUUSD!$N$2:$N$1000,"",0)</f>
        <v>4656.0307199999997</v>
      </c>
      <c r="M583">
        <f>_xlfn.XLOOKUP($A583,ALGLIB_SSA_XAUUSD!$J$2:$J$1000,ALGLIB_SSA_XAUUSD!$O$2:$O$1000,"",0)</f>
        <v>4655.5767299999998</v>
      </c>
      <c r="N583">
        <f>_xlfn.XLOOKUP($A583,ALGLIB_SSA_XAUUSD!$J$2:$J$1000,ALGLIB_SSA_XAUUSD!$P$2:$P$1000,"",0)</f>
        <v>4660.8784100000003</v>
      </c>
      <c r="O583">
        <f>_xlfn.XLOOKUP($A583,ALGLIB_SSA_XAUUSD!$J$2:$J$1000,ALGLIB_SSA_XAUUSD!$Q$2:$Q$1000,"",0)</f>
        <v>4651.9999799999996</v>
      </c>
      <c r="R583">
        <f t="shared" si="99"/>
        <v>1775568300</v>
      </c>
      <c r="S583" t="str">
        <f t="shared" si="100"/>
        <v>XAUUSD</v>
      </c>
      <c r="T583" t="str">
        <f t="shared" si="101"/>
        <v>M5</v>
      </c>
      <c r="U583">
        <f t="shared" si="102"/>
        <v>4658.2299999999996</v>
      </c>
      <c r="V583">
        <v>4642.6369599999998</v>
      </c>
      <c r="W583">
        <v>4647.3792800000001</v>
      </c>
      <c r="X583">
        <v>4656.0307199999997</v>
      </c>
      <c r="Y583">
        <v>4655.5767299999998</v>
      </c>
      <c r="Z583">
        <f t="shared" si="103"/>
        <v>4660.2770124999997</v>
      </c>
      <c r="AA583">
        <f t="shared" si="104"/>
        <v>4660.8784100000003</v>
      </c>
      <c r="AB583">
        <f t="shared" si="105"/>
        <v>4629.3666533333335</v>
      </c>
      <c r="AC583">
        <f t="shared" si="106"/>
        <v>4651.9999799999996</v>
      </c>
      <c r="AF583">
        <f t="shared" si="107"/>
        <v>4656.0307199999997</v>
      </c>
      <c r="AG583">
        <f t="shared" si="108"/>
        <v>4660.2770124999997</v>
      </c>
      <c r="AH583">
        <f t="shared" si="109"/>
        <v>4629.3666533333335</v>
      </c>
    </row>
    <row r="584" spans="1:34" x14ac:dyDescent="0.55000000000000004">
      <c r="A584">
        <f>ALGLIB_SSA_XAUUSD!J584</f>
        <v>1775568600</v>
      </c>
      <c r="B584" t="str">
        <f>_xlfn.XLOOKUP($A584,ALGLIB_SSA_XAUUSD!$A$2:$A$1000,ALGLIB_SSA_XAUUSD!$B$2:$B$1000,"",0)</f>
        <v/>
      </c>
      <c r="C584" t="str">
        <f>_xlfn.XLOOKUP($A584,ALGLIB_SSA_XAUUSD!$A$2:$A$1000,ALGLIB_SSA_XAUUSD!$C$2:$C$1000,"",0)</f>
        <v/>
      </c>
      <c r="D584" s="1">
        <f>D578+(D590-D578)*6/12</f>
        <v>4638.8850000000002</v>
      </c>
      <c r="E584" s="1">
        <f>E578+(E590-E578)*6/12</f>
        <v>4642.4095699999998</v>
      </c>
      <c r="F584" s="1">
        <f>F578+(F590-F578)*6/12</f>
        <v>4647.0459099999998</v>
      </c>
      <c r="G584" s="1">
        <f>G578+(G590-G578)*6/12</f>
        <v>4659.951575</v>
      </c>
      <c r="H584" s="1">
        <f>H578+(H590-H578)*6/12</f>
        <v>4629.0452399999995</v>
      </c>
      <c r="I584" t="str">
        <f>_xlfn.XLOOKUP($A584,ALGLIB_SSA_XAUUSD!$J$2:$J$1000,ALGLIB_SSA_XAUUSD!$K$2:$K$1000,"",0)</f>
        <v>XAUUSD</v>
      </c>
      <c r="J584" t="str">
        <f>_xlfn.XLOOKUP($A584,ALGLIB_SSA_XAUUSD!$J$2:$J$1000,ALGLIB_SSA_XAUUSD!$L$2:$L$1000,"",0)</f>
        <v>M5</v>
      </c>
      <c r="K584">
        <f>_xlfn.XLOOKUP($A584,ALGLIB_SSA_XAUUSD!$J$2:$J$1000,ALGLIB_SSA_XAUUSD!$M$2:$M$1000,"",0)</f>
        <v>4648.0600000000004</v>
      </c>
      <c r="L584">
        <f>_xlfn.XLOOKUP($A584,ALGLIB_SSA_XAUUSD!$J$2:$J$1000,ALGLIB_SSA_XAUUSD!$N$2:$N$1000,"",0)</f>
        <v>4654.7152100000003</v>
      </c>
      <c r="M584">
        <f>_xlfn.XLOOKUP($A584,ALGLIB_SSA_XAUUSD!$J$2:$J$1000,ALGLIB_SSA_XAUUSD!$O$2:$O$1000,"",0)</f>
        <v>4655.1459699999996</v>
      </c>
      <c r="N584">
        <f>_xlfn.XLOOKUP($A584,ALGLIB_SSA_XAUUSD!$J$2:$J$1000,ALGLIB_SSA_XAUUSD!$P$2:$P$1000,"",0)</f>
        <v>4660.5495099999998</v>
      </c>
      <c r="O584">
        <f>_xlfn.XLOOKUP($A584,ALGLIB_SSA_XAUUSD!$J$2:$J$1000,ALGLIB_SSA_XAUUSD!$Q$2:$Q$1000,"",0)</f>
        <v>4651.0595400000002</v>
      </c>
      <c r="R584">
        <f t="shared" si="99"/>
        <v>1775568600</v>
      </c>
      <c r="S584" t="str">
        <f t="shared" si="100"/>
        <v>XAUUSD</v>
      </c>
      <c r="T584" t="str">
        <f t="shared" si="101"/>
        <v>M5</v>
      </c>
      <c r="U584">
        <f t="shared" si="102"/>
        <v>4648.0600000000004</v>
      </c>
      <c r="V584">
        <v>4642.4095699999998</v>
      </c>
      <c r="W584">
        <v>4647.0459099999998</v>
      </c>
      <c r="X584">
        <v>4654.7152100000003</v>
      </c>
      <c r="Y584">
        <v>4655.1459699999996</v>
      </c>
      <c r="Z584">
        <f t="shared" si="103"/>
        <v>4659.951575</v>
      </c>
      <c r="AA584">
        <f t="shared" si="104"/>
        <v>4660.5495099999998</v>
      </c>
      <c r="AB584">
        <f t="shared" si="105"/>
        <v>4629.0452399999995</v>
      </c>
      <c r="AC584">
        <f t="shared" si="106"/>
        <v>4651.0595400000002</v>
      </c>
      <c r="AF584">
        <f t="shared" si="107"/>
        <v>4654.7152100000003</v>
      </c>
      <c r="AG584">
        <f t="shared" si="108"/>
        <v>4659.951575</v>
      </c>
      <c r="AH584">
        <f t="shared" si="109"/>
        <v>4629.0452399999995</v>
      </c>
    </row>
    <row r="585" spans="1:34" x14ac:dyDescent="0.55000000000000004">
      <c r="A585">
        <f>ALGLIB_SSA_XAUUSD!J585</f>
        <v>1775568900</v>
      </c>
      <c r="B585" t="str">
        <f>_xlfn.XLOOKUP($A585,ALGLIB_SSA_XAUUSD!$A$2:$A$1000,ALGLIB_SSA_XAUUSD!$B$2:$B$1000,"",0)</f>
        <v/>
      </c>
      <c r="C585" t="str">
        <f>_xlfn.XLOOKUP($A585,ALGLIB_SSA_XAUUSD!$A$2:$A$1000,ALGLIB_SSA_XAUUSD!$C$2:$C$1000,"",0)</f>
        <v/>
      </c>
      <c r="D585" s="1">
        <f>D578+(D590-D578)*7/12</f>
        <v>4637.9758333333339</v>
      </c>
      <c r="E585" s="1">
        <f>E578+(E590-E578)*7/12</f>
        <v>4642.1821833333333</v>
      </c>
      <c r="F585" s="1">
        <f>F578+(F590-F578)*7/12</f>
        <v>4646.7125399999995</v>
      </c>
      <c r="G585" s="1">
        <f>G578+(G590-G578)*7/12</f>
        <v>4659.6261375000004</v>
      </c>
      <c r="H585" s="1">
        <f>H578+(H590-H578)*7/12</f>
        <v>4628.7238266666664</v>
      </c>
      <c r="I585" t="str">
        <f>_xlfn.XLOOKUP($A585,ALGLIB_SSA_XAUUSD!$J$2:$J$1000,ALGLIB_SSA_XAUUSD!$K$2:$K$1000,"",0)</f>
        <v>XAUUSD</v>
      </c>
      <c r="J585" t="str">
        <f>_xlfn.XLOOKUP($A585,ALGLIB_SSA_XAUUSD!$J$2:$J$1000,ALGLIB_SSA_XAUUSD!$L$2:$L$1000,"",0)</f>
        <v>M5</v>
      </c>
      <c r="K585">
        <f>_xlfn.XLOOKUP($A585,ALGLIB_SSA_XAUUSD!$J$2:$J$1000,ALGLIB_SSA_XAUUSD!$M$2:$M$1000,"",0)</f>
        <v>4647.9399999999996</v>
      </c>
      <c r="L585">
        <f>_xlfn.XLOOKUP($A585,ALGLIB_SSA_XAUUSD!$J$2:$J$1000,ALGLIB_SSA_XAUUSD!$N$2:$N$1000,"",0)</f>
        <v>4651.9553400000004</v>
      </c>
      <c r="M585">
        <f>_xlfn.XLOOKUP($A585,ALGLIB_SSA_XAUUSD!$J$2:$J$1000,ALGLIB_SSA_XAUUSD!$O$2:$O$1000,"",0)</f>
        <v>4653.5506500000001</v>
      </c>
      <c r="N585">
        <f>_xlfn.XLOOKUP($A585,ALGLIB_SSA_XAUUSD!$J$2:$J$1000,ALGLIB_SSA_XAUUSD!$P$2:$P$1000,"",0)</f>
        <v>4658.6580899999999</v>
      </c>
      <c r="O585">
        <f>_xlfn.XLOOKUP($A585,ALGLIB_SSA_XAUUSD!$J$2:$J$1000,ALGLIB_SSA_XAUUSD!$Q$2:$Q$1000,"",0)</f>
        <v>4648.5815899999998</v>
      </c>
      <c r="R585">
        <f t="shared" si="99"/>
        <v>1775568900</v>
      </c>
      <c r="S585" t="str">
        <f t="shared" si="100"/>
        <v>XAUUSD</v>
      </c>
      <c r="T585" t="str">
        <f t="shared" si="101"/>
        <v>M5</v>
      </c>
      <c r="U585">
        <f t="shared" si="102"/>
        <v>4647.9399999999996</v>
      </c>
      <c r="V585">
        <v>4642.1821799999998</v>
      </c>
      <c r="W585">
        <v>4646.7125400000004</v>
      </c>
      <c r="X585">
        <v>4651.9553400000004</v>
      </c>
      <c r="Y585">
        <v>4653.5506500000001</v>
      </c>
      <c r="Z585">
        <f t="shared" si="103"/>
        <v>4659.6261375000004</v>
      </c>
      <c r="AA585">
        <f t="shared" si="104"/>
        <v>4658.6580899999999</v>
      </c>
      <c r="AB585">
        <f t="shared" si="105"/>
        <v>4628.7238266666664</v>
      </c>
      <c r="AC585">
        <f t="shared" si="106"/>
        <v>4648.5815899999998</v>
      </c>
      <c r="AF585">
        <f t="shared" si="107"/>
        <v>4651.9553400000004</v>
      </c>
      <c r="AG585">
        <f t="shared" si="108"/>
        <v>4659.6261375000004</v>
      </c>
      <c r="AH585">
        <f t="shared" si="109"/>
        <v>4628.7238266666664</v>
      </c>
    </row>
    <row r="586" spans="1:34" x14ac:dyDescent="0.55000000000000004">
      <c r="A586">
        <f>ALGLIB_SSA_XAUUSD!J586</f>
        <v>1775569200</v>
      </c>
      <c r="B586" t="str">
        <f>_xlfn.XLOOKUP($A586,ALGLIB_SSA_XAUUSD!$A$2:$A$1000,ALGLIB_SSA_XAUUSD!$B$2:$B$1000,"",0)</f>
        <v/>
      </c>
      <c r="C586" t="str">
        <f>_xlfn.XLOOKUP($A586,ALGLIB_SSA_XAUUSD!$A$2:$A$1000,ALGLIB_SSA_XAUUSD!$C$2:$C$1000,"",0)</f>
        <v/>
      </c>
      <c r="D586" s="1">
        <f>D578+(D590-D578)*8/12</f>
        <v>4637.0666666666666</v>
      </c>
      <c r="E586" s="1">
        <f>E578+(E590-E578)*8/12</f>
        <v>4641.9547966666669</v>
      </c>
      <c r="F586" s="1">
        <f>F578+(F590-F578)*8/12</f>
        <v>4646.3791700000002</v>
      </c>
      <c r="G586" s="1">
        <f>G578+(G590-G578)*8/12</f>
        <v>4659.3006999999998</v>
      </c>
      <c r="H586" s="1">
        <f>H578+(H590-H578)*8/12</f>
        <v>4628.4024133333332</v>
      </c>
      <c r="I586" t="str">
        <f>_xlfn.XLOOKUP($A586,ALGLIB_SSA_XAUUSD!$J$2:$J$1000,ALGLIB_SSA_XAUUSD!$K$2:$K$1000,"",0)</f>
        <v>XAUUSD</v>
      </c>
      <c r="J586" t="str">
        <f>_xlfn.XLOOKUP($A586,ALGLIB_SSA_XAUUSD!$J$2:$J$1000,ALGLIB_SSA_XAUUSD!$L$2:$L$1000,"",0)</f>
        <v>M5</v>
      </c>
      <c r="K586">
        <f>_xlfn.XLOOKUP($A586,ALGLIB_SSA_XAUUSD!$J$2:$J$1000,ALGLIB_SSA_XAUUSD!$M$2:$M$1000,"",0)</f>
        <v>4639.92</v>
      </c>
      <c r="L586">
        <f>_xlfn.XLOOKUP($A586,ALGLIB_SSA_XAUUSD!$J$2:$J$1000,ALGLIB_SSA_XAUUSD!$N$2:$N$1000,"",0)</f>
        <v>4647.7865700000002</v>
      </c>
      <c r="M586">
        <f>_xlfn.XLOOKUP($A586,ALGLIB_SSA_XAUUSD!$J$2:$J$1000,ALGLIB_SSA_XAUUSD!$O$2:$O$1000,"",0)</f>
        <v>4650.6686099999997</v>
      </c>
      <c r="N586">
        <f>_xlfn.XLOOKUP($A586,ALGLIB_SSA_XAUUSD!$J$2:$J$1000,ALGLIB_SSA_XAUUSD!$P$2:$P$1000,"",0)</f>
        <v>4655.4098400000003</v>
      </c>
      <c r="O586">
        <f>_xlfn.XLOOKUP($A586,ALGLIB_SSA_XAUUSD!$J$2:$J$1000,ALGLIB_SSA_XAUUSD!$Q$2:$Q$1000,"",0)</f>
        <v>4644.4795899999999</v>
      </c>
      <c r="R586">
        <f t="shared" si="99"/>
        <v>1775569200</v>
      </c>
      <c r="S586" t="str">
        <f t="shared" si="100"/>
        <v>XAUUSD</v>
      </c>
      <c r="T586" t="str">
        <f t="shared" si="101"/>
        <v>M5</v>
      </c>
      <c r="U586">
        <f t="shared" si="102"/>
        <v>4639.92</v>
      </c>
      <c r="V586">
        <v>4641.9548000000004</v>
      </c>
      <c r="W586">
        <v>4646.3791700000002</v>
      </c>
      <c r="X586">
        <v>4647.7865700000002</v>
      </c>
      <c r="Y586">
        <v>4650.6686099999997</v>
      </c>
      <c r="Z586">
        <f t="shared" si="103"/>
        <v>4659.3006999999998</v>
      </c>
      <c r="AA586">
        <f t="shared" si="104"/>
        <v>4655.4098400000003</v>
      </c>
      <c r="AB586">
        <f t="shared" si="105"/>
        <v>4628.4024133333332</v>
      </c>
      <c r="AC586">
        <f t="shared" si="106"/>
        <v>4644.4795899999999</v>
      </c>
      <c r="AF586">
        <f t="shared" si="107"/>
        <v>4647.7865700000002</v>
      </c>
      <c r="AG586">
        <f t="shared" si="108"/>
        <v>4659.3006999999998</v>
      </c>
      <c r="AH586">
        <f t="shared" si="109"/>
        <v>4628.4024133333332</v>
      </c>
    </row>
    <row r="587" spans="1:34" x14ac:dyDescent="0.55000000000000004">
      <c r="A587">
        <f>ALGLIB_SSA_XAUUSD!J587</f>
        <v>1775569500</v>
      </c>
      <c r="B587" t="str">
        <f>_xlfn.XLOOKUP($A587,ALGLIB_SSA_XAUUSD!$A$2:$A$1000,ALGLIB_SSA_XAUUSD!$B$2:$B$1000,"",0)</f>
        <v/>
      </c>
      <c r="C587" t="str">
        <f>_xlfn.XLOOKUP($A587,ALGLIB_SSA_XAUUSD!$A$2:$A$1000,ALGLIB_SSA_XAUUSD!$C$2:$C$1000,"",0)</f>
        <v/>
      </c>
      <c r="D587" s="1">
        <f>D578+(D590-D578)*9/12</f>
        <v>4636.1575000000003</v>
      </c>
      <c r="E587" s="1">
        <f>E578+(E590-E578)*9/12</f>
        <v>4641.7274100000004</v>
      </c>
      <c r="F587" s="1">
        <f>F578+(F590-F578)*9/12</f>
        <v>4646.0457999999999</v>
      </c>
      <c r="G587" s="1">
        <f>G578+(G590-G578)*9/12</f>
        <v>4658.9752625000001</v>
      </c>
      <c r="H587" s="1">
        <f>H578+(H590-H578)*9/12</f>
        <v>4628.0810000000001</v>
      </c>
      <c r="I587" t="str">
        <f>_xlfn.XLOOKUP($A587,ALGLIB_SSA_XAUUSD!$J$2:$J$1000,ALGLIB_SSA_XAUUSD!$K$2:$K$1000,"",0)</f>
        <v>XAUUSD</v>
      </c>
      <c r="J587" t="str">
        <f>_xlfn.XLOOKUP($A587,ALGLIB_SSA_XAUUSD!$J$2:$J$1000,ALGLIB_SSA_XAUUSD!$L$2:$L$1000,"",0)</f>
        <v>M5</v>
      </c>
      <c r="K587">
        <f>_xlfn.XLOOKUP($A587,ALGLIB_SSA_XAUUSD!$J$2:$J$1000,ALGLIB_SSA_XAUUSD!$M$2:$M$1000,"",0)</f>
        <v>4647.24</v>
      </c>
      <c r="L587">
        <f>_xlfn.XLOOKUP($A587,ALGLIB_SSA_XAUUSD!$J$2:$J$1000,ALGLIB_SSA_XAUUSD!$N$2:$N$1000,"",0)</f>
        <v>4642.7575699999998</v>
      </c>
      <c r="M587">
        <f>_xlfn.XLOOKUP($A587,ALGLIB_SSA_XAUUSD!$J$2:$J$1000,ALGLIB_SSA_XAUUSD!$O$2:$O$1000,"",0)</f>
        <v>4646.7130900000002</v>
      </c>
      <c r="N587">
        <f>_xlfn.XLOOKUP($A587,ALGLIB_SSA_XAUUSD!$J$2:$J$1000,ALGLIB_SSA_XAUUSD!$P$2:$P$1000,"",0)</f>
        <v>4651.0593799999997</v>
      </c>
      <c r="O587">
        <f>_xlfn.XLOOKUP($A587,ALGLIB_SSA_XAUUSD!$J$2:$J$1000,ALGLIB_SSA_XAUUSD!$Q$2:$Q$1000,"",0)</f>
        <v>4639.1651400000001</v>
      </c>
      <c r="R587">
        <f t="shared" si="99"/>
        <v>1775569500</v>
      </c>
      <c r="S587" t="str">
        <f t="shared" si="100"/>
        <v>XAUUSD</v>
      </c>
      <c r="T587" t="str">
        <f t="shared" si="101"/>
        <v>M5</v>
      </c>
      <c r="U587">
        <f t="shared" si="102"/>
        <v>4647.24</v>
      </c>
      <c r="V587">
        <v>4641.7274100000004</v>
      </c>
      <c r="W587">
        <v>4646.0457999999999</v>
      </c>
      <c r="X587">
        <v>4642.7575699999998</v>
      </c>
      <c r="Y587">
        <v>4646.7130900000002</v>
      </c>
      <c r="Z587">
        <f t="shared" si="103"/>
        <v>4658.9752625000001</v>
      </c>
      <c r="AA587">
        <f t="shared" si="104"/>
        <v>4651.0593799999997</v>
      </c>
      <c r="AB587">
        <f t="shared" si="105"/>
        <v>4628.0810000000001</v>
      </c>
      <c r="AC587">
        <f t="shared" si="106"/>
        <v>4639.1651400000001</v>
      </c>
      <c r="AF587">
        <f t="shared" si="107"/>
        <v>4642.7575699999998</v>
      </c>
      <c r="AG587">
        <f t="shared" si="108"/>
        <v>4658.9752625000001</v>
      </c>
      <c r="AH587">
        <f t="shared" si="109"/>
        <v>4628.0810000000001</v>
      </c>
    </row>
    <row r="588" spans="1:34" x14ac:dyDescent="0.55000000000000004">
      <c r="A588">
        <f>ALGLIB_SSA_XAUUSD!J588</f>
        <v>1775569800</v>
      </c>
      <c r="B588" t="str">
        <f>_xlfn.XLOOKUP($A588,ALGLIB_SSA_XAUUSD!$A$2:$A$1000,ALGLIB_SSA_XAUUSD!$B$2:$B$1000,"",0)</f>
        <v/>
      </c>
      <c r="C588" t="str">
        <f>_xlfn.XLOOKUP($A588,ALGLIB_SSA_XAUUSD!$A$2:$A$1000,ALGLIB_SSA_XAUUSD!$C$2:$C$1000,"",0)</f>
        <v/>
      </c>
      <c r="D588" s="1">
        <f>D578+(D590-D578)*10/12</f>
        <v>4635.2483333333339</v>
      </c>
      <c r="E588" s="1">
        <f>E578+(E590-E578)*10/12</f>
        <v>4641.500023333334</v>
      </c>
      <c r="F588" s="1">
        <f>F578+(F590-F578)*10/12</f>
        <v>4645.7124299999996</v>
      </c>
      <c r="G588" s="1">
        <f>G578+(G590-G578)*10/12</f>
        <v>4658.6498250000004</v>
      </c>
      <c r="H588" s="1">
        <f>H578+(H590-H578)*10/12</f>
        <v>4627.759586666667</v>
      </c>
      <c r="I588" t="str">
        <f>_xlfn.XLOOKUP($A588,ALGLIB_SSA_XAUUSD!$J$2:$J$1000,ALGLIB_SSA_XAUUSD!$K$2:$K$1000,"",0)</f>
        <v>XAUUSD</v>
      </c>
      <c r="J588" t="str">
        <f>_xlfn.XLOOKUP($A588,ALGLIB_SSA_XAUUSD!$J$2:$J$1000,ALGLIB_SSA_XAUUSD!$L$2:$L$1000,"",0)</f>
        <v>M5</v>
      </c>
      <c r="K588">
        <f>_xlfn.XLOOKUP($A588,ALGLIB_SSA_XAUUSD!$J$2:$J$1000,ALGLIB_SSA_XAUUSD!$M$2:$M$1000,"",0)</f>
        <v>4652.45</v>
      </c>
      <c r="L588">
        <f>_xlfn.XLOOKUP($A588,ALGLIB_SSA_XAUUSD!$J$2:$J$1000,ALGLIB_SSA_XAUUSD!$N$2:$N$1000,"",0)</f>
        <v>4637.2780599999996</v>
      </c>
      <c r="M588">
        <f>_xlfn.XLOOKUP($A588,ALGLIB_SSA_XAUUSD!$J$2:$J$1000,ALGLIB_SSA_XAUUSD!$O$2:$O$1000,"",0)</f>
        <v>4641.99557</v>
      </c>
      <c r="N588">
        <f>_xlfn.XLOOKUP($A588,ALGLIB_SSA_XAUUSD!$J$2:$J$1000,ALGLIB_SSA_XAUUSD!$P$2:$P$1000,"",0)</f>
        <v>4646.2365799999998</v>
      </c>
      <c r="O588">
        <f>_xlfn.XLOOKUP($A588,ALGLIB_SSA_XAUUSD!$J$2:$J$1000,ALGLIB_SSA_XAUUSD!$Q$2:$Q$1000,"",0)</f>
        <v>4633.1025200000004</v>
      </c>
      <c r="R588">
        <f t="shared" si="99"/>
        <v>1775569800</v>
      </c>
      <c r="S588" t="str">
        <f t="shared" si="100"/>
        <v>XAUUSD</v>
      </c>
      <c r="T588" t="str">
        <f t="shared" si="101"/>
        <v>M5</v>
      </c>
      <c r="U588">
        <f t="shared" si="102"/>
        <v>4652.45</v>
      </c>
      <c r="V588">
        <v>4641.5000200000004</v>
      </c>
      <c r="W588">
        <v>4645.7124299999996</v>
      </c>
      <c r="X588">
        <v>4637.2780599999996</v>
      </c>
      <c r="Y588">
        <v>4641.99557</v>
      </c>
      <c r="Z588">
        <f t="shared" si="103"/>
        <v>4658.6498250000004</v>
      </c>
      <c r="AA588">
        <f t="shared" si="104"/>
        <v>4646.2365799999998</v>
      </c>
      <c r="AB588">
        <f t="shared" si="105"/>
        <v>4627.759586666667</v>
      </c>
      <c r="AC588">
        <f t="shared" si="106"/>
        <v>4633.1025200000004</v>
      </c>
      <c r="AF588">
        <f t="shared" si="107"/>
        <v>4637.2780599999996</v>
      </c>
      <c r="AG588">
        <f t="shared" si="108"/>
        <v>4658.6498250000004</v>
      </c>
      <c r="AH588">
        <f t="shared" si="109"/>
        <v>4627.759586666667</v>
      </c>
    </row>
    <row r="589" spans="1:34" x14ac:dyDescent="0.55000000000000004">
      <c r="A589">
        <f>ALGLIB_SSA_XAUUSD!J589</f>
        <v>1775570100</v>
      </c>
      <c r="B589" t="str">
        <f>_xlfn.XLOOKUP($A589,ALGLIB_SSA_XAUUSD!$A$2:$A$1000,ALGLIB_SSA_XAUUSD!$B$2:$B$1000,"",0)</f>
        <v/>
      </c>
      <c r="C589" t="str">
        <f>_xlfn.XLOOKUP($A589,ALGLIB_SSA_XAUUSD!$A$2:$A$1000,ALGLIB_SSA_XAUUSD!$C$2:$C$1000,"",0)</f>
        <v/>
      </c>
      <c r="D589" s="1">
        <f>D578+(D590-D578)*11/12</f>
        <v>4634.3391666666666</v>
      </c>
      <c r="E589" s="1">
        <f>E578+(E590-E578)*11/12</f>
        <v>4641.2726366666666</v>
      </c>
      <c r="F589" s="1">
        <f>F578+(F590-F578)*11/12</f>
        <v>4645.3790600000002</v>
      </c>
      <c r="G589" s="1">
        <f>G578+(G590-G578)*11/12</f>
        <v>4658.3243874999998</v>
      </c>
      <c r="H589" s="1">
        <f>H578+(H590-H578)*11/12</f>
        <v>4627.438173333333</v>
      </c>
      <c r="I589" t="str">
        <f>_xlfn.XLOOKUP($A589,ALGLIB_SSA_XAUUSD!$J$2:$J$1000,ALGLIB_SSA_XAUUSD!$K$2:$K$1000,"",0)</f>
        <v>XAUUSD</v>
      </c>
      <c r="J589" t="str">
        <f>_xlfn.XLOOKUP($A589,ALGLIB_SSA_XAUUSD!$J$2:$J$1000,ALGLIB_SSA_XAUUSD!$L$2:$L$1000,"",0)</f>
        <v>M5</v>
      </c>
      <c r="K589">
        <f>_xlfn.XLOOKUP($A589,ALGLIB_SSA_XAUUSD!$J$2:$J$1000,ALGLIB_SSA_XAUUSD!$M$2:$M$1000,"",0)</f>
        <v>4644.34</v>
      </c>
      <c r="L589">
        <f>_xlfn.XLOOKUP($A589,ALGLIB_SSA_XAUUSD!$J$2:$J$1000,ALGLIB_SSA_XAUUSD!$N$2:$N$1000,"",0)</f>
        <v>4631.9842200000003</v>
      </c>
      <c r="M589">
        <f>_xlfn.XLOOKUP($A589,ALGLIB_SSA_XAUUSD!$J$2:$J$1000,ALGLIB_SSA_XAUUSD!$O$2:$O$1000,"",0)</f>
        <v>4636.9898899999998</v>
      </c>
      <c r="N589">
        <f>_xlfn.XLOOKUP($A589,ALGLIB_SSA_XAUUSD!$J$2:$J$1000,ALGLIB_SSA_XAUUSD!$P$2:$P$1000,"",0)</f>
        <v>4641.4964</v>
      </c>
      <c r="O589">
        <f>_xlfn.XLOOKUP($A589,ALGLIB_SSA_XAUUSD!$J$2:$J$1000,ALGLIB_SSA_XAUUSD!$Q$2:$Q$1000,"",0)</f>
        <v>4626.9041100000004</v>
      </c>
      <c r="R589">
        <f t="shared" si="99"/>
        <v>1775570100</v>
      </c>
      <c r="S589" t="str">
        <f t="shared" si="100"/>
        <v>XAUUSD</v>
      </c>
      <c r="T589" t="str">
        <f t="shared" si="101"/>
        <v>M5</v>
      </c>
      <c r="U589">
        <f t="shared" si="102"/>
        <v>4644.34</v>
      </c>
      <c r="V589">
        <v>4641.2726400000001</v>
      </c>
      <c r="W589">
        <v>4645.3790600000002</v>
      </c>
      <c r="X589">
        <v>4631.9842200000003</v>
      </c>
      <c r="Y589">
        <v>4636.9898899999998</v>
      </c>
      <c r="Z589">
        <f t="shared" si="103"/>
        <v>4658.3243874999998</v>
      </c>
      <c r="AA589">
        <f t="shared" si="104"/>
        <v>4641.4964</v>
      </c>
      <c r="AB589">
        <f t="shared" si="105"/>
        <v>4627.438173333333</v>
      </c>
      <c r="AC589">
        <f t="shared" si="106"/>
        <v>4626.9041100000004</v>
      </c>
      <c r="AF589">
        <f t="shared" si="107"/>
        <v>4631.9842200000003</v>
      </c>
      <c r="AG589">
        <f t="shared" si="108"/>
        <v>4658.3243874999998</v>
      </c>
      <c r="AH589">
        <f t="shared" si="109"/>
        <v>4627.438173333333</v>
      </c>
    </row>
    <row r="590" spans="1:34" x14ac:dyDescent="0.55000000000000004">
      <c r="A590">
        <f>ALGLIB_SSA_XAUUSD!J590</f>
        <v>1775570400</v>
      </c>
      <c r="B590" t="str">
        <f>_xlfn.XLOOKUP($A590,ALGLIB_SSA_XAUUSD!$A$2:$A$1000,ALGLIB_SSA_XAUUSD!$B$2:$B$1000,"",0)</f>
        <v>XAUUSD</v>
      </c>
      <c r="C590" t="str">
        <f>_xlfn.XLOOKUP($A590,ALGLIB_SSA_XAUUSD!$A$2:$A$1000,ALGLIB_SSA_XAUUSD!$C$2:$C$1000,"",0)</f>
        <v>H1</v>
      </c>
      <c r="D590" s="2">
        <f>_xlfn.XLOOKUP($A590,ALGLIB_SSA_XAUUSD!$A$2:$A$1000,ALGLIB_SSA_XAUUSD!$D$2:$D$1000,"",0)</f>
        <v>4633.43</v>
      </c>
      <c r="E590" s="2">
        <f>_xlfn.XLOOKUP($A590,ALGLIB_SSA_XAUUSD!$A$2:$A$1000,ALGLIB_SSA_XAUUSD!$E$2:$E$1000,"",0)</f>
        <v>4641.0452500000001</v>
      </c>
      <c r="F590" s="2">
        <f>_xlfn.XLOOKUP($A590,ALGLIB_SSA_XAUUSD!$A$2:$A$1000,ALGLIB_SSA_XAUUSD!$F$2:$F$1000,"",0)</f>
        <v>4645.0456899999999</v>
      </c>
      <c r="G590" s="2">
        <f>_xlfn.XLOOKUP($A590,ALGLIB_SSA_XAUUSD!$A$2:$A$1000,ALGLIB_SSA_XAUUSD!$G$2:$G$1000,"",0)</f>
        <v>4657.9989500000001</v>
      </c>
      <c r="H590" s="2">
        <f>_xlfn.XLOOKUP($A590,ALGLIB_SSA_XAUUSD!$A$2:$A$1000,ALGLIB_SSA_XAUUSD!$H$2:$H$1000,"",0)</f>
        <v>4627.1167599999999</v>
      </c>
      <c r="I590" t="str">
        <f>_xlfn.XLOOKUP($A590,ALGLIB_SSA_XAUUSD!$J$2:$J$1000,ALGLIB_SSA_XAUUSD!$K$2:$K$1000,"",0)</f>
        <v>XAUUSD</v>
      </c>
      <c r="J590" t="str">
        <f>_xlfn.XLOOKUP($A590,ALGLIB_SSA_XAUUSD!$J$2:$J$1000,ALGLIB_SSA_XAUUSD!$L$2:$L$1000,"",0)</f>
        <v>M5</v>
      </c>
      <c r="K590">
        <f>_xlfn.XLOOKUP($A590,ALGLIB_SSA_XAUUSD!$J$2:$J$1000,ALGLIB_SSA_XAUUSD!$M$2:$M$1000,"",0)</f>
        <v>4624.82</v>
      </c>
      <c r="L590">
        <f>_xlfn.XLOOKUP($A590,ALGLIB_SSA_XAUUSD!$J$2:$J$1000,ALGLIB_SSA_XAUUSD!$N$2:$N$1000,"",0)</f>
        <v>4627.8861900000002</v>
      </c>
      <c r="M590">
        <f>_xlfn.XLOOKUP($A590,ALGLIB_SSA_XAUUSD!$J$2:$J$1000,ALGLIB_SSA_XAUUSD!$O$2:$O$1000,"",0)</f>
        <v>4632.43804</v>
      </c>
      <c r="N590">
        <f>_xlfn.XLOOKUP($A590,ALGLIB_SSA_XAUUSD!$J$2:$J$1000,ALGLIB_SSA_XAUUSD!$P$2:$P$1000,"",0)</f>
        <v>4637.5585099999998</v>
      </c>
      <c r="O590">
        <f>_xlfn.XLOOKUP($A590,ALGLIB_SSA_XAUUSD!$J$2:$J$1000,ALGLIB_SSA_XAUUSD!$Q$2:$Q$1000,"",0)</f>
        <v>4621.5058399999998</v>
      </c>
      <c r="R590">
        <f t="shared" si="99"/>
        <v>1775570400</v>
      </c>
      <c r="S590" t="str">
        <f t="shared" si="100"/>
        <v>XAUUSD</v>
      </c>
      <c r="T590" t="str">
        <f t="shared" si="101"/>
        <v>M5</v>
      </c>
      <c r="U590">
        <f t="shared" si="102"/>
        <v>4624.82</v>
      </c>
      <c r="V590">
        <v>4641.0452500000001</v>
      </c>
      <c r="W590">
        <v>4645.0456899999999</v>
      </c>
      <c r="X590">
        <v>4627.8861900000002</v>
      </c>
      <c r="Y590">
        <v>4632.43804</v>
      </c>
      <c r="Z590">
        <f t="shared" si="103"/>
        <v>4657.9989500000001</v>
      </c>
      <c r="AA590">
        <f t="shared" si="104"/>
        <v>4637.5585099999998</v>
      </c>
      <c r="AB590">
        <f t="shared" si="105"/>
        <v>4627.1167599999999</v>
      </c>
      <c r="AC590">
        <f t="shared" si="106"/>
        <v>4621.5058399999998</v>
      </c>
      <c r="AF590">
        <f t="shared" si="107"/>
        <v>4627.8861900000002</v>
      </c>
      <c r="AG590">
        <f t="shared" si="108"/>
        <v>4657.9989500000001</v>
      </c>
      <c r="AH590">
        <f t="shared" si="109"/>
        <v>4627.1167599999999</v>
      </c>
    </row>
    <row r="591" spans="1:34" x14ac:dyDescent="0.55000000000000004">
      <c r="A591">
        <f>ALGLIB_SSA_XAUUSD!J591</f>
        <v>1775570700</v>
      </c>
      <c r="B591" t="str">
        <f>_xlfn.XLOOKUP($A591,ALGLIB_SSA_XAUUSD!$A$2:$A$1000,ALGLIB_SSA_XAUUSD!$B$2:$B$1000,"",0)</f>
        <v/>
      </c>
      <c r="C591" t="str">
        <f>_xlfn.XLOOKUP($A591,ALGLIB_SSA_XAUUSD!$A$2:$A$1000,ALGLIB_SSA_XAUUSD!$C$2:$C$1000,"",0)</f>
        <v/>
      </c>
      <c r="D591" s="1">
        <f>D590+(D602-D590)*1/12</f>
        <v>4635.2733333333335</v>
      </c>
      <c r="E591" s="1">
        <f>E590+(E602-E590)*1/12</f>
        <v>4641.2519016666665</v>
      </c>
      <c r="F591" s="1">
        <f>F590+(F602-F590)*1/12</f>
        <v>4644.9823308333334</v>
      </c>
      <c r="G591" s="1">
        <f>G590+(G602-G590)*1/12</f>
        <v>4658.0614983333335</v>
      </c>
      <c r="H591" s="1">
        <f>H590+(H602-H590)*1/12</f>
        <v>4627.1537141666668</v>
      </c>
      <c r="I591" t="str">
        <f>_xlfn.XLOOKUP($A591,ALGLIB_SSA_XAUUSD!$J$2:$J$1000,ALGLIB_SSA_XAUUSD!$K$2:$K$1000,"",0)</f>
        <v>XAUUSD</v>
      </c>
      <c r="J591" t="str">
        <f>_xlfn.XLOOKUP($A591,ALGLIB_SSA_XAUUSD!$J$2:$J$1000,ALGLIB_SSA_XAUUSD!$L$2:$L$1000,"",0)</f>
        <v>M5</v>
      </c>
      <c r="K591">
        <f>_xlfn.XLOOKUP($A591,ALGLIB_SSA_XAUUSD!$J$2:$J$1000,ALGLIB_SSA_XAUUSD!$M$2:$M$1000,"",0)</f>
        <v>4612.0200000000004</v>
      </c>
      <c r="L591">
        <f>_xlfn.XLOOKUP($A591,ALGLIB_SSA_XAUUSD!$J$2:$J$1000,ALGLIB_SSA_XAUUSD!$N$2:$N$1000,"",0)</f>
        <v>4626.1169300000001</v>
      </c>
      <c r="M591">
        <f>_xlfn.XLOOKUP($A591,ALGLIB_SSA_XAUUSD!$J$2:$J$1000,ALGLIB_SSA_XAUUSD!$O$2:$O$1000,"",0)</f>
        <v>4629.2774900000004</v>
      </c>
      <c r="N591">
        <f>_xlfn.XLOOKUP($A591,ALGLIB_SSA_XAUUSD!$J$2:$J$1000,ALGLIB_SSA_XAUUSD!$P$2:$P$1000,"",0)</f>
        <v>4635.2770899999996</v>
      </c>
      <c r="O591">
        <f>_xlfn.XLOOKUP($A591,ALGLIB_SSA_XAUUSD!$J$2:$J$1000,ALGLIB_SSA_XAUUSD!$Q$2:$Q$1000,"",0)</f>
        <v>4618.2545799999998</v>
      </c>
      <c r="R591">
        <f t="shared" si="99"/>
        <v>1775570700</v>
      </c>
      <c r="S591" t="str">
        <f t="shared" si="100"/>
        <v>XAUUSD</v>
      </c>
      <c r="T591" t="str">
        <f t="shared" si="101"/>
        <v>M5</v>
      </c>
      <c r="U591">
        <f t="shared" si="102"/>
        <v>4612.0200000000004</v>
      </c>
      <c r="V591">
        <v>4641.2519000000002</v>
      </c>
      <c r="W591">
        <v>4644.9823299999998</v>
      </c>
      <c r="X591">
        <v>4626.1169300000001</v>
      </c>
      <c r="Y591">
        <v>4629.2774900000004</v>
      </c>
      <c r="Z591">
        <f t="shared" si="103"/>
        <v>4658.0614983333335</v>
      </c>
      <c r="AA591">
        <f t="shared" si="104"/>
        <v>4635.2770899999996</v>
      </c>
      <c r="AB591">
        <f t="shared" si="105"/>
        <v>4627.1537141666668</v>
      </c>
      <c r="AC591">
        <f t="shared" si="106"/>
        <v>4618.2545799999998</v>
      </c>
      <c r="AF591">
        <f t="shared" si="107"/>
        <v>4626.1169300000001</v>
      </c>
      <c r="AG591">
        <f t="shared" si="108"/>
        <v>4658.0614983333335</v>
      </c>
      <c r="AH591">
        <f t="shared" si="109"/>
        <v>4627.1537141666668</v>
      </c>
    </row>
    <row r="592" spans="1:34" x14ac:dyDescent="0.55000000000000004">
      <c r="A592">
        <f>ALGLIB_SSA_XAUUSD!J592</f>
        <v>1775571000</v>
      </c>
      <c r="B592" t="str">
        <f>_xlfn.XLOOKUP($A592,ALGLIB_SSA_XAUUSD!$A$2:$A$1000,ALGLIB_SSA_XAUUSD!$B$2:$B$1000,"",0)</f>
        <v/>
      </c>
      <c r="C592" t="str">
        <f>_xlfn.XLOOKUP($A592,ALGLIB_SSA_XAUUSD!$A$2:$A$1000,ALGLIB_SSA_XAUUSD!$C$2:$C$1000,"",0)</f>
        <v/>
      </c>
      <c r="D592" s="1">
        <f>D590+(D602-D590)*2/12</f>
        <v>4637.1166666666668</v>
      </c>
      <c r="E592" s="1">
        <f>E590+(E602-E590)*2/12</f>
        <v>4641.4585533333338</v>
      </c>
      <c r="F592" s="1">
        <f>F590+(F602-F590)*2/12</f>
        <v>4644.9189716666669</v>
      </c>
      <c r="G592" s="1">
        <f>G590+(G602-G590)*2/12</f>
        <v>4658.1240466666668</v>
      </c>
      <c r="H592" s="1">
        <f>H590+(H602-H590)*2/12</f>
        <v>4627.1906683333327</v>
      </c>
      <c r="I592" t="str">
        <f>_xlfn.XLOOKUP($A592,ALGLIB_SSA_XAUUSD!$J$2:$J$1000,ALGLIB_SSA_XAUUSD!$K$2:$K$1000,"",0)</f>
        <v>XAUUSD</v>
      </c>
      <c r="J592" t="str">
        <f>_xlfn.XLOOKUP($A592,ALGLIB_SSA_XAUUSD!$J$2:$J$1000,ALGLIB_SSA_XAUUSD!$L$2:$L$1000,"",0)</f>
        <v>M5</v>
      </c>
      <c r="K592">
        <f>_xlfn.XLOOKUP($A592,ALGLIB_SSA_XAUUSD!$J$2:$J$1000,ALGLIB_SSA_XAUUSD!$M$2:$M$1000,"",0)</f>
        <v>4622.28</v>
      </c>
      <c r="L592">
        <f>_xlfn.XLOOKUP($A592,ALGLIB_SSA_XAUUSD!$J$2:$J$1000,ALGLIB_SSA_XAUUSD!$N$2:$N$1000,"",0)</f>
        <v>4627.21515</v>
      </c>
      <c r="M592">
        <f>_xlfn.XLOOKUP($A592,ALGLIB_SSA_XAUUSD!$J$2:$J$1000,ALGLIB_SSA_XAUUSD!$O$2:$O$1000,"",0)</f>
        <v>4628.2463200000002</v>
      </c>
      <c r="N592">
        <f>_xlfn.XLOOKUP($A592,ALGLIB_SSA_XAUUSD!$J$2:$J$1000,ALGLIB_SSA_XAUUSD!$P$2:$P$1000,"",0)</f>
        <v>4635.4196199999997</v>
      </c>
      <c r="O592">
        <f>_xlfn.XLOOKUP($A592,ALGLIB_SSA_XAUUSD!$J$2:$J$1000,ALGLIB_SSA_XAUUSD!$Q$2:$Q$1000,"",0)</f>
        <v>4618.0305200000003</v>
      </c>
      <c r="R592">
        <f t="shared" si="99"/>
        <v>1775571000</v>
      </c>
      <c r="S592" t="str">
        <f t="shared" si="100"/>
        <v>XAUUSD</v>
      </c>
      <c r="T592" t="str">
        <f t="shared" si="101"/>
        <v>M5</v>
      </c>
      <c r="U592">
        <f t="shared" si="102"/>
        <v>4622.28</v>
      </c>
      <c r="V592">
        <v>4641.4585500000003</v>
      </c>
      <c r="W592">
        <v>4644.9189699999997</v>
      </c>
      <c r="X592">
        <v>4627.21515</v>
      </c>
      <c r="Y592">
        <v>4628.2463200000002</v>
      </c>
      <c r="Z592">
        <f t="shared" si="103"/>
        <v>4658.1240466666668</v>
      </c>
      <c r="AA592">
        <f t="shared" si="104"/>
        <v>4635.4196199999997</v>
      </c>
      <c r="AB592">
        <f t="shared" si="105"/>
        <v>4627.1906683333327</v>
      </c>
      <c r="AC592">
        <f t="shared" si="106"/>
        <v>4618.0305200000003</v>
      </c>
      <c r="AF592">
        <f t="shared" si="107"/>
        <v>4627.21515</v>
      </c>
      <c r="AG592">
        <f t="shared" si="108"/>
        <v>4658.1240466666668</v>
      </c>
      <c r="AH592">
        <f t="shared" si="109"/>
        <v>4627.1906683333327</v>
      </c>
    </row>
    <row r="593" spans="1:34" x14ac:dyDescent="0.55000000000000004">
      <c r="A593">
        <f>ALGLIB_SSA_XAUUSD!J593</f>
        <v>1775571300</v>
      </c>
      <c r="B593" t="str">
        <f>_xlfn.XLOOKUP($A593,ALGLIB_SSA_XAUUSD!$A$2:$A$1000,ALGLIB_SSA_XAUUSD!$B$2:$B$1000,"",0)</f>
        <v/>
      </c>
      <c r="C593" t="str">
        <f>_xlfn.XLOOKUP($A593,ALGLIB_SSA_XAUUSD!$A$2:$A$1000,ALGLIB_SSA_XAUUSD!$C$2:$C$1000,"",0)</f>
        <v/>
      </c>
      <c r="D593" s="1">
        <f>D590+(D602-D590)*3/12</f>
        <v>4638.96</v>
      </c>
      <c r="E593" s="1">
        <f>E590+(E602-E590)*3/12</f>
        <v>4641.6652050000002</v>
      </c>
      <c r="F593" s="1">
        <f>F590+(F602-F590)*3/12</f>
        <v>4644.8556124999996</v>
      </c>
      <c r="G593" s="1">
        <f>G590+(G602-G590)*3/12</f>
        <v>4658.1865950000001</v>
      </c>
      <c r="H593" s="1">
        <f>H590+(H602-H590)*3/12</f>
        <v>4627.2276224999996</v>
      </c>
      <c r="I593" t="str">
        <f>_xlfn.XLOOKUP($A593,ALGLIB_SSA_XAUUSD!$J$2:$J$1000,ALGLIB_SSA_XAUUSD!$K$2:$K$1000,"",0)</f>
        <v>XAUUSD</v>
      </c>
      <c r="J593" t="str">
        <f>_xlfn.XLOOKUP($A593,ALGLIB_SSA_XAUUSD!$J$2:$J$1000,ALGLIB_SSA_XAUUSD!$L$2:$L$1000,"",0)</f>
        <v>M5</v>
      </c>
      <c r="K593">
        <f>_xlfn.XLOOKUP($A593,ALGLIB_SSA_XAUUSD!$J$2:$J$1000,ALGLIB_SSA_XAUUSD!$M$2:$M$1000,"",0)</f>
        <v>4615.72</v>
      </c>
      <c r="L593">
        <f>_xlfn.XLOOKUP($A593,ALGLIB_SSA_XAUUSD!$J$2:$J$1000,ALGLIB_SSA_XAUUSD!$N$2:$N$1000,"",0)</f>
        <v>4630.6109999999999</v>
      </c>
      <c r="M593">
        <f>_xlfn.XLOOKUP($A593,ALGLIB_SSA_XAUUSD!$J$2:$J$1000,ALGLIB_SSA_XAUUSD!$O$2:$O$1000,"",0)</f>
        <v>4629.4286599999996</v>
      </c>
      <c r="N593">
        <f>_xlfn.XLOOKUP($A593,ALGLIB_SSA_XAUUSD!$J$2:$J$1000,ALGLIB_SSA_XAUUSD!$P$2:$P$1000,"",0)</f>
        <v>4637.9026199999998</v>
      </c>
      <c r="O593">
        <f>_xlfn.XLOOKUP($A593,ALGLIB_SSA_XAUUSD!$J$2:$J$1000,ALGLIB_SSA_XAUUSD!$Q$2:$Q$1000,"",0)</f>
        <v>4620.6907199999996</v>
      </c>
      <c r="R593">
        <f t="shared" si="99"/>
        <v>1775571300</v>
      </c>
      <c r="S593" t="str">
        <f t="shared" si="100"/>
        <v>XAUUSD</v>
      </c>
      <c r="T593" t="str">
        <f t="shared" si="101"/>
        <v>M5</v>
      </c>
      <c r="U593">
        <f t="shared" si="102"/>
        <v>4615.72</v>
      </c>
      <c r="V593">
        <v>4641.6652100000001</v>
      </c>
      <c r="W593">
        <v>4644.8556099999996</v>
      </c>
      <c r="X593">
        <v>4630.6109999999999</v>
      </c>
      <c r="Y593">
        <v>4629.4286599999996</v>
      </c>
      <c r="Z593">
        <f t="shared" si="103"/>
        <v>4658.1865950000001</v>
      </c>
      <c r="AA593">
        <f t="shared" si="104"/>
        <v>4637.9026199999998</v>
      </c>
      <c r="AB593">
        <f t="shared" si="105"/>
        <v>4627.2276224999996</v>
      </c>
      <c r="AC593">
        <f t="shared" si="106"/>
        <v>4620.6907199999996</v>
      </c>
      <c r="AF593">
        <f t="shared" si="107"/>
        <v>4630.6109999999999</v>
      </c>
      <c r="AG593">
        <f t="shared" si="108"/>
        <v>4658.1865950000001</v>
      </c>
      <c r="AH593">
        <f t="shared" si="109"/>
        <v>4627.2276224999996</v>
      </c>
    </row>
    <row r="594" spans="1:34" x14ac:dyDescent="0.55000000000000004">
      <c r="A594">
        <f>ALGLIB_SSA_XAUUSD!J594</f>
        <v>1775571600</v>
      </c>
      <c r="B594" t="str">
        <f>_xlfn.XLOOKUP($A594,ALGLIB_SSA_XAUUSD!$A$2:$A$1000,ALGLIB_SSA_XAUUSD!$B$2:$B$1000,"",0)</f>
        <v/>
      </c>
      <c r="C594" t="str">
        <f>_xlfn.XLOOKUP($A594,ALGLIB_SSA_XAUUSD!$A$2:$A$1000,ALGLIB_SSA_XAUUSD!$C$2:$C$1000,"",0)</f>
        <v/>
      </c>
      <c r="D594" s="1">
        <f>D590+(D602-D590)*4/12</f>
        <v>4640.8033333333333</v>
      </c>
      <c r="E594" s="1">
        <f>E590+(E602-E590)*4/12</f>
        <v>4641.8718566666666</v>
      </c>
      <c r="F594" s="1">
        <f>F590+(F602-F590)*4/12</f>
        <v>4644.7922533333331</v>
      </c>
      <c r="G594" s="1">
        <f>G590+(G602-G590)*4/12</f>
        <v>4658.2491433333334</v>
      </c>
      <c r="H594" s="1">
        <f>H590+(H602-H590)*4/12</f>
        <v>4627.2645766666665</v>
      </c>
      <c r="I594" t="str">
        <f>_xlfn.XLOOKUP($A594,ALGLIB_SSA_XAUUSD!$J$2:$J$1000,ALGLIB_SSA_XAUUSD!$K$2:$K$1000,"",0)</f>
        <v>XAUUSD</v>
      </c>
      <c r="J594" t="str">
        <f>_xlfn.XLOOKUP($A594,ALGLIB_SSA_XAUUSD!$J$2:$J$1000,ALGLIB_SSA_XAUUSD!$L$2:$L$1000,"",0)</f>
        <v>M5</v>
      </c>
      <c r="K594">
        <f>_xlfn.XLOOKUP($A594,ALGLIB_SSA_XAUUSD!$J$2:$J$1000,ALGLIB_SSA_XAUUSD!$M$2:$M$1000,"",0)</f>
        <v>4642.16</v>
      </c>
      <c r="L594">
        <f>_xlfn.XLOOKUP($A594,ALGLIB_SSA_XAUUSD!$J$2:$J$1000,ALGLIB_SSA_XAUUSD!$N$2:$N$1000,"",0)</f>
        <v>4635.7302499999996</v>
      </c>
      <c r="M594">
        <f>_xlfn.XLOOKUP($A594,ALGLIB_SSA_XAUUSD!$J$2:$J$1000,ALGLIB_SSA_XAUUSD!$O$2:$O$1000,"",0)</f>
        <v>4632.5794500000002</v>
      </c>
      <c r="N594">
        <f>_xlfn.XLOOKUP($A594,ALGLIB_SSA_XAUUSD!$J$2:$J$1000,ALGLIB_SSA_XAUUSD!$P$2:$P$1000,"",0)</f>
        <v>4642.1791300000004</v>
      </c>
      <c r="O594">
        <f>_xlfn.XLOOKUP($A594,ALGLIB_SSA_XAUUSD!$J$2:$J$1000,ALGLIB_SSA_XAUUSD!$Q$2:$Q$1000,"",0)</f>
        <v>4625.7124700000004</v>
      </c>
      <c r="R594">
        <f t="shared" si="99"/>
        <v>1775571600</v>
      </c>
      <c r="S594" t="str">
        <f t="shared" si="100"/>
        <v>XAUUSD</v>
      </c>
      <c r="T594" t="str">
        <f t="shared" si="101"/>
        <v>M5</v>
      </c>
      <c r="U594">
        <f t="shared" si="102"/>
        <v>4642.16</v>
      </c>
      <c r="V594">
        <v>4641.8718600000002</v>
      </c>
      <c r="W594">
        <v>4644.7922500000004</v>
      </c>
      <c r="X594">
        <v>4635.7302499999996</v>
      </c>
      <c r="Y594">
        <v>4632.5794500000002</v>
      </c>
      <c r="Z594">
        <f t="shared" si="103"/>
        <v>4658.2491433333334</v>
      </c>
      <c r="AA594">
        <f t="shared" si="104"/>
        <v>4642.1791300000004</v>
      </c>
      <c r="AB594">
        <f t="shared" si="105"/>
        <v>4627.2645766666665</v>
      </c>
      <c r="AC594">
        <f t="shared" si="106"/>
        <v>4625.7124700000004</v>
      </c>
      <c r="AF594">
        <f t="shared" si="107"/>
        <v>4635.7302499999996</v>
      </c>
      <c r="AG594">
        <f t="shared" si="108"/>
        <v>4658.2491433333334</v>
      </c>
      <c r="AH594">
        <f t="shared" si="109"/>
        <v>4627.2645766666665</v>
      </c>
    </row>
    <row r="595" spans="1:34" x14ac:dyDescent="0.55000000000000004">
      <c r="A595">
        <f>ALGLIB_SSA_XAUUSD!J595</f>
        <v>1775571900</v>
      </c>
      <c r="B595" t="str">
        <f>_xlfn.XLOOKUP($A595,ALGLIB_SSA_XAUUSD!$A$2:$A$1000,ALGLIB_SSA_XAUUSD!$B$2:$B$1000,"",0)</f>
        <v/>
      </c>
      <c r="C595" t="str">
        <f>_xlfn.XLOOKUP($A595,ALGLIB_SSA_XAUUSD!$A$2:$A$1000,ALGLIB_SSA_XAUUSD!$C$2:$C$1000,"",0)</f>
        <v/>
      </c>
      <c r="D595" s="1">
        <f>D590+(D602-D590)*5/12</f>
        <v>4642.6466666666665</v>
      </c>
      <c r="E595" s="1">
        <f>E590+(E602-E590)*5/12</f>
        <v>4642.078508333333</v>
      </c>
      <c r="F595" s="1">
        <f>F590+(F602-F590)*5/12</f>
        <v>4644.7288941666666</v>
      </c>
      <c r="G595" s="1">
        <f>G590+(G602-G590)*5/12</f>
        <v>4658.3116916666668</v>
      </c>
      <c r="H595" s="1">
        <f>H590+(H602-H590)*5/12</f>
        <v>4627.3015308333333</v>
      </c>
      <c r="I595" t="str">
        <f>_xlfn.XLOOKUP($A595,ALGLIB_SSA_XAUUSD!$J$2:$J$1000,ALGLIB_SSA_XAUUSD!$K$2:$K$1000,"",0)</f>
        <v>XAUUSD</v>
      </c>
      <c r="J595" t="str">
        <f>_xlfn.XLOOKUP($A595,ALGLIB_SSA_XAUUSD!$J$2:$J$1000,ALGLIB_SSA_XAUUSD!$L$2:$L$1000,"",0)</f>
        <v>M5</v>
      </c>
      <c r="K595">
        <f>_xlfn.XLOOKUP($A595,ALGLIB_SSA_XAUUSD!$J$2:$J$1000,ALGLIB_SSA_XAUUSD!$M$2:$M$1000,"",0)</f>
        <v>4645.16</v>
      </c>
      <c r="L595">
        <f>_xlfn.XLOOKUP($A595,ALGLIB_SSA_XAUUSD!$J$2:$J$1000,ALGLIB_SSA_XAUUSD!$N$2:$N$1000,"",0)</f>
        <v>4640.9054299999998</v>
      </c>
      <c r="M595">
        <f>_xlfn.XLOOKUP($A595,ALGLIB_SSA_XAUUSD!$J$2:$J$1000,ALGLIB_SSA_XAUUSD!$O$2:$O$1000,"",0)</f>
        <v>4636.74244</v>
      </c>
      <c r="N595">
        <f>_xlfn.XLOOKUP($A595,ALGLIB_SSA_XAUUSD!$J$2:$J$1000,ALGLIB_SSA_XAUUSD!$P$2:$P$1000,"",0)</f>
        <v>4646.8545999999997</v>
      </c>
      <c r="O595">
        <f>_xlfn.XLOOKUP($A595,ALGLIB_SSA_XAUUSD!$J$2:$J$1000,ALGLIB_SSA_XAUUSD!$Q$2:$Q$1000,"",0)</f>
        <v>4631.9724500000002</v>
      </c>
      <c r="R595">
        <f t="shared" si="99"/>
        <v>1775571900</v>
      </c>
      <c r="S595" t="str">
        <f t="shared" si="100"/>
        <v>XAUUSD</v>
      </c>
      <c r="T595" t="str">
        <f t="shared" si="101"/>
        <v>M5</v>
      </c>
      <c r="U595">
        <f t="shared" si="102"/>
        <v>4645.16</v>
      </c>
      <c r="V595">
        <v>4642.0785100000003</v>
      </c>
      <c r="W595">
        <v>4644.7288900000003</v>
      </c>
      <c r="X595">
        <v>4640.9054299999998</v>
      </c>
      <c r="Y595">
        <v>4636.74244</v>
      </c>
      <c r="Z595">
        <f t="shared" si="103"/>
        <v>4658.3116916666668</v>
      </c>
      <c r="AA595">
        <f t="shared" si="104"/>
        <v>4646.8545999999997</v>
      </c>
      <c r="AB595">
        <f t="shared" si="105"/>
        <v>4627.3015308333333</v>
      </c>
      <c r="AC595">
        <f t="shared" si="106"/>
        <v>4631.9724500000002</v>
      </c>
      <c r="AF595">
        <f t="shared" si="107"/>
        <v>4640.9054299999998</v>
      </c>
      <c r="AG595">
        <f t="shared" si="108"/>
        <v>4658.3116916666668</v>
      </c>
      <c r="AH595">
        <f t="shared" si="109"/>
        <v>4627.3015308333333</v>
      </c>
    </row>
    <row r="596" spans="1:34" x14ac:dyDescent="0.55000000000000004">
      <c r="A596">
        <f>ALGLIB_SSA_XAUUSD!J596</f>
        <v>1775572200</v>
      </c>
      <c r="B596" t="str">
        <f>_xlfn.XLOOKUP($A596,ALGLIB_SSA_XAUUSD!$A$2:$A$1000,ALGLIB_SSA_XAUUSD!$B$2:$B$1000,"",0)</f>
        <v/>
      </c>
      <c r="C596" t="str">
        <f>_xlfn.XLOOKUP($A596,ALGLIB_SSA_XAUUSD!$A$2:$A$1000,ALGLIB_SSA_XAUUSD!$C$2:$C$1000,"",0)</f>
        <v/>
      </c>
      <c r="D596" s="1">
        <f>D590+(D602-D590)*6/12</f>
        <v>4644.49</v>
      </c>
      <c r="E596" s="1">
        <f>E590+(E602-E590)*6/12</f>
        <v>4642.2851599999995</v>
      </c>
      <c r="F596" s="1">
        <f>F590+(F602-F590)*6/12</f>
        <v>4644.6655350000001</v>
      </c>
      <c r="G596" s="1">
        <f>G590+(G602-G590)*6/12</f>
        <v>4658.3742400000001</v>
      </c>
      <c r="H596" s="1">
        <f>H590+(H602-H590)*6/12</f>
        <v>4627.3384850000002</v>
      </c>
      <c r="I596" t="str">
        <f>_xlfn.XLOOKUP($A596,ALGLIB_SSA_XAUUSD!$J$2:$J$1000,ALGLIB_SSA_XAUUSD!$K$2:$K$1000,"",0)</f>
        <v>XAUUSD</v>
      </c>
      <c r="J596" t="str">
        <f>_xlfn.XLOOKUP($A596,ALGLIB_SSA_XAUUSD!$J$2:$J$1000,ALGLIB_SSA_XAUUSD!$L$2:$L$1000,"",0)</f>
        <v>M5</v>
      </c>
      <c r="K596">
        <f>_xlfn.XLOOKUP($A596,ALGLIB_SSA_XAUUSD!$J$2:$J$1000,ALGLIB_SSA_XAUUSD!$M$2:$M$1000,"",0)</f>
        <v>4653.28</v>
      </c>
      <c r="L596">
        <f>_xlfn.XLOOKUP($A596,ALGLIB_SSA_XAUUSD!$J$2:$J$1000,ALGLIB_SSA_XAUUSD!$N$2:$N$1000,"",0)</f>
        <v>4645.0864300000003</v>
      </c>
      <c r="M596">
        <f>_xlfn.XLOOKUP($A596,ALGLIB_SSA_XAUUSD!$J$2:$J$1000,ALGLIB_SSA_XAUUSD!$O$2:$O$1000,"",0)</f>
        <v>4640.9144299999998</v>
      </c>
      <c r="N596">
        <f>_xlfn.XLOOKUP($A596,ALGLIB_SSA_XAUUSD!$J$2:$J$1000,ALGLIB_SSA_XAUUSD!$P$2:$P$1000,"",0)</f>
        <v>4650.8806599999998</v>
      </c>
      <c r="O596">
        <f>_xlfn.XLOOKUP($A596,ALGLIB_SSA_XAUUSD!$J$2:$J$1000,ALGLIB_SSA_XAUUSD!$Q$2:$Q$1000,"",0)</f>
        <v>4637.7064</v>
      </c>
      <c r="R596">
        <f t="shared" si="99"/>
        <v>1775572200</v>
      </c>
      <c r="S596" t="str">
        <f t="shared" si="100"/>
        <v>XAUUSD</v>
      </c>
      <c r="T596" t="str">
        <f t="shared" si="101"/>
        <v>M5</v>
      </c>
      <c r="U596">
        <f t="shared" si="102"/>
        <v>4653.28</v>
      </c>
      <c r="V596">
        <v>4642.2851600000004</v>
      </c>
      <c r="W596">
        <v>4644.66554</v>
      </c>
      <c r="X596">
        <v>4645.0864300000003</v>
      </c>
      <c r="Y596">
        <v>4640.9144299999998</v>
      </c>
      <c r="Z596">
        <f t="shared" si="103"/>
        <v>4658.3742400000001</v>
      </c>
      <c r="AA596">
        <f t="shared" si="104"/>
        <v>4650.8806599999998</v>
      </c>
      <c r="AB596">
        <f t="shared" si="105"/>
        <v>4627.3384850000002</v>
      </c>
      <c r="AC596">
        <f t="shared" si="106"/>
        <v>4637.7064</v>
      </c>
      <c r="AF596">
        <f t="shared" si="107"/>
        <v>4645.0864300000003</v>
      </c>
      <c r="AG596">
        <f t="shared" si="108"/>
        <v>4658.3742400000001</v>
      </c>
      <c r="AH596">
        <f t="shared" si="109"/>
        <v>4627.3384850000002</v>
      </c>
    </row>
    <row r="597" spans="1:34" x14ac:dyDescent="0.55000000000000004">
      <c r="A597">
        <f>ALGLIB_SSA_XAUUSD!J597</f>
        <v>1775572500</v>
      </c>
      <c r="B597" t="str">
        <f>_xlfn.XLOOKUP($A597,ALGLIB_SSA_XAUUSD!$A$2:$A$1000,ALGLIB_SSA_XAUUSD!$B$2:$B$1000,"",0)</f>
        <v/>
      </c>
      <c r="C597" t="str">
        <f>_xlfn.XLOOKUP($A597,ALGLIB_SSA_XAUUSD!$A$2:$A$1000,ALGLIB_SSA_XAUUSD!$C$2:$C$1000,"",0)</f>
        <v/>
      </c>
      <c r="D597" s="1">
        <f>D590+(D602-D590)*7/12</f>
        <v>4646.3333333333339</v>
      </c>
      <c r="E597" s="1">
        <f>E590+(E602-E590)*7/12</f>
        <v>4642.4918116666668</v>
      </c>
      <c r="F597" s="1">
        <f>F590+(F602-F590)*7/12</f>
        <v>4644.6021758333336</v>
      </c>
      <c r="G597" s="1">
        <f>G590+(G602-G590)*7/12</f>
        <v>4658.4367883333334</v>
      </c>
      <c r="H597" s="1">
        <f>H590+(H602-H590)*7/12</f>
        <v>4627.3754391666662</v>
      </c>
      <c r="I597" t="str">
        <f>_xlfn.XLOOKUP($A597,ALGLIB_SSA_XAUUSD!$J$2:$J$1000,ALGLIB_SSA_XAUUSD!$K$2:$K$1000,"",0)</f>
        <v>XAUUSD</v>
      </c>
      <c r="J597" t="str">
        <f>_xlfn.XLOOKUP($A597,ALGLIB_SSA_XAUUSD!$J$2:$J$1000,ALGLIB_SSA_XAUUSD!$L$2:$L$1000,"",0)</f>
        <v>M5</v>
      </c>
      <c r="K597">
        <f>_xlfn.XLOOKUP($A597,ALGLIB_SSA_XAUUSD!$J$2:$J$1000,ALGLIB_SSA_XAUUSD!$M$2:$M$1000,"",0)</f>
        <v>4654.95</v>
      </c>
      <c r="L597">
        <f>_xlfn.XLOOKUP($A597,ALGLIB_SSA_XAUUSD!$J$2:$J$1000,ALGLIB_SSA_XAUUSD!$N$2:$N$1000,"",0)</f>
        <v>4647.3753500000003</v>
      </c>
      <c r="M597">
        <f>_xlfn.XLOOKUP($A597,ALGLIB_SSA_XAUUSD!$J$2:$J$1000,ALGLIB_SSA_XAUUSD!$O$2:$O$1000,"",0)</f>
        <v>4644.1448899999996</v>
      </c>
      <c r="N597">
        <f>_xlfn.XLOOKUP($A597,ALGLIB_SSA_XAUUSD!$J$2:$J$1000,ALGLIB_SSA_XAUUSD!$P$2:$P$1000,"",0)</f>
        <v>4653.3725400000003</v>
      </c>
      <c r="O597">
        <f>_xlfn.XLOOKUP($A597,ALGLIB_SSA_XAUUSD!$J$2:$J$1000,ALGLIB_SSA_XAUUSD!$Q$2:$Q$1000,"",0)</f>
        <v>4641.8457799999996</v>
      </c>
      <c r="R597">
        <f t="shared" si="99"/>
        <v>1775572500</v>
      </c>
      <c r="S597" t="str">
        <f t="shared" si="100"/>
        <v>XAUUSD</v>
      </c>
      <c r="T597" t="str">
        <f t="shared" si="101"/>
        <v>M5</v>
      </c>
      <c r="U597">
        <f t="shared" si="102"/>
        <v>4654.95</v>
      </c>
      <c r="V597">
        <v>4642.4918100000004</v>
      </c>
      <c r="W597">
        <v>4644.6021799999999</v>
      </c>
      <c r="X597">
        <v>4647.3753500000003</v>
      </c>
      <c r="Y597">
        <v>4644.1448899999996</v>
      </c>
      <c r="Z597">
        <f t="shared" si="103"/>
        <v>4658.4367883333334</v>
      </c>
      <c r="AA597">
        <f t="shared" si="104"/>
        <v>4653.3725400000003</v>
      </c>
      <c r="AB597">
        <f t="shared" si="105"/>
        <v>4627.3754391666662</v>
      </c>
      <c r="AC597">
        <f t="shared" si="106"/>
        <v>4641.8457799999996</v>
      </c>
      <c r="AF597">
        <f t="shared" si="107"/>
        <v>4647.3753500000003</v>
      </c>
      <c r="AG597">
        <f t="shared" si="108"/>
        <v>4658.4367883333334</v>
      </c>
      <c r="AH597">
        <f t="shared" si="109"/>
        <v>4627.3754391666662</v>
      </c>
    </row>
    <row r="598" spans="1:34" x14ac:dyDescent="0.55000000000000004">
      <c r="A598">
        <f>ALGLIB_SSA_XAUUSD!J598</f>
        <v>1775572800</v>
      </c>
      <c r="B598" t="str">
        <f>_xlfn.XLOOKUP($A598,ALGLIB_SSA_XAUUSD!$A$2:$A$1000,ALGLIB_SSA_XAUUSD!$B$2:$B$1000,"",0)</f>
        <v/>
      </c>
      <c r="C598" t="str">
        <f>_xlfn.XLOOKUP($A598,ALGLIB_SSA_XAUUSD!$A$2:$A$1000,ALGLIB_SSA_XAUUSD!$C$2:$C$1000,"",0)</f>
        <v/>
      </c>
      <c r="D598" s="1">
        <f>D590+(D602-D590)*8/12</f>
        <v>4648.1766666666672</v>
      </c>
      <c r="E598" s="1">
        <f>E590+(E602-E590)*8/12</f>
        <v>4642.6984633333332</v>
      </c>
      <c r="F598" s="1">
        <f>F590+(F602-F590)*8/12</f>
        <v>4644.5388166666671</v>
      </c>
      <c r="G598" s="1">
        <f>G590+(G602-G590)*8/12</f>
        <v>4658.4993366666667</v>
      </c>
      <c r="H598" s="1">
        <f>H590+(H602-H590)*8/12</f>
        <v>4627.4123933333331</v>
      </c>
      <c r="I598" t="str">
        <f>_xlfn.XLOOKUP($A598,ALGLIB_SSA_XAUUSD!$J$2:$J$1000,ALGLIB_SSA_XAUUSD!$K$2:$K$1000,"",0)</f>
        <v>XAUUSD</v>
      </c>
      <c r="J598" t="str">
        <f>_xlfn.XLOOKUP($A598,ALGLIB_SSA_XAUUSD!$J$2:$J$1000,ALGLIB_SSA_XAUUSD!$L$2:$L$1000,"",0)</f>
        <v>M5</v>
      </c>
      <c r="K598">
        <f>_xlfn.XLOOKUP($A598,ALGLIB_SSA_XAUUSD!$J$2:$J$1000,ALGLIB_SSA_XAUUSD!$M$2:$M$1000,"",0)</f>
        <v>4647.16</v>
      </c>
      <c r="L598">
        <f>_xlfn.XLOOKUP($A598,ALGLIB_SSA_XAUUSD!$J$2:$J$1000,ALGLIB_SSA_XAUUSD!$N$2:$N$1000,"",0)</f>
        <v>4647.4974400000001</v>
      </c>
      <c r="M598">
        <f>_xlfn.XLOOKUP($A598,ALGLIB_SSA_XAUUSD!$J$2:$J$1000,ALGLIB_SSA_XAUUSD!$O$2:$O$1000,"",0)</f>
        <v>4645.8211700000002</v>
      </c>
      <c r="N598">
        <f>_xlfn.XLOOKUP($A598,ALGLIB_SSA_XAUUSD!$J$2:$J$1000,ALGLIB_SSA_XAUUSD!$P$2:$P$1000,"",0)</f>
        <v>4653.8074299999998</v>
      </c>
      <c r="O598">
        <f>_xlfn.XLOOKUP($A598,ALGLIB_SSA_XAUUSD!$J$2:$J$1000,ALGLIB_SSA_XAUUSD!$Q$2:$Q$1000,"",0)</f>
        <v>4643.5813099999996</v>
      </c>
      <c r="R598">
        <f t="shared" si="99"/>
        <v>1775572800</v>
      </c>
      <c r="S598" t="str">
        <f t="shared" si="100"/>
        <v>XAUUSD</v>
      </c>
      <c r="T598" t="str">
        <f t="shared" si="101"/>
        <v>M5</v>
      </c>
      <c r="U598">
        <f t="shared" si="102"/>
        <v>4647.16</v>
      </c>
      <c r="V598">
        <v>4642.6984599999996</v>
      </c>
      <c r="W598">
        <v>4644.5388199999998</v>
      </c>
      <c r="X598">
        <v>4647.4974400000001</v>
      </c>
      <c r="Y598">
        <v>4645.8211700000002</v>
      </c>
      <c r="Z598">
        <f t="shared" si="103"/>
        <v>4658.4993366666667</v>
      </c>
      <c r="AA598">
        <f t="shared" si="104"/>
        <v>4653.8074299999998</v>
      </c>
      <c r="AB598">
        <f t="shared" si="105"/>
        <v>4627.4123933333331</v>
      </c>
      <c r="AC598">
        <f t="shared" si="106"/>
        <v>4643.5813099999996</v>
      </c>
      <c r="AF598">
        <f t="shared" si="107"/>
        <v>4647.4974400000001</v>
      </c>
      <c r="AG598">
        <f t="shared" si="108"/>
        <v>4658.4993366666667</v>
      </c>
      <c r="AH598">
        <f t="shared" si="109"/>
        <v>4627.4123933333331</v>
      </c>
    </row>
    <row r="599" spans="1:34" x14ac:dyDescent="0.55000000000000004">
      <c r="A599">
        <f>ALGLIB_SSA_XAUUSD!J599</f>
        <v>1775573100</v>
      </c>
      <c r="B599" t="str">
        <f>_xlfn.XLOOKUP($A599,ALGLIB_SSA_XAUUSD!$A$2:$A$1000,ALGLIB_SSA_XAUUSD!$B$2:$B$1000,"",0)</f>
        <v/>
      </c>
      <c r="C599" t="str">
        <f>_xlfn.XLOOKUP($A599,ALGLIB_SSA_XAUUSD!$A$2:$A$1000,ALGLIB_SSA_XAUUSD!$C$2:$C$1000,"",0)</f>
        <v/>
      </c>
      <c r="D599" s="1">
        <f>D590+(D602-D590)*9/12</f>
        <v>4650.0200000000004</v>
      </c>
      <c r="E599" s="1">
        <f>E590+(E602-E590)*9/12</f>
        <v>4642.9051149999996</v>
      </c>
      <c r="F599" s="1">
        <f>F590+(F602-F590)*9/12</f>
        <v>4644.4754575000006</v>
      </c>
      <c r="G599" s="1">
        <f>G590+(G602-G590)*9/12</f>
        <v>4658.5618850000001</v>
      </c>
      <c r="H599" s="1">
        <f>H590+(H602-H590)*9/12</f>
        <v>4627.4493474999999</v>
      </c>
      <c r="I599" t="str">
        <f>_xlfn.XLOOKUP($A599,ALGLIB_SSA_XAUUSD!$J$2:$J$1000,ALGLIB_SSA_XAUUSD!$K$2:$K$1000,"",0)</f>
        <v>XAUUSD</v>
      </c>
      <c r="J599" t="str">
        <f>_xlfn.XLOOKUP($A599,ALGLIB_SSA_XAUUSD!$J$2:$J$1000,ALGLIB_SSA_XAUUSD!$L$2:$L$1000,"",0)</f>
        <v>M5</v>
      </c>
      <c r="K599">
        <f>_xlfn.XLOOKUP($A599,ALGLIB_SSA_XAUUSD!$J$2:$J$1000,ALGLIB_SSA_XAUUSD!$M$2:$M$1000,"",0)</f>
        <v>4649.03</v>
      </c>
      <c r="L599">
        <f>_xlfn.XLOOKUP($A599,ALGLIB_SSA_XAUUSD!$J$2:$J$1000,ALGLIB_SSA_XAUUSD!$N$2:$N$1000,"",0)</f>
        <v>4645.9023999999999</v>
      </c>
      <c r="M599">
        <f>_xlfn.XLOOKUP($A599,ALGLIB_SSA_XAUUSD!$J$2:$J$1000,ALGLIB_SSA_XAUUSD!$O$2:$O$1000,"",0)</f>
        <v>4645.8617800000002</v>
      </c>
      <c r="N599">
        <f>_xlfn.XLOOKUP($A599,ALGLIB_SSA_XAUUSD!$J$2:$J$1000,ALGLIB_SSA_XAUUSD!$P$2:$P$1000,"",0)</f>
        <v>4652.4301100000002</v>
      </c>
      <c r="O599">
        <f>_xlfn.XLOOKUP($A599,ALGLIB_SSA_XAUUSD!$J$2:$J$1000,ALGLIB_SSA_XAUUSD!$Q$2:$Q$1000,"",0)</f>
        <v>4643.0054799999998</v>
      </c>
      <c r="R599">
        <f t="shared" si="99"/>
        <v>1775573100</v>
      </c>
      <c r="S599" t="str">
        <f t="shared" si="100"/>
        <v>XAUUSD</v>
      </c>
      <c r="T599" t="str">
        <f t="shared" si="101"/>
        <v>M5</v>
      </c>
      <c r="U599">
        <f t="shared" si="102"/>
        <v>4649.03</v>
      </c>
      <c r="V599">
        <v>4642.9051099999997</v>
      </c>
      <c r="W599">
        <v>4644.4754599999997</v>
      </c>
      <c r="X599">
        <v>4645.9023999999999</v>
      </c>
      <c r="Y599">
        <v>4645.8617800000002</v>
      </c>
      <c r="Z599">
        <f t="shared" si="103"/>
        <v>4658.5618850000001</v>
      </c>
      <c r="AA599">
        <f t="shared" si="104"/>
        <v>4652.4301100000002</v>
      </c>
      <c r="AB599">
        <f t="shared" si="105"/>
        <v>4627.4493474999999</v>
      </c>
      <c r="AC599">
        <f t="shared" si="106"/>
        <v>4643.0054799999998</v>
      </c>
      <c r="AF599">
        <f t="shared" si="107"/>
        <v>4645.9023999999999</v>
      </c>
      <c r="AG599">
        <f t="shared" si="108"/>
        <v>4658.5618850000001</v>
      </c>
      <c r="AH599">
        <f t="shared" si="109"/>
        <v>4627.4493474999999</v>
      </c>
    </row>
    <row r="600" spans="1:34" x14ac:dyDescent="0.55000000000000004">
      <c r="A600">
        <f>ALGLIB_SSA_XAUUSD!J600</f>
        <v>1775573400</v>
      </c>
      <c r="B600" t="str">
        <f>_xlfn.XLOOKUP($A600,ALGLIB_SSA_XAUUSD!$A$2:$A$1000,ALGLIB_SSA_XAUUSD!$B$2:$B$1000,"",0)</f>
        <v/>
      </c>
      <c r="C600" t="str">
        <f>_xlfn.XLOOKUP($A600,ALGLIB_SSA_XAUUSD!$A$2:$A$1000,ALGLIB_SSA_XAUUSD!$C$2:$C$1000,"",0)</f>
        <v/>
      </c>
      <c r="D600" s="1">
        <f>D590+(D602-D590)*10/12</f>
        <v>4651.8633333333337</v>
      </c>
      <c r="E600" s="1">
        <f>E590+(E602-E590)*10/12</f>
        <v>4643.1117666666669</v>
      </c>
      <c r="F600" s="1">
        <f>F590+(F602-F590)*10/12</f>
        <v>4644.4120983333332</v>
      </c>
      <c r="G600" s="1">
        <f>G590+(G602-G590)*10/12</f>
        <v>4658.6244333333334</v>
      </c>
      <c r="H600" s="1">
        <f>H590+(H602-H590)*10/12</f>
        <v>4627.4863016666659</v>
      </c>
      <c r="I600" t="str">
        <f>_xlfn.XLOOKUP($A600,ALGLIB_SSA_XAUUSD!$J$2:$J$1000,ALGLIB_SSA_XAUUSD!$K$2:$K$1000,"",0)</f>
        <v>XAUUSD</v>
      </c>
      <c r="J600" t="str">
        <f>_xlfn.XLOOKUP($A600,ALGLIB_SSA_XAUUSD!$J$2:$J$1000,ALGLIB_SSA_XAUUSD!$L$2:$L$1000,"",0)</f>
        <v>M5</v>
      </c>
      <c r="K600">
        <f>_xlfn.XLOOKUP($A600,ALGLIB_SSA_XAUUSD!$J$2:$J$1000,ALGLIB_SSA_XAUUSD!$M$2:$M$1000,"",0)</f>
        <v>4639.97</v>
      </c>
      <c r="L600">
        <f>_xlfn.XLOOKUP($A600,ALGLIB_SSA_XAUUSD!$J$2:$J$1000,ALGLIB_SSA_XAUUSD!$N$2:$N$1000,"",0)</f>
        <v>4643.17724</v>
      </c>
      <c r="M600">
        <f>_xlfn.XLOOKUP($A600,ALGLIB_SSA_XAUUSD!$J$2:$J$1000,ALGLIB_SSA_XAUUSD!$O$2:$O$1000,"",0)</f>
        <v>4644.5195100000001</v>
      </c>
      <c r="N600">
        <f>_xlfn.XLOOKUP($A600,ALGLIB_SSA_XAUUSD!$J$2:$J$1000,ALGLIB_SSA_XAUUSD!$P$2:$P$1000,"",0)</f>
        <v>4649.7130699999998</v>
      </c>
      <c r="O600">
        <f>_xlfn.XLOOKUP($A600,ALGLIB_SSA_XAUUSD!$J$2:$J$1000,ALGLIB_SSA_XAUUSD!$Q$2:$Q$1000,"",0)</f>
        <v>4640.6241600000003</v>
      </c>
      <c r="R600">
        <f t="shared" si="99"/>
        <v>1775573400</v>
      </c>
      <c r="S600" t="str">
        <f t="shared" si="100"/>
        <v>XAUUSD</v>
      </c>
      <c r="T600" t="str">
        <f t="shared" si="101"/>
        <v>M5</v>
      </c>
      <c r="U600">
        <f t="shared" si="102"/>
        <v>4639.97</v>
      </c>
      <c r="V600">
        <v>4643.1117700000004</v>
      </c>
      <c r="W600">
        <v>4644.4120999999996</v>
      </c>
      <c r="X600">
        <v>4643.17724</v>
      </c>
      <c r="Y600">
        <v>4644.5195100000001</v>
      </c>
      <c r="Z600">
        <f t="shared" si="103"/>
        <v>4658.6244333333334</v>
      </c>
      <c r="AA600">
        <f t="shared" si="104"/>
        <v>4649.7130699999998</v>
      </c>
      <c r="AB600">
        <f t="shared" si="105"/>
        <v>4627.4863016666659</v>
      </c>
      <c r="AC600">
        <f t="shared" si="106"/>
        <v>4640.6241600000003</v>
      </c>
      <c r="AF600">
        <f t="shared" si="107"/>
        <v>4643.17724</v>
      </c>
      <c r="AG600">
        <f t="shared" si="108"/>
        <v>4658.6244333333334</v>
      </c>
      <c r="AH600">
        <f t="shared" si="109"/>
        <v>4627.4863016666659</v>
      </c>
    </row>
    <row r="601" spans="1:34" x14ac:dyDescent="0.55000000000000004">
      <c r="A601">
        <f>ALGLIB_SSA_XAUUSD!J601</f>
        <v>1775573700</v>
      </c>
      <c r="B601" t="str">
        <f>_xlfn.XLOOKUP($A601,ALGLIB_SSA_XAUUSD!$A$2:$A$1000,ALGLIB_SSA_XAUUSD!$B$2:$B$1000,"",0)</f>
        <v/>
      </c>
      <c r="C601" t="str">
        <f>_xlfn.XLOOKUP($A601,ALGLIB_SSA_XAUUSD!$A$2:$A$1000,ALGLIB_SSA_XAUUSD!$C$2:$C$1000,"",0)</f>
        <v/>
      </c>
      <c r="D601" s="1">
        <f>D590+(D602-D590)*11/12</f>
        <v>4653.7066666666669</v>
      </c>
      <c r="E601" s="1">
        <f>E590+(E602-E590)*11/12</f>
        <v>4643.3184183333333</v>
      </c>
      <c r="F601" s="1">
        <f>F590+(F602-F590)*11/12</f>
        <v>4644.3487391666667</v>
      </c>
      <c r="G601" s="1">
        <f>G590+(G602-G590)*11/12</f>
        <v>4658.6869816666667</v>
      </c>
      <c r="H601" s="1">
        <f>H590+(H602-H590)*11/12</f>
        <v>4627.5232558333328</v>
      </c>
      <c r="I601" t="str">
        <f>_xlfn.XLOOKUP($A601,ALGLIB_SSA_XAUUSD!$J$2:$J$1000,ALGLIB_SSA_XAUUSD!$K$2:$K$1000,"",0)</f>
        <v>XAUUSD</v>
      </c>
      <c r="J601" t="str">
        <f>_xlfn.XLOOKUP($A601,ALGLIB_SSA_XAUUSD!$J$2:$J$1000,ALGLIB_SSA_XAUUSD!$L$2:$L$1000,"",0)</f>
        <v>M5</v>
      </c>
      <c r="K601">
        <f>_xlfn.XLOOKUP($A601,ALGLIB_SSA_XAUUSD!$J$2:$J$1000,ALGLIB_SSA_XAUUSD!$M$2:$M$1000,"",0)</f>
        <v>4633.43</v>
      </c>
      <c r="L601">
        <f>_xlfn.XLOOKUP($A601,ALGLIB_SSA_XAUUSD!$J$2:$J$1000,ALGLIB_SSA_XAUUSD!$N$2:$N$1000,"",0)</f>
        <v>4640.3444799999997</v>
      </c>
      <c r="M601">
        <f>_xlfn.XLOOKUP($A601,ALGLIB_SSA_XAUUSD!$J$2:$J$1000,ALGLIB_SSA_XAUUSD!$O$2:$O$1000,"",0)</f>
        <v>4642.4319999999998</v>
      </c>
      <c r="N601">
        <f>_xlfn.XLOOKUP($A601,ALGLIB_SSA_XAUUSD!$J$2:$J$1000,ALGLIB_SSA_XAUUSD!$P$2:$P$1000,"",0)</f>
        <v>4646.5854600000002</v>
      </c>
      <c r="O601">
        <f>_xlfn.XLOOKUP($A601,ALGLIB_SSA_XAUUSD!$J$2:$J$1000,ALGLIB_SSA_XAUUSD!$Q$2:$Q$1000,"",0)</f>
        <v>4637.4440999999997</v>
      </c>
      <c r="R601">
        <f t="shared" si="99"/>
        <v>1775573700</v>
      </c>
      <c r="S601" t="str">
        <f t="shared" si="100"/>
        <v>XAUUSD</v>
      </c>
      <c r="T601" t="str">
        <f t="shared" si="101"/>
        <v>M5</v>
      </c>
      <c r="U601">
        <f t="shared" si="102"/>
        <v>4633.43</v>
      </c>
      <c r="V601">
        <v>4643.3184199999996</v>
      </c>
      <c r="W601">
        <v>4644.3487400000004</v>
      </c>
      <c r="X601">
        <v>4640.3444799999997</v>
      </c>
      <c r="Y601">
        <v>4642.4319999999998</v>
      </c>
      <c r="Z601">
        <f t="shared" si="103"/>
        <v>4658.6869816666667</v>
      </c>
      <c r="AA601">
        <f t="shared" si="104"/>
        <v>4646.5854600000002</v>
      </c>
      <c r="AB601">
        <f t="shared" si="105"/>
        <v>4627.5232558333328</v>
      </c>
      <c r="AC601">
        <f t="shared" si="106"/>
        <v>4637.4440999999997</v>
      </c>
      <c r="AF601">
        <f t="shared" si="107"/>
        <v>4640.3444799999997</v>
      </c>
      <c r="AG601">
        <f t="shared" si="108"/>
        <v>4658.6869816666667</v>
      </c>
      <c r="AH601">
        <f t="shared" si="109"/>
        <v>4627.5232558333328</v>
      </c>
    </row>
    <row r="602" spans="1:34" x14ac:dyDescent="0.55000000000000004">
      <c r="A602">
        <f>ALGLIB_SSA_XAUUSD!J602</f>
        <v>1775574000</v>
      </c>
      <c r="B602" t="str">
        <f>_xlfn.XLOOKUP($A602,ALGLIB_SSA_XAUUSD!$A$2:$A$1000,ALGLIB_SSA_XAUUSD!$B$2:$B$1000,"",0)</f>
        <v>XAUUSD</v>
      </c>
      <c r="C602" t="str">
        <f>_xlfn.XLOOKUP($A602,ALGLIB_SSA_XAUUSD!$A$2:$A$1000,ALGLIB_SSA_XAUUSD!$C$2:$C$1000,"",0)</f>
        <v>H1</v>
      </c>
      <c r="D602" s="2">
        <f>_xlfn.XLOOKUP($A602,ALGLIB_SSA_XAUUSD!$A$2:$A$1000,ALGLIB_SSA_XAUUSD!$D$2:$D$1000,"",0)</f>
        <v>4655.55</v>
      </c>
      <c r="E602" s="2">
        <f>_xlfn.XLOOKUP($A602,ALGLIB_SSA_XAUUSD!$A$2:$A$1000,ALGLIB_SSA_XAUUSD!$E$2:$E$1000,"",0)</f>
        <v>4643.5250699999997</v>
      </c>
      <c r="F602" s="2">
        <f>_xlfn.XLOOKUP($A602,ALGLIB_SSA_XAUUSD!$A$2:$A$1000,ALGLIB_SSA_XAUUSD!$F$2:$F$1000,"",0)</f>
        <v>4644.2853800000003</v>
      </c>
      <c r="G602" s="2">
        <f>_xlfn.XLOOKUP($A602,ALGLIB_SSA_XAUUSD!$A$2:$A$1000,ALGLIB_SSA_XAUUSD!$G$2:$G$1000,"",0)</f>
        <v>4658.74953</v>
      </c>
      <c r="H602" s="2">
        <f>_xlfn.XLOOKUP($A602,ALGLIB_SSA_XAUUSD!$A$2:$A$1000,ALGLIB_SSA_XAUUSD!$H$2:$H$1000,"",0)</f>
        <v>4627.5602099999996</v>
      </c>
      <c r="I602" t="str">
        <f>_xlfn.XLOOKUP($A602,ALGLIB_SSA_XAUUSD!$J$2:$J$1000,ALGLIB_SSA_XAUUSD!$K$2:$K$1000,"",0)</f>
        <v>XAUUSD</v>
      </c>
      <c r="J602" t="str">
        <f>_xlfn.XLOOKUP($A602,ALGLIB_SSA_XAUUSD!$J$2:$J$1000,ALGLIB_SSA_XAUUSD!$L$2:$L$1000,"",0)</f>
        <v>M5</v>
      </c>
      <c r="K602">
        <f>_xlfn.XLOOKUP($A602,ALGLIB_SSA_XAUUSD!$J$2:$J$1000,ALGLIB_SSA_XAUUSD!$M$2:$M$1000,"",0)</f>
        <v>4628.16</v>
      </c>
      <c r="L602">
        <f>_xlfn.XLOOKUP($A602,ALGLIB_SSA_XAUUSD!$J$2:$J$1000,ALGLIB_SSA_XAUUSD!$N$2:$N$1000,"",0)</f>
        <v>4638.3317999999999</v>
      </c>
      <c r="M602">
        <f>_xlfn.XLOOKUP($A602,ALGLIB_SSA_XAUUSD!$J$2:$J$1000,ALGLIB_SSA_XAUUSD!$O$2:$O$1000,"",0)</f>
        <v>4640.3819000000003</v>
      </c>
      <c r="N602">
        <f>_xlfn.XLOOKUP($A602,ALGLIB_SSA_XAUUSD!$J$2:$J$1000,ALGLIB_SSA_XAUUSD!$P$2:$P$1000,"",0)</f>
        <v>4644.0182599999998</v>
      </c>
      <c r="O602">
        <f>_xlfn.XLOOKUP($A602,ALGLIB_SSA_XAUUSD!$J$2:$J$1000,ALGLIB_SSA_XAUUSD!$Q$2:$Q$1000,"",0)</f>
        <v>4634.6362099999997</v>
      </c>
      <c r="R602">
        <f t="shared" si="99"/>
        <v>1775574000</v>
      </c>
      <c r="S602" t="str">
        <f t="shared" si="100"/>
        <v>XAUUSD</v>
      </c>
      <c r="T602" t="str">
        <f t="shared" si="101"/>
        <v>M5</v>
      </c>
      <c r="U602">
        <f t="shared" si="102"/>
        <v>4628.16</v>
      </c>
      <c r="V602">
        <v>4643.5250699999997</v>
      </c>
      <c r="W602">
        <v>4644.2853800000003</v>
      </c>
      <c r="X602">
        <v>4638.3317999999999</v>
      </c>
      <c r="Y602">
        <v>4640.3819000000003</v>
      </c>
      <c r="Z602">
        <f t="shared" si="103"/>
        <v>4658.74953</v>
      </c>
      <c r="AA602">
        <f t="shared" si="104"/>
        <v>4644.0182599999998</v>
      </c>
      <c r="AB602">
        <f t="shared" si="105"/>
        <v>4627.5602099999996</v>
      </c>
      <c r="AC602">
        <f t="shared" si="106"/>
        <v>4634.6362099999997</v>
      </c>
      <c r="AF602">
        <f t="shared" si="107"/>
        <v>4638.3317999999999</v>
      </c>
      <c r="AG602">
        <f t="shared" si="108"/>
        <v>4658.74953</v>
      </c>
      <c r="AH602">
        <f t="shared" si="109"/>
        <v>4627.5602099999996</v>
      </c>
    </row>
    <row r="603" spans="1:34" x14ac:dyDescent="0.55000000000000004">
      <c r="A603">
        <f>ALGLIB_SSA_XAUUSD!J603</f>
        <v>1775574300</v>
      </c>
      <c r="B603" t="str">
        <f>_xlfn.XLOOKUP($A603,ALGLIB_SSA_XAUUSD!$A$2:$A$1000,ALGLIB_SSA_XAUUSD!$B$2:$B$1000,"",0)</f>
        <v/>
      </c>
      <c r="C603" t="str">
        <f>_xlfn.XLOOKUP($A603,ALGLIB_SSA_XAUUSD!$A$2:$A$1000,ALGLIB_SSA_XAUUSD!$C$2:$C$1000,"",0)</f>
        <v/>
      </c>
      <c r="D603" s="1">
        <f>D602+(D614-D602)*1/12</f>
        <v>4655.6783333333333</v>
      </c>
      <c r="E603" s="1">
        <f>E602+(E614-E602)*1/12</f>
        <v>4644.2345108333329</v>
      </c>
      <c r="F603" s="1">
        <f>F602+(F614-F602)*1/12</f>
        <v>4644.6084208333332</v>
      </c>
      <c r="G603" s="1">
        <f>G602+(G614-G602)*1/12</f>
        <v>4659.3547250000001</v>
      </c>
      <c r="H603" s="1">
        <f>H602+(H614-H602)*1/12</f>
        <v>4628.0340541666665</v>
      </c>
      <c r="I603" t="str">
        <f>_xlfn.XLOOKUP($A603,ALGLIB_SSA_XAUUSD!$J$2:$J$1000,ALGLIB_SSA_XAUUSD!$K$2:$K$1000,"",0)</f>
        <v>XAUUSD</v>
      </c>
      <c r="J603" t="str">
        <f>_xlfn.XLOOKUP($A603,ALGLIB_SSA_XAUUSD!$J$2:$J$1000,ALGLIB_SSA_XAUUSD!$L$2:$L$1000,"",0)</f>
        <v>M5</v>
      </c>
      <c r="K603">
        <f>_xlfn.XLOOKUP($A603,ALGLIB_SSA_XAUUSD!$J$2:$J$1000,ALGLIB_SSA_XAUUSD!$M$2:$M$1000,"",0)</f>
        <v>4633.1899999999996</v>
      </c>
      <c r="L603">
        <f>_xlfn.XLOOKUP($A603,ALGLIB_SSA_XAUUSD!$J$2:$J$1000,ALGLIB_SSA_XAUUSD!$N$2:$N$1000,"",0)</f>
        <v>4637.7793499999998</v>
      </c>
      <c r="M603">
        <f>_xlfn.XLOOKUP($A603,ALGLIB_SSA_XAUUSD!$J$2:$J$1000,ALGLIB_SSA_XAUUSD!$O$2:$O$1000,"",0)</f>
        <v>4639.0806199999997</v>
      </c>
      <c r="N603">
        <f>_xlfn.XLOOKUP($A603,ALGLIB_SSA_XAUUSD!$J$2:$J$1000,ALGLIB_SSA_XAUUSD!$P$2:$P$1000,"",0)</f>
        <v>4642.6974200000004</v>
      </c>
      <c r="O603">
        <f>_xlfn.XLOOKUP($A603,ALGLIB_SSA_XAUUSD!$J$2:$J$1000,ALGLIB_SSA_XAUUSD!$Q$2:$Q$1000,"",0)</f>
        <v>4633.0283799999997</v>
      </c>
      <c r="R603">
        <f t="shared" si="99"/>
        <v>1775574300</v>
      </c>
      <c r="S603" t="str">
        <f t="shared" si="100"/>
        <v>XAUUSD</v>
      </c>
      <c r="T603" t="str">
        <f t="shared" si="101"/>
        <v>M5</v>
      </c>
      <c r="U603">
        <f t="shared" si="102"/>
        <v>4633.1899999999996</v>
      </c>
      <c r="V603">
        <v>4644.2345100000002</v>
      </c>
      <c r="W603">
        <v>4644.6084199999996</v>
      </c>
      <c r="X603">
        <v>4637.7793499999998</v>
      </c>
      <c r="Y603">
        <v>4639.0806199999997</v>
      </c>
      <c r="Z603">
        <f t="shared" si="103"/>
        <v>4659.3547250000001</v>
      </c>
      <c r="AA603">
        <f t="shared" si="104"/>
        <v>4642.6974200000004</v>
      </c>
      <c r="AB603">
        <f t="shared" si="105"/>
        <v>4628.0340541666665</v>
      </c>
      <c r="AC603">
        <f t="shared" si="106"/>
        <v>4633.0283799999997</v>
      </c>
      <c r="AF603">
        <f t="shared" si="107"/>
        <v>4637.7793499999998</v>
      </c>
      <c r="AG603">
        <f t="shared" si="108"/>
        <v>4659.3547250000001</v>
      </c>
      <c r="AH603">
        <f t="shared" si="109"/>
        <v>4628.0340541666665</v>
      </c>
    </row>
    <row r="604" spans="1:34" x14ac:dyDescent="0.55000000000000004">
      <c r="A604">
        <f>ALGLIB_SSA_XAUUSD!J604</f>
        <v>1775574600</v>
      </c>
      <c r="B604" t="str">
        <f>_xlfn.XLOOKUP($A604,ALGLIB_SSA_XAUUSD!$A$2:$A$1000,ALGLIB_SSA_XAUUSD!$B$2:$B$1000,"",0)</f>
        <v/>
      </c>
      <c r="C604" t="str">
        <f>_xlfn.XLOOKUP($A604,ALGLIB_SSA_XAUUSD!$A$2:$A$1000,ALGLIB_SSA_XAUUSD!$C$2:$C$1000,"",0)</f>
        <v/>
      </c>
      <c r="D604" s="1">
        <f>D602+(D614-D602)*2/12</f>
        <v>4655.8066666666673</v>
      </c>
      <c r="E604" s="1">
        <f>E602+(E614-E602)*2/12</f>
        <v>4644.9439516666662</v>
      </c>
      <c r="F604" s="1">
        <f>F602+(F614-F602)*2/12</f>
        <v>4644.931461666667</v>
      </c>
      <c r="G604" s="1">
        <f>G602+(G614-G602)*2/12</f>
        <v>4659.9599200000002</v>
      </c>
      <c r="H604" s="1">
        <f>H602+(H614-H602)*2/12</f>
        <v>4628.5078983333333</v>
      </c>
      <c r="I604" t="str">
        <f>_xlfn.XLOOKUP($A604,ALGLIB_SSA_XAUUSD!$J$2:$J$1000,ALGLIB_SSA_XAUUSD!$K$2:$K$1000,"",0)</f>
        <v>XAUUSD</v>
      </c>
      <c r="J604" t="str">
        <f>_xlfn.XLOOKUP($A604,ALGLIB_SSA_XAUUSD!$J$2:$J$1000,ALGLIB_SSA_XAUUSD!$L$2:$L$1000,"",0)</f>
        <v>M5</v>
      </c>
      <c r="K604">
        <f>_xlfn.XLOOKUP($A604,ALGLIB_SSA_XAUUSD!$J$2:$J$1000,ALGLIB_SSA_XAUUSD!$M$2:$M$1000,"",0)</f>
        <v>4643.05</v>
      </c>
      <c r="L604">
        <f>_xlfn.XLOOKUP($A604,ALGLIB_SSA_XAUUSD!$J$2:$J$1000,ALGLIB_SSA_XAUUSD!$N$2:$N$1000,"",0)</f>
        <v>4638.7025800000001</v>
      </c>
      <c r="M604">
        <f>_xlfn.XLOOKUP($A604,ALGLIB_SSA_XAUUSD!$J$2:$J$1000,ALGLIB_SSA_XAUUSD!$O$2:$O$1000,"",0)</f>
        <v>4638.8915999999999</v>
      </c>
      <c r="N604">
        <f>_xlfn.XLOOKUP($A604,ALGLIB_SSA_XAUUSD!$J$2:$J$1000,ALGLIB_SSA_XAUUSD!$P$2:$P$1000,"",0)</f>
        <v>4642.9497700000002</v>
      </c>
      <c r="O604">
        <f>_xlfn.XLOOKUP($A604,ALGLIB_SSA_XAUUSD!$J$2:$J$1000,ALGLIB_SSA_XAUUSD!$Q$2:$Q$1000,"",0)</f>
        <v>4633.1032699999996</v>
      </c>
      <c r="R604">
        <f t="shared" si="99"/>
        <v>1775574600</v>
      </c>
      <c r="S604" t="str">
        <f t="shared" si="100"/>
        <v>XAUUSD</v>
      </c>
      <c r="T604" t="str">
        <f t="shared" si="101"/>
        <v>M5</v>
      </c>
      <c r="U604">
        <f t="shared" si="102"/>
        <v>4643.05</v>
      </c>
      <c r="V604">
        <v>4644.9439499999999</v>
      </c>
      <c r="W604">
        <v>4644.9314599999998</v>
      </c>
      <c r="X604">
        <v>4638.7025800000001</v>
      </c>
      <c r="Y604">
        <v>4638.8915999999999</v>
      </c>
      <c r="Z604">
        <f t="shared" si="103"/>
        <v>4659.9599200000002</v>
      </c>
      <c r="AA604">
        <f t="shared" si="104"/>
        <v>4642.9497700000002</v>
      </c>
      <c r="AB604">
        <f t="shared" si="105"/>
        <v>4628.5078983333333</v>
      </c>
      <c r="AC604">
        <f t="shared" si="106"/>
        <v>4633.1032699999996</v>
      </c>
      <c r="AF604">
        <f t="shared" si="107"/>
        <v>4638.7025800000001</v>
      </c>
      <c r="AG604">
        <f t="shared" si="108"/>
        <v>4659.9599200000002</v>
      </c>
      <c r="AH604">
        <f t="shared" si="109"/>
        <v>4628.5078983333333</v>
      </c>
    </row>
    <row r="605" spans="1:34" x14ac:dyDescent="0.55000000000000004">
      <c r="A605">
        <f>ALGLIB_SSA_XAUUSD!J605</f>
        <v>1775574900</v>
      </c>
      <c r="B605" t="str">
        <f>_xlfn.XLOOKUP($A605,ALGLIB_SSA_XAUUSD!$A$2:$A$1000,ALGLIB_SSA_XAUUSD!$B$2:$B$1000,"",0)</f>
        <v/>
      </c>
      <c r="C605" t="str">
        <f>_xlfn.XLOOKUP($A605,ALGLIB_SSA_XAUUSD!$A$2:$A$1000,ALGLIB_SSA_XAUUSD!$C$2:$C$1000,"",0)</f>
        <v/>
      </c>
      <c r="D605" s="1">
        <f>D602+(D614-D602)*3/12</f>
        <v>4655.9350000000004</v>
      </c>
      <c r="E605" s="1">
        <f>E602+(E614-E602)*3/12</f>
        <v>4645.6533924999994</v>
      </c>
      <c r="F605" s="1">
        <f>F602+(F614-F602)*3/12</f>
        <v>4645.2545024999999</v>
      </c>
      <c r="G605" s="1">
        <f>G602+(G614-G602)*3/12</f>
        <v>4660.5651150000003</v>
      </c>
      <c r="H605" s="1">
        <f>H602+(H614-H602)*3/12</f>
        <v>4628.9817425000001</v>
      </c>
      <c r="I605" t="str">
        <f>_xlfn.XLOOKUP($A605,ALGLIB_SSA_XAUUSD!$J$2:$J$1000,ALGLIB_SSA_XAUUSD!$K$2:$K$1000,"",0)</f>
        <v>XAUUSD</v>
      </c>
      <c r="J605" t="str">
        <f>_xlfn.XLOOKUP($A605,ALGLIB_SSA_XAUUSD!$J$2:$J$1000,ALGLIB_SSA_XAUUSD!$L$2:$L$1000,"",0)</f>
        <v>M5</v>
      </c>
      <c r="K605">
        <f>_xlfn.XLOOKUP($A605,ALGLIB_SSA_XAUUSD!$J$2:$J$1000,ALGLIB_SSA_XAUUSD!$M$2:$M$1000,"",0)</f>
        <v>4650.22</v>
      </c>
      <c r="L605">
        <f>_xlfn.XLOOKUP($A605,ALGLIB_SSA_XAUUSD!$J$2:$J$1000,ALGLIB_SSA_XAUUSD!$N$2:$N$1000,"",0)</f>
        <v>4640.6878500000003</v>
      </c>
      <c r="M605">
        <f>_xlfn.XLOOKUP($A605,ALGLIB_SSA_XAUUSD!$J$2:$J$1000,ALGLIB_SSA_XAUUSD!$O$2:$O$1000,"",0)</f>
        <v>4639.7897300000004</v>
      </c>
      <c r="N605">
        <f>_xlfn.XLOOKUP($A605,ALGLIB_SSA_XAUUSD!$J$2:$J$1000,ALGLIB_SSA_XAUUSD!$P$2:$P$1000,"",0)</f>
        <v>4644.4661599999999</v>
      </c>
      <c r="O605">
        <f>_xlfn.XLOOKUP($A605,ALGLIB_SSA_XAUUSD!$J$2:$J$1000,ALGLIB_SSA_XAUUSD!$Q$2:$Q$1000,"",0)</f>
        <v>4634.7049699999998</v>
      </c>
      <c r="R605">
        <f t="shared" si="99"/>
        <v>1775574900</v>
      </c>
      <c r="S605" t="str">
        <f t="shared" si="100"/>
        <v>XAUUSD</v>
      </c>
      <c r="T605" t="str">
        <f t="shared" si="101"/>
        <v>M5</v>
      </c>
      <c r="U605">
        <f t="shared" si="102"/>
        <v>4650.22</v>
      </c>
      <c r="V605">
        <v>4645.6533900000004</v>
      </c>
      <c r="W605">
        <v>4645.2545</v>
      </c>
      <c r="X605">
        <v>4640.6878500000003</v>
      </c>
      <c r="Y605">
        <v>4639.7897300000004</v>
      </c>
      <c r="Z605">
        <f t="shared" si="103"/>
        <v>4660.5651150000003</v>
      </c>
      <c r="AA605">
        <f t="shared" si="104"/>
        <v>4644.4661599999999</v>
      </c>
      <c r="AB605">
        <f t="shared" si="105"/>
        <v>4628.9817425000001</v>
      </c>
      <c r="AC605">
        <f t="shared" si="106"/>
        <v>4634.7049699999998</v>
      </c>
      <c r="AF605">
        <f t="shared" si="107"/>
        <v>4640.6878500000003</v>
      </c>
      <c r="AG605">
        <f t="shared" si="108"/>
        <v>4660.5651150000003</v>
      </c>
      <c r="AH605">
        <f t="shared" si="109"/>
        <v>4628.9817425000001</v>
      </c>
    </row>
    <row r="606" spans="1:34" x14ac:dyDescent="0.55000000000000004">
      <c r="A606">
        <f>ALGLIB_SSA_XAUUSD!J606</f>
        <v>1775575200</v>
      </c>
      <c r="B606" t="str">
        <f>_xlfn.XLOOKUP($A606,ALGLIB_SSA_XAUUSD!$A$2:$A$1000,ALGLIB_SSA_XAUUSD!$B$2:$B$1000,"",0)</f>
        <v/>
      </c>
      <c r="C606" t="str">
        <f>_xlfn.XLOOKUP($A606,ALGLIB_SSA_XAUUSD!$A$2:$A$1000,ALGLIB_SSA_XAUUSD!$C$2:$C$1000,"",0)</f>
        <v/>
      </c>
      <c r="D606" s="1">
        <f>D602+(D614-D602)*4/12</f>
        <v>4656.0633333333335</v>
      </c>
      <c r="E606" s="1">
        <f>E602+(E614-E602)*4/12</f>
        <v>4646.3628333333327</v>
      </c>
      <c r="F606" s="1">
        <f>F602+(F614-F602)*4/12</f>
        <v>4645.5775433333338</v>
      </c>
      <c r="G606" s="1">
        <f>G602+(G614-G602)*4/12</f>
        <v>4661.1703100000004</v>
      </c>
      <c r="H606" s="1">
        <f>H602+(H614-H602)*4/12</f>
        <v>4629.455586666666</v>
      </c>
      <c r="I606" t="str">
        <f>_xlfn.XLOOKUP($A606,ALGLIB_SSA_XAUUSD!$J$2:$J$1000,ALGLIB_SSA_XAUUSD!$K$2:$K$1000,"",0)</f>
        <v>XAUUSD</v>
      </c>
      <c r="J606" t="str">
        <f>_xlfn.XLOOKUP($A606,ALGLIB_SSA_XAUUSD!$J$2:$J$1000,ALGLIB_SSA_XAUUSD!$L$2:$L$1000,"",0)</f>
        <v>M5</v>
      </c>
      <c r="K606">
        <f>_xlfn.XLOOKUP($A606,ALGLIB_SSA_XAUUSD!$J$2:$J$1000,ALGLIB_SSA_XAUUSD!$M$2:$M$1000,"",0)</f>
        <v>4645.83</v>
      </c>
      <c r="L606">
        <f>_xlfn.XLOOKUP($A606,ALGLIB_SSA_XAUUSD!$J$2:$J$1000,ALGLIB_SSA_XAUUSD!$N$2:$N$1000,"",0)</f>
        <v>4643.1728300000004</v>
      </c>
      <c r="M606">
        <f>_xlfn.XLOOKUP($A606,ALGLIB_SSA_XAUUSD!$J$2:$J$1000,ALGLIB_SSA_XAUUSD!$O$2:$O$1000,"",0)</f>
        <v>4641.48128</v>
      </c>
      <c r="N606">
        <f>_xlfn.XLOOKUP($A606,ALGLIB_SSA_XAUUSD!$J$2:$J$1000,ALGLIB_SSA_XAUUSD!$P$2:$P$1000,"",0)</f>
        <v>4646.7287200000001</v>
      </c>
      <c r="O606">
        <f>_xlfn.XLOOKUP($A606,ALGLIB_SSA_XAUUSD!$J$2:$J$1000,ALGLIB_SSA_XAUUSD!$Q$2:$Q$1000,"",0)</f>
        <v>4637.2704000000003</v>
      </c>
      <c r="R606">
        <f t="shared" si="99"/>
        <v>1775575200</v>
      </c>
      <c r="S606" t="str">
        <f t="shared" si="100"/>
        <v>XAUUSD</v>
      </c>
      <c r="T606" t="str">
        <f t="shared" si="101"/>
        <v>M5</v>
      </c>
      <c r="U606">
        <f t="shared" si="102"/>
        <v>4645.83</v>
      </c>
      <c r="V606">
        <v>4646.36283</v>
      </c>
      <c r="W606">
        <v>4645.5775400000002</v>
      </c>
      <c r="X606">
        <v>4643.1728300000004</v>
      </c>
      <c r="Y606">
        <v>4641.48128</v>
      </c>
      <c r="Z606">
        <f t="shared" si="103"/>
        <v>4661.1703100000004</v>
      </c>
      <c r="AA606">
        <f t="shared" si="104"/>
        <v>4646.7287200000001</v>
      </c>
      <c r="AB606">
        <f t="shared" si="105"/>
        <v>4629.455586666666</v>
      </c>
      <c r="AC606">
        <f t="shared" si="106"/>
        <v>4637.2704000000003</v>
      </c>
      <c r="AF606">
        <f t="shared" si="107"/>
        <v>4643.1728300000004</v>
      </c>
      <c r="AG606">
        <f t="shared" si="108"/>
        <v>4661.1703100000004</v>
      </c>
      <c r="AH606">
        <f t="shared" si="109"/>
        <v>4629.455586666666</v>
      </c>
    </row>
    <row r="607" spans="1:34" x14ac:dyDescent="0.55000000000000004">
      <c r="A607">
        <f>ALGLIB_SSA_XAUUSD!J607</f>
        <v>1775575500</v>
      </c>
      <c r="B607" t="str">
        <f>_xlfn.XLOOKUP($A607,ALGLIB_SSA_XAUUSD!$A$2:$A$1000,ALGLIB_SSA_XAUUSD!$B$2:$B$1000,"",0)</f>
        <v/>
      </c>
      <c r="C607" t="str">
        <f>_xlfn.XLOOKUP($A607,ALGLIB_SSA_XAUUSD!$A$2:$A$1000,ALGLIB_SSA_XAUUSD!$C$2:$C$1000,"",0)</f>
        <v/>
      </c>
      <c r="D607" s="1">
        <f>D602+(D614-D602)*5/12</f>
        <v>4656.1916666666666</v>
      </c>
      <c r="E607" s="1">
        <f>E602+(E614-E602)*5/12</f>
        <v>4647.0722741666659</v>
      </c>
      <c r="F607" s="1">
        <f>F602+(F614-F602)*5/12</f>
        <v>4645.9005841666667</v>
      </c>
      <c r="G607" s="1">
        <f>G602+(G614-G602)*5/12</f>
        <v>4661.7755050000005</v>
      </c>
      <c r="H607" s="1">
        <f>H602+(H614-H602)*5/12</f>
        <v>4629.9294308333328</v>
      </c>
      <c r="I607" t="str">
        <f>_xlfn.XLOOKUP($A607,ALGLIB_SSA_XAUUSD!$J$2:$J$1000,ALGLIB_SSA_XAUUSD!$K$2:$K$1000,"",0)</f>
        <v>XAUUSD</v>
      </c>
      <c r="J607" t="str">
        <f>_xlfn.XLOOKUP($A607,ALGLIB_SSA_XAUUSD!$J$2:$J$1000,ALGLIB_SSA_XAUUSD!$L$2:$L$1000,"",0)</f>
        <v>M5</v>
      </c>
      <c r="K607">
        <f>_xlfn.XLOOKUP($A607,ALGLIB_SSA_XAUUSD!$J$2:$J$1000,ALGLIB_SSA_XAUUSD!$M$2:$M$1000,"",0)</f>
        <v>4653.13</v>
      </c>
      <c r="L607">
        <f>_xlfn.XLOOKUP($A607,ALGLIB_SSA_XAUUSD!$J$2:$J$1000,ALGLIB_SSA_XAUUSD!$N$2:$N$1000,"",0)</f>
        <v>4645.8290900000002</v>
      </c>
      <c r="M607">
        <f>_xlfn.XLOOKUP($A607,ALGLIB_SSA_XAUUSD!$J$2:$J$1000,ALGLIB_SSA_XAUUSD!$O$2:$O$1000,"",0)</f>
        <v>4643.6551799999997</v>
      </c>
      <c r="N607">
        <f>_xlfn.XLOOKUP($A607,ALGLIB_SSA_XAUUSD!$J$2:$J$1000,ALGLIB_SSA_XAUUSD!$P$2:$P$1000,"",0)</f>
        <v>4649.2952400000004</v>
      </c>
      <c r="O607">
        <f>_xlfn.XLOOKUP($A607,ALGLIB_SSA_XAUUSD!$J$2:$J$1000,ALGLIB_SSA_XAUUSD!$Q$2:$Q$1000,"",0)</f>
        <v>4640.1781899999996</v>
      </c>
      <c r="R607">
        <f t="shared" si="99"/>
        <v>1775575500</v>
      </c>
      <c r="S607" t="str">
        <f t="shared" si="100"/>
        <v>XAUUSD</v>
      </c>
      <c r="T607" t="str">
        <f t="shared" si="101"/>
        <v>M5</v>
      </c>
      <c r="U607">
        <f t="shared" si="102"/>
        <v>4653.13</v>
      </c>
      <c r="V607">
        <v>4647.0722699999997</v>
      </c>
      <c r="W607">
        <v>4645.9005800000004</v>
      </c>
      <c r="X607">
        <v>4645.8290900000002</v>
      </c>
      <c r="Y607">
        <v>4643.6551799999997</v>
      </c>
      <c r="Z607">
        <f t="shared" si="103"/>
        <v>4661.7755050000005</v>
      </c>
      <c r="AA607">
        <f t="shared" si="104"/>
        <v>4649.2952400000004</v>
      </c>
      <c r="AB607">
        <f t="shared" si="105"/>
        <v>4629.9294308333328</v>
      </c>
      <c r="AC607">
        <f t="shared" si="106"/>
        <v>4640.1781899999996</v>
      </c>
      <c r="AF607">
        <f t="shared" si="107"/>
        <v>4645.8290900000002</v>
      </c>
      <c r="AG607">
        <f t="shared" si="108"/>
        <v>4661.7755050000005</v>
      </c>
      <c r="AH607">
        <f t="shared" si="109"/>
        <v>4629.9294308333328</v>
      </c>
    </row>
    <row r="608" spans="1:34" x14ac:dyDescent="0.55000000000000004">
      <c r="A608">
        <f>ALGLIB_SSA_XAUUSD!J608</f>
        <v>1775575800</v>
      </c>
      <c r="B608" t="str">
        <f>_xlfn.XLOOKUP($A608,ALGLIB_SSA_XAUUSD!$A$2:$A$1000,ALGLIB_SSA_XAUUSD!$B$2:$B$1000,"",0)</f>
        <v/>
      </c>
      <c r="C608" t="str">
        <f>_xlfn.XLOOKUP($A608,ALGLIB_SSA_XAUUSD!$A$2:$A$1000,ALGLIB_SSA_XAUUSD!$C$2:$C$1000,"",0)</f>
        <v/>
      </c>
      <c r="D608" s="1">
        <f>D602+(D614-D602)*6/12</f>
        <v>4656.32</v>
      </c>
      <c r="E608" s="1">
        <f>E602+(E614-E602)*6/12</f>
        <v>4647.7817149999992</v>
      </c>
      <c r="F608" s="1">
        <f>F602+(F614-F602)*6/12</f>
        <v>4646.2236250000005</v>
      </c>
      <c r="G608" s="1">
        <f>G602+(G614-G602)*6/12</f>
        <v>4662.3806999999997</v>
      </c>
      <c r="H608" s="1">
        <f>H602+(H614-H602)*6/12</f>
        <v>4630.4032749999997</v>
      </c>
      <c r="I608" t="str">
        <f>_xlfn.XLOOKUP($A608,ALGLIB_SSA_XAUUSD!$J$2:$J$1000,ALGLIB_SSA_XAUUSD!$K$2:$K$1000,"",0)</f>
        <v>XAUUSD</v>
      </c>
      <c r="J608" t="str">
        <f>_xlfn.XLOOKUP($A608,ALGLIB_SSA_XAUUSD!$J$2:$J$1000,ALGLIB_SSA_XAUUSD!$L$2:$L$1000,"",0)</f>
        <v>M5</v>
      </c>
      <c r="K608">
        <f>_xlfn.XLOOKUP($A608,ALGLIB_SSA_XAUUSD!$J$2:$J$1000,ALGLIB_SSA_XAUUSD!$M$2:$M$1000,"",0)</f>
        <v>4646.58</v>
      </c>
      <c r="L608">
        <f>_xlfn.XLOOKUP($A608,ALGLIB_SSA_XAUUSD!$J$2:$J$1000,ALGLIB_SSA_XAUUSD!$N$2:$N$1000,"",0)</f>
        <v>4648.1236399999998</v>
      </c>
      <c r="M608">
        <f>_xlfn.XLOOKUP($A608,ALGLIB_SSA_XAUUSD!$J$2:$J$1000,ALGLIB_SSA_XAUUSD!$O$2:$O$1000,"",0)</f>
        <v>4645.8894099999998</v>
      </c>
      <c r="N608">
        <f>_xlfn.XLOOKUP($A608,ALGLIB_SSA_XAUUSD!$J$2:$J$1000,ALGLIB_SSA_XAUUSD!$P$2:$P$1000,"",0)</f>
        <v>4651.7563499999997</v>
      </c>
      <c r="O608">
        <f>_xlfn.XLOOKUP($A608,ALGLIB_SSA_XAUUSD!$J$2:$J$1000,ALGLIB_SSA_XAUUSD!$Q$2:$Q$1000,"",0)</f>
        <v>4642.9346299999997</v>
      </c>
      <c r="R608">
        <f t="shared" si="99"/>
        <v>1775575800</v>
      </c>
      <c r="S608" t="str">
        <f t="shared" si="100"/>
        <v>XAUUSD</v>
      </c>
      <c r="T608" t="str">
        <f t="shared" si="101"/>
        <v>M5</v>
      </c>
      <c r="U608">
        <f t="shared" si="102"/>
        <v>4646.58</v>
      </c>
      <c r="V608">
        <v>4647.7817100000002</v>
      </c>
      <c r="W608">
        <v>4646.2236300000004</v>
      </c>
      <c r="X608">
        <v>4648.1236399999998</v>
      </c>
      <c r="Y608">
        <v>4645.8894099999998</v>
      </c>
      <c r="Z608">
        <f t="shared" si="103"/>
        <v>4662.3806999999997</v>
      </c>
      <c r="AA608">
        <f t="shared" si="104"/>
        <v>4651.7563499999997</v>
      </c>
      <c r="AB608">
        <f t="shared" si="105"/>
        <v>4630.4032749999997</v>
      </c>
      <c r="AC608">
        <f t="shared" si="106"/>
        <v>4642.9346299999997</v>
      </c>
      <c r="AF608">
        <f t="shared" si="107"/>
        <v>4648.1236399999998</v>
      </c>
      <c r="AG608">
        <f t="shared" si="108"/>
        <v>4662.3806999999997</v>
      </c>
      <c r="AH608">
        <f t="shared" si="109"/>
        <v>4630.4032749999997</v>
      </c>
    </row>
    <row r="609" spans="1:34" x14ac:dyDescent="0.55000000000000004">
      <c r="A609">
        <f>ALGLIB_SSA_XAUUSD!J609</f>
        <v>1775576100</v>
      </c>
      <c r="B609" t="str">
        <f>_xlfn.XLOOKUP($A609,ALGLIB_SSA_XAUUSD!$A$2:$A$1000,ALGLIB_SSA_XAUUSD!$B$2:$B$1000,"",0)</f>
        <v/>
      </c>
      <c r="C609" t="str">
        <f>_xlfn.XLOOKUP($A609,ALGLIB_SSA_XAUUSD!$A$2:$A$1000,ALGLIB_SSA_XAUUSD!$C$2:$C$1000,"",0)</f>
        <v/>
      </c>
      <c r="D609" s="1">
        <f>D602+(D614-D602)*7/12</f>
        <v>4656.4483333333337</v>
      </c>
      <c r="E609" s="1">
        <f>E602+(E614-E602)*7/12</f>
        <v>4648.4911558333333</v>
      </c>
      <c r="F609" s="1">
        <f>F602+(F614-F602)*7/12</f>
        <v>4646.5466658333335</v>
      </c>
      <c r="G609" s="1">
        <f>G602+(G614-G602)*7/12</f>
        <v>4662.9858949999998</v>
      </c>
      <c r="H609" s="1">
        <f>H602+(H614-H602)*7/12</f>
        <v>4630.8771191666665</v>
      </c>
      <c r="I609" t="str">
        <f>_xlfn.XLOOKUP($A609,ALGLIB_SSA_XAUUSD!$J$2:$J$1000,ALGLIB_SSA_XAUUSD!$K$2:$K$1000,"",0)</f>
        <v>XAUUSD</v>
      </c>
      <c r="J609" t="str">
        <f>_xlfn.XLOOKUP($A609,ALGLIB_SSA_XAUUSD!$J$2:$J$1000,ALGLIB_SSA_XAUUSD!$L$2:$L$1000,"",0)</f>
        <v>M5</v>
      </c>
      <c r="K609">
        <f>_xlfn.XLOOKUP($A609,ALGLIB_SSA_XAUUSD!$J$2:$J$1000,ALGLIB_SSA_XAUUSD!$M$2:$M$1000,"",0)</f>
        <v>4644.25</v>
      </c>
      <c r="L609">
        <f>_xlfn.XLOOKUP($A609,ALGLIB_SSA_XAUUSD!$J$2:$J$1000,ALGLIB_SSA_XAUUSD!$N$2:$N$1000,"",0)</f>
        <v>4650.0257700000002</v>
      </c>
      <c r="M609">
        <f>_xlfn.XLOOKUP($A609,ALGLIB_SSA_XAUUSD!$J$2:$J$1000,ALGLIB_SSA_XAUUSD!$O$2:$O$1000,"",0)</f>
        <v>4647.95759</v>
      </c>
      <c r="N609">
        <f>_xlfn.XLOOKUP($A609,ALGLIB_SSA_XAUUSD!$J$2:$J$1000,ALGLIB_SSA_XAUUSD!$P$2:$P$1000,"",0)</f>
        <v>4653.7770899999996</v>
      </c>
      <c r="O609">
        <f>_xlfn.XLOOKUP($A609,ALGLIB_SSA_XAUUSD!$J$2:$J$1000,ALGLIB_SSA_XAUUSD!$Q$2:$Q$1000,"",0)</f>
        <v>4645.2583199999999</v>
      </c>
      <c r="R609">
        <f t="shared" si="99"/>
        <v>1775576100</v>
      </c>
      <c r="S609" t="str">
        <f t="shared" si="100"/>
        <v>XAUUSD</v>
      </c>
      <c r="T609" t="str">
        <f t="shared" si="101"/>
        <v>M5</v>
      </c>
      <c r="U609">
        <f t="shared" si="102"/>
        <v>4644.25</v>
      </c>
      <c r="V609">
        <v>4648.4911599999996</v>
      </c>
      <c r="W609">
        <v>4646.5466699999997</v>
      </c>
      <c r="X609">
        <v>4650.0257700000002</v>
      </c>
      <c r="Y609">
        <v>4647.95759</v>
      </c>
      <c r="Z609">
        <f t="shared" si="103"/>
        <v>4662.9858949999998</v>
      </c>
      <c r="AA609">
        <f t="shared" si="104"/>
        <v>4653.7770899999996</v>
      </c>
      <c r="AB609">
        <f t="shared" si="105"/>
        <v>4630.8771191666665</v>
      </c>
      <c r="AC609">
        <f t="shared" si="106"/>
        <v>4645.2583199999999</v>
      </c>
      <c r="AF609">
        <f t="shared" si="107"/>
        <v>4650.0257700000002</v>
      </c>
      <c r="AG609">
        <f t="shared" si="108"/>
        <v>4662.9858949999998</v>
      </c>
      <c r="AH609">
        <f t="shared" si="109"/>
        <v>4630.8771191666665</v>
      </c>
    </row>
    <row r="610" spans="1:34" x14ac:dyDescent="0.55000000000000004">
      <c r="A610">
        <f>ALGLIB_SSA_XAUUSD!J610</f>
        <v>1775576400</v>
      </c>
      <c r="B610" t="str">
        <f>_xlfn.XLOOKUP($A610,ALGLIB_SSA_XAUUSD!$A$2:$A$1000,ALGLIB_SSA_XAUUSD!$B$2:$B$1000,"",0)</f>
        <v/>
      </c>
      <c r="C610" t="str">
        <f>_xlfn.XLOOKUP($A610,ALGLIB_SSA_XAUUSD!$A$2:$A$1000,ALGLIB_SSA_XAUUSD!$C$2:$C$1000,"",0)</f>
        <v/>
      </c>
      <c r="D610" s="1">
        <f>D602+(D614-D602)*8/12</f>
        <v>4656.5766666666668</v>
      </c>
      <c r="E610" s="1">
        <f>E602+(E614-E602)*8/12</f>
        <v>4649.2005966666666</v>
      </c>
      <c r="F610" s="1">
        <f>F602+(F614-F602)*8/12</f>
        <v>4646.8697066666664</v>
      </c>
      <c r="G610" s="1">
        <f>G602+(G614-G602)*8/12</f>
        <v>4663.5910899999999</v>
      </c>
      <c r="H610" s="1">
        <f>H602+(H614-H602)*8/12</f>
        <v>4631.3509633333333</v>
      </c>
      <c r="I610" t="str">
        <f>_xlfn.XLOOKUP($A610,ALGLIB_SSA_XAUUSD!$J$2:$J$1000,ALGLIB_SSA_XAUUSD!$K$2:$K$1000,"",0)</f>
        <v>XAUUSD</v>
      </c>
      <c r="J610" t="str">
        <f>_xlfn.XLOOKUP($A610,ALGLIB_SSA_XAUUSD!$J$2:$J$1000,ALGLIB_SSA_XAUUSD!$L$2:$L$1000,"",0)</f>
        <v>M5</v>
      </c>
      <c r="K610">
        <f>_xlfn.XLOOKUP($A610,ALGLIB_SSA_XAUUSD!$J$2:$J$1000,ALGLIB_SSA_XAUUSD!$M$2:$M$1000,"",0)</f>
        <v>4645.62</v>
      </c>
      <c r="L610">
        <f>_xlfn.XLOOKUP($A610,ALGLIB_SSA_XAUUSD!$J$2:$J$1000,ALGLIB_SSA_XAUUSD!$N$2:$N$1000,"",0)</f>
        <v>4651.5772999999999</v>
      </c>
      <c r="M610">
        <f>_xlfn.XLOOKUP($A610,ALGLIB_SSA_XAUUSD!$J$2:$J$1000,ALGLIB_SSA_XAUUSD!$O$2:$O$1000,"",0)</f>
        <v>4649.7674500000003</v>
      </c>
      <c r="N610">
        <f>_xlfn.XLOOKUP($A610,ALGLIB_SSA_XAUUSD!$J$2:$J$1000,ALGLIB_SSA_XAUUSD!$P$2:$P$1000,"",0)</f>
        <v>4655.4211100000002</v>
      </c>
      <c r="O610">
        <f>_xlfn.XLOOKUP($A610,ALGLIB_SSA_XAUUSD!$J$2:$J$1000,ALGLIB_SSA_XAUUSD!$Q$2:$Q$1000,"",0)</f>
        <v>4647.0285999999996</v>
      </c>
      <c r="R610">
        <f t="shared" si="99"/>
        <v>1775576400</v>
      </c>
      <c r="S610" t="str">
        <f t="shared" si="100"/>
        <v>XAUUSD</v>
      </c>
      <c r="T610" t="str">
        <f t="shared" si="101"/>
        <v>M5</v>
      </c>
      <c r="U610">
        <f t="shared" si="102"/>
        <v>4645.62</v>
      </c>
      <c r="V610">
        <v>4649.2006000000001</v>
      </c>
      <c r="W610">
        <v>4646.8697099999999</v>
      </c>
      <c r="X610">
        <v>4651.5772999999999</v>
      </c>
      <c r="Y610">
        <v>4649.7674500000003</v>
      </c>
      <c r="Z610">
        <f t="shared" si="103"/>
        <v>4663.5910899999999</v>
      </c>
      <c r="AA610">
        <f t="shared" si="104"/>
        <v>4655.4211100000002</v>
      </c>
      <c r="AB610">
        <f t="shared" si="105"/>
        <v>4631.3509633333333</v>
      </c>
      <c r="AC610">
        <f t="shared" si="106"/>
        <v>4647.0285999999996</v>
      </c>
      <c r="AF610">
        <f t="shared" si="107"/>
        <v>4651.5772999999999</v>
      </c>
      <c r="AG610">
        <f t="shared" si="108"/>
        <v>4663.5910899999999</v>
      </c>
      <c r="AH610">
        <f t="shared" si="109"/>
        <v>4631.3509633333333</v>
      </c>
    </row>
    <row r="611" spans="1:34" x14ac:dyDescent="0.55000000000000004">
      <c r="A611">
        <f>ALGLIB_SSA_XAUUSD!J611</f>
        <v>1775576700</v>
      </c>
      <c r="B611" t="str">
        <f>_xlfn.XLOOKUP($A611,ALGLIB_SSA_XAUUSD!$A$2:$A$1000,ALGLIB_SSA_XAUUSD!$B$2:$B$1000,"",0)</f>
        <v/>
      </c>
      <c r="C611" t="str">
        <f>_xlfn.XLOOKUP($A611,ALGLIB_SSA_XAUUSD!$A$2:$A$1000,ALGLIB_SSA_XAUUSD!$C$2:$C$1000,"",0)</f>
        <v/>
      </c>
      <c r="D611" s="1">
        <f>D602+(D614-D602)*9/12</f>
        <v>4656.7049999999999</v>
      </c>
      <c r="E611" s="1">
        <f>E602+(E614-E602)*9/12</f>
        <v>4649.9100374999998</v>
      </c>
      <c r="F611" s="1">
        <f>F602+(F614-F602)*9/12</f>
        <v>4647.1927475000002</v>
      </c>
      <c r="G611" s="1">
        <f>G602+(G614-G602)*9/12</f>
        <v>4664.196285</v>
      </c>
      <c r="H611" s="1">
        <f>H602+(H614-H602)*9/12</f>
        <v>4631.8248074999992</v>
      </c>
      <c r="I611" t="str">
        <f>_xlfn.XLOOKUP($A611,ALGLIB_SSA_XAUUSD!$J$2:$J$1000,ALGLIB_SSA_XAUUSD!$K$2:$K$1000,"",0)</f>
        <v>XAUUSD</v>
      </c>
      <c r="J611" t="str">
        <f>_xlfn.XLOOKUP($A611,ALGLIB_SSA_XAUUSD!$J$2:$J$1000,ALGLIB_SSA_XAUUSD!$L$2:$L$1000,"",0)</f>
        <v>M5</v>
      </c>
      <c r="K611">
        <f>_xlfn.XLOOKUP($A611,ALGLIB_SSA_XAUUSD!$J$2:$J$1000,ALGLIB_SSA_XAUUSD!$M$2:$M$1000,"",0)</f>
        <v>4651.5200000000004</v>
      </c>
      <c r="L611">
        <f>_xlfn.XLOOKUP($A611,ALGLIB_SSA_XAUUSD!$J$2:$J$1000,ALGLIB_SSA_XAUUSD!$N$2:$N$1000,"",0)</f>
        <v>4652.8547600000002</v>
      </c>
      <c r="M611">
        <f>_xlfn.XLOOKUP($A611,ALGLIB_SSA_XAUUSD!$J$2:$J$1000,ALGLIB_SSA_XAUUSD!$O$2:$O$1000,"",0)</f>
        <v>4651.3110999999999</v>
      </c>
      <c r="N611">
        <f>_xlfn.XLOOKUP($A611,ALGLIB_SSA_XAUUSD!$J$2:$J$1000,ALGLIB_SSA_XAUUSD!$P$2:$P$1000,"",0)</f>
        <v>4656.8046100000001</v>
      </c>
      <c r="O611">
        <f>_xlfn.XLOOKUP($A611,ALGLIB_SSA_XAUUSD!$J$2:$J$1000,ALGLIB_SSA_XAUUSD!$Q$2:$Q$1000,"",0)</f>
        <v>4648.3840600000003</v>
      </c>
      <c r="R611">
        <f t="shared" si="99"/>
        <v>1775576700</v>
      </c>
      <c r="S611" t="str">
        <f t="shared" si="100"/>
        <v>XAUUSD</v>
      </c>
      <c r="T611" t="str">
        <f t="shared" si="101"/>
        <v>M5</v>
      </c>
      <c r="U611">
        <f t="shared" si="102"/>
        <v>4651.5200000000004</v>
      </c>
      <c r="V611">
        <v>4649.9100399999998</v>
      </c>
      <c r="W611">
        <v>4647.1927500000002</v>
      </c>
      <c r="X611">
        <v>4652.8547600000002</v>
      </c>
      <c r="Y611">
        <v>4651.3110999999999</v>
      </c>
      <c r="Z611">
        <f t="shared" si="103"/>
        <v>4664.196285</v>
      </c>
      <c r="AA611">
        <f t="shared" si="104"/>
        <v>4656.8046100000001</v>
      </c>
      <c r="AB611">
        <f t="shared" si="105"/>
        <v>4631.8248074999992</v>
      </c>
      <c r="AC611">
        <f t="shared" si="106"/>
        <v>4648.3840600000003</v>
      </c>
      <c r="AF611">
        <f t="shared" si="107"/>
        <v>4652.8547600000002</v>
      </c>
      <c r="AG611">
        <f t="shared" si="108"/>
        <v>4664.196285</v>
      </c>
      <c r="AH611">
        <f t="shared" si="109"/>
        <v>4631.8248074999992</v>
      </c>
    </row>
    <row r="612" spans="1:34" x14ac:dyDescent="0.55000000000000004">
      <c r="A612">
        <f>ALGLIB_SSA_XAUUSD!J612</f>
        <v>1775577000</v>
      </c>
      <c r="B612" t="str">
        <f>_xlfn.XLOOKUP($A612,ALGLIB_SSA_XAUUSD!$A$2:$A$1000,ALGLIB_SSA_XAUUSD!$B$2:$B$1000,"",0)</f>
        <v/>
      </c>
      <c r="C612" t="str">
        <f>_xlfn.XLOOKUP($A612,ALGLIB_SSA_XAUUSD!$A$2:$A$1000,ALGLIB_SSA_XAUUSD!$C$2:$C$1000,"",0)</f>
        <v/>
      </c>
      <c r="D612" s="1">
        <f>D602+(D614-D602)*10/12</f>
        <v>4656.8333333333339</v>
      </c>
      <c r="E612" s="1">
        <f>E602+(E614-E602)*10/12</f>
        <v>4650.6194783333331</v>
      </c>
      <c r="F612" s="1">
        <f>F602+(F614-F602)*10/12</f>
        <v>4647.5157883333331</v>
      </c>
      <c r="G612" s="1">
        <f>G602+(G614-G602)*10/12</f>
        <v>4664.8014800000001</v>
      </c>
      <c r="H612" s="1">
        <f>H602+(H614-H602)*10/12</f>
        <v>4632.298651666666</v>
      </c>
      <c r="I612" t="str">
        <f>_xlfn.XLOOKUP($A612,ALGLIB_SSA_XAUUSD!$J$2:$J$1000,ALGLIB_SSA_XAUUSD!$K$2:$K$1000,"",0)</f>
        <v>XAUUSD</v>
      </c>
      <c r="J612" t="str">
        <f>_xlfn.XLOOKUP($A612,ALGLIB_SSA_XAUUSD!$J$2:$J$1000,ALGLIB_SSA_XAUUSD!$L$2:$L$1000,"",0)</f>
        <v>M5</v>
      </c>
      <c r="K612">
        <f>_xlfn.XLOOKUP($A612,ALGLIB_SSA_XAUUSD!$J$2:$J$1000,ALGLIB_SSA_XAUUSD!$M$2:$M$1000,"",0)</f>
        <v>4653.8500000000004</v>
      </c>
      <c r="L612">
        <f>_xlfn.XLOOKUP($A612,ALGLIB_SSA_XAUUSD!$J$2:$J$1000,ALGLIB_SSA_XAUUSD!$N$2:$N$1000,"",0)</f>
        <v>4653.9044700000004</v>
      </c>
      <c r="M612">
        <f>_xlfn.XLOOKUP($A612,ALGLIB_SSA_XAUUSD!$J$2:$J$1000,ALGLIB_SSA_XAUUSD!$O$2:$O$1000,"",0)</f>
        <v>4652.60779</v>
      </c>
      <c r="N612">
        <f>_xlfn.XLOOKUP($A612,ALGLIB_SSA_XAUUSD!$J$2:$J$1000,ALGLIB_SSA_XAUUSD!$P$2:$P$1000,"",0)</f>
        <v>4657.9958900000001</v>
      </c>
      <c r="O612">
        <f>_xlfn.XLOOKUP($A612,ALGLIB_SSA_XAUUSD!$J$2:$J$1000,ALGLIB_SSA_XAUUSD!$Q$2:$Q$1000,"",0)</f>
        <v>4649.4091099999996</v>
      </c>
      <c r="R612">
        <f t="shared" si="99"/>
        <v>1775577000</v>
      </c>
      <c r="S612" t="str">
        <f t="shared" si="100"/>
        <v>XAUUSD</v>
      </c>
      <c r="T612" t="str">
        <f t="shared" si="101"/>
        <v>M5</v>
      </c>
      <c r="U612">
        <f t="shared" si="102"/>
        <v>4653.8500000000004</v>
      </c>
      <c r="V612">
        <v>4650.6194800000003</v>
      </c>
      <c r="W612">
        <v>4647.5157900000004</v>
      </c>
      <c r="X612">
        <v>4653.9044700000004</v>
      </c>
      <c r="Y612">
        <v>4652.60779</v>
      </c>
      <c r="Z612">
        <f t="shared" si="103"/>
        <v>4664.8014800000001</v>
      </c>
      <c r="AA612">
        <f t="shared" si="104"/>
        <v>4657.9958900000001</v>
      </c>
      <c r="AB612">
        <f t="shared" si="105"/>
        <v>4632.298651666666</v>
      </c>
      <c r="AC612">
        <f t="shared" si="106"/>
        <v>4649.4091099999996</v>
      </c>
      <c r="AF612">
        <f t="shared" si="107"/>
        <v>4653.9044700000004</v>
      </c>
      <c r="AG612">
        <f t="shared" si="108"/>
        <v>4664.8014800000001</v>
      </c>
      <c r="AH612">
        <f t="shared" si="109"/>
        <v>4632.298651666666</v>
      </c>
    </row>
    <row r="613" spans="1:34" x14ac:dyDescent="0.55000000000000004">
      <c r="A613">
        <f>ALGLIB_SSA_XAUUSD!J613</f>
        <v>1775577300</v>
      </c>
      <c r="B613" t="str">
        <f>_xlfn.XLOOKUP($A613,ALGLIB_SSA_XAUUSD!$A$2:$A$1000,ALGLIB_SSA_XAUUSD!$B$2:$B$1000,"",0)</f>
        <v/>
      </c>
      <c r="C613" t="str">
        <f>_xlfn.XLOOKUP($A613,ALGLIB_SSA_XAUUSD!$A$2:$A$1000,ALGLIB_SSA_XAUUSD!$C$2:$C$1000,"",0)</f>
        <v/>
      </c>
      <c r="D613" s="1">
        <f>D602+(D614-D602)*11/12</f>
        <v>4656.961666666667</v>
      </c>
      <c r="E613" s="1">
        <f>E602+(E614-E602)*11/12</f>
        <v>4651.3289191666663</v>
      </c>
      <c r="F613" s="1">
        <f>F602+(F614-F602)*11/12</f>
        <v>4647.838829166667</v>
      </c>
      <c r="G613" s="1">
        <f>G602+(G614-G602)*11/12</f>
        <v>4665.4066750000002</v>
      </c>
      <c r="H613" s="1">
        <f>H602+(H614-H602)*11/12</f>
        <v>4632.7724958333329</v>
      </c>
      <c r="I613" t="str">
        <f>_xlfn.XLOOKUP($A613,ALGLIB_SSA_XAUUSD!$J$2:$J$1000,ALGLIB_SSA_XAUUSD!$K$2:$K$1000,"",0)</f>
        <v>XAUUSD</v>
      </c>
      <c r="J613" t="str">
        <f>_xlfn.XLOOKUP($A613,ALGLIB_SSA_XAUUSD!$J$2:$J$1000,ALGLIB_SSA_XAUUSD!$L$2:$L$1000,"",0)</f>
        <v>M5</v>
      </c>
      <c r="K613">
        <f>_xlfn.XLOOKUP($A613,ALGLIB_SSA_XAUUSD!$J$2:$J$1000,ALGLIB_SSA_XAUUSD!$M$2:$M$1000,"",0)</f>
        <v>4655.55</v>
      </c>
      <c r="L613">
        <f>_xlfn.XLOOKUP($A613,ALGLIB_SSA_XAUUSD!$J$2:$J$1000,ALGLIB_SSA_XAUUSD!$N$2:$N$1000,"",0)</f>
        <v>4654.8581599999998</v>
      </c>
      <c r="M613">
        <f>_xlfn.XLOOKUP($A613,ALGLIB_SSA_XAUUSD!$J$2:$J$1000,ALGLIB_SSA_XAUUSD!$O$2:$O$1000,"",0)</f>
        <v>4653.73297</v>
      </c>
      <c r="N613">
        <f>_xlfn.XLOOKUP($A613,ALGLIB_SSA_XAUUSD!$J$2:$J$1000,ALGLIB_SSA_XAUUSD!$P$2:$P$1000,"",0)</f>
        <v>4659.1198100000001</v>
      </c>
      <c r="O613">
        <f>_xlfn.XLOOKUP($A613,ALGLIB_SSA_XAUUSD!$J$2:$J$1000,ALGLIB_SSA_XAUUSD!$Q$2:$Q$1000,"",0)</f>
        <v>4650.2651999999998</v>
      </c>
      <c r="R613">
        <f t="shared" si="99"/>
        <v>1775577300</v>
      </c>
      <c r="S613" t="str">
        <f t="shared" si="100"/>
        <v>XAUUSD</v>
      </c>
      <c r="T613" t="str">
        <f t="shared" si="101"/>
        <v>M5</v>
      </c>
      <c r="U613">
        <f t="shared" si="102"/>
        <v>4655.55</v>
      </c>
      <c r="V613">
        <v>4651.3289199999999</v>
      </c>
      <c r="W613">
        <v>4647.8388299999997</v>
      </c>
      <c r="X613">
        <v>4654.8581599999998</v>
      </c>
      <c r="Y613">
        <v>4653.73297</v>
      </c>
      <c r="Z613">
        <f t="shared" si="103"/>
        <v>4665.4066750000002</v>
      </c>
      <c r="AA613">
        <f t="shared" si="104"/>
        <v>4659.1198100000001</v>
      </c>
      <c r="AB613">
        <f t="shared" si="105"/>
        <v>4632.7724958333329</v>
      </c>
      <c r="AC613">
        <f t="shared" si="106"/>
        <v>4650.2651999999998</v>
      </c>
      <c r="AF613">
        <f t="shared" si="107"/>
        <v>4654.8581599999998</v>
      </c>
      <c r="AG613">
        <f t="shared" si="108"/>
        <v>4665.4066750000002</v>
      </c>
      <c r="AH613">
        <f t="shared" si="109"/>
        <v>4632.7724958333329</v>
      </c>
    </row>
    <row r="614" spans="1:34" x14ac:dyDescent="0.55000000000000004">
      <c r="A614">
        <f>ALGLIB_SSA_XAUUSD!J614</f>
        <v>1775577600</v>
      </c>
      <c r="B614" t="str">
        <f>_xlfn.XLOOKUP($A614,ALGLIB_SSA_XAUUSD!$A$2:$A$1000,ALGLIB_SSA_XAUUSD!$B$2:$B$1000,"",0)</f>
        <v>XAUUSD</v>
      </c>
      <c r="C614" t="str">
        <f>_xlfn.XLOOKUP($A614,ALGLIB_SSA_XAUUSD!$A$2:$A$1000,ALGLIB_SSA_XAUUSD!$C$2:$C$1000,"",0)</f>
        <v>H1</v>
      </c>
      <c r="D614" s="2">
        <f>_xlfn.XLOOKUP($A614,ALGLIB_SSA_XAUUSD!$A$2:$A$1000,ALGLIB_SSA_XAUUSD!$D$2:$D$1000,"",0)</f>
        <v>4657.09</v>
      </c>
      <c r="E614" s="2">
        <f>_xlfn.XLOOKUP($A614,ALGLIB_SSA_XAUUSD!$A$2:$A$1000,ALGLIB_SSA_XAUUSD!$E$2:$E$1000,"",0)</f>
        <v>4652.0383599999996</v>
      </c>
      <c r="F614" s="2">
        <f>_xlfn.XLOOKUP($A614,ALGLIB_SSA_XAUUSD!$A$2:$A$1000,ALGLIB_SSA_XAUUSD!$F$2:$F$1000,"",0)</f>
        <v>4648.1618699999999</v>
      </c>
      <c r="G614" s="2">
        <f>_xlfn.XLOOKUP($A614,ALGLIB_SSA_XAUUSD!$A$2:$A$1000,ALGLIB_SSA_XAUUSD!$G$2:$G$1000,"",0)</f>
        <v>4666.0118700000003</v>
      </c>
      <c r="H614" s="2">
        <f>_xlfn.XLOOKUP($A614,ALGLIB_SSA_XAUUSD!$A$2:$A$1000,ALGLIB_SSA_XAUUSD!$H$2:$H$1000,"",0)</f>
        <v>4633.2463399999997</v>
      </c>
      <c r="I614" t="str">
        <f>_xlfn.XLOOKUP($A614,ALGLIB_SSA_XAUUSD!$J$2:$J$1000,ALGLIB_SSA_XAUUSD!$K$2:$K$1000,"",0)</f>
        <v>XAUUSD</v>
      </c>
      <c r="J614" t="str">
        <f>_xlfn.XLOOKUP($A614,ALGLIB_SSA_XAUUSD!$J$2:$J$1000,ALGLIB_SSA_XAUUSD!$L$2:$L$1000,"",0)</f>
        <v>M5</v>
      </c>
      <c r="K614">
        <f>_xlfn.XLOOKUP($A614,ALGLIB_SSA_XAUUSD!$J$2:$J$1000,ALGLIB_SSA_XAUUSD!$M$2:$M$1000,"",0)</f>
        <v>4662.63</v>
      </c>
      <c r="L614">
        <f>_xlfn.XLOOKUP($A614,ALGLIB_SSA_XAUUSD!$J$2:$J$1000,ALGLIB_SSA_XAUUSD!$N$2:$N$1000,"",0)</f>
        <v>4655.8066200000003</v>
      </c>
      <c r="M614">
        <f>_xlfn.XLOOKUP($A614,ALGLIB_SSA_XAUUSD!$J$2:$J$1000,ALGLIB_SSA_XAUUSD!$O$2:$O$1000,"",0)</f>
        <v>4654.7697900000003</v>
      </c>
      <c r="N614">
        <f>_xlfn.XLOOKUP($A614,ALGLIB_SSA_XAUUSD!$J$2:$J$1000,ALGLIB_SSA_XAUUSD!$P$2:$P$1000,"",0)</f>
        <v>4660.183</v>
      </c>
      <c r="O614">
        <f>_xlfn.XLOOKUP($A614,ALGLIB_SSA_XAUUSD!$J$2:$J$1000,ALGLIB_SSA_XAUUSD!$Q$2:$Q$1000,"",0)</f>
        <v>4651.0994700000001</v>
      </c>
      <c r="R614">
        <f t="shared" si="99"/>
        <v>1775577600</v>
      </c>
      <c r="S614" t="str">
        <f t="shared" si="100"/>
        <v>XAUUSD</v>
      </c>
      <c r="T614" t="str">
        <f t="shared" si="101"/>
        <v>M5</v>
      </c>
      <c r="U614">
        <f t="shared" si="102"/>
        <v>4662.63</v>
      </c>
      <c r="V614">
        <v>4652.0383599999996</v>
      </c>
      <c r="W614">
        <v>4648.1618699999999</v>
      </c>
      <c r="X614">
        <v>4655.8066200000003</v>
      </c>
      <c r="Y614">
        <v>4654.7697900000003</v>
      </c>
      <c r="Z614">
        <f t="shared" si="103"/>
        <v>4666.0118700000003</v>
      </c>
      <c r="AA614">
        <f t="shared" si="104"/>
        <v>4660.183</v>
      </c>
      <c r="AB614">
        <f t="shared" si="105"/>
        <v>4633.2463399999997</v>
      </c>
      <c r="AC614">
        <f t="shared" si="106"/>
        <v>4651.0994700000001</v>
      </c>
      <c r="AF614">
        <f t="shared" si="107"/>
        <v>4655.8066200000003</v>
      </c>
      <c r="AG614">
        <f t="shared" si="108"/>
        <v>4666.0118700000003</v>
      </c>
      <c r="AH614">
        <f t="shared" si="109"/>
        <v>4633.2463399999997</v>
      </c>
    </row>
    <row r="615" spans="1:34" x14ac:dyDescent="0.55000000000000004">
      <c r="A615">
        <f>ALGLIB_SSA_XAUUSD!J615</f>
        <v>1775577900</v>
      </c>
      <c r="B615" t="str">
        <f>_xlfn.XLOOKUP($A615,ALGLIB_SSA_XAUUSD!$A$2:$A$1000,ALGLIB_SSA_XAUUSD!$B$2:$B$1000,"",0)</f>
        <v/>
      </c>
      <c r="C615" t="str">
        <f>_xlfn.XLOOKUP($A615,ALGLIB_SSA_XAUUSD!$A$2:$A$1000,ALGLIB_SSA_XAUUSD!$C$2:$C$1000,"",0)</f>
        <v/>
      </c>
      <c r="D615" s="1">
        <f>D614+(D626-D614)*1/12</f>
        <v>4658.6549999999997</v>
      </c>
      <c r="E615" s="1">
        <f>E614+(E626-E614)*1/12</f>
        <v>4653.3088291666663</v>
      </c>
      <c r="F615" s="1">
        <f>F614+(F626-F614)*1/12</f>
        <v>4648.9586250000002</v>
      </c>
      <c r="G615" s="1">
        <f>G614+(G626-G614)*1/12</f>
        <v>4667.2201700000005</v>
      </c>
      <c r="H615" s="1">
        <f>H614+(H626-H614)*1/12</f>
        <v>4634.1685641666663</v>
      </c>
      <c r="I615" t="str">
        <f>_xlfn.XLOOKUP($A615,ALGLIB_SSA_XAUUSD!$J$2:$J$1000,ALGLIB_SSA_XAUUSD!$K$2:$K$1000,"",0)</f>
        <v>XAUUSD</v>
      </c>
      <c r="J615" t="str">
        <f>_xlfn.XLOOKUP($A615,ALGLIB_SSA_XAUUSD!$J$2:$J$1000,ALGLIB_SSA_XAUUSD!$L$2:$L$1000,"",0)</f>
        <v>M5</v>
      </c>
      <c r="K615">
        <f>_xlfn.XLOOKUP($A615,ALGLIB_SSA_XAUUSD!$J$2:$J$1000,ALGLIB_SSA_XAUUSD!$M$2:$M$1000,"",0)</f>
        <v>4653.78</v>
      </c>
      <c r="L615">
        <f>_xlfn.XLOOKUP($A615,ALGLIB_SSA_XAUUSD!$J$2:$J$1000,ALGLIB_SSA_XAUUSD!$N$2:$N$1000,"",0)</f>
        <v>4656.6411099999996</v>
      </c>
      <c r="M615">
        <f>_xlfn.XLOOKUP($A615,ALGLIB_SSA_XAUUSD!$J$2:$J$1000,ALGLIB_SSA_XAUUSD!$O$2:$O$1000,"",0)</f>
        <v>4655.7054500000004</v>
      </c>
      <c r="N615">
        <f>_xlfn.XLOOKUP($A615,ALGLIB_SSA_XAUUSD!$J$2:$J$1000,ALGLIB_SSA_XAUUSD!$P$2:$P$1000,"",0)</f>
        <v>4661.0300100000004</v>
      </c>
      <c r="O615">
        <f>_xlfn.XLOOKUP($A615,ALGLIB_SSA_XAUUSD!$J$2:$J$1000,ALGLIB_SSA_XAUUSD!$Q$2:$Q$1000,"",0)</f>
        <v>4651.9965099999999</v>
      </c>
      <c r="R615">
        <f t="shared" si="99"/>
        <v>1775577900</v>
      </c>
      <c r="S615" t="str">
        <f t="shared" si="100"/>
        <v>XAUUSD</v>
      </c>
      <c r="T615" t="str">
        <f t="shared" si="101"/>
        <v>M5</v>
      </c>
      <c r="U615">
        <f t="shared" si="102"/>
        <v>4653.78</v>
      </c>
      <c r="V615">
        <v>4653.3088299999999</v>
      </c>
      <c r="W615">
        <v>4648.9586300000001</v>
      </c>
      <c r="X615">
        <v>4656.6411099999996</v>
      </c>
      <c r="Y615">
        <v>4655.7054500000004</v>
      </c>
      <c r="Z615">
        <f t="shared" si="103"/>
        <v>4667.2201700000005</v>
      </c>
      <c r="AA615">
        <f t="shared" si="104"/>
        <v>4661.0300100000004</v>
      </c>
      <c r="AB615">
        <f t="shared" si="105"/>
        <v>4634.1685641666663</v>
      </c>
      <c r="AC615">
        <f t="shared" si="106"/>
        <v>4651.9965099999999</v>
      </c>
      <c r="AF615">
        <f t="shared" si="107"/>
        <v>4656.6411099999996</v>
      </c>
      <c r="AG615">
        <f t="shared" si="108"/>
        <v>4667.2201700000005</v>
      </c>
      <c r="AH615">
        <f t="shared" si="109"/>
        <v>4634.1685641666663</v>
      </c>
    </row>
    <row r="616" spans="1:34" x14ac:dyDescent="0.55000000000000004">
      <c r="A616">
        <f>ALGLIB_SSA_XAUUSD!J616</f>
        <v>1775578200</v>
      </c>
      <c r="B616" t="str">
        <f>_xlfn.XLOOKUP($A616,ALGLIB_SSA_XAUUSD!$A$2:$A$1000,ALGLIB_SSA_XAUUSD!$B$2:$B$1000,"",0)</f>
        <v/>
      </c>
      <c r="C616" t="str">
        <f>_xlfn.XLOOKUP($A616,ALGLIB_SSA_XAUUSD!$A$2:$A$1000,ALGLIB_SSA_XAUUSD!$C$2:$C$1000,"",0)</f>
        <v/>
      </c>
      <c r="D616" s="1">
        <f>D614+(D626-D614)*2/12</f>
        <v>4660.22</v>
      </c>
      <c r="E616" s="1">
        <f>E614+(E626-E614)*2/12</f>
        <v>4654.5792983333331</v>
      </c>
      <c r="F616" s="1">
        <f>F614+(F626-F614)*2/12</f>
        <v>4649.7553799999996</v>
      </c>
      <c r="G616" s="1">
        <f>G614+(G626-G614)*2/12</f>
        <v>4668.4284700000007</v>
      </c>
      <c r="H616" s="1">
        <f>H614+(H626-H614)*2/12</f>
        <v>4635.090788333333</v>
      </c>
      <c r="I616" t="str">
        <f>_xlfn.XLOOKUP($A616,ALGLIB_SSA_XAUUSD!$J$2:$J$1000,ALGLIB_SSA_XAUUSD!$K$2:$K$1000,"",0)</f>
        <v>XAUUSD</v>
      </c>
      <c r="J616" t="str">
        <f>_xlfn.XLOOKUP($A616,ALGLIB_SSA_XAUUSD!$J$2:$J$1000,ALGLIB_SSA_XAUUSD!$L$2:$L$1000,"",0)</f>
        <v>M5</v>
      </c>
      <c r="K616">
        <f>_xlfn.XLOOKUP($A616,ALGLIB_SSA_XAUUSD!$J$2:$J$1000,ALGLIB_SSA_XAUUSD!$M$2:$M$1000,"",0)</f>
        <v>4658.84</v>
      </c>
      <c r="L616">
        <f>_xlfn.XLOOKUP($A616,ALGLIB_SSA_XAUUSD!$J$2:$J$1000,ALGLIB_SSA_XAUUSD!$N$2:$N$1000,"",0)</f>
        <v>4657.58619</v>
      </c>
      <c r="M616">
        <f>_xlfn.XLOOKUP($A616,ALGLIB_SSA_XAUUSD!$J$2:$J$1000,ALGLIB_SSA_XAUUSD!$O$2:$O$1000,"",0)</f>
        <v>4656.6458199999997</v>
      </c>
      <c r="N616">
        <f>_xlfn.XLOOKUP($A616,ALGLIB_SSA_XAUUSD!$J$2:$J$1000,ALGLIB_SSA_XAUUSD!$P$2:$P$1000,"",0)</f>
        <v>4661.8388999999997</v>
      </c>
      <c r="O616">
        <f>_xlfn.XLOOKUP($A616,ALGLIB_SSA_XAUUSD!$J$2:$J$1000,ALGLIB_SSA_XAUUSD!$Q$2:$Q$1000,"",0)</f>
        <v>4652.9894999999997</v>
      </c>
      <c r="R616">
        <f t="shared" si="99"/>
        <v>1775578200</v>
      </c>
      <c r="S616" t="str">
        <f t="shared" si="100"/>
        <v>XAUUSD</v>
      </c>
      <c r="T616" t="str">
        <f t="shared" si="101"/>
        <v>M5</v>
      </c>
      <c r="U616">
        <f t="shared" si="102"/>
        <v>4658.84</v>
      </c>
      <c r="V616">
        <v>4654.5793000000003</v>
      </c>
      <c r="W616">
        <v>4649.7553799999996</v>
      </c>
      <c r="X616">
        <v>4657.58619</v>
      </c>
      <c r="Y616">
        <v>4656.6458199999997</v>
      </c>
      <c r="Z616">
        <f t="shared" si="103"/>
        <v>4668.4284700000007</v>
      </c>
      <c r="AA616">
        <f t="shared" si="104"/>
        <v>4661.8388999999997</v>
      </c>
      <c r="AB616">
        <f t="shared" si="105"/>
        <v>4635.090788333333</v>
      </c>
      <c r="AC616">
        <f t="shared" si="106"/>
        <v>4652.9894999999997</v>
      </c>
      <c r="AF616">
        <f t="shared" si="107"/>
        <v>4657.58619</v>
      </c>
      <c r="AG616">
        <f t="shared" si="108"/>
        <v>4668.4284700000007</v>
      </c>
      <c r="AH616">
        <f t="shared" si="109"/>
        <v>4635.090788333333</v>
      </c>
    </row>
    <row r="617" spans="1:34" x14ac:dyDescent="0.55000000000000004">
      <c r="A617">
        <f>ALGLIB_SSA_XAUUSD!J617</f>
        <v>1775578500</v>
      </c>
      <c r="B617" t="str">
        <f>_xlfn.XLOOKUP($A617,ALGLIB_SSA_XAUUSD!$A$2:$A$1000,ALGLIB_SSA_XAUUSD!$B$2:$B$1000,"",0)</f>
        <v/>
      </c>
      <c r="C617" t="str">
        <f>_xlfn.XLOOKUP($A617,ALGLIB_SSA_XAUUSD!$A$2:$A$1000,ALGLIB_SSA_XAUUSD!$C$2:$C$1000,"",0)</f>
        <v/>
      </c>
      <c r="D617" s="1">
        <f>D614+(D626-D614)*3/12</f>
        <v>4661.7849999999999</v>
      </c>
      <c r="E617" s="1">
        <f>E614+(E626-E614)*3/12</f>
        <v>4655.8497674999999</v>
      </c>
      <c r="F617" s="1">
        <f>F614+(F626-F614)*3/12</f>
        <v>4650.5521349999999</v>
      </c>
      <c r="G617" s="1">
        <f>G614+(G626-G614)*3/12</f>
        <v>4669.6367700000001</v>
      </c>
      <c r="H617" s="1">
        <f>H614+(H626-H614)*3/12</f>
        <v>4636.0130124999996</v>
      </c>
      <c r="I617" t="str">
        <f>_xlfn.XLOOKUP($A617,ALGLIB_SSA_XAUUSD!$J$2:$J$1000,ALGLIB_SSA_XAUUSD!$K$2:$K$1000,"",0)</f>
        <v>XAUUSD</v>
      </c>
      <c r="J617" t="str">
        <f>_xlfn.XLOOKUP($A617,ALGLIB_SSA_XAUUSD!$J$2:$J$1000,ALGLIB_SSA_XAUUSD!$L$2:$L$1000,"",0)</f>
        <v>M5</v>
      </c>
      <c r="K617">
        <f>_xlfn.XLOOKUP($A617,ALGLIB_SSA_XAUUSD!$J$2:$J$1000,ALGLIB_SSA_XAUUSD!$M$2:$M$1000,"",0)</f>
        <v>4657.6899999999996</v>
      </c>
      <c r="L617">
        <f>_xlfn.XLOOKUP($A617,ALGLIB_SSA_XAUUSD!$J$2:$J$1000,ALGLIB_SSA_XAUUSD!$N$2:$N$1000,"",0)</f>
        <v>4658.4680799999996</v>
      </c>
      <c r="M617">
        <f>_xlfn.XLOOKUP($A617,ALGLIB_SSA_XAUUSD!$J$2:$J$1000,ALGLIB_SSA_XAUUSD!$O$2:$O$1000,"",0)</f>
        <v>4657.5569500000001</v>
      </c>
      <c r="N617">
        <f>_xlfn.XLOOKUP($A617,ALGLIB_SSA_XAUUSD!$J$2:$J$1000,ALGLIB_SSA_XAUUSD!$P$2:$P$1000,"",0)</f>
        <v>4662.6293999999998</v>
      </c>
      <c r="O617">
        <f>_xlfn.XLOOKUP($A617,ALGLIB_SSA_XAUUSD!$J$2:$J$1000,ALGLIB_SSA_XAUUSD!$Q$2:$Q$1000,"",0)</f>
        <v>4654.0704400000004</v>
      </c>
      <c r="R617">
        <f t="shared" si="99"/>
        <v>1775578500</v>
      </c>
      <c r="S617" t="str">
        <f t="shared" si="100"/>
        <v>XAUUSD</v>
      </c>
      <c r="T617" t="str">
        <f t="shared" si="101"/>
        <v>M5</v>
      </c>
      <c r="U617">
        <f t="shared" si="102"/>
        <v>4657.6899999999996</v>
      </c>
      <c r="V617">
        <v>4655.8497699999998</v>
      </c>
      <c r="W617">
        <v>4650.5521399999998</v>
      </c>
      <c r="X617">
        <v>4658.4680799999996</v>
      </c>
      <c r="Y617">
        <v>4657.5569500000001</v>
      </c>
      <c r="Z617">
        <f t="shared" si="103"/>
        <v>4669.6367700000001</v>
      </c>
      <c r="AA617">
        <f t="shared" si="104"/>
        <v>4662.6293999999998</v>
      </c>
      <c r="AB617">
        <f t="shared" si="105"/>
        <v>4636.0130124999996</v>
      </c>
      <c r="AC617">
        <f t="shared" si="106"/>
        <v>4654.0704400000004</v>
      </c>
      <c r="AF617">
        <f t="shared" si="107"/>
        <v>4658.4680799999996</v>
      </c>
      <c r="AG617">
        <f t="shared" si="108"/>
        <v>4669.6367700000001</v>
      </c>
      <c r="AH617">
        <f t="shared" si="109"/>
        <v>4636.0130124999996</v>
      </c>
    </row>
    <row r="618" spans="1:34" x14ac:dyDescent="0.55000000000000004">
      <c r="A618">
        <f>ALGLIB_SSA_XAUUSD!J618</f>
        <v>1775578800</v>
      </c>
      <c r="B618" t="str">
        <f>_xlfn.XLOOKUP($A618,ALGLIB_SSA_XAUUSD!$A$2:$A$1000,ALGLIB_SSA_XAUUSD!$B$2:$B$1000,"",0)</f>
        <v/>
      </c>
      <c r="C618" t="str">
        <f>_xlfn.XLOOKUP($A618,ALGLIB_SSA_XAUUSD!$A$2:$A$1000,ALGLIB_SSA_XAUUSD!$C$2:$C$1000,"",0)</f>
        <v/>
      </c>
      <c r="D618" s="1">
        <f>D614+(D626-D614)*4/12</f>
        <v>4663.3500000000004</v>
      </c>
      <c r="E618" s="1">
        <f>E614+(E626-E614)*4/12</f>
        <v>4657.1202366666666</v>
      </c>
      <c r="F618" s="1">
        <f>F614+(F626-F614)*4/12</f>
        <v>4651.3488900000002</v>
      </c>
      <c r="G618" s="1">
        <f>G614+(G626-G614)*4/12</f>
        <v>4670.8450700000003</v>
      </c>
      <c r="H618" s="1">
        <f>H614+(H626-H614)*4/12</f>
        <v>4636.9352366666662</v>
      </c>
      <c r="I618" t="str">
        <f>_xlfn.XLOOKUP($A618,ALGLIB_SSA_XAUUSD!$J$2:$J$1000,ALGLIB_SSA_XAUUSD!$K$2:$K$1000,"",0)</f>
        <v>XAUUSD</v>
      </c>
      <c r="J618" t="str">
        <f>_xlfn.XLOOKUP($A618,ALGLIB_SSA_XAUUSD!$J$2:$J$1000,ALGLIB_SSA_XAUUSD!$L$2:$L$1000,"",0)</f>
        <v>M5</v>
      </c>
      <c r="K618">
        <f>_xlfn.XLOOKUP($A618,ALGLIB_SSA_XAUUSD!$J$2:$J$1000,ALGLIB_SSA_XAUUSD!$M$2:$M$1000,"",0)</f>
        <v>4657.6899999999996</v>
      </c>
      <c r="L618">
        <f>_xlfn.XLOOKUP($A618,ALGLIB_SSA_XAUUSD!$J$2:$J$1000,ALGLIB_SSA_XAUUSD!$N$2:$N$1000,"",0)</f>
        <v>4659.2297600000002</v>
      </c>
      <c r="M618">
        <f>_xlfn.XLOOKUP($A618,ALGLIB_SSA_XAUUSD!$J$2:$J$1000,ALGLIB_SSA_XAUUSD!$O$2:$O$1000,"",0)</f>
        <v>4658.3933500000003</v>
      </c>
      <c r="N618">
        <f>_xlfn.XLOOKUP($A618,ALGLIB_SSA_XAUUSD!$J$2:$J$1000,ALGLIB_SSA_XAUUSD!$P$2:$P$1000,"",0)</f>
        <v>4663.3216400000001</v>
      </c>
      <c r="O618">
        <f>_xlfn.XLOOKUP($A618,ALGLIB_SSA_XAUUSD!$J$2:$J$1000,ALGLIB_SSA_XAUUSD!$Q$2:$Q$1000,"",0)</f>
        <v>4655.08331</v>
      </c>
      <c r="R618">
        <f t="shared" si="99"/>
        <v>1775578800</v>
      </c>
      <c r="S618" t="str">
        <f t="shared" si="100"/>
        <v>XAUUSD</v>
      </c>
      <c r="T618" t="str">
        <f t="shared" si="101"/>
        <v>M5</v>
      </c>
      <c r="U618">
        <f t="shared" si="102"/>
        <v>4657.6899999999996</v>
      </c>
      <c r="V618">
        <v>4657.1202400000002</v>
      </c>
      <c r="W618">
        <v>4651.3488900000002</v>
      </c>
      <c r="X618">
        <v>4659.2297600000002</v>
      </c>
      <c r="Y618">
        <v>4658.3933500000003</v>
      </c>
      <c r="Z618">
        <f t="shared" si="103"/>
        <v>4670.8450700000003</v>
      </c>
      <c r="AA618">
        <f t="shared" si="104"/>
        <v>4663.3216400000001</v>
      </c>
      <c r="AB618">
        <f t="shared" si="105"/>
        <v>4636.9352366666662</v>
      </c>
      <c r="AC618">
        <f t="shared" si="106"/>
        <v>4655.08331</v>
      </c>
      <c r="AF618">
        <f t="shared" si="107"/>
        <v>4659.2297600000002</v>
      </c>
      <c r="AG618">
        <f t="shared" si="108"/>
        <v>4670.8450700000003</v>
      </c>
      <c r="AH618">
        <f t="shared" si="109"/>
        <v>4636.9352366666662</v>
      </c>
    </row>
    <row r="619" spans="1:34" x14ac:dyDescent="0.55000000000000004">
      <c r="A619">
        <f>ALGLIB_SSA_XAUUSD!J619</f>
        <v>1775579100</v>
      </c>
      <c r="B619" t="str">
        <f>_xlfn.XLOOKUP($A619,ALGLIB_SSA_XAUUSD!$A$2:$A$1000,ALGLIB_SSA_XAUUSD!$B$2:$B$1000,"",0)</f>
        <v/>
      </c>
      <c r="C619" t="str">
        <f>_xlfn.XLOOKUP($A619,ALGLIB_SSA_XAUUSD!$A$2:$A$1000,ALGLIB_SSA_XAUUSD!$C$2:$C$1000,"",0)</f>
        <v/>
      </c>
      <c r="D619" s="1">
        <f>D614+(D626-D614)*5/12</f>
        <v>4664.915</v>
      </c>
      <c r="E619" s="1">
        <f>E614+(E626-E614)*5/12</f>
        <v>4658.3907058333334</v>
      </c>
      <c r="F619" s="1">
        <f>F614+(F626-F614)*5/12</f>
        <v>4652.1456449999996</v>
      </c>
      <c r="G619" s="1">
        <f>G614+(G626-G614)*5/12</f>
        <v>4672.0533700000005</v>
      </c>
      <c r="H619" s="1">
        <f>H614+(H626-H614)*5/12</f>
        <v>4637.8574608333329</v>
      </c>
      <c r="I619" t="str">
        <f>_xlfn.XLOOKUP($A619,ALGLIB_SSA_XAUUSD!$J$2:$J$1000,ALGLIB_SSA_XAUUSD!$K$2:$K$1000,"",0)</f>
        <v>XAUUSD</v>
      </c>
      <c r="J619" t="str">
        <f>_xlfn.XLOOKUP($A619,ALGLIB_SSA_XAUUSD!$J$2:$J$1000,ALGLIB_SSA_XAUUSD!$L$2:$L$1000,"",0)</f>
        <v>M5</v>
      </c>
      <c r="K619">
        <f>_xlfn.XLOOKUP($A619,ALGLIB_SSA_XAUUSD!$J$2:$J$1000,ALGLIB_SSA_XAUUSD!$M$2:$M$1000,"",0)</f>
        <v>4662.99</v>
      </c>
      <c r="L619">
        <f>_xlfn.XLOOKUP($A619,ALGLIB_SSA_XAUUSD!$J$2:$J$1000,ALGLIB_SSA_XAUUSD!$N$2:$N$1000,"",0)</f>
        <v>4659.8106900000002</v>
      </c>
      <c r="M619">
        <f>_xlfn.XLOOKUP($A619,ALGLIB_SSA_XAUUSD!$J$2:$J$1000,ALGLIB_SSA_XAUUSD!$O$2:$O$1000,"",0)</f>
        <v>4659.1020200000003</v>
      </c>
      <c r="N619">
        <f>_xlfn.XLOOKUP($A619,ALGLIB_SSA_XAUUSD!$J$2:$J$1000,ALGLIB_SSA_XAUUSD!$P$2:$P$1000,"",0)</f>
        <v>4663.6421099999998</v>
      </c>
      <c r="O619">
        <f>_xlfn.XLOOKUP($A619,ALGLIB_SSA_XAUUSD!$J$2:$J$1000,ALGLIB_SSA_XAUUSD!$Q$2:$Q$1000,"",0)</f>
        <v>4655.9944800000003</v>
      </c>
      <c r="R619">
        <f t="shared" si="99"/>
        <v>1775579100</v>
      </c>
      <c r="S619" t="str">
        <f t="shared" si="100"/>
        <v>XAUUSD</v>
      </c>
      <c r="T619" t="str">
        <f t="shared" si="101"/>
        <v>M5</v>
      </c>
      <c r="U619">
        <f t="shared" si="102"/>
        <v>4662.99</v>
      </c>
      <c r="V619">
        <v>4658.3907099999997</v>
      </c>
      <c r="W619">
        <v>4652.1456399999997</v>
      </c>
      <c r="X619">
        <v>4659.8106900000002</v>
      </c>
      <c r="Y619">
        <v>4659.1020200000003</v>
      </c>
      <c r="Z619">
        <f t="shared" si="103"/>
        <v>4672.0533700000005</v>
      </c>
      <c r="AA619">
        <f t="shared" si="104"/>
        <v>4663.6421099999998</v>
      </c>
      <c r="AB619">
        <f t="shared" si="105"/>
        <v>4637.8574608333329</v>
      </c>
      <c r="AC619">
        <f t="shared" si="106"/>
        <v>4655.9944800000003</v>
      </c>
      <c r="AF619">
        <f t="shared" si="107"/>
        <v>4659.8106900000002</v>
      </c>
      <c r="AG619">
        <f t="shared" si="108"/>
        <v>4672.0533700000005</v>
      </c>
      <c r="AH619">
        <f t="shared" si="109"/>
        <v>4637.8574608333329</v>
      </c>
    </row>
    <row r="620" spans="1:34" x14ac:dyDescent="0.55000000000000004">
      <c r="A620">
        <f>ALGLIB_SSA_XAUUSD!J620</f>
        <v>1775579400</v>
      </c>
      <c r="B620" t="str">
        <f>_xlfn.XLOOKUP($A620,ALGLIB_SSA_XAUUSD!$A$2:$A$1000,ALGLIB_SSA_XAUUSD!$B$2:$B$1000,"",0)</f>
        <v/>
      </c>
      <c r="C620" t="str">
        <f>_xlfn.XLOOKUP($A620,ALGLIB_SSA_XAUUSD!$A$2:$A$1000,ALGLIB_SSA_XAUUSD!$C$2:$C$1000,"",0)</f>
        <v/>
      </c>
      <c r="D620" s="1">
        <f>D614+(D626-D614)*6/12</f>
        <v>4666.4799999999996</v>
      </c>
      <c r="E620" s="1">
        <f>E614+(E626-E614)*6/12</f>
        <v>4659.6611749999993</v>
      </c>
      <c r="F620" s="1">
        <f>F614+(F626-F614)*6/12</f>
        <v>4652.9423999999999</v>
      </c>
      <c r="G620" s="1">
        <f>G614+(G626-G614)*6/12</f>
        <v>4673.2616699999999</v>
      </c>
      <c r="H620" s="1">
        <f>H614+(H626-H614)*6/12</f>
        <v>4638.7796849999995</v>
      </c>
      <c r="I620" t="str">
        <f>_xlfn.XLOOKUP($A620,ALGLIB_SSA_XAUUSD!$J$2:$J$1000,ALGLIB_SSA_XAUUSD!$K$2:$K$1000,"",0)</f>
        <v>XAUUSD</v>
      </c>
      <c r="J620" t="str">
        <f>_xlfn.XLOOKUP($A620,ALGLIB_SSA_XAUUSD!$J$2:$J$1000,ALGLIB_SSA_XAUUSD!$L$2:$L$1000,"",0)</f>
        <v>M5</v>
      </c>
      <c r="K620">
        <f>_xlfn.XLOOKUP($A620,ALGLIB_SSA_XAUUSD!$J$2:$J$1000,ALGLIB_SSA_XAUUSD!$M$2:$M$1000,"",0)</f>
        <v>4659.78</v>
      </c>
      <c r="L620">
        <f>_xlfn.XLOOKUP($A620,ALGLIB_SSA_XAUUSD!$J$2:$J$1000,ALGLIB_SSA_XAUUSD!$N$2:$N$1000,"",0)</f>
        <v>4660.0757599999997</v>
      </c>
      <c r="M620">
        <f>_xlfn.XLOOKUP($A620,ALGLIB_SSA_XAUUSD!$J$2:$J$1000,ALGLIB_SSA_XAUUSD!$O$2:$O$1000,"",0)</f>
        <v>4659.58889</v>
      </c>
      <c r="N620">
        <f>_xlfn.XLOOKUP($A620,ALGLIB_SSA_XAUUSD!$J$2:$J$1000,ALGLIB_SSA_XAUUSD!$P$2:$P$1000,"",0)</f>
        <v>4663.6594999999998</v>
      </c>
      <c r="O620">
        <f>_xlfn.XLOOKUP($A620,ALGLIB_SSA_XAUUSD!$J$2:$J$1000,ALGLIB_SSA_XAUUSD!$Q$2:$Q$1000,"",0)</f>
        <v>4656.7233299999998</v>
      </c>
      <c r="R620">
        <f t="shared" si="99"/>
        <v>1775579400</v>
      </c>
      <c r="S620" t="str">
        <f t="shared" si="100"/>
        <v>XAUUSD</v>
      </c>
      <c r="T620" t="str">
        <f t="shared" si="101"/>
        <v>M5</v>
      </c>
      <c r="U620">
        <f t="shared" si="102"/>
        <v>4659.78</v>
      </c>
      <c r="V620">
        <v>4659.6611700000003</v>
      </c>
      <c r="W620">
        <v>4652.9423999999999</v>
      </c>
      <c r="X620">
        <v>4660.0757599999997</v>
      </c>
      <c r="Y620">
        <v>4659.58889</v>
      </c>
      <c r="Z620">
        <f t="shared" si="103"/>
        <v>4673.2616699999999</v>
      </c>
      <c r="AA620">
        <f t="shared" si="104"/>
        <v>4663.6594999999998</v>
      </c>
      <c r="AB620">
        <f t="shared" si="105"/>
        <v>4638.7796849999995</v>
      </c>
      <c r="AC620">
        <f t="shared" si="106"/>
        <v>4656.7233299999998</v>
      </c>
      <c r="AF620">
        <f t="shared" si="107"/>
        <v>4660.0757599999997</v>
      </c>
      <c r="AG620">
        <f t="shared" si="108"/>
        <v>4673.2616699999999</v>
      </c>
      <c r="AH620">
        <f t="shared" si="109"/>
        <v>4638.7796849999995</v>
      </c>
    </row>
    <row r="621" spans="1:34" x14ac:dyDescent="0.55000000000000004">
      <c r="A621">
        <f>ALGLIB_SSA_XAUUSD!J621</f>
        <v>1775579700</v>
      </c>
      <c r="B621" t="str">
        <f>_xlfn.XLOOKUP($A621,ALGLIB_SSA_XAUUSD!$A$2:$A$1000,ALGLIB_SSA_XAUUSD!$B$2:$B$1000,"",0)</f>
        <v/>
      </c>
      <c r="C621" t="str">
        <f>_xlfn.XLOOKUP($A621,ALGLIB_SSA_XAUUSD!$A$2:$A$1000,ALGLIB_SSA_XAUUSD!$C$2:$C$1000,"",0)</f>
        <v/>
      </c>
      <c r="D621" s="1">
        <f>D614+(D626-D614)*7/12</f>
        <v>4668.0450000000001</v>
      </c>
      <c r="E621" s="1">
        <f>E614+(E626-E614)*7/12</f>
        <v>4660.931644166666</v>
      </c>
      <c r="F621" s="1">
        <f>F614+(F626-F614)*7/12</f>
        <v>4653.7391550000002</v>
      </c>
      <c r="G621" s="1">
        <f>G614+(G626-G614)*7/12</f>
        <v>4674.4699700000001</v>
      </c>
      <c r="H621" s="1">
        <f>H614+(H626-H614)*7/12</f>
        <v>4639.7019091666671</v>
      </c>
      <c r="I621" t="str">
        <f>_xlfn.XLOOKUP($A621,ALGLIB_SSA_XAUUSD!$J$2:$J$1000,ALGLIB_SSA_XAUUSD!$K$2:$K$1000,"",0)</f>
        <v>XAUUSD</v>
      </c>
      <c r="J621" t="str">
        <f>_xlfn.XLOOKUP($A621,ALGLIB_SSA_XAUUSD!$J$2:$J$1000,ALGLIB_SSA_XAUUSD!$L$2:$L$1000,"",0)</f>
        <v>M5</v>
      </c>
      <c r="K621">
        <f>_xlfn.XLOOKUP($A621,ALGLIB_SSA_XAUUSD!$J$2:$J$1000,ALGLIB_SSA_XAUUSD!$M$2:$M$1000,"",0)</f>
        <v>4657.88</v>
      </c>
      <c r="L621">
        <f>_xlfn.XLOOKUP($A621,ALGLIB_SSA_XAUUSD!$J$2:$J$1000,ALGLIB_SSA_XAUUSD!$N$2:$N$1000,"",0)</f>
        <v>4660.1733800000002</v>
      </c>
      <c r="M621">
        <f>_xlfn.XLOOKUP($A621,ALGLIB_SSA_XAUUSD!$J$2:$J$1000,ALGLIB_SSA_XAUUSD!$O$2:$O$1000,"",0)</f>
        <v>4659.8811299999998</v>
      </c>
      <c r="N621">
        <f>_xlfn.XLOOKUP($A621,ALGLIB_SSA_XAUUSD!$J$2:$J$1000,ALGLIB_SSA_XAUUSD!$P$2:$P$1000,"",0)</f>
        <v>4663.4142599999996</v>
      </c>
      <c r="O621">
        <f>_xlfn.XLOOKUP($A621,ALGLIB_SSA_XAUUSD!$J$2:$J$1000,ALGLIB_SSA_XAUUSD!$Q$2:$Q$1000,"",0)</f>
        <v>4657.28244</v>
      </c>
      <c r="R621">
        <f t="shared" si="99"/>
        <v>1775579700</v>
      </c>
      <c r="S621" t="str">
        <f t="shared" si="100"/>
        <v>XAUUSD</v>
      </c>
      <c r="T621" t="str">
        <f t="shared" si="101"/>
        <v>M5</v>
      </c>
      <c r="U621">
        <f t="shared" si="102"/>
        <v>4657.88</v>
      </c>
      <c r="V621">
        <v>4660.9316399999998</v>
      </c>
      <c r="W621">
        <v>4653.7391600000001</v>
      </c>
      <c r="X621">
        <v>4660.1733800000002</v>
      </c>
      <c r="Y621">
        <v>4659.8811299999998</v>
      </c>
      <c r="Z621">
        <f t="shared" si="103"/>
        <v>4674.4699700000001</v>
      </c>
      <c r="AA621">
        <f t="shared" si="104"/>
        <v>4663.4142599999996</v>
      </c>
      <c r="AB621">
        <f t="shared" si="105"/>
        <v>4639.7019091666671</v>
      </c>
      <c r="AC621">
        <f t="shared" si="106"/>
        <v>4657.28244</v>
      </c>
      <c r="AF621">
        <f t="shared" si="107"/>
        <v>4660.1733800000002</v>
      </c>
      <c r="AG621">
        <f t="shared" si="108"/>
        <v>4674.4699700000001</v>
      </c>
      <c r="AH621">
        <f t="shared" si="109"/>
        <v>4639.7019091666671</v>
      </c>
    </row>
    <row r="622" spans="1:34" x14ac:dyDescent="0.55000000000000004">
      <c r="A622">
        <f>ALGLIB_SSA_XAUUSD!J622</f>
        <v>1775580000</v>
      </c>
      <c r="B622" t="str">
        <f>_xlfn.XLOOKUP($A622,ALGLIB_SSA_XAUUSD!$A$2:$A$1000,ALGLIB_SSA_XAUUSD!$B$2:$B$1000,"",0)</f>
        <v/>
      </c>
      <c r="C622" t="str">
        <f>_xlfn.XLOOKUP($A622,ALGLIB_SSA_XAUUSD!$A$2:$A$1000,ALGLIB_SSA_XAUUSD!$C$2:$C$1000,"",0)</f>
        <v/>
      </c>
      <c r="D622" s="1">
        <f>D614+(D626-D614)*8/12</f>
        <v>4669.6099999999997</v>
      </c>
      <c r="E622" s="1">
        <f>E614+(E626-E614)*8/12</f>
        <v>4662.2021133333328</v>
      </c>
      <c r="F622" s="1">
        <f>F614+(F626-F614)*8/12</f>
        <v>4654.5359099999996</v>
      </c>
      <c r="G622" s="1">
        <f>G614+(G626-G614)*8/12</f>
        <v>4675.6782700000003</v>
      </c>
      <c r="H622" s="1">
        <f>H614+(H626-H614)*8/12</f>
        <v>4640.6241333333337</v>
      </c>
      <c r="I622" t="str">
        <f>_xlfn.XLOOKUP($A622,ALGLIB_SSA_XAUUSD!$J$2:$J$1000,ALGLIB_SSA_XAUUSD!$K$2:$K$1000,"",0)</f>
        <v>XAUUSD</v>
      </c>
      <c r="J622" t="str">
        <f>_xlfn.XLOOKUP($A622,ALGLIB_SSA_XAUUSD!$J$2:$J$1000,ALGLIB_SSA_XAUUSD!$L$2:$L$1000,"",0)</f>
        <v>M5</v>
      </c>
      <c r="K622">
        <f>_xlfn.XLOOKUP($A622,ALGLIB_SSA_XAUUSD!$J$2:$J$1000,ALGLIB_SSA_XAUUSD!$M$2:$M$1000,"",0)</f>
        <v>4660.8999999999996</v>
      </c>
      <c r="L622">
        <f>_xlfn.XLOOKUP($A622,ALGLIB_SSA_XAUUSD!$J$2:$J$1000,ALGLIB_SSA_XAUUSD!$N$2:$N$1000,"",0)</f>
        <v>4660.2554399999999</v>
      </c>
      <c r="M622">
        <f>_xlfn.XLOOKUP($A622,ALGLIB_SSA_XAUUSD!$J$2:$J$1000,ALGLIB_SSA_XAUUSD!$O$2:$O$1000,"",0)</f>
        <v>4660.0682900000002</v>
      </c>
      <c r="N622">
        <f>_xlfn.XLOOKUP($A622,ALGLIB_SSA_XAUUSD!$J$2:$J$1000,ALGLIB_SSA_XAUUSD!$P$2:$P$1000,"",0)</f>
        <v>4663.1213399999997</v>
      </c>
      <c r="O622">
        <f>_xlfn.XLOOKUP($A622,ALGLIB_SSA_XAUUSD!$J$2:$J$1000,ALGLIB_SSA_XAUUSD!$Q$2:$Q$1000,"",0)</f>
        <v>4657.6870099999996</v>
      </c>
      <c r="R622">
        <f t="shared" si="99"/>
        <v>1775580000</v>
      </c>
      <c r="S622" t="str">
        <f t="shared" si="100"/>
        <v>XAUUSD</v>
      </c>
      <c r="T622" t="str">
        <f t="shared" si="101"/>
        <v>M5</v>
      </c>
      <c r="U622">
        <f t="shared" si="102"/>
        <v>4660.8999999999996</v>
      </c>
      <c r="V622">
        <v>4662.2021100000002</v>
      </c>
      <c r="W622">
        <v>4654.5359099999996</v>
      </c>
      <c r="X622">
        <v>4660.2554399999999</v>
      </c>
      <c r="Y622">
        <v>4660.0682900000002</v>
      </c>
      <c r="Z622">
        <f t="shared" si="103"/>
        <v>4675.6782700000003</v>
      </c>
      <c r="AA622">
        <f t="shared" si="104"/>
        <v>4663.1213399999997</v>
      </c>
      <c r="AB622">
        <f t="shared" si="105"/>
        <v>4640.6241333333337</v>
      </c>
      <c r="AC622">
        <f t="shared" si="106"/>
        <v>4657.6870099999996</v>
      </c>
      <c r="AF622">
        <f t="shared" si="107"/>
        <v>4660.2554399999999</v>
      </c>
      <c r="AG622">
        <f t="shared" si="108"/>
        <v>4675.6782700000003</v>
      </c>
      <c r="AH622">
        <f t="shared" si="109"/>
        <v>4640.6241333333337</v>
      </c>
    </row>
    <row r="623" spans="1:34" x14ac:dyDescent="0.55000000000000004">
      <c r="A623">
        <f>ALGLIB_SSA_XAUUSD!J623</f>
        <v>1775580300</v>
      </c>
      <c r="B623" t="str">
        <f>_xlfn.XLOOKUP($A623,ALGLIB_SSA_XAUUSD!$A$2:$A$1000,ALGLIB_SSA_XAUUSD!$B$2:$B$1000,"",0)</f>
        <v/>
      </c>
      <c r="C623" t="str">
        <f>_xlfn.XLOOKUP($A623,ALGLIB_SSA_XAUUSD!$A$2:$A$1000,ALGLIB_SSA_XAUUSD!$C$2:$C$1000,"",0)</f>
        <v/>
      </c>
      <c r="D623" s="1">
        <f>D614+(D626-D614)*9/12</f>
        <v>4671.1750000000002</v>
      </c>
      <c r="E623" s="1">
        <f>E614+(E626-E614)*9/12</f>
        <v>4663.4725824999996</v>
      </c>
      <c r="F623" s="1">
        <f>F614+(F626-F614)*9/12</f>
        <v>4655.3326649999999</v>
      </c>
      <c r="G623" s="1">
        <f>G614+(G626-G614)*9/12</f>
        <v>4676.8865700000006</v>
      </c>
      <c r="H623" s="1">
        <f>H614+(H626-H614)*9/12</f>
        <v>4641.5463575000003</v>
      </c>
      <c r="I623" t="str">
        <f>_xlfn.XLOOKUP($A623,ALGLIB_SSA_XAUUSD!$J$2:$J$1000,ALGLIB_SSA_XAUUSD!$K$2:$K$1000,"",0)</f>
        <v>XAUUSD</v>
      </c>
      <c r="J623" t="str">
        <f>_xlfn.XLOOKUP($A623,ALGLIB_SSA_XAUUSD!$J$2:$J$1000,ALGLIB_SSA_XAUUSD!$L$2:$L$1000,"",0)</f>
        <v>M5</v>
      </c>
      <c r="K623">
        <f>_xlfn.XLOOKUP($A623,ALGLIB_SSA_XAUUSD!$J$2:$J$1000,ALGLIB_SSA_XAUUSD!$M$2:$M$1000,"",0)</f>
        <v>4658.53</v>
      </c>
      <c r="L623">
        <f>_xlfn.XLOOKUP($A623,ALGLIB_SSA_XAUUSD!$J$2:$J$1000,ALGLIB_SSA_XAUUSD!$N$2:$N$1000,"",0)</f>
        <v>4660.3146999999999</v>
      </c>
      <c r="M623">
        <f>_xlfn.XLOOKUP($A623,ALGLIB_SSA_XAUUSD!$J$2:$J$1000,ALGLIB_SSA_XAUUSD!$O$2:$O$1000,"",0)</f>
        <v>4660.1914900000002</v>
      </c>
      <c r="N623">
        <f>_xlfn.XLOOKUP($A623,ALGLIB_SSA_XAUUSD!$J$2:$J$1000,ALGLIB_SSA_XAUUSD!$P$2:$P$1000,"",0)</f>
        <v>4662.9353000000001</v>
      </c>
      <c r="O623">
        <f>_xlfn.XLOOKUP($A623,ALGLIB_SSA_XAUUSD!$J$2:$J$1000,ALGLIB_SSA_XAUUSD!$Q$2:$Q$1000,"",0)</f>
        <v>4657.9676399999998</v>
      </c>
      <c r="R623">
        <f t="shared" si="99"/>
        <v>1775580300</v>
      </c>
      <c r="S623" t="str">
        <f t="shared" si="100"/>
        <v>XAUUSD</v>
      </c>
      <c r="T623" t="str">
        <f t="shared" si="101"/>
        <v>M5</v>
      </c>
      <c r="U623">
        <f t="shared" si="102"/>
        <v>4658.53</v>
      </c>
      <c r="V623">
        <v>4663.4725799999997</v>
      </c>
      <c r="W623">
        <v>4655.3326699999998</v>
      </c>
      <c r="X623">
        <v>4660.3146999999999</v>
      </c>
      <c r="Y623">
        <v>4660.1914900000002</v>
      </c>
      <c r="Z623">
        <f t="shared" si="103"/>
        <v>4676.8865700000006</v>
      </c>
      <c r="AA623">
        <f t="shared" si="104"/>
        <v>4662.9353000000001</v>
      </c>
      <c r="AB623">
        <f t="shared" si="105"/>
        <v>4641.5463575000003</v>
      </c>
      <c r="AC623">
        <f t="shared" si="106"/>
        <v>4657.9676399999998</v>
      </c>
      <c r="AF623">
        <f t="shared" si="107"/>
        <v>4660.3146999999999</v>
      </c>
      <c r="AG623">
        <f t="shared" si="108"/>
        <v>4676.8865700000006</v>
      </c>
      <c r="AH623">
        <f t="shared" si="109"/>
        <v>4641.5463575000003</v>
      </c>
    </row>
    <row r="624" spans="1:34" x14ac:dyDescent="0.55000000000000004">
      <c r="A624">
        <f>ALGLIB_SSA_XAUUSD!J624</f>
        <v>1775580600</v>
      </c>
      <c r="B624" t="str">
        <f>_xlfn.XLOOKUP($A624,ALGLIB_SSA_XAUUSD!$A$2:$A$1000,ALGLIB_SSA_XAUUSD!$B$2:$B$1000,"",0)</f>
        <v/>
      </c>
      <c r="C624" t="str">
        <f>_xlfn.XLOOKUP($A624,ALGLIB_SSA_XAUUSD!$A$2:$A$1000,ALGLIB_SSA_XAUUSD!$C$2:$C$1000,"",0)</f>
        <v/>
      </c>
      <c r="D624" s="1">
        <f>D614+(D626-D614)*10/12</f>
        <v>4672.74</v>
      </c>
      <c r="E624" s="1">
        <f>E614+(E626-E614)*10/12</f>
        <v>4664.7430516666664</v>
      </c>
      <c r="F624" s="1">
        <f>F614+(F626-F614)*10/12</f>
        <v>4656.1294200000002</v>
      </c>
      <c r="G624" s="1">
        <f>G614+(G626-G614)*10/12</f>
        <v>4678.0948700000008</v>
      </c>
      <c r="H624" s="1">
        <f>H614+(H626-H614)*10/12</f>
        <v>4642.468581666667</v>
      </c>
      <c r="I624" t="str">
        <f>_xlfn.XLOOKUP($A624,ALGLIB_SSA_XAUUSD!$J$2:$J$1000,ALGLIB_SSA_XAUUSD!$K$2:$K$1000,"",0)</f>
        <v>XAUUSD</v>
      </c>
      <c r="J624" t="str">
        <f>_xlfn.XLOOKUP($A624,ALGLIB_SSA_XAUUSD!$J$2:$J$1000,ALGLIB_SSA_XAUUSD!$L$2:$L$1000,"",0)</f>
        <v>M5</v>
      </c>
      <c r="K624">
        <f>_xlfn.XLOOKUP($A624,ALGLIB_SSA_XAUUSD!$J$2:$J$1000,ALGLIB_SSA_XAUUSD!$M$2:$M$1000,"",0)</f>
        <v>4660.3100000000004</v>
      </c>
      <c r="L624">
        <f>_xlfn.XLOOKUP($A624,ALGLIB_SSA_XAUUSD!$J$2:$J$1000,ALGLIB_SSA_XAUUSD!$N$2:$N$1000,"",0)</f>
        <v>4660.4756900000002</v>
      </c>
      <c r="M624">
        <f>_xlfn.XLOOKUP($A624,ALGLIB_SSA_XAUUSD!$J$2:$J$1000,ALGLIB_SSA_XAUUSD!$O$2:$O$1000,"",0)</f>
        <v>4660.3335900000002</v>
      </c>
      <c r="N624">
        <f>_xlfn.XLOOKUP($A624,ALGLIB_SSA_XAUUSD!$J$2:$J$1000,ALGLIB_SSA_XAUUSD!$P$2:$P$1000,"",0)</f>
        <v>4662.9192700000003</v>
      </c>
      <c r="O624">
        <f>_xlfn.XLOOKUP($A624,ALGLIB_SSA_XAUUSD!$J$2:$J$1000,ALGLIB_SSA_XAUUSD!$Q$2:$Q$1000,"",0)</f>
        <v>4658.0880500000003</v>
      </c>
      <c r="R624">
        <f t="shared" si="99"/>
        <v>1775580600</v>
      </c>
      <c r="S624" t="str">
        <f t="shared" si="100"/>
        <v>XAUUSD</v>
      </c>
      <c r="T624" t="str">
        <f t="shared" si="101"/>
        <v>M5</v>
      </c>
      <c r="U624">
        <f t="shared" si="102"/>
        <v>4660.3100000000004</v>
      </c>
      <c r="V624">
        <v>4664.74305</v>
      </c>
      <c r="W624">
        <v>4656.1294200000002</v>
      </c>
      <c r="X624">
        <v>4660.4756900000002</v>
      </c>
      <c r="Y624">
        <v>4660.3335900000002</v>
      </c>
      <c r="Z624">
        <f t="shared" si="103"/>
        <v>4678.0948700000008</v>
      </c>
      <c r="AA624">
        <f t="shared" si="104"/>
        <v>4662.9192700000003</v>
      </c>
      <c r="AB624">
        <f t="shared" si="105"/>
        <v>4642.468581666667</v>
      </c>
      <c r="AC624">
        <f t="shared" si="106"/>
        <v>4658.0880500000003</v>
      </c>
      <c r="AF624">
        <f t="shared" si="107"/>
        <v>4660.4756900000002</v>
      </c>
      <c r="AG624">
        <f t="shared" si="108"/>
        <v>4678.0948700000008</v>
      </c>
      <c r="AH624">
        <f t="shared" si="109"/>
        <v>4642.468581666667</v>
      </c>
    </row>
    <row r="625" spans="1:34" x14ac:dyDescent="0.55000000000000004">
      <c r="A625">
        <f>ALGLIB_SSA_XAUUSD!J625</f>
        <v>1775580900</v>
      </c>
      <c r="B625" t="str">
        <f>_xlfn.XLOOKUP($A625,ALGLIB_SSA_XAUUSD!$A$2:$A$1000,ALGLIB_SSA_XAUUSD!$B$2:$B$1000,"",0)</f>
        <v/>
      </c>
      <c r="C625" t="str">
        <f>_xlfn.XLOOKUP($A625,ALGLIB_SSA_XAUUSD!$A$2:$A$1000,ALGLIB_SSA_XAUUSD!$C$2:$C$1000,"",0)</f>
        <v/>
      </c>
      <c r="D625" s="1">
        <f>D614+(D626-D614)*11/12</f>
        <v>4674.3050000000003</v>
      </c>
      <c r="E625" s="1">
        <f>E614+(E626-E614)*11/12</f>
        <v>4666.0135208333331</v>
      </c>
      <c r="F625" s="1">
        <f>F614+(F626-F614)*11/12</f>
        <v>4656.9261749999996</v>
      </c>
      <c r="G625" s="1">
        <f>G614+(G626-G614)*11/12</f>
        <v>4679.3031700000001</v>
      </c>
      <c r="H625" s="1">
        <f>H614+(H626-H614)*11/12</f>
        <v>4643.3908058333336</v>
      </c>
      <c r="I625" t="str">
        <f>_xlfn.XLOOKUP($A625,ALGLIB_SSA_XAUUSD!$J$2:$J$1000,ALGLIB_SSA_XAUUSD!$K$2:$K$1000,"",0)</f>
        <v>XAUUSD</v>
      </c>
      <c r="J625" t="str">
        <f>_xlfn.XLOOKUP($A625,ALGLIB_SSA_XAUUSD!$J$2:$J$1000,ALGLIB_SSA_XAUUSD!$L$2:$L$1000,"",0)</f>
        <v>M5</v>
      </c>
      <c r="K625">
        <f>_xlfn.XLOOKUP($A625,ALGLIB_SSA_XAUUSD!$J$2:$J$1000,ALGLIB_SSA_XAUUSD!$M$2:$M$1000,"",0)</f>
        <v>4657.09</v>
      </c>
      <c r="L625">
        <f>_xlfn.XLOOKUP($A625,ALGLIB_SSA_XAUUSD!$J$2:$J$1000,ALGLIB_SSA_XAUUSD!$N$2:$N$1000,"",0)</f>
        <v>4660.7457899999999</v>
      </c>
      <c r="M625">
        <f>_xlfn.XLOOKUP($A625,ALGLIB_SSA_XAUUSD!$J$2:$J$1000,ALGLIB_SSA_XAUUSD!$O$2:$O$1000,"",0)</f>
        <v>4660.5396899999996</v>
      </c>
      <c r="N625">
        <f>_xlfn.XLOOKUP($A625,ALGLIB_SSA_XAUUSD!$J$2:$J$1000,ALGLIB_SSA_XAUUSD!$P$2:$P$1000,"",0)</f>
        <v>4663.1686399999999</v>
      </c>
      <c r="O625">
        <f>_xlfn.XLOOKUP($A625,ALGLIB_SSA_XAUUSD!$J$2:$J$1000,ALGLIB_SSA_XAUUSD!$Q$2:$Q$1000,"",0)</f>
        <v>4658.0984699999999</v>
      </c>
      <c r="R625">
        <f t="shared" si="99"/>
        <v>1775580900</v>
      </c>
      <c r="S625" t="str">
        <f t="shared" si="100"/>
        <v>XAUUSD</v>
      </c>
      <c r="T625" t="str">
        <f t="shared" si="101"/>
        <v>M5</v>
      </c>
      <c r="U625">
        <f t="shared" si="102"/>
        <v>4657.09</v>
      </c>
      <c r="V625">
        <v>4666.0135200000004</v>
      </c>
      <c r="W625">
        <v>4656.9261699999997</v>
      </c>
      <c r="X625">
        <v>4660.7457899999999</v>
      </c>
      <c r="Y625">
        <v>4660.5396899999996</v>
      </c>
      <c r="Z625">
        <f t="shared" si="103"/>
        <v>4679.3031700000001</v>
      </c>
      <c r="AA625">
        <f t="shared" si="104"/>
        <v>4663.1686399999999</v>
      </c>
      <c r="AB625">
        <f t="shared" si="105"/>
        <v>4643.3908058333336</v>
      </c>
      <c r="AC625">
        <f t="shared" si="106"/>
        <v>4658.0984699999999</v>
      </c>
      <c r="AF625">
        <f t="shared" si="107"/>
        <v>4660.7457899999999</v>
      </c>
      <c r="AG625">
        <f t="shared" si="108"/>
        <v>4679.3031700000001</v>
      </c>
      <c r="AH625">
        <f t="shared" si="109"/>
        <v>4643.3908058333336</v>
      </c>
    </row>
    <row r="626" spans="1:34" x14ac:dyDescent="0.55000000000000004">
      <c r="A626">
        <f>ALGLIB_SSA_XAUUSD!J626</f>
        <v>1775581200</v>
      </c>
      <c r="B626" t="str">
        <f>_xlfn.XLOOKUP($A626,ALGLIB_SSA_XAUUSD!$A$2:$A$1000,ALGLIB_SSA_XAUUSD!$B$2:$B$1000,"",0)</f>
        <v>XAUUSD</v>
      </c>
      <c r="C626" t="str">
        <f>_xlfn.XLOOKUP($A626,ALGLIB_SSA_XAUUSD!$A$2:$A$1000,ALGLIB_SSA_XAUUSD!$C$2:$C$1000,"",0)</f>
        <v>H1</v>
      </c>
      <c r="D626" s="2">
        <f>_xlfn.XLOOKUP($A626,ALGLIB_SSA_XAUUSD!$A$2:$A$1000,ALGLIB_SSA_XAUUSD!$D$2:$D$1000,"",0)</f>
        <v>4675.87</v>
      </c>
      <c r="E626" s="2">
        <f>_xlfn.XLOOKUP($A626,ALGLIB_SSA_XAUUSD!$A$2:$A$1000,ALGLIB_SSA_XAUUSD!$E$2:$E$1000,"",0)</f>
        <v>4667.2839899999999</v>
      </c>
      <c r="F626" s="2">
        <f>_xlfn.XLOOKUP($A626,ALGLIB_SSA_XAUUSD!$A$2:$A$1000,ALGLIB_SSA_XAUUSD!$F$2:$F$1000,"",0)</f>
        <v>4657.7229299999999</v>
      </c>
      <c r="G626" s="2">
        <f>_xlfn.XLOOKUP($A626,ALGLIB_SSA_XAUUSD!$A$2:$A$1000,ALGLIB_SSA_XAUUSD!$G$2:$G$1000,"",0)</f>
        <v>4680.5114700000004</v>
      </c>
      <c r="H626" s="2">
        <f>_xlfn.XLOOKUP($A626,ALGLIB_SSA_XAUUSD!$A$2:$A$1000,ALGLIB_SSA_XAUUSD!$H$2:$H$1000,"",0)</f>
        <v>4644.3130300000003</v>
      </c>
      <c r="I626" t="str">
        <f>_xlfn.XLOOKUP($A626,ALGLIB_SSA_XAUUSD!$J$2:$J$1000,ALGLIB_SSA_XAUUSD!$K$2:$K$1000,"",0)</f>
        <v>XAUUSD</v>
      </c>
      <c r="J626" t="str">
        <f>_xlfn.XLOOKUP($A626,ALGLIB_SSA_XAUUSD!$J$2:$J$1000,ALGLIB_SSA_XAUUSD!$L$2:$L$1000,"",0)</f>
        <v>M5</v>
      </c>
      <c r="K626">
        <f>_xlfn.XLOOKUP($A626,ALGLIB_SSA_XAUUSD!$J$2:$J$1000,ALGLIB_SSA_XAUUSD!$M$2:$M$1000,"",0)</f>
        <v>4665.68</v>
      </c>
      <c r="L626">
        <f>_xlfn.XLOOKUP($A626,ALGLIB_SSA_XAUUSD!$J$2:$J$1000,ALGLIB_SSA_XAUUSD!$N$2:$N$1000,"",0)</f>
        <v>4661.2761200000004</v>
      </c>
      <c r="M626">
        <f>_xlfn.XLOOKUP($A626,ALGLIB_SSA_XAUUSD!$J$2:$J$1000,ALGLIB_SSA_XAUUSD!$O$2:$O$1000,"",0)</f>
        <v>4660.9079000000002</v>
      </c>
      <c r="N626">
        <f>_xlfn.XLOOKUP($A626,ALGLIB_SSA_XAUUSD!$J$2:$J$1000,ALGLIB_SSA_XAUUSD!$P$2:$P$1000,"",0)</f>
        <v>4663.8444</v>
      </c>
      <c r="O626">
        <f>_xlfn.XLOOKUP($A626,ALGLIB_SSA_XAUUSD!$J$2:$J$1000,ALGLIB_SSA_XAUUSD!$Q$2:$Q$1000,"",0)</f>
        <v>4658.0829899999999</v>
      </c>
      <c r="R626">
        <f t="shared" si="99"/>
        <v>1775581200</v>
      </c>
      <c r="S626" t="str">
        <f t="shared" si="100"/>
        <v>XAUUSD</v>
      </c>
      <c r="T626" t="str">
        <f t="shared" si="101"/>
        <v>M5</v>
      </c>
      <c r="U626">
        <f t="shared" si="102"/>
        <v>4665.68</v>
      </c>
      <c r="V626">
        <v>4667.2839899999999</v>
      </c>
      <c r="W626">
        <v>4657.7229299999999</v>
      </c>
      <c r="X626">
        <v>4661.2761200000004</v>
      </c>
      <c r="Y626">
        <v>4660.9079000000002</v>
      </c>
      <c r="Z626">
        <f t="shared" si="103"/>
        <v>4680.5114700000004</v>
      </c>
      <c r="AA626">
        <f t="shared" si="104"/>
        <v>4663.8444</v>
      </c>
      <c r="AB626">
        <f t="shared" si="105"/>
        <v>4644.3130300000003</v>
      </c>
      <c r="AC626">
        <f t="shared" si="106"/>
        <v>4658.0829899999999</v>
      </c>
      <c r="AF626">
        <f t="shared" si="107"/>
        <v>4661.2761200000004</v>
      </c>
      <c r="AG626">
        <f t="shared" si="108"/>
        <v>4680.5114700000004</v>
      </c>
      <c r="AH626">
        <f t="shared" si="109"/>
        <v>4644.3130300000003</v>
      </c>
    </row>
    <row r="627" spans="1:34" x14ac:dyDescent="0.55000000000000004">
      <c r="A627">
        <f>ALGLIB_SSA_XAUUSD!J627</f>
        <v>1775581500</v>
      </c>
      <c r="B627" t="str">
        <f>_xlfn.XLOOKUP($A627,ALGLIB_SSA_XAUUSD!$A$2:$A$1000,ALGLIB_SSA_XAUUSD!$B$2:$B$1000,"",0)</f>
        <v/>
      </c>
      <c r="C627" t="str">
        <f>_xlfn.XLOOKUP($A627,ALGLIB_SSA_XAUUSD!$A$2:$A$1000,ALGLIB_SSA_XAUUSD!$C$2:$C$1000,"",0)</f>
        <v/>
      </c>
      <c r="D627" s="1">
        <f>D626+(D638-D626)*1/12</f>
        <v>4674.7191666666668</v>
      </c>
      <c r="E627" s="1">
        <f>E626+(E638-E626)*1/12</f>
        <v>4669.0548141666668</v>
      </c>
      <c r="F627" s="1">
        <f>F626+(F638-F626)*1/12</f>
        <v>4659.0067191666667</v>
      </c>
      <c r="G627" s="1">
        <f>G626+(G638-G626)*1/12</f>
        <v>4682.2726208333333</v>
      </c>
      <c r="H627" s="1">
        <f>H626+(H638-H626)*1/12</f>
        <v>4645.7045475000004</v>
      </c>
      <c r="I627" t="str">
        <f>_xlfn.XLOOKUP($A627,ALGLIB_SSA_XAUUSD!$J$2:$J$1000,ALGLIB_SSA_XAUUSD!$K$2:$K$1000,"",0)</f>
        <v>XAUUSD</v>
      </c>
      <c r="J627" t="str">
        <f>_xlfn.XLOOKUP($A627,ALGLIB_SSA_XAUUSD!$J$2:$J$1000,ALGLIB_SSA_XAUUSD!$L$2:$L$1000,"",0)</f>
        <v>M5</v>
      </c>
      <c r="K627">
        <f>_xlfn.XLOOKUP($A627,ALGLIB_SSA_XAUUSD!$J$2:$J$1000,ALGLIB_SSA_XAUUSD!$M$2:$M$1000,"",0)</f>
        <v>4667.6000000000004</v>
      </c>
      <c r="L627">
        <f>_xlfn.XLOOKUP($A627,ALGLIB_SSA_XAUUSD!$J$2:$J$1000,ALGLIB_SSA_XAUUSD!$N$2:$N$1000,"",0)</f>
        <v>4661.8976400000001</v>
      </c>
      <c r="M627">
        <f>_xlfn.XLOOKUP($A627,ALGLIB_SSA_XAUUSD!$J$2:$J$1000,ALGLIB_SSA_XAUUSD!$O$2:$O$1000,"",0)</f>
        <v>4661.4027699999997</v>
      </c>
      <c r="N627">
        <f>_xlfn.XLOOKUP($A627,ALGLIB_SSA_XAUUSD!$J$2:$J$1000,ALGLIB_SSA_XAUUSD!$P$2:$P$1000,"",0)</f>
        <v>4664.8403900000003</v>
      </c>
      <c r="O627">
        <f>_xlfn.XLOOKUP($A627,ALGLIB_SSA_XAUUSD!$J$2:$J$1000,ALGLIB_SSA_XAUUSD!$Q$2:$Q$1000,"",0)</f>
        <v>4658.1516700000002</v>
      </c>
      <c r="R627">
        <f t="shared" si="99"/>
        <v>1775581500</v>
      </c>
      <c r="S627" t="str">
        <f t="shared" si="100"/>
        <v>XAUUSD</v>
      </c>
      <c r="T627" t="str">
        <f t="shared" si="101"/>
        <v>M5</v>
      </c>
      <c r="U627">
        <f t="shared" si="102"/>
        <v>4667.6000000000004</v>
      </c>
      <c r="V627">
        <v>4669.0548099999996</v>
      </c>
      <c r="W627">
        <v>4659.0067200000003</v>
      </c>
      <c r="X627">
        <v>4661.8976400000001</v>
      </c>
      <c r="Y627">
        <v>4661.4027699999997</v>
      </c>
      <c r="Z627">
        <f t="shared" si="103"/>
        <v>4682.2726208333333</v>
      </c>
      <c r="AA627">
        <f t="shared" si="104"/>
        <v>4664.8403900000003</v>
      </c>
      <c r="AB627">
        <f t="shared" si="105"/>
        <v>4645.7045475000004</v>
      </c>
      <c r="AC627">
        <f t="shared" si="106"/>
        <v>4658.1516700000002</v>
      </c>
      <c r="AF627">
        <f t="shared" si="107"/>
        <v>4661.8976400000001</v>
      </c>
      <c r="AG627">
        <f t="shared" si="108"/>
        <v>4682.2726208333333</v>
      </c>
      <c r="AH627">
        <f t="shared" si="109"/>
        <v>4645.7045475000004</v>
      </c>
    </row>
    <row r="628" spans="1:34" x14ac:dyDescent="0.55000000000000004">
      <c r="A628">
        <f>ALGLIB_SSA_XAUUSD!J628</f>
        <v>1775581800</v>
      </c>
      <c r="B628" t="str">
        <f>_xlfn.XLOOKUP($A628,ALGLIB_SSA_XAUUSD!$A$2:$A$1000,ALGLIB_SSA_XAUUSD!$B$2:$B$1000,"",0)</f>
        <v/>
      </c>
      <c r="C628" t="str">
        <f>_xlfn.XLOOKUP($A628,ALGLIB_SSA_XAUUSD!$A$2:$A$1000,ALGLIB_SSA_XAUUSD!$C$2:$C$1000,"",0)</f>
        <v/>
      </c>
      <c r="D628" s="1">
        <f>D626+(D638-D626)*2/12</f>
        <v>4673.5683333333336</v>
      </c>
      <c r="E628" s="1">
        <f>E626+(E638-E626)*2/12</f>
        <v>4670.8256383333337</v>
      </c>
      <c r="F628" s="1">
        <f>F626+(F638-F626)*2/12</f>
        <v>4660.2905083333335</v>
      </c>
      <c r="G628" s="1">
        <f>G626+(G638-G626)*2/12</f>
        <v>4684.0337716666672</v>
      </c>
      <c r="H628" s="1">
        <f>H626+(H638-H626)*2/12</f>
        <v>4647.0960649999997</v>
      </c>
      <c r="I628" t="str">
        <f>_xlfn.XLOOKUP($A628,ALGLIB_SSA_XAUUSD!$J$2:$J$1000,ALGLIB_SSA_XAUUSD!$K$2:$K$1000,"",0)</f>
        <v>XAUUSD</v>
      </c>
      <c r="J628" t="str">
        <f>_xlfn.XLOOKUP($A628,ALGLIB_SSA_XAUUSD!$J$2:$J$1000,ALGLIB_SSA_XAUUSD!$L$2:$L$1000,"",0)</f>
        <v>M5</v>
      </c>
      <c r="K628">
        <f>_xlfn.XLOOKUP($A628,ALGLIB_SSA_XAUUSD!$J$2:$J$1000,ALGLIB_SSA_XAUUSD!$M$2:$M$1000,"",0)</f>
        <v>4668.1400000000003</v>
      </c>
      <c r="L628">
        <f>_xlfn.XLOOKUP($A628,ALGLIB_SSA_XAUUSD!$J$2:$J$1000,ALGLIB_SSA_XAUUSD!$N$2:$N$1000,"",0)</f>
        <v>4662.6219099999998</v>
      </c>
      <c r="M628">
        <f>_xlfn.XLOOKUP($A628,ALGLIB_SSA_XAUUSD!$J$2:$J$1000,ALGLIB_SSA_XAUUSD!$O$2:$O$1000,"",0)</f>
        <v>4662.0123400000002</v>
      </c>
      <c r="N628">
        <f>_xlfn.XLOOKUP($A628,ALGLIB_SSA_XAUUSD!$J$2:$J$1000,ALGLIB_SSA_XAUUSD!$P$2:$P$1000,"",0)</f>
        <v>4665.9693699999998</v>
      </c>
      <c r="O628">
        <f>_xlfn.XLOOKUP($A628,ALGLIB_SSA_XAUUSD!$J$2:$J$1000,ALGLIB_SSA_XAUUSD!$Q$2:$Q$1000,"",0)</f>
        <v>4658.2617300000002</v>
      </c>
      <c r="R628">
        <f t="shared" si="99"/>
        <v>1775581800</v>
      </c>
      <c r="S628" t="str">
        <f t="shared" si="100"/>
        <v>XAUUSD</v>
      </c>
      <c r="T628" t="str">
        <f t="shared" si="101"/>
        <v>M5</v>
      </c>
      <c r="U628">
        <f t="shared" si="102"/>
        <v>4668.1400000000003</v>
      </c>
      <c r="V628">
        <v>4670.82564</v>
      </c>
      <c r="W628">
        <v>4660.2905099999998</v>
      </c>
      <c r="X628">
        <v>4662.6219099999998</v>
      </c>
      <c r="Y628">
        <v>4662.0123400000002</v>
      </c>
      <c r="Z628">
        <f t="shared" si="103"/>
        <v>4684.0337716666672</v>
      </c>
      <c r="AA628">
        <f t="shared" si="104"/>
        <v>4665.9693699999998</v>
      </c>
      <c r="AB628">
        <f t="shared" si="105"/>
        <v>4647.0960649999997</v>
      </c>
      <c r="AC628">
        <f t="shared" si="106"/>
        <v>4658.2617300000002</v>
      </c>
      <c r="AF628">
        <f t="shared" si="107"/>
        <v>4662.6219099999998</v>
      </c>
      <c r="AG628">
        <f t="shared" si="108"/>
        <v>4684.0337716666672</v>
      </c>
      <c r="AH628">
        <f t="shared" si="109"/>
        <v>4647.0960649999997</v>
      </c>
    </row>
    <row r="629" spans="1:34" x14ac:dyDescent="0.55000000000000004">
      <c r="A629">
        <f>ALGLIB_SSA_XAUUSD!J629</f>
        <v>1775582100</v>
      </c>
      <c r="B629" t="str">
        <f>_xlfn.XLOOKUP($A629,ALGLIB_SSA_XAUUSD!$A$2:$A$1000,ALGLIB_SSA_XAUUSD!$B$2:$B$1000,"",0)</f>
        <v/>
      </c>
      <c r="C629" t="str">
        <f>_xlfn.XLOOKUP($A629,ALGLIB_SSA_XAUUSD!$A$2:$A$1000,ALGLIB_SSA_XAUUSD!$C$2:$C$1000,"",0)</f>
        <v/>
      </c>
      <c r="D629" s="1">
        <f>D626+(D638-D626)*3/12</f>
        <v>4672.4174999999996</v>
      </c>
      <c r="E629" s="1">
        <f>E626+(E638-E626)*3/12</f>
        <v>4672.5964624999997</v>
      </c>
      <c r="F629" s="1">
        <f>F626+(F638-F626)*3/12</f>
        <v>4661.5742974999994</v>
      </c>
      <c r="G629" s="1">
        <f>G626+(G638-G626)*3/12</f>
        <v>4685.7949225000002</v>
      </c>
      <c r="H629" s="1">
        <f>H626+(H638-H626)*3/12</f>
        <v>4648.4875824999999</v>
      </c>
      <c r="I629" t="str">
        <f>_xlfn.XLOOKUP($A629,ALGLIB_SSA_XAUUSD!$J$2:$J$1000,ALGLIB_SSA_XAUUSD!$K$2:$K$1000,"",0)</f>
        <v>XAUUSD</v>
      </c>
      <c r="J629" t="str">
        <f>_xlfn.XLOOKUP($A629,ALGLIB_SSA_XAUUSD!$J$2:$J$1000,ALGLIB_SSA_XAUUSD!$L$2:$L$1000,"",0)</f>
        <v>M5</v>
      </c>
      <c r="K629">
        <f>_xlfn.XLOOKUP($A629,ALGLIB_SSA_XAUUSD!$J$2:$J$1000,ALGLIB_SSA_XAUUSD!$M$2:$M$1000,"",0)</f>
        <v>4656.47</v>
      </c>
      <c r="L629">
        <f>_xlfn.XLOOKUP($A629,ALGLIB_SSA_XAUUSD!$J$2:$J$1000,ALGLIB_SSA_XAUUSD!$N$2:$N$1000,"",0)</f>
        <v>4663.5224099999996</v>
      </c>
      <c r="M629">
        <f>_xlfn.XLOOKUP($A629,ALGLIB_SSA_XAUUSD!$J$2:$J$1000,ALGLIB_SSA_XAUUSD!$O$2:$O$1000,"",0)</f>
        <v>4662.7673699999996</v>
      </c>
      <c r="N629">
        <f>_xlfn.XLOOKUP($A629,ALGLIB_SSA_XAUUSD!$J$2:$J$1000,ALGLIB_SSA_XAUUSD!$P$2:$P$1000,"",0)</f>
        <v>4667.3498</v>
      </c>
      <c r="O629">
        <f>_xlfn.XLOOKUP($A629,ALGLIB_SSA_XAUUSD!$J$2:$J$1000,ALGLIB_SSA_XAUUSD!$Q$2:$Q$1000,"",0)</f>
        <v>4658.5713900000001</v>
      </c>
      <c r="R629">
        <f t="shared" si="99"/>
        <v>1775582100</v>
      </c>
      <c r="S629" t="str">
        <f t="shared" si="100"/>
        <v>XAUUSD</v>
      </c>
      <c r="T629" t="str">
        <f t="shared" si="101"/>
        <v>M5</v>
      </c>
      <c r="U629">
        <f t="shared" si="102"/>
        <v>4656.47</v>
      </c>
      <c r="V629">
        <v>4672.5964599999998</v>
      </c>
      <c r="W629">
        <v>4661.5743000000002</v>
      </c>
      <c r="X629">
        <v>4663.5224099999996</v>
      </c>
      <c r="Y629">
        <v>4662.7673699999996</v>
      </c>
      <c r="Z629">
        <f t="shared" si="103"/>
        <v>4685.7949225000002</v>
      </c>
      <c r="AA629">
        <f t="shared" si="104"/>
        <v>4667.3498</v>
      </c>
      <c r="AB629">
        <f t="shared" si="105"/>
        <v>4648.4875824999999</v>
      </c>
      <c r="AC629">
        <f t="shared" si="106"/>
        <v>4658.5713900000001</v>
      </c>
      <c r="AF629">
        <f t="shared" si="107"/>
        <v>4663.5224099999996</v>
      </c>
      <c r="AG629">
        <f t="shared" si="108"/>
        <v>4685.7949225000002</v>
      </c>
      <c r="AH629">
        <f t="shared" si="109"/>
        <v>4648.4875824999999</v>
      </c>
    </row>
    <row r="630" spans="1:34" x14ac:dyDescent="0.55000000000000004">
      <c r="A630">
        <f>ALGLIB_SSA_XAUUSD!J630</f>
        <v>1775582400</v>
      </c>
      <c r="B630" t="str">
        <f>_xlfn.XLOOKUP($A630,ALGLIB_SSA_XAUUSD!$A$2:$A$1000,ALGLIB_SSA_XAUUSD!$B$2:$B$1000,"",0)</f>
        <v/>
      </c>
      <c r="C630" t="str">
        <f>_xlfn.XLOOKUP($A630,ALGLIB_SSA_XAUUSD!$A$2:$A$1000,ALGLIB_SSA_XAUUSD!$C$2:$C$1000,"",0)</f>
        <v/>
      </c>
      <c r="D630" s="1">
        <f>D626+(D638-D626)*4/12</f>
        <v>4671.2666666666664</v>
      </c>
      <c r="E630" s="1">
        <f>E626+(E638-E626)*4/12</f>
        <v>4674.3672866666666</v>
      </c>
      <c r="F630" s="1">
        <f>F626+(F638-F626)*4/12</f>
        <v>4662.8580866666662</v>
      </c>
      <c r="G630" s="1">
        <f>G626+(G638-G626)*4/12</f>
        <v>4687.5560733333332</v>
      </c>
      <c r="H630" s="1">
        <f>H626+(H638-H626)*4/12</f>
        <v>4649.8791000000001</v>
      </c>
      <c r="I630" t="str">
        <f>_xlfn.XLOOKUP($A630,ALGLIB_SSA_XAUUSD!$J$2:$J$1000,ALGLIB_SSA_XAUUSD!$K$2:$K$1000,"",0)</f>
        <v>XAUUSD</v>
      </c>
      <c r="J630" t="str">
        <f>_xlfn.XLOOKUP($A630,ALGLIB_SSA_XAUUSD!$J$2:$J$1000,ALGLIB_SSA_XAUUSD!$L$2:$L$1000,"",0)</f>
        <v>M5</v>
      </c>
      <c r="K630">
        <f>_xlfn.XLOOKUP($A630,ALGLIB_SSA_XAUUSD!$J$2:$J$1000,ALGLIB_SSA_XAUUSD!$M$2:$M$1000,"",0)</f>
        <v>4658.55</v>
      </c>
      <c r="L630">
        <f>_xlfn.XLOOKUP($A630,ALGLIB_SSA_XAUUSD!$J$2:$J$1000,ALGLIB_SSA_XAUUSD!$N$2:$N$1000,"",0)</f>
        <v>4664.9327000000003</v>
      </c>
      <c r="M630">
        <f>_xlfn.XLOOKUP($A630,ALGLIB_SSA_XAUUSD!$J$2:$J$1000,ALGLIB_SSA_XAUUSD!$O$2:$O$1000,"",0)</f>
        <v>4663.8500400000003</v>
      </c>
      <c r="N630">
        <f>_xlfn.XLOOKUP($A630,ALGLIB_SSA_XAUUSD!$J$2:$J$1000,ALGLIB_SSA_XAUUSD!$P$2:$P$1000,"",0)</f>
        <v>4668.9259400000001</v>
      </c>
      <c r="O630">
        <f>_xlfn.XLOOKUP($A630,ALGLIB_SSA_XAUUSD!$J$2:$J$1000,ALGLIB_SSA_XAUUSD!$Q$2:$Q$1000,"",0)</f>
        <v>4659.4919499999996</v>
      </c>
      <c r="R630">
        <f t="shared" si="99"/>
        <v>1775582400</v>
      </c>
      <c r="S630" t="str">
        <f t="shared" si="100"/>
        <v>XAUUSD</v>
      </c>
      <c r="T630" t="str">
        <f t="shared" si="101"/>
        <v>M5</v>
      </c>
      <c r="U630">
        <f t="shared" si="102"/>
        <v>4658.55</v>
      </c>
      <c r="V630">
        <v>4674.3672900000001</v>
      </c>
      <c r="W630">
        <v>4662.8580899999997</v>
      </c>
      <c r="X630">
        <v>4664.9327000000003</v>
      </c>
      <c r="Y630">
        <v>4663.8500400000003</v>
      </c>
      <c r="Z630">
        <f t="shared" si="103"/>
        <v>4687.5560733333332</v>
      </c>
      <c r="AA630">
        <f t="shared" si="104"/>
        <v>4668.9259400000001</v>
      </c>
      <c r="AB630">
        <f t="shared" si="105"/>
        <v>4649.8791000000001</v>
      </c>
      <c r="AC630">
        <f t="shared" si="106"/>
        <v>4659.4919499999996</v>
      </c>
      <c r="AF630">
        <f t="shared" si="107"/>
        <v>4664.9327000000003</v>
      </c>
      <c r="AG630">
        <f t="shared" si="108"/>
        <v>4687.5560733333332</v>
      </c>
      <c r="AH630">
        <f t="shared" si="109"/>
        <v>4649.8791000000001</v>
      </c>
    </row>
    <row r="631" spans="1:34" x14ac:dyDescent="0.55000000000000004">
      <c r="A631">
        <f>ALGLIB_SSA_XAUUSD!J631</f>
        <v>1775582700</v>
      </c>
      <c r="B631" t="str">
        <f>_xlfn.XLOOKUP($A631,ALGLIB_SSA_XAUUSD!$A$2:$A$1000,ALGLIB_SSA_XAUUSD!$B$2:$B$1000,"",0)</f>
        <v/>
      </c>
      <c r="C631" t="str">
        <f>_xlfn.XLOOKUP($A631,ALGLIB_SSA_XAUUSD!$A$2:$A$1000,ALGLIB_SSA_XAUUSD!$C$2:$C$1000,"",0)</f>
        <v/>
      </c>
      <c r="D631" s="1">
        <f>D626+(D638-D626)*5/12</f>
        <v>4670.1158333333333</v>
      </c>
      <c r="E631" s="1">
        <f>E626+(E638-E626)*5/12</f>
        <v>4676.1381108333335</v>
      </c>
      <c r="F631" s="1">
        <f>F626+(F638-F626)*5/12</f>
        <v>4664.141875833333</v>
      </c>
      <c r="G631" s="1">
        <f>G626+(G638-G626)*5/12</f>
        <v>4689.3172241666671</v>
      </c>
      <c r="H631" s="1">
        <f>H626+(H638-H626)*5/12</f>
        <v>4651.2706175000003</v>
      </c>
      <c r="I631" t="str">
        <f>_xlfn.XLOOKUP($A631,ALGLIB_SSA_XAUUSD!$J$2:$J$1000,ALGLIB_SSA_XAUUSD!$K$2:$K$1000,"",0)</f>
        <v>XAUUSD</v>
      </c>
      <c r="J631" t="str">
        <f>_xlfn.XLOOKUP($A631,ALGLIB_SSA_XAUUSD!$J$2:$J$1000,ALGLIB_SSA_XAUUSD!$L$2:$L$1000,"",0)</f>
        <v>M5</v>
      </c>
      <c r="K631">
        <f>_xlfn.XLOOKUP($A631,ALGLIB_SSA_XAUUSD!$J$2:$J$1000,ALGLIB_SSA_XAUUSD!$M$2:$M$1000,"",0)</f>
        <v>4660.5</v>
      </c>
      <c r="L631">
        <f>_xlfn.XLOOKUP($A631,ALGLIB_SSA_XAUUSD!$J$2:$J$1000,ALGLIB_SSA_XAUUSD!$N$2:$N$1000,"",0)</f>
        <v>4666.8221100000001</v>
      </c>
      <c r="M631">
        <f>_xlfn.XLOOKUP($A631,ALGLIB_SSA_XAUUSD!$J$2:$J$1000,ALGLIB_SSA_XAUUSD!$O$2:$O$1000,"",0)</f>
        <v>4665.3360700000003</v>
      </c>
      <c r="N631">
        <f>_xlfn.XLOOKUP($A631,ALGLIB_SSA_XAUUSD!$J$2:$J$1000,ALGLIB_SSA_XAUUSD!$P$2:$P$1000,"",0)</f>
        <v>4670.9160199999997</v>
      </c>
      <c r="O631">
        <f>_xlfn.XLOOKUP($A631,ALGLIB_SSA_XAUUSD!$J$2:$J$1000,ALGLIB_SSA_XAUUSD!$Q$2:$Q$1000,"",0)</f>
        <v>4661.1398200000003</v>
      </c>
      <c r="R631">
        <f t="shared" si="99"/>
        <v>1775582700</v>
      </c>
      <c r="S631" t="str">
        <f t="shared" si="100"/>
        <v>XAUUSD</v>
      </c>
      <c r="T631" t="str">
        <f t="shared" si="101"/>
        <v>M5</v>
      </c>
      <c r="U631">
        <f t="shared" si="102"/>
        <v>4660.5</v>
      </c>
      <c r="V631">
        <v>4676.1381099999999</v>
      </c>
      <c r="W631">
        <v>4664.1418800000001</v>
      </c>
      <c r="X631">
        <v>4666.8221100000001</v>
      </c>
      <c r="Y631">
        <v>4665.3360700000003</v>
      </c>
      <c r="Z631">
        <f t="shared" si="103"/>
        <v>4689.3172241666671</v>
      </c>
      <c r="AA631">
        <f t="shared" si="104"/>
        <v>4670.9160199999997</v>
      </c>
      <c r="AB631">
        <f t="shared" si="105"/>
        <v>4651.2706175000003</v>
      </c>
      <c r="AC631">
        <f t="shared" si="106"/>
        <v>4661.1398200000003</v>
      </c>
      <c r="AF631">
        <f t="shared" si="107"/>
        <v>4666.8221100000001</v>
      </c>
      <c r="AG631">
        <f t="shared" si="108"/>
        <v>4689.3172241666671</v>
      </c>
      <c r="AH631">
        <f t="shared" si="109"/>
        <v>4651.2706175000003</v>
      </c>
    </row>
    <row r="632" spans="1:34" x14ac:dyDescent="0.55000000000000004">
      <c r="A632">
        <f>ALGLIB_SSA_XAUUSD!J632</f>
        <v>1775583000</v>
      </c>
      <c r="B632" t="str">
        <f>_xlfn.XLOOKUP($A632,ALGLIB_SSA_XAUUSD!$A$2:$A$1000,ALGLIB_SSA_XAUUSD!$B$2:$B$1000,"",0)</f>
        <v/>
      </c>
      <c r="C632" t="str">
        <f>_xlfn.XLOOKUP($A632,ALGLIB_SSA_XAUUSD!$A$2:$A$1000,ALGLIB_SSA_XAUUSD!$C$2:$C$1000,"",0)</f>
        <v/>
      </c>
      <c r="D632" s="1">
        <f>D626+(D638-D626)*6/12</f>
        <v>4668.9650000000001</v>
      </c>
      <c r="E632" s="1">
        <f>E626+(E638-E626)*6/12</f>
        <v>4677.9089349999995</v>
      </c>
      <c r="F632" s="1">
        <f>F626+(F638-F626)*6/12</f>
        <v>4665.4256649999998</v>
      </c>
      <c r="G632" s="1">
        <f>G626+(G638-G626)*6/12</f>
        <v>4691.0783750000001</v>
      </c>
      <c r="H632" s="1">
        <f>H626+(H638-H626)*6/12</f>
        <v>4652.6621350000005</v>
      </c>
      <c r="I632" t="str">
        <f>_xlfn.XLOOKUP($A632,ALGLIB_SSA_XAUUSD!$J$2:$J$1000,ALGLIB_SSA_XAUUSD!$K$2:$K$1000,"",0)</f>
        <v>XAUUSD</v>
      </c>
      <c r="J632" t="str">
        <f>_xlfn.XLOOKUP($A632,ALGLIB_SSA_XAUUSD!$J$2:$J$1000,ALGLIB_SSA_XAUUSD!$L$2:$L$1000,"",0)</f>
        <v>M5</v>
      </c>
      <c r="K632">
        <f>_xlfn.XLOOKUP($A632,ALGLIB_SSA_XAUUSD!$J$2:$J$1000,ALGLIB_SSA_XAUUSD!$M$2:$M$1000,"",0)</f>
        <v>4672.03</v>
      </c>
      <c r="L632">
        <f>_xlfn.XLOOKUP($A632,ALGLIB_SSA_XAUUSD!$J$2:$J$1000,ALGLIB_SSA_XAUUSD!$N$2:$N$1000,"",0)</f>
        <v>4669.0796099999998</v>
      </c>
      <c r="M632">
        <f>_xlfn.XLOOKUP($A632,ALGLIB_SSA_XAUUSD!$J$2:$J$1000,ALGLIB_SSA_XAUUSD!$O$2:$O$1000,"",0)</f>
        <v>4667.20784</v>
      </c>
      <c r="N632">
        <f>_xlfn.XLOOKUP($A632,ALGLIB_SSA_XAUUSD!$J$2:$J$1000,ALGLIB_SSA_XAUUSD!$P$2:$P$1000,"",0)</f>
        <v>4673.2306200000003</v>
      </c>
      <c r="O632">
        <f>_xlfn.XLOOKUP($A632,ALGLIB_SSA_XAUUSD!$J$2:$J$1000,ALGLIB_SSA_XAUUSD!$Q$2:$Q$1000,"",0)</f>
        <v>4663.4277899999997</v>
      </c>
      <c r="R632">
        <f t="shared" si="99"/>
        <v>1775583000</v>
      </c>
      <c r="S632" t="str">
        <f t="shared" si="100"/>
        <v>XAUUSD</v>
      </c>
      <c r="T632" t="str">
        <f t="shared" si="101"/>
        <v>M5</v>
      </c>
      <c r="U632">
        <f t="shared" si="102"/>
        <v>4672.03</v>
      </c>
      <c r="V632">
        <v>4677.9089299999996</v>
      </c>
      <c r="W632">
        <v>4665.4256699999996</v>
      </c>
      <c r="X632">
        <v>4669.0796099999998</v>
      </c>
      <c r="Y632">
        <v>4667.20784</v>
      </c>
      <c r="Z632">
        <f t="shared" si="103"/>
        <v>4691.0783750000001</v>
      </c>
      <c r="AA632">
        <f t="shared" si="104"/>
        <v>4673.2306200000003</v>
      </c>
      <c r="AB632">
        <f t="shared" si="105"/>
        <v>4652.6621350000005</v>
      </c>
      <c r="AC632">
        <f t="shared" si="106"/>
        <v>4663.4277899999997</v>
      </c>
      <c r="AF632">
        <f t="shared" si="107"/>
        <v>4669.0796099999998</v>
      </c>
      <c r="AG632">
        <f t="shared" si="108"/>
        <v>4691.0783750000001</v>
      </c>
      <c r="AH632">
        <f t="shared" si="109"/>
        <v>4652.6621350000005</v>
      </c>
    </row>
    <row r="633" spans="1:34" x14ac:dyDescent="0.55000000000000004">
      <c r="A633">
        <f>ALGLIB_SSA_XAUUSD!J633</f>
        <v>1775583300</v>
      </c>
      <c r="B633" t="str">
        <f>_xlfn.XLOOKUP($A633,ALGLIB_SSA_XAUUSD!$A$2:$A$1000,ALGLIB_SSA_XAUUSD!$B$2:$B$1000,"",0)</f>
        <v/>
      </c>
      <c r="C633" t="str">
        <f>_xlfn.XLOOKUP($A633,ALGLIB_SSA_XAUUSD!$A$2:$A$1000,ALGLIB_SSA_XAUUSD!$C$2:$C$1000,"",0)</f>
        <v/>
      </c>
      <c r="D633" s="1">
        <f>D626+(D638-D626)*7/12</f>
        <v>4667.814166666667</v>
      </c>
      <c r="E633" s="1">
        <f>E626+(E638-E626)*7/12</f>
        <v>4679.6797591666664</v>
      </c>
      <c r="F633" s="1">
        <f>F626+(F638-F626)*7/12</f>
        <v>4666.7094541666665</v>
      </c>
      <c r="G633" s="1">
        <f>G626+(G638-G626)*7/12</f>
        <v>4692.839525833333</v>
      </c>
      <c r="H633" s="1">
        <f>H626+(H638-H626)*7/12</f>
        <v>4654.0536524999998</v>
      </c>
      <c r="I633" t="str">
        <f>_xlfn.XLOOKUP($A633,ALGLIB_SSA_XAUUSD!$J$2:$J$1000,ALGLIB_SSA_XAUUSD!$K$2:$K$1000,"",0)</f>
        <v>XAUUSD</v>
      </c>
      <c r="J633" t="str">
        <f>_xlfn.XLOOKUP($A633,ALGLIB_SSA_XAUUSD!$J$2:$J$1000,ALGLIB_SSA_XAUUSD!$L$2:$L$1000,"",0)</f>
        <v>M5</v>
      </c>
      <c r="K633">
        <f>_xlfn.XLOOKUP($A633,ALGLIB_SSA_XAUUSD!$J$2:$J$1000,ALGLIB_SSA_XAUUSD!$M$2:$M$1000,"",0)</f>
        <v>4679.46</v>
      </c>
      <c r="L633">
        <f>_xlfn.XLOOKUP($A633,ALGLIB_SSA_XAUUSD!$J$2:$J$1000,ALGLIB_SSA_XAUUSD!$N$2:$N$1000,"",0)</f>
        <v>4671.3076600000004</v>
      </c>
      <c r="M633">
        <f>_xlfn.XLOOKUP($A633,ALGLIB_SSA_XAUUSD!$J$2:$J$1000,ALGLIB_SSA_XAUUSD!$O$2:$O$1000,"",0)</f>
        <v>4669.2577499999998</v>
      </c>
      <c r="N633">
        <f>_xlfn.XLOOKUP($A633,ALGLIB_SSA_XAUUSD!$J$2:$J$1000,ALGLIB_SSA_XAUUSD!$P$2:$P$1000,"",0)</f>
        <v>4675.4613200000003</v>
      </c>
      <c r="O633">
        <f>_xlfn.XLOOKUP($A633,ALGLIB_SSA_XAUUSD!$J$2:$J$1000,ALGLIB_SSA_XAUUSD!$Q$2:$Q$1000,"",0)</f>
        <v>4666.1108700000004</v>
      </c>
      <c r="R633">
        <f t="shared" si="99"/>
        <v>1775583300</v>
      </c>
      <c r="S633" t="str">
        <f t="shared" si="100"/>
        <v>XAUUSD</v>
      </c>
      <c r="T633" t="str">
        <f t="shared" si="101"/>
        <v>M5</v>
      </c>
      <c r="U633">
        <f t="shared" si="102"/>
        <v>4679.46</v>
      </c>
      <c r="V633">
        <v>4679.67976</v>
      </c>
      <c r="W633">
        <v>4666.7094500000003</v>
      </c>
      <c r="X633">
        <v>4671.3076600000004</v>
      </c>
      <c r="Y633">
        <v>4669.2577499999998</v>
      </c>
      <c r="Z633">
        <f t="shared" si="103"/>
        <v>4692.839525833333</v>
      </c>
      <c r="AA633">
        <f t="shared" si="104"/>
        <v>4675.4613200000003</v>
      </c>
      <c r="AB633">
        <f t="shared" si="105"/>
        <v>4654.0536524999998</v>
      </c>
      <c r="AC633">
        <f t="shared" si="106"/>
        <v>4666.1108700000004</v>
      </c>
      <c r="AF633">
        <f t="shared" si="107"/>
        <v>4671.3076600000004</v>
      </c>
      <c r="AG633">
        <f t="shared" si="108"/>
        <v>4692.839525833333</v>
      </c>
      <c r="AH633">
        <f t="shared" si="109"/>
        <v>4654.0536524999998</v>
      </c>
    </row>
    <row r="634" spans="1:34" x14ac:dyDescent="0.55000000000000004">
      <c r="A634">
        <f>ALGLIB_SSA_XAUUSD!J634</f>
        <v>1775583600</v>
      </c>
      <c r="B634" t="str">
        <f>_xlfn.XLOOKUP($A634,ALGLIB_SSA_XAUUSD!$A$2:$A$1000,ALGLIB_SSA_XAUUSD!$B$2:$B$1000,"",0)</f>
        <v/>
      </c>
      <c r="C634" t="str">
        <f>_xlfn.XLOOKUP($A634,ALGLIB_SSA_XAUUSD!$A$2:$A$1000,ALGLIB_SSA_XAUUSD!$C$2:$C$1000,"",0)</f>
        <v/>
      </c>
      <c r="D634" s="1">
        <f>D626+(D638-D626)*8/12</f>
        <v>4666.6633333333339</v>
      </c>
      <c r="E634" s="1">
        <f>E626+(E638-E626)*8/12</f>
        <v>4681.4505833333333</v>
      </c>
      <c r="F634" s="1">
        <f>F626+(F638-F626)*8/12</f>
        <v>4667.9932433333333</v>
      </c>
      <c r="G634" s="1">
        <f>G626+(G638-G626)*8/12</f>
        <v>4694.6006766666669</v>
      </c>
      <c r="H634" s="1">
        <f>H626+(H638-H626)*8/12</f>
        <v>4655.44517</v>
      </c>
      <c r="I634" t="str">
        <f>_xlfn.XLOOKUP($A634,ALGLIB_SSA_XAUUSD!$J$2:$J$1000,ALGLIB_SSA_XAUUSD!$K$2:$K$1000,"",0)</f>
        <v>XAUUSD</v>
      </c>
      <c r="J634" t="str">
        <f>_xlfn.XLOOKUP($A634,ALGLIB_SSA_XAUUSD!$J$2:$J$1000,ALGLIB_SSA_XAUUSD!$L$2:$L$1000,"",0)</f>
        <v>M5</v>
      </c>
      <c r="K634">
        <f>_xlfn.XLOOKUP($A634,ALGLIB_SSA_XAUUSD!$J$2:$J$1000,ALGLIB_SSA_XAUUSD!$M$2:$M$1000,"",0)</f>
        <v>4672.34</v>
      </c>
      <c r="L634">
        <f>_xlfn.XLOOKUP($A634,ALGLIB_SSA_XAUUSD!$J$2:$J$1000,ALGLIB_SSA_XAUUSD!$N$2:$N$1000,"",0)</f>
        <v>4673.2431800000004</v>
      </c>
      <c r="M634">
        <f>_xlfn.XLOOKUP($A634,ALGLIB_SSA_XAUUSD!$J$2:$J$1000,ALGLIB_SSA_XAUUSD!$O$2:$O$1000,"",0)</f>
        <v>4671.2504600000002</v>
      </c>
      <c r="N634">
        <f>_xlfn.XLOOKUP($A634,ALGLIB_SSA_XAUUSD!$J$2:$J$1000,ALGLIB_SSA_XAUUSD!$P$2:$P$1000,"",0)</f>
        <v>4677.1933799999997</v>
      </c>
      <c r="O634">
        <f>_xlfn.XLOOKUP($A634,ALGLIB_SSA_XAUUSD!$J$2:$J$1000,ALGLIB_SSA_XAUUSD!$Q$2:$Q$1000,"",0)</f>
        <v>4668.7262000000001</v>
      </c>
      <c r="R634">
        <f t="shared" si="99"/>
        <v>1775583600</v>
      </c>
      <c r="S634" t="str">
        <f t="shared" si="100"/>
        <v>XAUUSD</v>
      </c>
      <c r="T634" t="str">
        <f t="shared" si="101"/>
        <v>M5</v>
      </c>
      <c r="U634">
        <f t="shared" si="102"/>
        <v>4672.34</v>
      </c>
      <c r="V634">
        <v>4681.4505799999997</v>
      </c>
      <c r="W634">
        <v>4667.9932399999998</v>
      </c>
      <c r="X634">
        <v>4673.2431800000004</v>
      </c>
      <c r="Y634">
        <v>4671.2504600000002</v>
      </c>
      <c r="Z634">
        <f t="shared" si="103"/>
        <v>4694.6006766666669</v>
      </c>
      <c r="AA634">
        <f t="shared" si="104"/>
        <v>4677.1933799999997</v>
      </c>
      <c r="AB634">
        <f t="shared" si="105"/>
        <v>4655.44517</v>
      </c>
      <c r="AC634">
        <f t="shared" si="106"/>
        <v>4668.7262000000001</v>
      </c>
      <c r="AF634">
        <f t="shared" si="107"/>
        <v>4673.2431800000004</v>
      </c>
      <c r="AG634">
        <f t="shared" si="108"/>
        <v>4694.6006766666669</v>
      </c>
      <c r="AH634">
        <f t="shared" si="109"/>
        <v>4655.44517</v>
      </c>
    </row>
    <row r="635" spans="1:34" x14ac:dyDescent="0.55000000000000004">
      <c r="A635">
        <f>ALGLIB_SSA_XAUUSD!J635</f>
        <v>1775583900</v>
      </c>
      <c r="B635" t="str">
        <f>_xlfn.XLOOKUP($A635,ALGLIB_SSA_XAUUSD!$A$2:$A$1000,ALGLIB_SSA_XAUUSD!$B$2:$B$1000,"",0)</f>
        <v/>
      </c>
      <c r="C635" t="str">
        <f>_xlfn.XLOOKUP($A635,ALGLIB_SSA_XAUUSD!$A$2:$A$1000,ALGLIB_SSA_XAUUSD!$C$2:$C$1000,"",0)</f>
        <v/>
      </c>
      <c r="D635" s="1">
        <f>D626+(D638-D626)*9/12</f>
        <v>4665.5125000000007</v>
      </c>
      <c r="E635" s="1">
        <f>E626+(E638-E626)*9/12</f>
        <v>4683.2214075000002</v>
      </c>
      <c r="F635" s="1">
        <f>F626+(F638-F626)*9/12</f>
        <v>4669.2770325000001</v>
      </c>
      <c r="G635" s="1">
        <f>G626+(G638-G626)*9/12</f>
        <v>4696.3618274999999</v>
      </c>
      <c r="H635" s="1">
        <f>H626+(H638-H626)*9/12</f>
        <v>4656.8366875000002</v>
      </c>
      <c r="I635" t="str">
        <f>_xlfn.XLOOKUP($A635,ALGLIB_SSA_XAUUSD!$J$2:$J$1000,ALGLIB_SSA_XAUUSD!$K$2:$K$1000,"",0)</f>
        <v>XAUUSD</v>
      </c>
      <c r="J635" t="str">
        <f>_xlfn.XLOOKUP($A635,ALGLIB_SSA_XAUUSD!$J$2:$J$1000,ALGLIB_SSA_XAUUSD!$L$2:$L$1000,"",0)</f>
        <v>M5</v>
      </c>
      <c r="K635">
        <f>_xlfn.XLOOKUP($A635,ALGLIB_SSA_XAUUSD!$J$2:$J$1000,ALGLIB_SSA_XAUUSD!$M$2:$M$1000,"",0)</f>
        <v>4678.16</v>
      </c>
      <c r="L635">
        <f>_xlfn.XLOOKUP($A635,ALGLIB_SSA_XAUUSD!$J$2:$J$1000,ALGLIB_SSA_XAUUSD!$N$2:$N$1000,"",0)</f>
        <v>4675.0579600000001</v>
      </c>
      <c r="M635">
        <f>_xlfn.XLOOKUP($A635,ALGLIB_SSA_XAUUSD!$J$2:$J$1000,ALGLIB_SSA_XAUUSD!$O$2:$O$1000,"",0)</f>
        <v>4673.1542099999997</v>
      </c>
      <c r="N635">
        <f>_xlfn.XLOOKUP($A635,ALGLIB_SSA_XAUUSD!$J$2:$J$1000,ALGLIB_SSA_XAUUSD!$P$2:$P$1000,"",0)</f>
        <v>4678.5626400000001</v>
      </c>
      <c r="O635">
        <f>_xlfn.XLOOKUP($A635,ALGLIB_SSA_XAUUSD!$J$2:$J$1000,ALGLIB_SSA_XAUUSD!$Q$2:$Q$1000,"",0)</f>
        <v>4671.1334299999999</v>
      </c>
      <c r="R635">
        <f t="shared" si="99"/>
        <v>1775583900</v>
      </c>
      <c r="S635" t="str">
        <f t="shared" si="100"/>
        <v>XAUUSD</v>
      </c>
      <c r="T635" t="str">
        <f t="shared" si="101"/>
        <v>M5</v>
      </c>
      <c r="U635">
        <f t="shared" si="102"/>
        <v>4678.16</v>
      </c>
      <c r="V635">
        <v>4683.2214100000001</v>
      </c>
      <c r="W635">
        <v>4669.2770300000002</v>
      </c>
      <c r="X635">
        <v>4675.0579600000001</v>
      </c>
      <c r="Y635">
        <v>4673.1542099999997</v>
      </c>
      <c r="Z635">
        <f t="shared" si="103"/>
        <v>4696.3618274999999</v>
      </c>
      <c r="AA635">
        <f t="shared" si="104"/>
        <v>4678.5626400000001</v>
      </c>
      <c r="AB635">
        <f t="shared" si="105"/>
        <v>4656.8366875000002</v>
      </c>
      <c r="AC635">
        <f t="shared" si="106"/>
        <v>4671.1334299999999</v>
      </c>
      <c r="AF635">
        <f t="shared" si="107"/>
        <v>4675.0579600000001</v>
      </c>
      <c r="AG635">
        <f t="shared" si="108"/>
        <v>4696.3618274999999</v>
      </c>
      <c r="AH635">
        <f t="shared" si="109"/>
        <v>4656.8366875000002</v>
      </c>
    </row>
    <row r="636" spans="1:34" x14ac:dyDescent="0.55000000000000004">
      <c r="A636">
        <f>ALGLIB_SSA_XAUUSD!J636</f>
        <v>1775584200</v>
      </c>
      <c r="B636" t="str">
        <f>_xlfn.XLOOKUP($A636,ALGLIB_SSA_XAUUSD!$A$2:$A$1000,ALGLIB_SSA_XAUUSD!$B$2:$B$1000,"",0)</f>
        <v/>
      </c>
      <c r="C636" t="str">
        <f>_xlfn.XLOOKUP($A636,ALGLIB_SSA_XAUUSD!$A$2:$A$1000,ALGLIB_SSA_XAUUSD!$C$2:$C$1000,"",0)</f>
        <v/>
      </c>
      <c r="D636" s="1">
        <f>D626+(D638-D626)*10/12</f>
        <v>4664.3616666666667</v>
      </c>
      <c r="E636" s="1">
        <f>E626+(E638-E626)*10/12</f>
        <v>4684.9922316666671</v>
      </c>
      <c r="F636" s="1">
        <f>F626+(F638-F626)*10/12</f>
        <v>4670.560821666666</v>
      </c>
      <c r="G636" s="1">
        <f>G626+(G638-G626)*10/12</f>
        <v>4698.1229783333329</v>
      </c>
      <c r="H636" s="1">
        <f>H626+(H638-H626)*10/12</f>
        <v>4658.2282049999994</v>
      </c>
      <c r="I636" t="str">
        <f>_xlfn.XLOOKUP($A636,ALGLIB_SSA_XAUUSD!$J$2:$J$1000,ALGLIB_SSA_XAUUSD!$K$2:$K$1000,"",0)</f>
        <v>XAUUSD</v>
      </c>
      <c r="J636" t="str">
        <f>_xlfn.XLOOKUP($A636,ALGLIB_SSA_XAUUSD!$J$2:$J$1000,ALGLIB_SSA_XAUUSD!$L$2:$L$1000,"",0)</f>
        <v>M5</v>
      </c>
      <c r="K636">
        <f>_xlfn.XLOOKUP($A636,ALGLIB_SSA_XAUUSD!$J$2:$J$1000,ALGLIB_SSA_XAUUSD!$M$2:$M$1000,"",0)</f>
        <v>4676.78</v>
      </c>
      <c r="L636">
        <f>_xlfn.XLOOKUP($A636,ALGLIB_SSA_XAUUSD!$J$2:$J$1000,ALGLIB_SSA_XAUUSD!$N$2:$N$1000,"",0)</f>
        <v>4676.6551300000001</v>
      </c>
      <c r="M636">
        <f>_xlfn.XLOOKUP($A636,ALGLIB_SSA_XAUUSD!$J$2:$J$1000,ALGLIB_SSA_XAUUSD!$O$2:$O$1000,"",0)</f>
        <v>4674.9046699999999</v>
      </c>
      <c r="N636">
        <f>_xlfn.XLOOKUP($A636,ALGLIB_SSA_XAUUSD!$J$2:$J$1000,ALGLIB_SSA_XAUUSD!$P$2:$P$1000,"",0)</f>
        <v>4679.7340000000004</v>
      </c>
      <c r="O636">
        <f>_xlfn.XLOOKUP($A636,ALGLIB_SSA_XAUUSD!$J$2:$J$1000,ALGLIB_SSA_XAUUSD!$Q$2:$Q$1000,"",0)</f>
        <v>4673.2753199999997</v>
      </c>
      <c r="R636">
        <f t="shared" si="99"/>
        <v>1775584200</v>
      </c>
      <c r="S636" t="str">
        <f t="shared" si="100"/>
        <v>XAUUSD</v>
      </c>
      <c r="T636" t="str">
        <f t="shared" si="101"/>
        <v>M5</v>
      </c>
      <c r="U636">
        <f t="shared" si="102"/>
        <v>4676.78</v>
      </c>
      <c r="V636">
        <v>4684.9922299999998</v>
      </c>
      <c r="W636">
        <v>4670.5608199999997</v>
      </c>
      <c r="X636">
        <v>4676.6551300000001</v>
      </c>
      <c r="Y636">
        <v>4674.9046699999999</v>
      </c>
      <c r="Z636">
        <f t="shared" si="103"/>
        <v>4698.1229783333329</v>
      </c>
      <c r="AA636">
        <f t="shared" si="104"/>
        <v>4679.7340000000004</v>
      </c>
      <c r="AB636">
        <f t="shared" si="105"/>
        <v>4658.2282049999994</v>
      </c>
      <c r="AC636">
        <f t="shared" si="106"/>
        <v>4673.2753199999997</v>
      </c>
      <c r="AF636">
        <f t="shared" si="107"/>
        <v>4676.6551300000001</v>
      </c>
      <c r="AG636">
        <f t="shared" si="108"/>
        <v>4698.1229783333329</v>
      </c>
      <c r="AH636">
        <f t="shared" si="109"/>
        <v>4658.2282049999994</v>
      </c>
    </row>
    <row r="637" spans="1:34" x14ac:dyDescent="0.55000000000000004">
      <c r="A637">
        <f>ALGLIB_SSA_XAUUSD!J637</f>
        <v>1775584500</v>
      </c>
      <c r="B637" t="str">
        <f>_xlfn.XLOOKUP($A637,ALGLIB_SSA_XAUUSD!$A$2:$A$1000,ALGLIB_SSA_XAUUSD!$B$2:$B$1000,"",0)</f>
        <v/>
      </c>
      <c r="C637" t="str">
        <f>_xlfn.XLOOKUP($A637,ALGLIB_SSA_XAUUSD!$A$2:$A$1000,ALGLIB_SSA_XAUUSD!$C$2:$C$1000,"",0)</f>
        <v/>
      </c>
      <c r="D637" s="1">
        <f>D626+(D638-D626)*11/12</f>
        <v>4663.2108333333335</v>
      </c>
      <c r="E637" s="1">
        <f>E626+(E638-E626)*11/12</f>
        <v>4686.7630558333331</v>
      </c>
      <c r="F637" s="1">
        <f>F626+(F638-F626)*11/12</f>
        <v>4671.8446108333328</v>
      </c>
      <c r="G637" s="1">
        <f>G626+(G638-G626)*11/12</f>
        <v>4699.8841291666668</v>
      </c>
      <c r="H637" s="1">
        <f>H626+(H638-H626)*11/12</f>
        <v>4659.6197224999996</v>
      </c>
      <c r="I637" t="str">
        <f>_xlfn.XLOOKUP($A637,ALGLIB_SSA_XAUUSD!$J$2:$J$1000,ALGLIB_SSA_XAUUSD!$K$2:$K$1000,"",0)</f>
        <v>XAUUSD</v>
      </c>
      <c r="J637" t="str">
        <f>_xlfn.XLOOKUP($A637,ALGLIB_SSA_XAUUSD!$J$2:$J$1000,ALGLIB_SSA_XAUUSD!$L$2:$L$1000,"",0)</f>
        <v>M5</v>
      </c>
      <c r="K637">
        <f>_xlfn.XLOOKUP($A637,ALGLIB_SSA_XAUUSD!$J$2:$J$1000,ALGLIB_SSA_XAUUSD!$M$2:$M$1000,"",0)</f>
        <v>4675.87</v>
      </c>
      <c r="L637">
        <f>_xlfn.XLOOKUP($A637,ALGLIB_SSA_XAUUSD!$J$2:$J$1000,ALGLIB_SSA_XAUUSD!$N$2:$N$1000,"",0)</f>
        <v>4678.1570199999996</v>
      </c>
      <c r="M637">
        <f>_xlfn.XLOOKUP($A637,ALGLIB_SSA_XAUUSD!$J$2:$J$1000,ALGLIB_SSA_XAUUSD!$O$2:$O$1000,"",0)</f>
        <v>4676.5308400000004</v>
      </c>
      <c r="N637">
        <f>_xlfn.XLOOKUP($A637,ALGLIB_SSA_XAUUSD!$J$2:$J$1000,ALGLIB_SSA_XAUUSD!$P$2:$P$1000,"",0)</f>
        <v>4680.8107900000005</v>
      </c>
      <c r="O637">
        <f>_xlfn.XLOOKUP($A637,ALGLIB_SSA_XAUUSD!$J$2:$J$1000,ALGLIB_SSA_XAUUSD!$Q$2:$Q$1000,"",0)</f>
        <v>4675.0474199999999</v>
      </c>
      <c r="R637">
        <f t="shared" si="99"/>
        <v>1775584500</v>
      </c>
      <c r="S637" t="str">
        <f t="shared" si="100"/>
        <v>XAUUSD</v>
      </c>
      <c r="T637" t="str">
        <f t="shared" si="101"/>
        <v>M5</v>
      </c>
      <c r="U637">
        <f t="shared" si="102"/>
        <v>4675.87</v>
      </c>
      <c r="V637">
        <v>4686.7630600000002</v>
      </c>
      <c r="W637">
        <v>4671.8446100000001</v>
      </c>
      <c r="X637">
        <v>4678.1570199999996</v>
      </c>
      <c r="Y637">
        <v>4676.5308400000004</v>
      </c>
      <c r="Z637">
        <f t="shared" si="103"/>
        <v>4699.8841291666668</v>
      </c>
      <c r="AA637">
        <f t="shared" si="104"/>
        <v>4680.8107900000005</v>
      </c>
      <c r="AB637">
        <f t="shared" si="105"/>
        <v>4659.6197224999996</v>
      </c>
      <c r="AC637">
        <f t="shared" si="106"/>
        <v>4675.0474199999999</v>
      </c>
      <c r="AF637">
        <f t="shared" si="107"/>
        <v>4678.1570199999996</v>
      </c>
      <c r="AG637">
        <f t="shared" si="108"/>
        <v>4699.8841291666668</v>
      </c>
      <c r="AH637">
        <f t="shared" si="109"/>
        <v>4659.6197224999996</v>
      </c>
    </row>
    <row r="638" spans="1:34" x14ac:dyDescent="0.55000000000000004">
      <c r="A638">
        <f>ALGLIB_SSA_XAUUSD!J638</f>
        <v>1775584800</v>
      </c>
      <c r="B638" t="str">
        <f>_xlfn.XLOOKUP($A638,ALGLIB_SSA_XAUUSD!$A$2:$A$1000,ALGLIB_SSA_XAUUSD!$B$2:$B$1000,"",0)</f>
        <v>XAUUSD</v>
      </c>
      <c r="C638" t="str">
        <f>_xlfn.XLOOKUP($A638,ALGLIB_SSA_XAUUSD!$A$2:$A$1000,ALGLIB_SSA_XAUUSD!$C$2:$C$1000,"",0)</f>
        <v>H1</v>
      </c>
      <c r="D638" s="2">
        <f>_xlfn.XLOOKUP($A638,ALGLIB_SSA_XAUUSD!$A$2:$A$1000,ALGLIB_SSA_XAUUSD!$D$2:$D$1000,"",0)</f>
        <v>4662.0600000000004</v>
      </c>
      <c r="E638" s="2">
        <f>_xlfn.XLOOKUP($A638,ALGLIB_SSA_XAUUSD!$A$2:$A$1000,ALGLIB_SSA_XAUUSD!$E$2:$E$1000,"",0)</f>
        <v>4688.53388</v>
      </c>
      <c r="F638" s="2">
        <f>_xlfn.XLOOKUP($A638,ALGLIB_SSA_XAUUSD!$A$2:$A$1000,ALGLIB_SSA_XAUUSD!$F$2:$F$1000,"",0)</f>
        <v>4673.1283999999996</v>
      </c>
      <c r="G638" s="2">
        <f>_xlfn.XLOOKUP($A638,ALGLIB_SSA_XAUUSD!$A$2:$A$1000,ALGLIB_SSA_XAUUSD!$G$2:$G$1000,"",0)</f>
        <v>4701.6452799999997</v>
      </c>
      <c r="H638" s="2">
        <f>_xlfn.XLOOKUP($A638,ALGLIB_SSA_XAUUSD!$A$2:$A$1000,ALGLIB_SSA_XAUUSD!$H$2:$H$1000,"",0)</f>
        <v>4661.0112399999998</v>
      </c>
      <c r="I638" t="str">
        <f>_xlfn.XLOOKUP($A638,ALGLIB_SSA_XAUUSD!$J$2:$J$1000,ALGLIB_SSA_XAUUSD!$K$2:$K$1000,"",0)</f>
        <v>XAUUSD</v>
      </c>
      <c r="J638" t="str">
        <f>_xlfn.XLOOKUP($A638,ALGLIB_SSA_XAUUSD!$J$2:$J$1000,ALGLIB_SSA_XAUUSD!$L$2:$L$1000,"",0)</f>
        <v>M5</v>
      </c>
      <c r="K638">
        <f>_xlfn.XLOOKUP($A638,ALGLIB_SSA_XAUUSD!$J$2:$J$1000,ALGLIB_SSA_XAUUSD!$M$2:$M$1000,"",0)</f>
        <v>4678.1099999999997</v>
      </c>
      <c r="L638">
        <f>_xlfn.XLOOKUP($A638,ALGLIB_SSA_XAUUSD!$J$2:$J$1000,ALGLIB_SSA_XAUUSD!$N$2:$N$1000,"",0)</f>
        <v>4679.63501</v>
      </c>
      <c r="M638">
        <f>_xlfn.XLOOKUP($A638,ALGLIB_SSA_XAUUSD!$J$2:$J$1000,ALGLIB_SSA_XAUUSD!$O$2:$O$1000,"",0)</f>
        <v>4678.0829299999996</v>
      </c>
      <c r="N638">
        <f>_xlfn.XLOOKUP($A638,ALGLIB_SSA_XAUUSD!$J$2:$J$1000,ALGLIB_SSA_XAUUSD!$P$2:$P$1000,"",0)</f>
        <v>4681.9324100000003</v>
      </c>
      <c r="O638">
        <f>_xlfn.XLOOKUP($A638,ALGLIB_SSA_XAUUSD!$J$2:$J$1000,ALGLIB_SSA_XAUUSD!$Q$2:$Q$1000,"",0)</f>
        <v>4676.5667999999996</v>
      </c>
      <c r="R638">
        <f t="shared" si="99"/>
        <v>1775584800</v>
      </c>
      <c r="S638" t="str">
        <f t="shared" si="100"/>
        <v>XAUUSD</v>
      </c>
      <c r="T638" t="str">
        <f t="shared" si="101"/>
        <v>M5</v>
      </c>
      <c r="U638">
        <f t="shared" si="102"/>
        <v>4678.1099999999997</v>
      </c>
      <c r="V638">
        <v>4688.53388</v>
      </c>
      <c r="W638">
        <v>4673.1283999999996</v>
      </c>
      <c r="X638">
        <v>4679.63501</v>
      </c>
      <c r="Y638">
        <v>4678.0829299999996</v>
      </c>
      <c r="Z638">
        <f t="shared" si="103"/>
        <v>4701.6452799999997</v>
      </c>
      <c r="AA638">
        <f t="shared" si="104"/>
        <v>4681.9324100000003</v>
      </c>
      <c r="AB638">
        <f t="shared" si="105"/>
        <v>4661.0112399999998</v>
      </c>
      <c r="AC638">
        <f t="shared" si="106"/>
        <v>4676.5667999999996</v>
      </c>
      <c r="AF638">
        <f t="shared" si="107"/>
        <v>4679.63501</v>
      </c>
      <c r="AG638">
        <f t="shared" si="108"/>
        <v>4701.6452799999997</v>
      </c>
      <c r="AH638">
        <f t="shared" si="109"/>
        <v>4661.0112399999998</v>
      </c>
    </row>
    <row r="639" spans="1:34" x14ac:dyDescent="0.55000000000000004">
      <c r="A639">
        <f>ALGLIB_SSA_XAUUSD!J639</f>
        <v>1775585100</v>
      </c>
      <c r="B639" t="str">
        <f>_xlfn.XLOOKUP($A639,ALGLIB_SSA_XAUUSD!$A$2:$A$1000,ALGLIB_SSA_XAUUSD!$B$2:$B$1000,"",0)</f>
        <v/>
      </c>
      <c r="C639" t="str">
        <f>_xlfn.XLOOKUP($A639,ALGLIB_SSA_XAUUSD!$A$2:$A$1000,ALGLIB_SSA_XAUUSD!$C$2:$C$1000,"",0)</f>
        <v/>
      </c>
      <c r="D639" s="1">
        <f>D638+(D650-D638)*1/12</f>
        <v>4665.2725</v>
      </c>
      <c r="E639" s="1">
        <f>E638+(E650-E638)*1/12</f>
        <v>4690.7455566666667</v>
      </c>
      <c r="F639" s="1">
        <f>F638+(F650-F638)*1/12</f>
        <v>4674.8761333333332</v>
      </c>
      <c r="G639" s="1">
        <f>G638+(G650-G638)*1/12</f>
        <v>4703.8574833333332</v>
      </c>
      <c r="H639" s="1">
        <f>H638+(H650-H638)*1/12</f>
        <v>4662.8257149999999</v>
      </c>
      <c r="I639" t="str">
        <f>_xlfn.XLOOKUP($A639,ALGLIB_SSA_XAUUSD!$J$2:$J$1000,ALGLIB_SSA_XAUUSD!$K$2:$K$1000,"",0)</f>
        <v>XAUUSD</v>
      </c>
      <c r="J639" t="str">
        <f>_xlfn.XLOOKUP($A639,ALGLIB_SSA_XAUUSD!$J$2:$J$1000,ALGLIB_SSA_XAUUSD!$L$2:$L$1000,"",0)</f>
        <v>M5</v>
      </c>
      <c r="K639">
        <f>_xlfn.XLOOKUP($A639,ALGLIB_SSA_XAUUSD!$J$2:$J$1000,ALGLIB_SSA_XAUUSD!$M$2:$M$1000,"",0)</f>
        <v>4678.71</v>
      </c>
      <c r="L639">
        <f>_xlfn.XLOOKUP($A639,ALGLIB_SSA_XAUUSD!$J$2:$J$1000,ALGLIB_SSA_XAUUSD!$N$2:$N$1000,"",0)</f>
        <v>4681.0319099999997</v>
      </c>
      <c r="M639">
        <f>_xlfn.XLOOKUP($A639,ALGLIB_SSA_XAUUSD!$J$2:$J$1000,ALGLIB_SSA_XAUUSD!$O$2:$O$1000,"",0)</f>
        <v>4679.5574200000001</v>
      </c>
      <c r="N639">
        <f>_xlfn.XLOOKUP($A639,ALGLIB_SSA_XAUUSD!$J$2:$J$1000,ALGLIB_SSA_XAUUSD!$P$2:$P$1000,"",0)</f>
        <v>4683.0757999999996</v>
      </c>
      <c r="O639">
        <f>_xlfn.XLOOKUP($A639,ALGLIB_SSA_XAUUSD!$J$2:$J$1000,ALGLIB_SSA_XAUUSD!$Q$2:$Q$1000,"",0)</f>
        <v>4677.8937999999998</v>
      </c>
      <c r="R639">
        <f t="shared" si="99"/>
        <v>1775585100</v>
      </c>
      <c r="S639" t="str">
        <f t="shared" si="100"/>
        <v>XAUUSD</v>
      </c>
      <c r="T639" t="str">
        <f t="shared" si="101"/>
        <v>M5</v>
      </c>
      <c r="U639">
        <f t="shared" si="102"/>
        <v>4678.71</v>
      </c>
      <c r="V639">
        <v>4690.7455600000003</v>
      </c>
      <c r="W639">
        <v>4674.8761299999996</v>
      </c>
      <c r="X639">
        <v>4681.0319099999997</v>
      </c>
      <c r="Y639">
        <v>4679.5574200000001</v>
      </c>
      <c r="Z639">
        <f t="shared" si="103"/>
        <v>4703.8574833333332</v>
      </c>
      <c r="AA639">
        <f t="shared" si="104"/>
        <v>4683.0757999999996</v>
      </c>
      <c r="AB639">
        <f t="shared" si="105"/>
        <v>4662.8257149999999</v>
      </c>
      <c r="AC639">
        <f t="shared" si="106"/>
        <v>4677.8937999999998</v>
      </c>
      <c r="AF639">
        <f t="shared" si="107"/>
        <v>4681.0319099999997</v>
      </c>
      <c r="AG639">
        <f t="shared" si="108"/>
        <v>4703.8574833333332</v>
      </c>
      <c r="AH639">
        <f t="shared" si="109"/>
        <v>4662.8257149999999</v>
      </c>
    </row>
    <row r="640" spans="1:34" x14ac:dyDescent="0.55000000000000004">
      <c r="A640">
        <f>ALGLIB_SSA_XAUUSD!J640</f>
        <v>1775585400</v>
      </c>
      <c r="B640" t="str">
        <f>_xlfn.XLOOKUP($A640,ALGLIB_SSA_XAUUSD!$A$2:$A$1000,ALGLIB_SSA_XAUUSD!$B$2:$B$1000,"",0)</f>
        <v/>
      </c>
      <c r="C640" t="str">
        <f>_xlfn.XLOOKUP($A640,ALGLIB_SSA_XAUUSD!$A$2:$A$1000,ALGLIB_SSA_XAUUSD!$C$2:$C$1000,"",0)</f>
        <v/>
      </c>
      <c r="D640" s="1">
        <f>D638+(D650-D638)*2/12</f>
        <v>4668.4850000000006</v>
      </c>
      <c r="E640" s="1">
        <f>E638+(E650-E638)*2/12</f>
        <v>4692.9572333333335</v>
      </c>
      <c r="F640" s="1">
        <f>F638+(F650-F638)*2/12</f>
        <v>4676.6238666666668</v>
      </c>
      <c r="G640" s="1">
        <f>G638+(G650-G638)*2/12</f>
        <v>4706.0696866666667</v>
      </c>
      <c r="H640" s="1">
        <f>H638+(H650-H638)*2/12</f>
        <v>4664.6401900000001</v>
      </c>
      <c r="I640" t="str">
        <f>_xlfn.XLOOKUP($A640,ALGLIB_SSA_XAUUSD!$J$2:$J$1000,ALGLIB_SSA_XAUUSD!$K$2:$K$1000,"",0)</f>
        <v>XAUUSD</v>
      </c>
      <c r="J640" t="str">
        <f>_xlfn.XLOOKUP($A640,ALGLIB_SSA_XAUUSD!$J$2:$J$1000,ALGLIB_SSA_XAUUSD!$L$2:$L$1000,"",0)</f>
        <v>M5</v>
      </c>
      <c r="K640">
        <f>_xlfn.XLOOKUP($A640,ALGLIB_SSA_XAUUSD!$J$2:$J$1000,ALGLIB_SSA_XAUUSD!$M$2:$M$1000,"",0)</f>
        <v>4684.03</v>
      </c>
      <c r="L640">
        <f>_xlfn.XLOOKUP($A640,ALGLIB_SSA_XAUUSD!$J$2:$J$1000,ALGLIB_SSA_XAUUSD!$N$2:$N$1000,"",0)</f>
        <v>4682.2346500000003</v>
      </c>
      <c r="M640">
        <f>_xlfn.XLOOKUP($A640,ALGLIB_SSA_XAUUSD!$J$2:$J$1000,ALGLIB_SSA_XAUUSD!$O$2:$O$1000,"",0)</f>
        <v>4680.8960299999999</v>
      </c>
      <c r="N640">
        <f>_xlfn.XLOOKUP($A640,ALGLIB_SSA_XAUUSD!$J$2:$J$1000,ALGLIB_SSA_XAUUSD!$P$2:$P$1000,"",0)</f>
        <v>4684.2182300000004</v>
      </c>
      <c r="O640">
        <f>_xlfn.XLOOKUP($A640,ALGLIB_SSA_XAUUSD!$J$2:$J$1000,ALGLIB_SSA_XAUUSD!$Q$2:$Q$1000,"",0)</f>
        <v>4679.0310799999997</v>
      </c>
      <c r="R640">
        <f t="shared" si="99"/>
        <v>1775585400</v>
      </c>
      <c r="S640" t="str">
        <f t="shared" si="100"/>
        <v>XAUUSD</v>
      </c>
      <c r="T640" t="str">
        <f t="shared" si="101"/>
        <v>M5</v>
      </c>
      <c r="U640">
        <f t="shared" si="102"/>
        <v>4684.03</v>
      </c>
      <c r="V640">
        <v>4692.95723</v>
      </c>
      <c r="W640">
        <v>4676.6238700000004</v>
      </c>
      <c r="X640">
        <v>4682.2346500000003</v>
      </c>
      <c r="Y640">
        <v>4680.8960299999999</v>
      </c>
      <c r="Z640">
        <f t="shared" si="103"/>
        <v>4706.0696866666667</v>
      </c>
      <c r="AA640">
        <f t="shared" si="104"/>
        <v>4684.2182300000004</v>
      </c>
      <c r="AB640">
        <f t="shared" si="105"/>
        <v>4664.6401900000001</v>
      </c>
      <c r="AC640">
        <f t="shared" si="106"/>
        <v>4679.0310799999997</v>
      </c>
      <c r="AF640">
        <f t="shared" si="107"/>
        <v>4682.2346500000003</v>
      </c>
      <c r="AG640">
        <f t="shared" si="108"/>
        <v>4706.0696866666667</v>
      </c>
      <c r="AH640">
        <f t="shared" si="109"/>
        <v>4664.6401900000001</v>
      </c>
    </row>
    <row r="641" spans="1:34" x14ac:dyDescent="0.55000000000000004">
      <c r="A641">
        <f>ALGLIB_SSA_XAUUSD!J641</f>
        <v>1775585700</v>
      </c>
      <c r="B641" t="str">
        <f>_xlfn.XLOOKUP($A641,ALGLIB_SSA_XAUUSD!$A$2:$A$1000,ALGLIB_SSA_XAUUSD!$B$2:$B$1000,"",0)</f>
        <v/>
      </c>
      <c r="C641" t="str">
        <f>_xlfn.XLOOKUP($A641,ALGLIB_SSA_XAUUSD!$A$2:$A$1000,ALGLIB_SSA_XAUUSD!$C$2:$C$1000,"",0)</f>
        <v/>
      </c>
      <c r="D641" s="1">
        <f>D638+(D650-D638)*3/12</f>
        <v>4671.6975000000002</v>
      </c>
      <c r="E641" s="1">
        <f>E638+(E650-E638)*3/12</f>
        <v>4695.1689100000003</v>
      </c>
      <c r="F641" s="1">
        <f>F638+(F650-F638)*3/12</f>
        <v>4678.3715999999995</v>
      </c>
      <c r="G641" s="1">
        <f>G638+(G650-G638)*3/12</f>
        <v>4708.2818900000002</v>
      </c>
      <c r="H641" s="1">
        <f>H638+(H650-H638)*3/12</f>
        <v>4666.4546649999993</v>
      </c>
      <c r="I641" t="str">
        <f>_xlfn.XLOOKUP($A641,ALGLIB_SSA_XAUUSD!$J$2:$J$1000,ALGLIB_SSA_XAUUSD!$K$2:$K$1000,"",0)</f>
        <v>XAUUSD</v>
      </c>
      <c r="J641" t="str">
        <f>_xlfn.XLOOKUP($A641,ALGLIB_SSA_XAUUSD!$J$2:$J$1000,ALGLIB_SSA_XAUUSD!$L$2:$L$1000,"",0)</f>
        <v>M5</v>
      </c>
      <c r="K641">
        <f>_xlfn.XLOOKUP($A641,ALGLIB_SSA_XAUUSD!$J$2:$J$1000,ALGLIB_SSA_XAUUSD!$M$2:$M$1000,"",0)</f>
        <v>4684.75</v>
      </c>
      <c r="L641">
        <f>_xlfn.XLOOKUP($A641,ALGLIB_SSA_XAUUSD!$J$2:$J$1000,ALGLIB_SSA_XAUUSD!$N$2:$N$1000,"",0)</f>
        <v>4682.9119499999997</v>
      </c>
      <c r="M641">
        <f>_xlfn.XLOOKUP($A641,ALGLIB_SSA_XAUUSD!$J$2:$J$1000,ALGLIB_SSA_XAUUSD!$O$2:$O$1000,"",0)</f>
        <v>4681.9039899999998</v>
      </c>
      <c r="N641">
        <f>_xlfn.XLOOKUP($A641,ALGLIB_SSA_XAUUSD!$J$2:$J$1000,ALGLIB_SSA_XAUUSD!$P$2:$P$1000,"",0)</f>
        <v>4685.09004</v>
      </c>
      <c r="O641">
        <f>_xlfn.XLOOKUP($A641,ALGLIB_SSA_XAUUSD!$J$2:$J$1000,ALGLIB_SSA_XAUUSD!$Q$2:$Q$1000,"",0)</f>
        <v>4679.84807</v>
      </c>
      <c r="R641">
        <f t="shared" si="99"/>
        <v>1775585700</v>
      </c>
      <c r="S641" t="str">
        <f t="shared" si="100"/>
        <v>XAUUSD</v>
      </c>
      <c r="T641" t="str">
        <f t="shared" si="101"/>
        <v>M5</v>
      </c>
      <c r="U641">
        <f t="shared" si="102"/>
        <v>4684.75</v>
      </c>
      <c r="V641">
        <v>4695.1689100000003</v>
      </c>
      <c r="W641">
        <v>4678.3716000000004</v>
      </c>
      <c r="X641">
        <v>4682.9119499999997</v>
      </c>
      <c r="Y641">
        <v>4681.9039899999998</v>
      </c>
      <c r="Z641">
        <f t="shared" si="103"/>
        <v>4708.2818900000002</v>
      </c>
      <c r="AA641">
        <f t="shared" si="104"/>
        <v>4685.09004</v>
      </c>
      <c r="AB641">
        <f t="shared" si="105"/>
        <v>4666.4546649999993</v>
      </c>
      <c r="AC641">
        <f t="shared" si="106"/>
        <v>4679.84807</v>
      </c>
      <c r="AF641">
        <f t="shared" si="107"/>
        <v>4682.9119499999997</v>
      </c>
      <c r="AG641">
        <f t="shared" si="108"/>
        <v>4708.2818900000002</v>
      </c>
      <c r="AH641">
        <f t="shared" si="109"/>
        <v>4666.4546649999993</v>
      </c>
    </row>
    <row r="642" spans="1:34" x14ac:dyDescent="0.55000000000000004">
      <c r="A642">
        <f>ALGLIB_SSA_XAUUSD!J642</f>
        <v>1775586000</v>
      </c>
      <c r="B642" t="str">
        <f>_xlfn.XLOOKUP($A642,ALGLIB_SSA_XAUUSD!$A$2:$A$1000,ALGLIB_SSA_XAUUSD!$B$2:$B$1000,"",0)</f>
        <v/>
      </c>
      <c r="C642" t="str">
        <f>_xlfn.XLOOKUP($A642,ALGLIB_SSA_XAUUSD!$A$2:$A$1000,ALGLIB_SSA_XAUUSD!$C$2:$C$1000,"",0)</f>
        <v/>
      </c>
      <c r="D642" s="1">
        <f>D638+(D650-D638)*4/12</f>
        <v>4674.91</v>
      </c>
      <c r="E642" s="1">
        <f>E638+(E650-E638)*4/12</f>
        <v>4697.3805866666662</v>
      </c>
      <c r="F642" s="1">
        <f>F638+(F650-F638)*4/12</f>
        <v>4680.1193333333331</v>
      </c>
      <c r="G642" s="1">
        <f>G638+(G650-G638)*4/12</f>
        <v>4710.4940933333328</v>
      </c>
      <c r="H642" s="1">
        <f>H638+(H650-H638)*4/12</f>
        <v>4668.2691399999994</v>
      </c>
      <c r="I642" t="str">
        <f>_xlfn.XLOOKUP($A642,ALGLIB_SSA_XAUUSD!$J$2:$J$1000,ALGLIB_SSA_XAUUSD!$K$2:$K$1000,"",0)</f>
        <v>XAUUSD</v>
      </c>
      <c r="J642" t="str">
        <f>_xlfn.XLOOKUP($A642,ALGLIB_SSA_XAUUSD!$J$2:$J$1000,ALGLIB_SSA_XAUUSD!$L$2:$L$1000,"",0)</f>
        <v>M5</v>
      </c>
      <c r="K642">
        <f>_xlfn.XLOOKUP($A642,ALGLIB_SSA_XAUUSD!$J$2:$J$1000,ALGLIB_SSA_XAUUSD!$M$2:$M$1000,"",0)</f>
        <v>4678.04</v>
      </c>
      <c r="L642">
        <f>_xlfn.XLOOKUP($A642,ALGLIB_SSA_XAUUSD!$J$2:$J$1000,ALGLIB_SSA_XAUUSD!$N$2:$N$1000,"",0)</f>
        <v>4682.8161700000001</v>
      </c>
      <c r="M642">
        <f>_xlfn.XLOOKUP($A642,ALGLIB_SSA_XAUUSD!$J$2:$J$1000,ALGLIB_SSA_XAUUSD!$O$2:$O$1000,"",0)</f>
        <v>4682.3600800000004</v>
      </c>
      <c r="N642">
        <f>_xlfn.XLOOKUP($A642,ALGLIB_SSA_XAUUSD!$J$2:$J$1000,ALGLIB_SSA_XAUUSD!$P$2:$P$1000,"",0)</f>
        <v>4685.4279900000001</v>
      </c>
      <c r="O642">
        <f>_xlfn.XLOOKUP($A642,ALGLIB_SSA_XAUUSD!$J$2:$J$1000,ALGLIB_SSA_XAUUSD!$Q$2:$Q$1000,"",0)</f>
        <v>4680.0765799999999</v>
      </c>
      <c r="R642">
        <f t="shared" si="99"/>
        <v>1775586000</v>
      </c>
      <c r="S642" t="str">
        <f t="shared" si="100"/>
        <v>XAUUSD</v>
      </c>
      <c r="T642" t="str">
        <f t="shared" si="101"/>
        <v>M5</v>
      </c>
      <c r="U642">
        <f t="shared" si="102"/>
        <v>4678.04</v>
      </c>
      <c r="V642">
        <v>4697.3805899999998</v>
      </c>
      <c r="W642">
        <v>4680.1193300000004</v>
      </c>
      <c r="X642">
        <v>4682.8161700000001</v>
      </c>
      <c r="Y642">
        <v>4682.3600800000004</v>
      </c>
      <c r="Z642">
        <f t="shared" si="103"/>
        <v>4710.4940933333328</v>
      </c>
      <c r="AA642">
        <f t="shared" si="104"/>
        <v>4685.4279900000001</v>
      </c>
      <c r="AB642">
        <f t="shared" si="105"/>
        <v>4668.2691399999994</v>
      </c>
      <c r="AC642">
        <f t="shared" si="106"/>
        <v>4680.0765799999999</v>
      </c>
      <c r="AF642">
        <f t="shared" si="107"/>
        <v>4682.8161700000001</v>
      </c>
      <c r="AG642">
        <f t="shared" si="108"/>
        <v>4710.4940933333328</v>
      </c>
      <c r="AH642">
        <f t="shared" si="109"/>
        <v>4668.2691399999994</v>
      </c>
    </row>
    <row r="643" spans="1:34" x14ac:dyDescent="0.55000000000000004">
      <c r="A643">
        <f>ALGLIB_SSA_XAUUSD!J643</f>
        <v>1775586300</v>
      </c>
      <c r="B643" t="str">
        <f>_xlfn.XLOOKUP($A643,ALGLIB_SSA_XAUUSD!$A$2:$A$1000,ALGLIB_SSA_XAUUSD!$B$2:$B$1000,"",0)</f>
        <v/>
      </c>
      <c r="C643" t="str">
        <f>_xlfn.XLOOKUP($A643,ALGLIB_SSA_XAUUSD!$A$2:$A$1000,ALGLIB_SSA_XAUUSD!$C$2:$C$1000,"",0)</f>
        <v/>
      </c>
      <c r="D643" s="1">
        <f>D638+(D650-D638)*5/12</f>
        <v>4678.1225000000004</v>
      </c>
      <c r="E643" s="1">
        <f>E638+(E650-E638)*5/12</f>
        <v>4699.592263333333</v>
      </c>
      <c r="F643" s="1">
        <f>F638+(F650-F638)*5/12</f>
        <v>4681.8670666666667</v>
      </c>
      <c r="G643" s="1">
        <f>G638+(G650-G638)*5/12</f>
        <v>4712.7062966666663</v>
      </c>
      <c r="H643" s="1">
        <f>H638+(H650-H638)*5/12</f>
        <v>4670.0836149999996</v>
      </c>
      <c r="I643" t="str">
        <f>_xlfn.XLOOKUP($A643,ALGLIB_SSA_XAUUSD!$J$2:$J$1000,ALGLIB_SSA_XAUUSD!$K$2:$K$1000,"",0)</f>
        <v>XAUUSD</v>
      </c>
      <c r="J643" t="str">
        <f>_xlfn.XLOOKUP($A643,ALGLIB_SSA_XAUUSD!$J$2:$J$1000,ALGLIB_SSA_XAUUSD!$L$2:$L$1000,"",0)</f>
        <v>M5</v>
      </c>
      <c r="K643">
        <f>_xlfn.XLOOKUP($A643,ALGLIB_SSA_XAUUSD!$J$2:$J$1000,ALGLIB_SSA_XAUUSD!$M$2:$M$1000,"",0)</f>
        <v>4680.3100000000004</v>
      </c>
      <c r="L643">
        <f>_xlfn.XLOOKUP($A643,ALGLIB_SSA_XAUUSD!$J$2:$J$1000,ALGLIB_SSA_XAUUSD!$N$2:$N$1000,"",0)</f>
        <v>4681.9488600000004</v>
      </c>
      <c r="M643">
        <f>_xlfn.XLOOKUP($A643,ALGLIB_SSA_XAUUSD!$J$2:$J$1000,ALGLIB_SSA_XAUUSD!$O$2:$O$1000,"",0)</f>
        <v>4682.1544700000004</v>
      </c>
      <c r="N643">
        <f>_xlfn.XLOOKUP($A643,ALGLIB_SSA_XAUUSD!$J$2:$J$1000,ALGLIB_SSA_XAUUSD!$P$2:$P$1000,"",0)</f>
        <v>4685.0039900000002</v>
      </c>
      <c r="O643">
        <f>_xlfn.XLOOKUP($A643,ALGLIB_SSA_XAUUSD!$J$2:$J$1000,ALGLIB_SSA_XAUUSD!$Q$2:$Q$1000,"",0)</f>
        <v>4679.58151</v>
      </c>
      <c r="R643">
        <f t="shared" ref="R643:R706" si="110">A643</f>
        <v>1775586300</v>
      </c>
      <c r="S643" t="str">
        <f t="shared" ref="S643:S706" si="111">I643</f>
        <v>XAUUSD</v>
      </c>
      <c r="T643" t="str">
        <f t="shared" ref="T643:T706" si="112">J643</f>
        <v>M5</v>
      </c>
      <c r="U643">
        <f t="shared" ref="U643:U706" si="113">K643</f>
        <v>4680.3100000000004</v>
      </c>
      <c r="V643">
        <v>4699.5922600000004</v>
      </c>
      <c r="W643">
        <v>4681.8670700000002</v>
      </c>
      <c r="X643">
        <v>4681.9488600000004</v>
      </c>
      <c r="Y643">
        <v>4682.1544700000004</v>
      </c>
      <c r="Z643">
        <f t="shared" ref="Z643:Z706" si="114">G643</f>
        <v>4712.7062966666663</v>
      </c>
      <c r="AA643">
        <f t="shared" ref="AA643:AA706" si="115">N643</f>
        <v>4685.0039900000002</v>
      </c>
      <c r="AB643">
        <f t="shared" ref="AB643:AB706" si="116">H643</f>
        <v>4670.0836149999996</v>
      </c>
      <c r="AC643">
        <f t="shared" ref="AC643:AC706" si="117">O643</f>
        <v>4679.58151</v>
      </c>
      <c r="AF643">
        <f t="shared" ref="AF643:AF706" si="118">X643</f>
        <v>4681.9488600000004</v>
      </c>
      <c r="AG643">
        <f t="shared" ref="AG643:AG706" si="119">Z643</f>
        <v>4712.7062966666663</v>
      </c>
      <c r="AH643">
        <f t="shared" ref="AH643:AH706" si="120">AB643</f>
        <v>4670.0836149999996</v>
      </c>
    </row>
    <row r="644" spans="1:34" x14ac:dyDescent="0.55000000000000004">
      <c r="A644">
        <f>ALGLIB_SSA_XAUUSD!J644</f>
        <v>1775586600</v>
      </c>
      <c r="B644" t="str">
        <f>_xlfn.XLOOKUP($A644,ALGLIB_SSA_XAUUSD!$A$2:$A$1000,ALGLIB_SSA_XAUUSD!$B$2:$B$1000,"",0)</f>
        <v/>
      </c>
      <c r="C644" t="str">
        <f>_xlfn.XLOOKUP($A644,ALGLIB_SSA_XAUUSD!$A$2:$A$1000,ALGLIB_SSA_XAUUSD!$C$2:$C$1000,"",0)</f>
        <v/>
      </c>
      <c r="D644" s="1">
        <f>D638+(D650-D638)*6/12</f>
        <v>4681.335</v>
      </c>
      <c r="E644" s="1">
        <f>E638+(E650-E638)*6/12</f>
        <v>4701.8039399999998</v>
      </c>
      <c r="F644" s="1">
        <f>F638+(F650-F638)*6/12</f>
        <v>4683.6147999999994</v>
      </c>
      <c r="G644" s="1">
        <f>G638+(G650-G638)*6/12</f>
        <v>4714.9184999999998</v>
      </c>
      <c r="H644" s="1">
        <f>H638+(H650-H638)*6/12</f>
        <v>4671.8980899999997</v>
      </c>
      <c r="I644" t="str">
        <f>_xlfn.XLOOKUP($A644,ALGLIB_SSA_XAUUSD!$J$2:$J$1000,ALGLIB_SSA_XAUUSD!$K$2:$K$1000,"",0)</f>
        <v>XAUUSD</v>
      </c>
      <c r="J644" t="str">
        <f>_xlfn.XLOOKUP($A644,ALGLIB_SSA_XAUUSD!$J$2:$J$1000,ALGLIB_SSA_XAUUSD!$L$2:$L$1000,"",0)</f>
        <v>M5</v>
      </c>
      <c r="K644">
        <f>_xlfn.XLOOKUP($A644,ALGLIB_SSA_XAUUSD!$J$2:$J$1000,ALGLIB_SSA_XAUUSD!$M$2:$M$1000,"",0)</f>
        <v>4683.04</v>
      </c>
      <c r="L644">
        <f>_xlfn.XLOOKUP($A644,ALGLIB_SSA_XAUUSD!$J$2:$J$1000,ALGLIB_SSA_XAUUSD!$N$2:$N$1000,"",0)</f>
        <v>4680.1815900000001</v>
      </c>
      <c r="M644">
        <f>_xlfn.XLOOKUP($A644,ALGLIB_SSA_XAUUSD!$J$2:$J$1000,ALGLIB_SSA_XAUUSD!$O$2:$O$1000,"",0)</f>
        <v>4681.1680299999998</v>
      </c>
      <c r="N644">
        <f>_xlfn.XLOOKUP($A644,ALGLIB_SSA_XAUUSD!$J$2:$J$1000,ALGLIB_SSA_XAUUSD!$P$2:$P$1000,"",0)</f>
        <v>4683.77117</v>
      </c>
      <c r="O644">
        <f>_xlfn.XLOOKUP($A644,ALGLIB_SSA_XAUUSD!$J$2:$J$1000,ALGLIB_SSA_XAUUSD!$Q$2:$Q$1000,"",0)</f>
        <v>4678.19229</v>
      </c>
      <c r="R644">
        <f t="shared" si="110"/>
        <v>1775586600</v>
      </c>
      <c r="S644" t="str">
        <f t="shared" si="111"/>
        <v>XAUUSD</v>
      </c>
      <c r="T644" t="str">
        <f t="shared" si="112"/>
        <v>M5</v>
      </c>
      <c r="U644">
        <f t="shared" si="113"/>
        <v>4683.04</v>
      </c>
      <c r="V644">
        <v>4701.8039399999998</v>
      </c>
      <c r="W644">
        <v>4683.6148000000003</v>
      </c>
      <c r="X644">
        <v>4680.1815900000001</v>
      </c>
      <c r="Y644">
        <v>4681.1680299999998</v>
      </c>
      <c r="Z644">
        <f t="shared" si="114"/>
        <v>4714.9184999999998</v>
      </c>
      <c r="AA644">
        <f t="shared" si="115"/>
        <v>4683.77117</v>
      </c>
      <c r="AB644">
        <f t="shared" si="116"/>
        <v>4671.8980899999997</v>
      </c>
      <c r="AC644">
        <f t="shared" si="117"/>
        <v>4678.19229</v>
      </c>
      <c r="AF644">
        <f t="shared" si="118"/>
        <v>4680.1815900000001</v>
      </c>
      <c r="AG644">
        <f t="shared" si="119"/>
        <v>4714.9184999999998</v>
      </c>
      <c r="AH644">
        <f t="shared" si="120"/>
        <v>4671.8980899999997</v>
      </c>
    </row>
    <row r="645" spans="1:34" x14ac:dyDescent="0.55000000000000004">
      <c r="A645">
        <f>ALGLIB_SSA_XAUUSD!J645</f>
        <v>1775586900</v>
      </c>
      <c r="B645" t="str">
        <f>_xlfn.XLOOKUP($A645,ALGLIB_SSA_XAUUSD!$A$2:$A$1000,ALGLIB_SSA_XAUUSD!$B$2:$B$1000,"",0)</f>
        <v/>
      </c>
      <c r="C645" t="str">
        <f>_xlfn.XLOOKUP($A645,ALGLIB_SSA_XAUUSD!$A$2:$A$1000,ALGLIB_SSA_XAUUSD!$C$2:$C$1000,"",0)</f>
        <v/>
      </c>
      <c r="D645" s="1">
        <f>D638+(D650-D638)*7/12</f>
        <v>4684.5474999999997</v>
      </c>
      <c r="E645" s="1">
        <f>E638+(E650-E638)*7/12</f>
        <v>4704.0156166666666</v>
      </c>
      <c r="F645" s="1">
        <f>F638+(F650-F638)*7/12</f>
        <v>4685.362533333333</v>
      </c>
      <c r="G645" s="1">
        <f>G638+(G650-G638)*7/12</f>
        <v>4717.1307033333333</v>
      </c>
      <c r="H645" s="1">
        <f>H638+(H650-H638)*7/12</f>
        <v>4673.7125649999998</v>
      </c>
      <c r="I645" t="str">
        <f>_xlfn.XLOOKUP($A645,ALGLIB_SSA_XAUUSD!$J$2:$J$1000,ALGLIB_SSA_XAUUSD!$K$2:$K$1000,"",0)</f>
        <v>XAUUSD</v>
      </c>
      <c r="J645" t="str">
        <f>_xlfn.XLOOKUP($A645,ALGLIB_SSA_XAUUSD!$J$2:$J$1000,ALGLIB_SSA_XAUUSD!$L$2:$L$1000,"",0)</f>
        <v>M5</v>
      </c>
      <c r="K645">
        <f>_xlfn.XLOOKUP($A645,ALGLIB_SSA_XAUUSD!$J$2:$J$1000,ALGLIB_SSA_XAUUSD!$M$2:$M$1000,"",0)</f>
        <v>4679.75</v>
      </c>
      <c r="L645">
        <f>_xlfn.XLOOKUP($A645,ALGLIB_SSA_XAUUSD!$J$2:$J$1000,ALGLIB_SSA_XAUUSD!$N$2:$N$1000,"",0)</f>
        <v>4677.48801</v>
      </c>
      <c r="M645">
        <f>_xlfn.XLOOKUP($A645,ALGLIB_SSA_XAUUSD!$J$2:$J$1000,ALGLIB_SSA_XAUUSD!$O$2:$O$1000,"",0)</f>
        <v>4679.3280199999999</v>
      </c>
      <c r="N645">
        <f>_xlfn.XLOOKUP($A645,ALGLIB_SSA_XAUUSD!$J$2:$J$1000,ALGLIB_SSA_XAUUSD!$P$2:$P$1000,"",0)</f>
        <v>4681.5489399999997</v>
      </c>
      <c r="O645">
        <f>_xlfn.XLOOKUP($A645,ALGLIB_SSA_XAUUSD!$J$2:$J$1000,ALGLIB_SSA_XAUUSD!$Q$2:$Q$1000,"",0)</f>
        <v>4675.7848100000001</v>
      </c>
      <c r="R645">
        <f t="shared" si="110"/>
        <v>1775586900</v>
      </c>
      <c r="S645" t="str">
        <f t="shared" si="111"/>
        <v>XAUUSD</v>
      </c>
      <c r="T645" t="str">
        <f t="shared" si="112"/>
        <v>M5</v>
      </c>
      <c r="U645">
        <f t="shared" si="113"/>
        <v>4679.75</v>
      </c>
      <c r="V645">
        <v>4704.0156200000001</v>
      </c>
      <c r="W645">
        <v>4685.3625300000003</v>
      </c>
      <c r="X645">
        <v>4677.48801</v>
      </c>
      <c r="Y645">
        <v>4679.3280199999999</v>
      </c>
      <c r="Z645">
        <f t="shared" si="114"/>
        <v>4717.1307033333333</v>
      </c>
      <c r="AA645">
        <f t="shared" si="115"/>
        <v>4681.5489399999997</v>
      </c>
      <c r="AB645">
        <f t="shared" si="116"/>
        <v>4673.7125649999998</v>
      </c>
      <c r="AC645">
        <f t="shared" si="117"/>
        <v>4675.7848100000001</v>
      </c>
      <c r="AF645">
        <f t="shared" si="118"/>
        <v>4677.48801</v>
      </c>
      <c r="AG645">
        <f t="shared" si="119"/>
        <v>4717.1307033333333</v>
      </c>
      <c r="AH645">
        <f t="shared" si="120"/>
        <v>4673.7125649999998</v>
      </c>
    </row>
    <row r="646" spans="1:34" x14ac:dyDescent="0.55000000000000004">
      <c r="A646">
        <f>ALGLIB_SSA_XAUUSD!J646</f>
        <v>1775587200</v>
      </c>
      <c r="B646" t="str">
        <f>_xlfn.XLOOKUP($A646,ALGLIB_SSA_XAUUSD!$A$2:$A$1000,ALGLIB_SSA_XAUUSD!$B$2:$B$1000,"",0)</f>
        <v/>
      </c>
      <c r="C646" t="str">
        <f>_xlfn.XLOOKUP($A646,ALGLIB_SSA_XAUUSD!$A$2:$A$1000,ALGLIB_SSA_XAUUSD!$C$2:$C$1000,"",0)</f>
        <v/>
      </c>
      <c r="D646" s="1">
        <f>D638+(D650-D638)*8/12</f>
        <v>4687.76</v>
      </c>
      <c r="E646" s="1">
        <f>E638+(E650-E638)*8/12</f>
        <v>4706.2272933333334</v>
      </c>
      <c r="F646" s="1">
        <f>F638+(F650-F638)*8/12</f>
        <v>4687.1102666666666</v>
      </c>
      <c r="G646" s="1">
        <f>G638+(G650-G638)*8/12</f>
        <v>4719.3429066666667</v>
      </c>
      <c r="H646" s="1">
        <f>H638+(H650-H638)*8/12</f>
        <v>4675.5270399999999</v>
      </c>
      <c r="I646" t="str">
        <f>_xlfn.XLOOKUP($A646,ALGLIB_SSA_XAUUSD!$J$2:$J$1000,ALGLIB_SSA_XAUUSD!$K$2:$K$1000,"",0)</f>
        <v>XAUUSD</v>
      </c>
      <c r="J646" t="str">
        <f>_xlfn.XLOOKUP($A646,ALGLIB_SSA_XAUUSD!$J$2:$J$1000,ALGLIB_SSA_XAUUSD!$L$2:$L$1000,"",0)</f>
        <v>M5</v>
      </c>
      <c r="K646">
        <f>_xlfn.XLOOKUP($A646,ALGLIB_SSA_XAUUSD!$J$2:$J$1000,ALGLIB_SSA_XAUUSD!$M$2:$M$1000,"",0)</f>
        <v>4679.67</v>
      </c>
      <c r="L646">
        <f>_xlfn.XLOOKUP($A646,ALGLIB_SSA_XAUUSD!$J$2:$J$1000,ALGLIB_SSA_XAUUSD!$N$2:$N$1000,"",0)</f>
        <v>4674.26865</v>
      </c>
      <c r="M646">
        <f>_xlfn.XLOOKUP($A646,ALGLIB_SSA_XAUUSD!$J$2:$J$1000,ALGLIB_SSA_XAUUSD!$O$2:$O$1000,"",0)</f>
        <v>4676.7983299999996</v>
      </c>
      <c r="N646">
        <f>_xlfn.XLOOKUP($A646,ALGLIB_SSA_XAUUSD!$J$2:$J$1000,ALGLIB_SSA_XAUUSD!$P$2:$P$1000,"",0)</f>
        <v>4678.6378500000001</v>
      </c>
      <c r="O646">
        <f>_xlfn.XLOOKUP($A646,ALGLIB_SSA_XAUUSD!$J$2:$J$1000,ALGLIB_SSA_XAUUSD!$Q$2:$Q$1000,"",0)</f>
        <v>4672.5440699999999</v>
      </c>
      <c r="R646">
        <f t="shared" si="110"/>
        <v>1775587200</v>
      </c>
      <c r="S646" t="str">
        <f t="shared" si="111"/>
        <v>XAUUSD</v>
      </c>
      <c r="T646" t="str">
        <f t="shared" si="112"/>
        <v>M5</v>
      </c>
      <c r="U646">
        <f t="shared" si="113"/>
        <v>4679.67</v>
      </c>
      <c r="V646">
        <v>4706.2272899999998</v>
      </c>
      <c r="W646">
        <v>4687.1102700000001</v>
      </c>
      <c r="X646">
        <v>4674.26865</v>
      </c>
      <c r="Y646">
        <v>4676.7983299999996</v>
      </c>
      <c r="Z646">
        <f t="shared" si="114"/>
        <v>4719.3429066666667</v>
      </c>
      <c r="AA646">
        <f t="shared" si="115"/>
        <v>4678.6378500000001</v>
      </c>
      <c r="AB646">
        <f t="shared" si="116"/>
        <v>4675.5270399999999</v>
      </c>
      <c r="AC646">
        <f t="shared" si="117"/>
        <v>4672.5440699999999</v>
      </c>
      <c r="AF646">
        <f t="shared" si="118"/>
        <v>4674.26865</v>
      </c>
      <c r="AG646">
        <f t="shared" si="119"/>
        <v>4719.3429066666667</v>
      </c>
      <c r="AH646">
        <f t="shared" si="120"/>
        <v>4675.5270399999999</v>
      </c>
    </row>
    <row r="647" spans="1:34" x14ac:dyDescent="0.55000000000000004">
      <c r="A647">
        <f>ALGLIB_SSA_XAUUSD!J647</f>
        <v>1775587500</v>
      </c>
      <c r="B647" t="str">
        <f>_xlfn.XLOOKUP($A647,ALGLIB_SSA_XAUUSD!$A$2:$A$1000,ALGLIB_SSA_XAUUSD!$B$2:$B$1000,"",0)</f>
        <v/>
      </c>
      <c r="C647" t="str">
        <f>_xlfn.XLOOKUP($A647,ALGLIB_SSA_XAUUSD!$A$2:$A$1000,ALGLIB_SSA_XAUUSD!$C$2:$C$1000,"",0)</f>
        <v/>
      </c>
      <c r="D647" s="1">
        <f>D638+(D650-D638)*9/12</f>
        <v>4690.9724999999999</v>
      </c>
      <c r="E647" s="1">
        <f>E638+(E650-E638)*9/12</f>
        <v>4708.4389699999992</v>
      </c>
      <c r="F647" s="1">
        <f>F638+(F650-F638)*9/12</f>
        <v>4688.8580000000002</v>
      </c>
      <c r="G647" s="1">
        <f>G638+(G650-G638)*9/12</f>
        <v>4721.5551099999993</v>
      </c>
      <c r="H647" s="1">
        <f>H638+(H650-H638)*9/12</f>
        <v>4677.3415150000001</v>
      </c>
      <c r="I647" t="str">
        <f>_xlfn.XLOOKUP($A647,ALGLIB_SSA_XAUUSD!$J$2:$J$1000,ALGLIB_SSA_XAUUSD!$K$2:$K$1000,"",0)</f>
        <v>XAUUSD</v>
      </c>
      <c r="J647" t="str">
        <f>_xlfn.XLOOKUP($A647,ALGLIB_SSA_XAUUSD!$J$2:$J$1000,ALGLIB_SSA_XAUUSD!$L$2:$L$1000,"",0)</f>
        <v>M5</v>
      </c>
      <c r="K647">
        <f>_xlfn.XLOOKUP($A647,ALGLIB_SSA_XAUUSD!$J$2:$J$1000,ALGLIB_SSA_XAUUSD!$M$2:$M$1000,"",0)</f>
        <v>4674.38</v>
      </c>
      <c r="L647">
        <f>_xlfn.XLOOKUP($A647,ALGLIB_SSA_XAUUSD!$J$2:$J$1000,ALGLIB_SSA_XAUUSD!$N$2:$N$1000,"",0)</f>
        <v>4671.0107900000003</v>
      </c>
      <c r="M647">
        <f>_xlfn.XLOOKUP($A647,ALGLIB_SSA_XAUUSD!$J$2:$J$1000,ALGLIB_SSA_XAUUSD!$O$2:$O$1000,"",0)</f>
        <v>4673.9045599999999</v>
      </c>
      <c r="N647">
        <f>_xlfn.XLOOKUP($A647,ALGLIB_SSA_XAUUSD!$J$2:$J$1000,ALGLIB_SSA_XAUUSD!$P$2:$P$1000,"",0)</f>
        <v>4675.5720000000001</v>
      </c>
      <c r="O647">
        <f>_xlfn.XLOOKUP($A647,ALGLIB_SSA_XAUUSD!$J$2:$J$1000,ALGLIB_SSA_XAUUSD!$Q$2:$Q$1000,"",0)</f>
        <v>4668.9222499999996</v>
      </c>
      <c r="R647">
        <f t="shared" si="110"/>
        <v>1775587500</v>
      </c>
      <c r="S647" t="str">
        <f t="shared" si="111"/>
        <v>XAUUSD</v>
      </c>
      <c r="T647" t="str">
        <f t="shared" si="112"/>
        <v>M5</v>
      </c>
      <c r="U647">
        <f t="shared" si="113"/>
        <v>4674.38</v>
      </c>
      <c r="V647">
        <v>4708.4389700000002</v>
      </c>
      <c r="W647">
        <v>4688.8580000000002</v>
      </c>
      <c r="X647">
        <v>4671.0107900000003</v>
      </c>
      <c r="Y647">
        <v>4673.9045599999999</v>
      </c>
      <c r="Z647">
        <f t="shared" si="114"/>
        <v>4721.5551099999993</v>
      </c>
      <c r="AA647">
        <f t="shared" si="115"/>
        <v>4675.5720000000001</v>
      </c>
      <c r="AB647">
        <f t="shared" si="116"/>
        <v>4677.3415150000001</v>
      </c>
      <c r="AC647">
        <f t="shared" si="117"/>
        <v>4668.9222499999996</v>
      </c>
      <c r="AF647">
        <f t="shared" si="118"/>
        <v>4671.0107900000003</v>
      </c>
      <c r="AG647">
        <f t="shared" si="119"/>
        <v>4721.5551099999993</v>
      </c>
      <c r="AH647">
        <f t="shared" si="120"/>
        <v>4677.3415150000001</v>
      </c>
    </row>
    <row r="648" spans="1:34" x14ac:dyDescent="0.55000000000000004">
      <c r="A648">
        <f>ALGLIB_SSA_XAUUSD!J648</f>
        <v>1775587800</v>
      </c>
      <c r="B648" t="str">
        <f>_xlfn.XLOOKUP($A648,ALGLIB_SSA_XAUUSD!$A$2:$A$1000,ALGLIB_SSA_XAUUSD!$B$2:$B$1000,"",0)</f>
        <v/>
      </c>
      <c r="C648" t="str">
        <f>_xlfn.XLOOKUP($A648,ALGLIB_SSA_XAUUSD!$A$2:$A$1000,ALGLIB_SSA_XAUUSD!$C$2:$C$1000,"",0)</f>
        <v/>
      </c>
      <c r="D648" s="1">
        <f>D638+(D650-D638)*10/12</f>
        <v>4694.1849999999995</v>
      </c>
      <c r="E648" s="1">
        <f>E638+(E650-E638)*10/12</f>
        <v>4710.650646666666</v>
      </c>
      <c r="F648" s="1">
        <f>F638+(F650-F638)*10/12</f>
        <v>4690.6057333333338</v>
      </c>
      <c r="G648" s="1">
        <f>G638+(G650-G638)*10/12</f>
        <v>4723.7673133333328</v>
      </c>
      <c r="H648" s="1">
        <f>H638+(H650-H638)*10/12</f>
        <v>4679.1559899999993</v>
      </c>
      <c r="I648" t="str">
        <f>_xlfn.XLOOKUP($A648,ALGLIB_SSA_XAUUSD!$J$2:$J$1000,ALGLIB_SSA_XAUUSD!$K$2:$K$1000,"",0)</f>
        <v>XAUUSD</v>
      </c>
      <c r="J648" t="str">
        <f>_xlfn.XLOOKUP($A648,ALGLIB_SSA_XAUUSD!$J$2:$J$1000,ALGLIB_SSA_XAUUSD!$L$2:$L$1000,"",0)</f>
        <v>M5</v>
      </c>
      <c r="K648">
        <f>_xlfn.XLOOKUP($A648,ALGLIB_SSA_XAUUSD!$J$2:$J$1000,ALGLIB_SSA_XAUUSD!$M$2:$M$1000,"",0)</f>
        <v>4664.91</v>
      </c>
      <c r="L648">
        <f>_xlfn.XLOOKUP($A648,ALGLIB_SSA_XAUUSD!$J$2:$J$1000,ALGLIB_SSA_XAUUSD!$N$2:$N$1000,"",0)</f>
        <v>4668.38724</v>
      </c>
      <c r="M648">
        <f>_xlfn.XLOOKUP($A648,ALGLIB_SSA_XAUUSD!$J$2:$J$1000,ALGLIB_SSA_XAUUSD!$O$2:$O$1000,"",0)</f>
        <v>4671.1459000000004</v>
      </c>
      <c r="N648">
        <f>_xlfn.XLOOKUP($A648,ALGLIB_SSA_XAUUSD!$J$2:$J$1000,ALGLIB_SSA_XAUUSD!$P$2:$P$1000,"",0)</f>
        <v>4672.9289699999999</v>
      </c>
      <c r="O648">
        <f>_xlfn.XLOOKUP($A648,ALGLIB_SSA_XAUUSD!$J$2:$J$1000,ALGLIB_SSA_XAUUSD!$Q$2:$Q$1000,"",0)</f>
        <v>4665.59303</v>
      </c>
      <c r="R648">
        <f t="shared" si="110"/>
        <v>1775587800</v>
      </c>
      <c r="S648" t="str">
        <f t="shared" si="111"/>
        <v>XAUUSD</v>
      </c>
      <c r="T648" t="str">
        <f t="shared" si="112"/>
        <v>M5</v>
      </c>
      <c r="U648">
        <f t="shared" si="113"/>
        <v>4664.91</v>
      </c>
      <c r="V648">
        <v>4710.6506499999996</v>
      </c>
      <c r="W648">
        <v>4690.6057300000002</v>
      </c>
      <c r="X648">
        <v>4668.38724</v>
      </c>
      <c r="Y648">
        <v>4671.1459000000004</v>
      </c>
      <c r="Z648">
        <f t="shared" si="114"/>
        <v>4723.7673133333328</v>
      </c>
      <c r="AA648">
        <f t="shared" si="115"/>
        <v>4672.9289699999999</v>
      </c>
      <c r="AB648">
        <f t="shared" si="116"/>
        <v>4679.1559899999993</v>
      </c>
      <c r="AC648">
        <f t="shared" si="117"/>
        <v>4665.59303</v>
      </c>
      <c r="AF648">
        <f t="shared" si="118"/>
        <v>4668.38724</v>
      </c>
      <c r="AG648">
        <f t="shared" si="119"/>
        <v>4723.7673133333328</v>
      </c>
      <c r="AH648">
        <f t="shared" si="120"/>
        <v>4679.1559899999993</v>
      </c>
    </row>
    <row r="649" spans="1:34" x14ac:dyDescent="0.55000000000000004">
      <c r="A649">
        <f>ALGLIB_SSA_XAUUSD!J649</f>
        <v>1775588100</v>
      </c>
      <c r="B649" t="str">
        <f>_xlfn.XLOOKUP($A649,ALGLIB_SSA_XAUUSD!$A$2:$A$1000,ALGLIB_SSA_XAUUSD!$B$2:$B$1000,"",0)</f>
        <v/>
      </c>
      <c r="C649" t="str">
        <f>_xlfn.XLOOKUP($A649,ALGLIB_SSA_XAUUSD!$A$2:$A$1000,ALGLIB_SSA_XAUUSD!$C$2:$C$1000,"",0)</f>
        <v/>
      </c>
      <c r="D649" s="1">
        <f>D638+(D650-D638)*11/12</f>
        <v>4697.3975</v>
      </c>
      <c r="E649" s="1">
        <f>E638+(E650-E638)*11/12</f>
        <v>4712.8623233333328</v>
      </c>
      <c r="F649" s="1">
        <f>F638+(F650-F638)*11/12</f>
        <v>4692.3534666666665</v>
      </c>
      <c r="G649" s="1">
        <f>G638+(G650-G638)*11/12</f>
        <v>4725.9795166666663</v>
      </c>
      <c r="H649" s="1">
        <f>H638+(H650-H638)*11/12</f>
        <v>4680.9704649999994</v>
      </c>
      <c r="I649" t="str">
        <f>_xlfn.XLOOKUP($A649,ALGLIB_SSA_XAUUSD!$J$2:$J$1000,ALGLIB_SSA_XAUUSD!$K$2:$K$1000,"",0)</f>
        <v>XAUUSD</v>
      </c>
      <c r="J649" t="str">
        <f>_xlfn.XLOOKUP($A649,ALGLIB_SSA_XAUUSD!$J$2:$J$1000,ALGLIB_SSA_XAUUSD!$L$2:$L$1000,"",0)</f>
        <v>M5</v>
      </c>
      <c r="K649">
        <f>_xlfn.XLOOKUP($A649,ALGLIB_SSA_XAUUSD!$J$2:$J$1000,ALGLIB_SSA_XAUUSD!$M$2:$M$1000,"",0)</f>
        <v>4662.0600000000004</v>
      </c>
      <c r="L649">
        <f>_xlfn.XLOOKUP($A649,ALGLIB_SSA_XAUUSD!$J$2:$J$1000,ALGLIB_SSA_XAUUSD!$N$2:$N$1000,"",0)</f>
        <v>4667.0990599999996</v>
      </c>
      <c r="M649">
        <f>_xlfn.XLOOKUP($A649,ALGLIB_SSA_XAUUSD!$J$2:$J$1000,ALGLIB_SSA_XAUUSD!$O$2:$O$1000,"",0)</f>
        <v>4669.12248</v>
      </c>
      <c r="N649">
        <f>_xlfn.XLOOKUP($A649,ALGLIB_SSA_XAUUSD!$J$2:$J$1000,ALGLIB_SSA_XAUUSD!$P$2:$P$1000,"",0)</f>
        <v>4671.3557899999996</v>
      </c>
      <c r="O649">
        <f>_xlfn.XLOOKUP($A649,ALGLIB_SSA_XAUUSD!$J$2:$J$1000,ALGLIB_SSA_XAUUSD!$Q$2:$Q$1000,"",0)</f>
        <v>4663.3043500000003</v>
      </c>
      <c r="R649">
        <f t="shared" si="110"/>
        <v>1775588100</v>
      </c>
      <c r="S649" t="str">
        <f t="shared" si="111"/>
        <v>XAUUSD</v>
      </c>
      <c r="T649" t="str">
        <f t="shared" si="112"/>
        <v>M5</v>
      </c>
      <c r="U649">
        <f t="shared" si="113"/>
        <v>4662.0600000000004</v>
      </c>
      <c r="V649">
        <v>4712.8623200000002</v>
      </c>
      <c r="W649">
        <v>4692.35347</v>
      </c>
      <c r="X649">
        <v>4667.0990599999996</v>
      </c>
      <c r="Y649">
        <v>4669.12248</v>
      </c>
      <c r="Z649">
        <f t="shared" si="114"/>
        <v>4725.9795166666663</v>
      </c>
      <c r="AA649">
        <f t="shared" si="115"/>
        <v>4671.3557899999996</v>
      </c>
      <c r="AB649">
        <f t="shared" si="116"/>
        <v>4680.9704649999994</v>
      </c>
      <c r="AC649">
        <f t="shared" si="117"/>
        <v>4663.3043500000003</v>
      </c>
      <c r="AF649">
        <f t="shared" si="118"/>
        <v>4667.0990599999996</v>
      </c>
      <c r="AG649">
        <f t="shared" si="119"/>
        <v>4725.9795166666663</v>
      </c>
      <c r="AH649">
        <f t="shared" si="120"/>
        <v>4680.9704649999994</v>
      </c>
    </row>
    <row r="650" spans="1:34" x14ac:dyDescent="0.55000000000000004">
      <c r="A650">
        <f>ALGLIB_SSA_XAUUSD!J650</f>
        <v>1775588400</v>
      </c>
      <c r="B650" t="str">
        <f>_xlfn.XLOOKUP($A650,ALGLIB_SSA_XAUUSD!$A$2:$A$1000,ALGLIB_SSA_XAUUSD!$B$2:$B$1000,"",0)</f>
        <v>XAUUSD</v>
      </c>
      <c r="C650" t="str">
        <f>_xlfn.XLOOKUP($A650,ALGLIB_SSA_XAUUSD!$A$2:$A$1000,ALGLIB_SSA_XAUUSD!$C$2:$C$1000,"",0)</f>
        <v>H1</v>
      </c>
      <c r="D650" s="2">
        <f>_xlfn.XLOOKUP($A650,ALGLIB_SSA_XAUUSD!$A$2:$A$1000,ALGLIB_SSA_XAUUSD!$D$2:$D$1000,"",0)</f>
        <v>4700.6099999999997</v>
      </c>
      <c r="E650" s="2">
        <f>_xlfn.XLOOKUP($A650,ALGLIB_SSA_XAUUSD!$A$2:$A$1000,ALGLIB_SSA_XAUUSD!$E$2:$E$1000,"",0)</f>
        <v>4715.0739999999996</v>
      </c>
      <c r="F650" s="2">
        <f>_xlfn.XLOOKUP($A650,ALGLIB_SSA_XAUUSD!$A$2:$A$1000,ALGLIB_SSA_XAUUSD!$F$2:$F$1000,"",0)</f>
        <v>4694.1012000000001</v>
      </c>
      <c r="G650" s="2">
        <f>_xlfn.XLOOKUP($A650,ALGLIB_SSA_XAUUSD!$A$2:$A$1000,ALGLIB_SSA_XAUUSD!$G$2:$G$1000,"",0)</f>
        <v>4728.1917199999998</v>
      </c>
      <c r="H650" s="2">
        <f>_xlfn.XLOOKUP($A650,ALGLIB_SSA_XAUUSD!$A$2:$A$1000,ALGLIB_SSA_XAUUSD!$H$2:$H$1000,"",0)</f>
        <v>4682.7849399999996</v>
      </c>
      <c r="I650" t="str">
        <f>_xlfn.XLOOKUP($A650,ALGLIB_SSA_XAUUSD!$J$2:$J$1000,ALGLIB_SSA_XAUUSD!$K$2:$K$1000,"",0)</f>
        <v>XAUUSD</v>
      </c>
      <c r="J650" t="str">
        <f>_xlfn.XLOOKUP($A650,ALGLIB_SSA_XAUUSD!$J$2:$J$1000,ALGLIB_SSA_XAUUSD!$L$2:$L$1000,"",0)</f>
        <v>M5</v>
      </c>
      <c r="K650">
        <f>_xlfn.XLOOKUP($A650,ALGLIB_SSA_XAUUSD!$J$2:$J$1000,ALGLIB_SSA_XAUUSD!$M$2:$M$1000,"",0)</f>
        <v>4665.21</v>
      </c>
      <c r="L650">
        <f>_xlfn.XLOOKUP($A650,ALGLIB_SSA_XAUUSD!$J$2:$J$1000,ALGLIB_SSA_XAUUSD!$N$2:$N$1000,"",0)</f>
        <v>4667.4702500000003</v>
      </c>
      <c r="M650">
        <f>_xlfn.XLOOKUP($A650,ALGLIB_SSA_XAUUSD!$J$2:$J$1000,ALGLIB_SSA_XAUUSD!$O$2:$O$1000,"",0)</f>
        <v>4668.2963600000003</v>
      </c>
      <c r="N650">
        <f>_xlfn.XLOOKUP($A650,ALGLIB_SSA_XAUUSD!$J$2:$J$1000,ALGLIB_SSA_XAUUSD!$P$2:$P$1000,"",0)</f>
        <v>4671.4558200000001</v>
      </c>
      <c r="O650">
        <f>_xlfn.XLOOKUP($A650,ALGLIB_SSA_XAUUSD!$J$2:$J$1000,ALGLIB_SSA_XAUUSD!$Q$2:$Q$1000,"",0)</f>
        <v>4662.64048</v>
      </c>
      <c r="R650">
        <f t="shared" si="110"/>
        <v>1775588400</v>
      </c>
      <c r="S650" t="str">
        <f t="shared" si="111"/>
        <v>XAUUSD</v>
      </c>
      <c r="T650" t="str">
        <f t="shared" si="112"/>
        <v>M5</v>
      </c>
      <c r="U650">
        <f t="shared" si="113"/>
        <v>4665.21</v>
      </c>
      <c r="V650">
        <v>4715.0739999999996</v>
      </c>
      <c r="W650">
        <v>4694.1012000000001</v>
      </c>
      <c r="X650">
        <v>4667.4702500000003</v>
      </c>
      <c r="Y650">
        <v>4668.2963600000003</v>
      </c>
      <c r="Z650">
        <f t="shared" si="114"/>
        <v>4728.1917199999998</v>
      </c>
      <c r="AA650">
        <f t="shared" si="115"/>
        <v>4671.4558200000001</v>
      </c>
      <c r="AB650">
        <f t="shared" si="116"/>
        <v>4682.7849399999996</v>
      </c>
      <c r="AC650">
        <f t="shared" si="117"/>
        <v>4662.64048</v>
      </c>
      <c r="AF650">
        <f t="shared" si="118"/>
        <v>4667.4702500000003</v>
      </c>
      <c r="AG650">
        <f t="shared" si="119"/>
        <v>4728.1917199999998</v>
      </c>
      <c r="AH650">
        <f t="shared" si="120"/>
        <v>4682.7849399999996</v>
      </c>
    </row>
    <row r="651" spans="1:34" x14ac:dyDescent="0.55000000000000004">
      <c r="A651">
        <f>ALGLIB_SSA_XAUUSD!J651</f>
        <v>1775588700</v>
      </c>
      <c r="B651" t="str">
        <f>_xlfn.XLOOKUP($A651,ALGLIB_SSA_XAUUSD!$A$2:$A$1000,ALGLIB_SSA_XAUUSD!$B$2:$B$1000,"",0)</f>
        <v/>
      </c>
      <c r="C651" t="str">
        <f>_xlfn.XLOOKUP($A651,ALGLIB_SSA_XAUUSD!$A$2:$A$1000,ALGLIB_SSA_XAUUSD!$C$2:$C$1000,"",0)</f>
        <v/>
      </c>
      <c r="D651" s="1">
        <f>D650+(D662-D650)*1/12</f>
        <v>4701.0225</v>
      </c>
      <c r="E651" s="1">
        <f>E650+(E662-E650)*1/12</f>
        <v>4717.3797083333329</v>
      </c>
      <c r="F651" s="1">
        <f>F650+(F662-F650)*1/12</f>
        <v>4696.1279208333335</v>
      </c>
      <c r="G651" s="1">
        <f>G650+(G662-G650)*1/12</f>
        <v>4730.5144358333328</v>
      </c>
      <c r="H651" s="1">
        <f>H650+(H662-H650)*1/12</f>
        <v>4684.8577174999991</v>
      </c>
      <c r="I651" t="str">
        <f>_xlfn.XLOOKUP($A651,ALGLIB_SSA_XAUUSD!$J$2:$J$1000,ALGLIB_SSA_XAUUSD!$K$2:$K$1000,"",0)</f>
        <v>XAUUSD</v>
      </c>
      <c r="J651" t="str">
        <f>_xlfn.XLOOKUP($A651,ALGLIB_SSA_XAUUSD!$J$2:$J$1000,ALGLIB_SSA_XAUUSD!$L$2:$L$1000,"",0)</f>
        <v>M5</v>
      </c>
      <c r="K651">
        <f>_xlfn.XLOOKUP($A651,ALGLIB_SSA_XAUUSD!$J$2:$J$1000,ALGLIB_SSA_XAUUSD!$M$2:$M$1000,"",0)</f>
        <v>4662.1000000000004</v>
      </c>
      <c r="L651">
        <f>_xlfn.XLOOKUP($A651,ALGLIB_SSA_XAUUSD!$J$2:$J$1000,ALGLIB_SSA_XAUUSD!$N$2:$N$1000,"",0)</f>
        <v>4669.42101</v>
      </c>
      <c r="M651">
        <f>_xlfn.XLOOKUP($A651,ALGLIB_SSA_XAUUSD!$J$2:$J$1000,ALGLIB_SSA_XAUUSD!$O$2:$O$1000,"",0)</f>
        <v>4668.85869</v>
      </c>
      <c r="N651">
        <f>_xlfn.XLOOKUP($A651,ALGLIB_SSA_XAUUSD!$J$2:$J$1000,ALGLIB_SSA_XAUUSD!$P$2:$P$1000,"",0)</f>
        <v>4673.2785899999999</v>
      </c>
      <c r="O651">
        <f>_xlfn.XLOOKUP($A651,ALGLIB_SSA_XAUUSD!$J$2:$J$1000,ALGLIB_SSA_XAUUSD!$Q$2:$Q$1000,"",0)</f>
        <v>4663.6897099999996</v>
      </c>
      <c r="R651">
        <f t="shared" si="110"/>
        <v>1775588700</v>
      </c>
      <c r="S651" t="str">
        <f t="shared" si="111"/>
        <v>XAUUSD</v>
      </c>
      <c r="T651" t="str">
        <f t="shared" si="112"/>
        <v>M5</v>
      </c>
      <c r="U651">
        <f t="shared" si="113"/>
        <v>4662.1000000000004</v>
      </c>
      <c r="V651">
        <v>4717.3797100000002</v>
      </c>
      <c r="W651">
        <v>4696.1279199999999</v>
      </c>
      <c r="X651">
        <v>4669.42101</v>
      </c>
      <c r="Y651">
        <v>4668.85869</v>
      </c>
      <c r="Z651">
        <f t="shared" si="114"/>
        <v>4730.5144358333328</v>
      </c>
      <c r="AA651">
        <f t="shared" si="115"/>
        <v>4673.2785899999999</v>
      </c>
      <c r="AB651">
        <f t="shared" si="116"/>
        <v>4684.8577174999991</v>
      </c>
      <c r="AC651">
        <f t="shared" si="117"/>
        <v>4663.6897099999996</v>
      </c>
      <c r="AF651">
        <f t="shared" si="118"/>
        <v>4669.42101</v>
      </c>
      <c r="AG651">
        <f t="shared" si="119"/>
        <v>4730.5144358333328</v>
      </c>
      <c r="AH651">
        <f t="shared" si="120"/>
        <v>4684.8577174999991</v>
      </c>
    </row>
    <row r="652" spans="1:34" x14ac:dyDescent="0.55000000000000004">
      <c r="A652">
        <f>ALGLIB_SSA_XAUUSD!J652</f>
        <v>1775589000</v>
      </c>
      <c r="B652" t="str">
        <f>_xlfn.XLOOKUP($A652,ALGLIB_SSA_XAUUSD!$A$2:$A$1000,ALGLIB_SSA_XAUUSD!$B$2:$B$1000,"",0)</f>
        <v/>
      </c>
      <c r="C652" t="str">
        <f>_xlfn.XLOOKUP($A652,ALGLIB_SSA_XAUUSD!$A$2:$A$1000,ALGLIB_SSA_XAUUSD!$C$2:$C$1000,"",0)</f>
        <v/>
      </c>
      <c r="D652" s="1">
        <f>D650+(D662-D650)*2/12</f>
        <v>4701.4349999999995</v>
      </c>
      <c r="E652" s="1">
        <f>E650+(E662-E650)*2/12</f>
        <v>4719.6854166666662</v>
      </c>
      <c r="F652" s="1">
        <f>F650+(F662-F650)*2/12</f>
        <v>4698.154641666667</v>
      </c>
      <c r="G652" s="1">
        <f>G650+(G662-G650)*2/12</f>
        <v>4732.8371516666666</v>
      </c>
      <c r="H652" s="1">
        <f>H650+(H662-H650)*2/12</f>
        <v>4686.9304949999996</v>
      </c>
      <c r="I652" t="str">
        <f>_xlfn.XLOOKUP($A652,ALGLIB_SSA_XAUUSD!$J$2:$J$1000,ALGLIB_SSA_XAUUSD!$K$2:$K$1000,"",0)</f>
        <v>XAUUSD</v>
      </c>
      <c r="J652" t="str">
        <f>_xlfn.XLOOKUP($A652,ALGLIB_SSA_XAUUSD!$J$2:$J$1000,ALGLIB_SSA_XAUUSD!$L$2:$L$1000,"",0)</f>
        <v>M5</v>
      </c>
      <c r="K652">
        <f>_xlfn.XLOOKUP($A652,ALGLIB_SSA_XAUUSD!$J$2:$J$1000,ALGLIB_SSA_XAUUSD!$M$2:$M$1000,"",0)</f>
        <v>4667.8500000000004</v>
      </c>
      <c r="L652">
        <f>_xlfn.XLOOKUP($A652,ALGLIB_SSA_XAUUSD!$J$2:$J$1000,ALGLIB_SSA_XAUUSD!$N$2:$N$1000,"",0)</f>
        <v>4672.8161300000002</v>
      </c>
      <c r="M652">
        <f>_xlfn.XLOOKUP($A652,ALGLIB_SSA_XAUUSD!$J$2:$J$1000,ALGLIB_SSA_XAUUSD!$O$2:$O$1000,"",0)</f>
        <v>4670.8374100000001</v>
      </c>
      <c r="N652">
        <f>_xlfn.XLOOKUP($A652,ALGLIB_SSA_XAUUSD!$J$2:$J$1000,ALGLIB_SSA_XAUUSD!$P$2:$P$1000,"",0)</f>
        <v>4676.6724199999999</v>
      </c>
      <c r="O652">
        <f>_xlfn.XLOOKUP($A652,ALGLIB_SSA_XAUUSD!$J$2:$J$1000,ALGLIB_SSA_XAUUSD!$Q$2:$Q$1000,"",0)</f>
        <v>4666.3169799999996</v>
      </c>
      <c r="R652">
        <f t="shared" si="110"/>
        <v>1775589000</v>
      </c>
      <c r="S652" t="str">
        <f t="shared" si="111"/>
        <v>XAUUSD</v>
      </c>
      <c r="T652" t="str">
        <f t="shared" si="112"/>
        <v>M5</v>
      </c>
      <c r="U652">
        <f t="shared" si="113"/>
        <v>4667.8500000000004</v>
      </c>
      <c r="V652">
        <v>4719.6854199999998</v>
      </c>
      <c r="W652">
        <v>4698.1546399999997</v>
      </c>
      <c r="X652">
        <v>4672.8161300000002</v>
      </c>
      <c r="Y652">
        <v>4670.8374100000001</v>
      </c>
      <c r="Z652">
        <f t="shared" si="114"/>
        <v>4732.8371516666666</v>
      </c>
      <c r="AA652">
        <f t="shared" si="115"/>
        <v>4676.6724199999999</v>
      </c>
      <c r="AB652">
        <f t="shared" si="116"/>
        <v>4686.9304949999996</v>
      </c>
      <c r="AC652">
        <f t="shared" si="117"/>
        <v>4666.3169799999996</v>
      </c>
      <c r="AF652">
        <f t="shared" si="118"/>
        <v>4672.8161300000002</v>
      </c>
      <c r="AG652">
        <f t="shared" si="119"/>
        <v>4732.8371516666666</v>
      </c>
      <c r="AH652">
        <f t="shared" si="120"/>
        <v>4686.9304949999996</v>
      </c>
    </row>
    <row r="653" spans="1:34" x14ac:dyDescent="0.55000000000000004">
      <c r="A653">
        <f>ALGLIB_SSA_XAUUSD!J653</f>
        <v>1775589300</v>
      </c>
      <c r="B653" t="str">
        <f>_xlfn.XLOOKUP($A653,ALGLIB_SSA_XAUUSD!$A$2:$A$1000,ALGLIB_SSA_XAUUSD!$B$2:$B$1000,"",0)</f>
        <v/>
      </c>
      <c r="C653" t="str">
        <f>_xlfn.XLOOKUP($A653,ALGLIB_SSA_XAUUSD!$A$2:$A$1000,ALGLIB_SSA_XAUUSD!$C$2:$C$1000,"",0)</f>
        <v/>
      </c>
      <c r="D653" s="1">
        <f>D650+(D662-D650)*3/12</f>
        <v>4701.8474999999999</v>
      </c>
      <c r="E653" s="1">
        <f>E650+(E662-E650)*3/12</f>
        <v>4721.9911249999996</v>
      </c>
      <c r="F653" s="1">
        <f>F650+(F662-F650)*3/12</f>
        <v>4700.1813624999995</v>
      </c>
      <c r="G653" s="1">
        <f>G650+(G662-G650)*3/12</f>
        <v>4735.1598674999996</v>
      </c>
      <c r="H653" s="1">
        <f>H650+(H662-H650)*3/12</f>
        <v>4689.0032725000001</v>
      </c>
      <c r="I653" t="str">
        <f>_xlfn.XLOOKUP($A653,ALGLIB_SSA_XAUUSD!$J$2:$J$1000,ALGLIB_SSA_XAUUSD!$K$2:$K$1000,"",0)</f>
        <v>XAUUSD</v>
      </c>
      <c r="J653" t="str">
        <f>_xlfn.XLOOKUP($A653,ALGLIB_SSA_XAUUSD!$J$2:$J$1000,ALGLIB_SSA_XAUUSD!$L$2:$L$1000,"",0)</f>
        <v>M5</v>
      </c>
      <c r="K653">
        <f>_xlfn.XLOOKUP($A653,ALGLIB_SSA_XAUUSD!$J$2:$J$1000,ALGLIB_SSA_XAUUSD!$M$2:$M$1000,"",0)</f>
        <v>4690.16</v>
      </c>
      <c r="L653">
        <f>_xlfn.XLOOKUP($A653,ALGLIB_SSA_XAUUSD!$J$2:$J$1000,ALGLIB_SSA_XAUUSD!$N$2:$N$1000,"",0)</f>
        <v>4677.1425200000003</v>
      </c>
      <c r="M653">
        <f>_xlfn.XLOOKUP($A653,ALGLIB_SSA_XAUUSD!$J$2:$J$1000,ALGLIB_SSA_XAUUSD!$O$2:$O$1000,"",0)</f>
        <v>4673.9899599999999</v>
      </c>
      <c r="N653">
        <f>_xlfn.XLOOKUP($A653,ALGLIB_SSA_XAUUSD!$J$2:$J$1000,ALGLIB_SSA_XAUUSD!$P$2:$P$1000,"",0)</f>
        <v>4681.30969</v>
      </c>
      <c r="O653">
        <f>_xlfn.XLOOKUP($A653,ALGLIB_SSA_XAUUSD!$J$2:$J$1000,ALGLIB_SSA_XAUUSD!$Q$2:$Q$1000,"",0)</f>
        <v>4670.11996</v>
      </c>
      <c r="R653">
        <f t="shared" si="110"/>
        <v>1775589300</v>
      </c>
      <c r="S653" t="str">
        <f t="shared" si="111"/>
        <v>XAUUSD</v>
      </c>
      <c r="T653" t="str">
        <f t="shared" si="112"/>
        <v>M5</v>
      </c>
      <c r="U653">
        <f t="shared" si="113"/>
        <v>4690.16</v>
      </c>
      <c r="V653">
        <v>4721.9911199999997</v>
      </c>
      <c r="W653">
        <v>4700.1813599999996</v>
      </c>
      <c r="X653">
        <v>4677.1425200000003</v>
      </c>
      <c r="Y653">
        <v>4673.9899599999999</v>
      </c>
      <c r="Z653">
        <f t="shared" si="114"/>
        <v>4735.1598674999996</v>
      </c>
      <c r="AA653">
        <f t="shared" si="115"/>
        <v>4681.30969</v>
      </c>
      <c r="AB653">
        <f t="shared" si="116"/>
        <v>4689.0032725000001</v>
      </c>
      <c r="AC653">
        <f t="shared" si="117"/>
        <v>4670.11996</v>
      </c>
      <c r="AF653">
        <f t="shared" si="118"/>
        <v>4677.1425200000003</v>
      </c>
      <c r="AG653">
        <f t="shared" si="119"/>
        <v>4735.1598674999996</v>
      </c>
      <c r="AH653">
        <f t="shared" si="120"/>
        <v>4689.0032725000001</v>
      </c>
    </row>
    <row r="654" spans="1:34" x14ac:dyDescent="0.55000000000000004">
      <c r="A654">
        <f>ALGLIB_SSA_XAUUSD!J654</f>
        <v>1775589600</v>
      </c>
      <c r="B654" t="str">
        <f>_xlfn.XLOOKUP($A654,ALGLIB_SSA_XAUUSD!$A$2:$A$1000,ALGLIB_SSA_XAUUSD!$B$2:$B$1000,"",0)</f>
        <v/>
      </c>
      <c r="C654" t="str">
        <f>_xlfn.XLOOKUP($A654,ALGLIB_SSA_XAUUSD!$A$2:$A$1000,ALGLIB_SSA_XAUUSD!$C$2:$C$1000,"",0)</f>
        <v/>
      </c>
      <c r="D654" s="1">
        <f>D650+(D662-D650)*4/12</f>
        <v>4702.26</v>
      </c>
      <c r="E654" s="1">
        <f>E650+(E662-E650)*4/12</f>
        <v>4724.2968333333329</v>
      </c>
      <c r="F654" s="1">
        <f>F650+(F662-F650)*4/12</f>
        <v>4702.208083333333</v>
      </c>
      <c r="G654" s="1">
        <f>G650+(G662-G650)*4/12</f>
        <v>4737.4825833333334</v>
      </c>
      <c r="H654" s="1">
        <f>H650+(H662-H650)*4/12</f>
        <v>4691.0760499999997</v>
      </c>
      <c r="I654" t="str">
        <f>_xlfn.XLOOKUP($A654,ALGLIB_SSA_XAUUSD!$J$2:$J$1000,ALGLIB_SSA_XAUUSD!$K$2:$K$1000,"",0)</f>
        <v>XAUUSD</v>
      </c>
      <c r="J654" t="str">
        <f>_xlfn.XLOOKUP($A654,ALGLIB_SSA_XAUUSD!$J$2:$J$1000,ALGLIB_SSA_XAUUSD!$L$2:$L$1000,"",0)</f>
        <v>M5</v>
      </c>
      <c r="K654">
        <f>_xlfn.XLOOKUP($A654,ALGLIB_SSA_XAUUSD!$J$2:$J$1000,ALGLIB_SSA_XAUUSD!$M$2:$M$1000,"",0)</f>
        <v>4689.54</v>
      </c>
      <c r="L654">
        <f>_xlfn.XLOOKUP($A654,ALGLIB_SSA_XAUUSD!$J$2:$J$1000,ALGLIB_SSA_XAUUSD!$N$2:$N$1000,"",0)</f>
        <v>4681.4152400000003</v>
      </c>
      <c r="M654">
        <f>_xlfn.XLOOKUP($A654,ALGLIB_SSA_XAUUSD!$J$2:$J$1000,ALGLIB_SSA_XAUUSD!$O$2:$O$1000,"",0)</f>
        <v>4677.7025999999996</v>
      </c>
      <c r="N654">
        <f>_xlfn.XLOOKUP($A654,ALGLIB_SSA_XAUUSD!$J$2:$J$1000,ALGLIB_SSA_XAUUSD!$P$2:$P$1000,"",0)</f>
        <v>4686.2092700000003</v>
      </c>
      <c r="O654">
        <f>_xlfn.XLOOKUP($A654,ALGLIB_SSA_XAUUSD!$J$2:$J$1000,ALGLIB_SSA_XAUUSD!$Q$2:$Q$1000,"",0)</f>
        <v>4674.5142699999997</v>
      </c>
      <c r="R654">
        <f t="shared" si="110"/>
        <v>1775589600</v>
      </c>
      <c r="S654" t="str">
        <f t="shared" si="111"/>
        <v>XAUUSD</v>
      </c>
      <c r="T654" t="str">
        <f t="shared" si="112"/>
        <v>M5</v>
      </c>
      <c r="U654">
        <f t="shared" si="113"/>
        <v>4689.54</v>
      </c>
      <c r="V654">
        <v>4724.2968300000002</v>
      </c>
      <c r="W654">
        <v>4702.2080800000003</v>
      </c>
      <c r="X654">
        <v>4681.4152400000003</v>
      </c>
      <c r="Y654">
        <v>4677.7025999999996</v>
      </c>
      <c r="Z654">
        <f t="shared" si="114"/>
        <v>4737.4825833333334</v>
      </c>
      <c r="AA654">
        <f t="shared" si="115"/>
        <v>4686.2092700000003</v>
      </c>
      <c r="AB654">
        <f t="shared" si="116"/>
        <v>4691.0760499999997</v>
      </c>
      <c r="AC654">
        <f t="shared" si="117"/>
        <v>4674.5142699999997</v>
      </c>
      <c r="AF654">
        <f t="shared" si="118"/>
        <v>4681.4152400000003</v>
      </c>
      <c r="AG654">
        <f t="shared" si="119"/>
        <v>4737.4825833333334</v>
      </c>
      <c r="AH654">
        <f t="shared" si="120"/>
        <v>4691.0760499999997</v>
      </c>
    </row>
    <row r="655" spans="1:34" x14ac:dyDescent="0.55000000000000004">
      <c r="A655">
        <f>ALGLIB_SSA_XAUUSD!J655</f>
        <v>1775589900</v>
      </c>
      <c r="B655" t="str">
        <f>_xlfn.XLOOKUP($A655,ALGLIB_SSA_XAUUSD!$A$2:$A$1000,ALGLIB_SSA_XAUUSD!$B$2:$B$1000,"",0)</f>
        <v/>
      </c>
      <c r="C655" t="str">
        <f>_xlfn.XLOOKUP($A655,ALGLIB_SSA_XAUUSD!$A$2:$A$1000,ALGLIB_SSA_XAUUSD!$C$2:$C$1000,"",0)</f>
        <v/>
      </c>
      <c r="D655" s="1">
        <f>D650+(D662-D650)*5/12</f>
        <v>4702.6724999999997</v>
      </c>
      <c r="E655" s="1">
        <f>E650+(E662-E650)*5/12</f>
        <v>4726.6025416666662</v>
      </c>
      <c r="F655" s="1">
        <f>F650+(F662-F650)*5/12</f>
        <v>4704.2348041666664</v>
      </c>
      <c r="G655" s="1">
        <f>G650+(G662-G650)*5/12</f>
        <v>4739.8052991666664</v>
      </c>
      <c r="H655" s="1">
        <f>H650+(H662-H650)*5/12</f>
        <v>4693.1488274999992</v>
      </c>
      <c r="I655" t="str">
        <f>_xlfn.XLOOKUP($A655,ALGLIB_SSA_XAUUSD!$J$2:$J$1000,ALGLIB_SSA_XAUUSD!$K$2:$K$1000,"",0)</f>
        <v>XAUUSD</v>
      </c>
      <c r="J655" t="str">
        <f>_xlfn.XLOOKUP($A655,ALGLIB_SSA_XAUUSD!$J$2:$J$1000,ALGLIB_SSA_XAUUSD!$L$2:$L$1000,"",0)</f>
        <v>M5</v>
      </c>
      <c r="K655">
        <f>_xlfn.XLOOKUP($A655,ALGLIB_SSA_XAUUSD!$J$2:$J$1000,ALGLIB_SSA_XAUUSD!$M$2:$M$1000,"",0)</f>
        <v>4687.46</v>
      </c>
      <c r="L655">
        <f>_xlfn.XLOOKUP($A655,ALGLIB_SSA_XAUUSD!$J$2:$J$1000,ALGLIB_SSA_XAUUSD!$N$2:$N$1000,"",0)</f>
        <v>4685.3245500000003</v>
      </c>
      <c r="M655">
        <f>_xlfn.XLOOKUP($A655,ALGLIB_SSA_XAUUSD!$J$2:$J$1000,ALGLIB_SSA_XAUUSD!$O$2:$O$1000,"",0)</f>
        <v>4681.5135799999998</v>
      </c>
      <c r="N655">
        <f>_xlfn.XLOOKUP($A655,ALGLIB_SSA_XAUUSD!$J$2:$J$1000,ALGLIB_SSA_XAUUSD!$P$2:$P$1000,"",0)</f>
        <v>4690.6962299999996</v>
      </c>
      <c r="O655">
        <f>_xlfn.XLOOKUP($A655,ALGLIB_SSA_XAUUSD!$J$2:$J$1000,ALGLIB_SSA_XAUUSD!$Q$2:$Q$1000,"",0)</f>
        <v>4678.6028299999998</v>
      </c>
      <c r="R655">
        <f t="shared" si="110"/>
        <v>1775589900</v>
      </c>
      <c r="S655" t="str">
        <f t="shared" si="111"/>
        <v>XAUUSD</v>
      </c>
      <c r="T655" t="str">
        <f t="shared" si="112"/>
        <v>M5</v>
      </c>
      <c r="U655">
        <f t="shared" si="113"/>
        <v>4687.46</v>
      </c>
      <c r="V655">
        <v>4726.6025399999999</v>
      </c>
      <c r="W655">
        <v>4704.2348000000002</v>
      </c>
      <c r="X655">
        <v>4685.3245500000003</v>
      </c>
      <c r="Y655">
        <v>4681.5135799999998</v>
      </c>
      <c r="Z655">
        <f t="shared" si="114"/>
        <v>4739.8052991666664</v>
      </c>
      <c r="AA655">
        <f t="shared" si="115"/>
        <v>4690.6962299999996</v>
      </c>
      <c r="AB655">
        <f t="shared" si="116"/>
        <v>4693.1488274999992</v>
      </c>
      <c r="AC655">
        <f t="shared" si="117"/>
        <v>4678.6028299999998</v>
      </c>
      <c r="AF655">
        <f t="shared" si="118"/>
        <v>4685.3245500000003</v>
      </c>
      <c r="AG655">
        <f t="shared" si="119"/>
        <v>4739.8052991666664</v>
      </c>
      <c r="AH655">
        <f t="shared" si="120"/>
        <v>4693.1488274999992</v>
      </c>
    </row>
    <row r="656" spans="1:34" x14ac:dyDescent="0.55000000000000004">
      <c r="A656">
        <f>ALGLIB_SSA_XAUUSD!J656</f>
        <v>1775590200</v>
      </c>
      <c r="B656" t="str">
        <f>_xlfn.XLOOKUP($A656,ALGLIB_SSA_XAUUSD!$A$2:$A$1000,ALGLIB_SSA_XAUUSD!$B$2:$B$1000,"",0)</f>
        <v/>
      </c>
      <c r="C656" t="str">
        <f>_xlfn.XLOOKUP($A656,ALGLIB_SSA_XAUUSD!$A$2:$A$1000,ALGLIB_SSA_XAUUSD!$C$2:$C$1000,"",0)</f>
        <v/>
      </c>
      <c r="D656" s="1">
        <f>D650+(D662-D650)*6/12</f>
        <v>4703.085</v>
      </c>
      <c r="E656" s="1">
        <f>E650+(E662-E650)*6/12</f>
        <v>4728.9082500000004</v>
      </c>
      <c r="F656" s="1">
        <f>F650+(F662-F650)*6/12</f>
        <v>4706.2615249999999</v>
      </c>
      <c r="G656" s="1">
        <f>G650+(G662-G650)*6/12</f>
        <v>4742.1280150000002</v>
      </c>
      <c r="H656" s="1">
        <f>H650+(H662-H650)*6/12</f>
        <v>4695.2216049999997</v>
      </c>
      <c r="I656" t="str">
        <f>_xlfn.XLOOKUP($A656,ALGLIB_SSA_XAUUSD!$J$2:$J$1000,ALGLIB_SSA_XAUUSD!$K$2:$K$1000,"",0)</f>
        <v>XAUUSD</v>
      </c>
      <c r="J656" t="str">
        <f>_xlfn.XLOOKUP($A656,ALGLIB_SSA_XAUUSD!$J$2:$J$1000,ALGLIB_SSA_XAUUSD!$L$2:$L$1000,"",0)</f>
        <v>M5</v>
      </c>
      <c r="K656">
        <f>_xlfn.XLOOKUP($A656,ALGLIB_SSA_XAUUSD!$J$2:$J$1000,ALGLIB_SSA_XAUUSD!$M$2:$M$1000,"",0)</f>
        <v>4686.21</v>
      </c>
      <c r="L656">
        <f>_xlfn.XLOOKUP($A656,ALGLIB_SSA_XAUUSD!$J$2:$J$1000,ALGLIB_SSA_XAUUSD!$N$2:$N$1000,"",0)</f>
        <v>4688.8095400000002</v>
      </c>
      <c r="M656">
        <f>_xlfn.XLOOKUP($A656,ALGLIB_SSA_XAUUSD!$J$2:$J$1000,ALGLIB_SSA_XAUUSD!$O$2:$O$1000,"",0)</f>
        <v>4685.1615599999996</v>
      </c>
      <c r="N656">
        <f>_xlfn.XLOOKUP($A656,ALGLIB_SSA_XAUUSD!$J$2:$J$1000,ALGLIB_SSA_XAUUSD!$P$2:$P$1000,"",0)</f>
        <v>4694.8292899999997</v>
      </c>
      <c r="O656">
        <f>_xlfn.XLOOKUP($A656,ALGLIB_SSA_XAUUSD!$J$2:$J$1000,ALGLIB_SSA_XAUUSD!$Q$2:$Q$1000,"",0)</f>
        <v>4682.1098700000002</v>
      </c>
      <c r="R656">
        <f t="shared" si="110"/>
        <v>1775590200</v>
      </c>
      <c r="S656" t="str">
        <f t="shared" si="111"/>
        <v>XAUUSD</v>
      </c>
      <c r="T656" t="str">
        <f t="shared" si="112"/>
        <v>M5</v>
      </c>
      <c r="U656">
        <f t="shared" si="113"/>
        <v>4686.21</v>
      </c>
      <c r="V656">
        <v>4728.9082500000004</v>
      </c>
      <c r="W656">
        <v>4706.2615299999998</v>
      </c>
      <c r="X656">
        <v>4688.8095400000002</v>
      </c>
      <c r="Y656">
        <v>4685.1615599999996</v>
      </c>
      <c r="Z656">
        <f t="shared" si="114"/>
        <v>4742.1280150000002</v>
      </c>
      <c r="AA656">
        <f t="shared" si="115"/>
        <v>4694.8292899999997</v>
      </c>
      <c r="AB656">
        <f t="shared" si="116"/>
        <v>4695.2216049999997</v>
      </c>
      <c r="AC656">
        <f t="shared" si="117"/>
        <v>4682.1098700000002</v>
      </c>
      <c r="AF656">
        <f t="shared" si="118"/>
        <v>4688.8095400000002</v>
      </c>
      <c r="AG656">
        <f t="shared" si="119"/>
        <v>4742.1280150000002</v>
      </c>
      <c r="AH656">
        <f t="shared" si="120"/>
        <v>4695.2216049999997</v>
      </c>
    </row>
    <row r="657" spans="1:34" x14ac:dyDescent="0.55000000000000004">
      <c r="A657">
        <f>ALGLIB_SSA_XAUUSD!J657</f>
        <v>1775590500</v>
      </c>
      <c r="B657" t="str">
        <f>_xlfn.XLOOKUP($A657,ALGLIB_SSA_XAUUSD!$A$2:$A$1000,ALGLIB_SSA_XAUUSD!$B$2:$B$1000,"",0)</f>
        <v/>
      </c>
      <c r="C657" t="str">
        <f>_xlfn.XLOOKUP($A657,ALGLIB_SSA_XAUUSD!$A$2:$A$1000,ALGLIB_SSA_XAUUSD!$C$2:$C$1000,"",0)</f>
        <v/>
      </c>
      <c r="D657" s="1">
        <f>D650+(D662-D650)*7/12</f>
        <v>4703.4975000000004</v>
      </c>
      <c r="E657" s="1">
        <f>E650+(E662-E650)*7/12</f>
        <v>4731.2139583333337</v>
      </c>
      <c r="F657" s="1">
        <f>F650+(F662-F650)*7/12</f>
        <v>4708.2882458333333</v>
      </c>
      <c r="G657" s="1">
        <f>G650+(G662-G650)*7/12</f>
        <v>4744.4507308333332</v>
      </c>
      <c r="H657" s="1">
        <f>H650+(H662-H650)*7/12</f>
        <v>4697.2943825000002</v>
      </c>
      <c r="I657" t="str">
        <f>_xlfn.XLOOKUP($A657,ALGLIB_SSA_XAUUSD!$J$2:$J$1000,ALGLIB_SSA_XAUUSD!$K$2:$K$1000,"",0)</f>
        <v>XAUUSD</v>
      </c>
      <c r="J657" t="str">
        <f>_xlfn.XLOOKUP($A657,ALGLIB_SSA_XAUUSD!$J$2:$J$1000,ALGLIB_SSA_XAUUSD!$L$2:$L$1000,"",0)</f>
        <v>M5</v>
      </c>
      <c r="K657">
        <f>_xlfn.XLOOKUP($A657,ALGLIB_SSA_XAUUSD!$J$2:$J$1000,ALGLIB_SSA_XAUUSD!$M$2:$M$1000,"",0)</f>
        <v>4685.78</v>
      </c>
      <c r="L657">
        <f>_xlfn.XLOOKUP($A657,ALGLIB_SSA_XAUUSD!$J$2:$J$1000,ALGLIB_SSA_XAUUSD!$N$2:$N$1000,"",0)</f>
        <v>4691.9794400000001</v>
      </c>
      <c r="M657">
        <f>_xlfn.XLOOKUP($A657,ALGLIB_SSA_XAUUSD!$J$2:$J$1000,ALGLIB_SSA_XAUUSD!$O$2:$O$1000,"",0)</f>
        <v>4688.5704999999998</v>
      </c>
      <c r="N657">
        <f>_xlfn.XLOOKUP($A657,ALGLIB_SSA_XAUUSD!$J$2:$J$1000,ALGLIB_SSA_XAUUSD!$P$2:$P$1000,"",0)</f>
        <v>4698.6210300000002</v>
      </c>
      <c r="O657">
        <f>_xlfn.XLOOKUP($A657,ALGLIB_SSA_XAUUSD!$J$2:$J$1000,ALGLIB_SSA_XAUUSD!$Q$2:$Q$1000,"",0)</f>
        <v>4685.1025600000003</v>
      </c>
      <c r="R657">
        <f t="shared" si="110"/>
        <v>1775590500</v>
      </c>
      <c r="S657" t="str">
        <f t="shared" si="111"/>
        <v>XAUUSD</v>
      </c>
      <c r="T657" t="str">
        <f t="shared" si="112"/>
        <v>M5</v>
      </c>
      <c r="U657">
        <f t="shared" si="113"/>
        <v>4685.78</v>
      </c>
      <c r="V657">
        <v>4731.21396</v>
      </c>
      <c r="W657">
        <v>4708.2882499999996</v>
      </c>
      <c r="X657">
        <v>4691.9794400000001</v>
      </c>
      <c r="Y657">
        <v>4688.5704999999998</v>
      </c>
      <c r="Z657">
        <f t="shared" si="114"/>
        <v>4744.4507308333332</v>
      </c>
      <c r="AA657">
        <f t="shared" si="115"/>
        <v>4698.6210300000002</v>
      </c>
      <c r="AB657">
        <f t="shared" si="116"/>
        <v>4697.2943825000002</v>
      </c>
      <c r="AC657">
        <f t="shared" si="117"/>
        <v>4685.1025600000003</v>
      </c>
      <c r="AF657">
        <f t="shared" si="118"/>
        <v>4691.9794400000001</v>
      </c>
      <c r="AG657">
        <f t="shared" si="119"/>
        <v>4744.4507308333332</v>
      </c>
      <c r="AH657">
        <f t="shared" si="120"/>
        <v>4697.2943825000002</v>
      </c>
    </row>
    <row r="658" spans="1:34" x14ac:dyDescent="0.55000000000000004">
      <c r="A658">
        <f>ALGLIB_SSA_XAUUSD!J658</f>
        <v>1775590800</v>
      </c>
      <c r="B658" t="str">
        <f>_xlfn.XLOOKUP($A658,ALGLIB_SSA_XAUUSD!$A$2:$A$1000,ALGLIB_SSA_XAUUSD!$B$2:$B$1000,"",0)</f>
        <v/>
      </c>
      <c r="C658" t="str">
        <f>_xlfn.XLOOKUP($A658,ALGLIB_SSA_XAUUSD!$A$2:$A$1000,ALGLIB_SSA_XAUUSD!$C$2:$C$1000,"",0)</f>
        <v/>
      </c>
      <c r="D658" s="1">
        <f>D650+(D662-D650)*8/12</f>
        <v>4703.91</v>
      </c>
      <c r="E658" s="1">
        <f>E650+(E662-E650)*8/12</f>
        <v>4733.519666666667</v>
      </c>
      <c r="F658" s="1">
        <f>F650+(F662-F650)*8/12</f>
        <v>4710.3149666666668</v>
      </c>
      <c r="G658" s="1">
        <f>G650+(G662-G650)*8/12</f>
        <v>4746.7734466666661</v>
      </c>
      <c r="H658" s="1">
        <f>H650+(H662-H650)*8/12</f>
        <v>4699.3671599999998</v>
      </c>
      <c r="I658" t="str">
        <f>_xlfn.XLOOKUP($A658,ALGLIB_SSA_XAUUSD!$J$2:$J$1000,ALGLIB_SSA_XAUUSD!$K$2:$K$1000,"",0)</f>
        <v>XAUUSD</v>
      </c>
      <c r="J658" t="str">
        <f>_xlfn.XLOOKUP($A658,ALGLIB_SSA_XAUUSD!$J$2:$J$1000,ALGLIB_SSA_XAUUSD!$L$2:$L$1000,"",0)</f>
        <v>M5</v>
      </c>
      <c r="K658">
        <f>_xlfn.XLOOKUP($A658,ALGLIB_SSA_XAUUSD!$J$2:$J$1000,ALGLIB_SSA_XAUUSD!$M$2:$M$1000,"",0)</f>
        <v>4687.08</v>
      </c>
      <c r="L658">
        <f>_xlfn.XLOOKUP($A658,ALGLIB_SSA_XAUUSD!$J$2:$J$1000,ALGLIB_SSA_XAUUSD!$N$2:$N$1000,"",0)</f>
        <v>4694.9994699999997</v>
      </c>
      <c r="M658">
        <f>_xlfn.XLOOKUP($A658,ALGLIB_SSA_XAUUSD!$J$2:$J$1000,ALGLIB_SSA_XAUUSD!$O$2:$O$1000,"",0)</f>
        <v>4691.7849800000004</v>
      </c>
      <c r="N658">
        <f>_xlfn.XLOOKUP($A658,ALGLIB_SSA_XAUUSD!$J$2:$J$1000,ALGLIB_SSA_XAUUSD!$P$2:$P$1000,"",0)</f>
        <v>4702.0363600000001</v>
      </c>
      <c r="O658">
        <f>_xlfn.XLOOKUP($A658,ALGLIB_SSA_XAUUSD!$J$2:$J$1000,ALGLIB_SSA_XAUUSD!$Q$2:$Q$1000,"",0)</f>
        <v>4687.7469499999997</v>
      </c>
      <c r="R658">
        <f t="shared" si="110"/>
        <v>1775590800</v>
      </c>
      <c r="S658" t="str">
        <f t="shared" si="111"/>
        <v>XAUUSD</v>
      </c>
      <c r="T658" t="str">
        <f t="shared" si="112"/>
        <v>M5</v>
      </c>
      <c r="U658">
        <f t="shared" si="113"/>
        <v>4687.08</v>
      </c>
      <c r="V658">
        <v>4733.5196699999997</v>
      </c>
      <c r="W658">
        <v>4710.3149700000004</v>
      </c>
      <c r="X658">
        <v>4694.9994699999997</v>
      </c>
      <c r="Y658">
        <v>4691.7849800000004</v>
      </c>
      <c r="Z658">
        <f t="shared" si="114"/>
        <v>4746.7734466666661</v>
      </c>
      <c r="AA658">
        <f t="shared" si="115"/>
        <v>4702.0363600000001</v>
      </c>
      <c r="AB658">
        <f t="shared" si="116"/>
        <v>4699.3671599999998</v>
      </c>
      <c r="AC658">
        <f t="shared" si="117"/>
        <v>4687.7469499999997</v>
      </c>
      <c r="AF658">
        <f t="shared" si="118"/>
        <v>4694.9994699999997</v>
      </c>
      <c r="AG658">
        <f t="shared" si="119"/>
        <v>4746.7734466666661</v>
      </c>
      <c r="AH658">
        <f t="shared" si="120"/>
        <v>4699.3671599999998</v>
      </c>
    </row>
    <row r="659" spans="1:34" x14ac:dyDescent="0.55000000000000004">
      <c r="A659">
        <f>ALGLIB_SSA_XAUUSD!J659</f>
        <v>1775591100</v>
      </c>
      <c r="B659" t="str">
        <f>_xlfn.XLOOKUP($A659,ALGLIB_SSA_XAUUSD!$A$2:$A$1000,ALGLIB_SSA_XAUUSD!$B$2:$B$1000,"",0)</f>
        <v/>
      </c>
      <c r="C659" t="str">
        <f>_xlfn.XLOOKUP($A659,ALGLIB_SSA_XAUUSD!$A$2:$A$1000,ALGLIB_SSA_XAUUSD!$C$2:$C$1000,"",0)</f>
        <v/>
      </c>
      <c r="D659" s="1">
        <f>D650+(D662-D650)*9/12</f>
        <v>4704.3225000000002</v>
      </c>
      <c r="E659" s="1">
        <f>E650+(E662-E650)*9/12</f>
        <v>4735.8253750000003</v>
      </c>
      <c r="F659" s="1">
        <f>F650+(F662-F650)*9/12</f>
        <v>4712.3416875000003</v>
      </c>
      <c r="G659" s="1">
        <f>G650+(G662-G650)*9/12</f>
        <v>4749.0961625</v>
      </c>
      <c r="H659" s="1">
        <f>H650+(H662-H650)*9/12</f>
        <v>4701.4399374999994</v>
      </c>
      <c r="I659" t="str">
        <f>_xlfn.XLOOKUP($A659,ALGLIB_SSA_XAUUSD!$J$2:$J$1000,ALGLIB_SSA_XAUUSD!$K$2:$K$1000,"",0)</f>
        <v>XAUUSD</v>
      </c>
      <c r="J659" t="str">
        <f>_xlfn.XLOOKUP($A659,ALGLIB_SSA_XAUUSD!$J$2:$J$1000,ALGLIB_SSA_XAUUSD!$L$2:$L$1000,"",0)</f>
        <v>M5</v>
      </c>
      <c r="K659">
        <f>_xlfn.XLOOKUP($A659,ALGLIB_SSA_XAUUSD!$J$2:$J$1000,ALGLIB_SSA_XAUUSD!$M$2:$M$1000,"",0)</f>
        <v>4705.7</v>
      </c>
      <c r="L659">
        <f>_xlfn.XLOOKUP($A659,ALGLIB_SSA_XAUUSD!$J$2:$J$1000,ALGLIB_SSA_XAUUSD!$N$2:$N$1000,"",0)</f>
        <v>4697.9796100000003</v>
      </c>
      <c r="M659">
        <f>_xlfn.XLOOKUP($A659,ALGLIB_SSA_XAUUSD!$J$2:$J$1000,ALGLIB_SSA_XAUUSD!$O$2:$O$1000,"",0)</f>
        <v>4694.8823000000002</v>
      </c>
      <c r="N659">
        <f>_xlfn.XLOOKUP($A659,ALGLIB_SSA_XAUUSD!$J$2:$J$1000,ALGLIB_SSA_XAUUSD!$P$2:$P$1000,"",0)</f>
        <v>4705.13429</v>
      </c>
      <c r="O659">
        <f>_xlfn.XLOOKUP($A659,ALGLIB_SSA_XAUUSD!$J$2:$J$1000,ALGLIB_SSA_XAUUSD!$Q$2:$Q$1000,"",0)</f>
        <v>4690.3157700000002</v>
      </c>
      <c r="R659">
        <f t="shared" si="110"/>
        <v>1775591100</v>
      </c>
      <c r="S659" t="str">
        <f t="shared" si="111"/>
        <v>XAUUSD</v>
      </c>
      <c r="T659" t="str">
        <f t="shared" si="112"/>
        <v>M5</v>
      </c>
      <c r="U659">
        <f t="shared" si="113"/>
        <v>4705.7</v>
      </c>
      <c r="V659">
        <v>4735.8253800000002</v>
      </c>
      <c r="W659">
        <v>4712.3416900000002</v>
      </c>
      <c r="X659">
        <v>4697.9796100000003</v>
      </c>
      <c r="Y659">
        <v>4694.8823000000002</v>
      </c>
      <c r="Z659">
        <f t="shared" si="114"/>
        <v>4749.0961625</v>
      </c>
      <c r="AA659">
        <f t="shared" si="115"/>
        <v>4705.13429</v>
      </c>
      <c r="AB659">
        <f t="shared" si="116"/>
        <v>4701.4399374999994</v>
      </c>
      <c r="AC659">
        <f t="shared" si="117"/>
        <v>4690.3157700000002</v>
      </c>
      <c r="AF659">
        <f t="shared" si="118"/>
        <v>4697.9796100000003</v>
      </c>
      <c r="AG659">
        <f t="shared" si="119"/>
        <v>4749.0961625</v>
      </c>
      <c r="AH659">
        <f t="shared" si="120"/>
        <v>4701.4399374999994</v>
      </c>
    </row>
    <row r="660" spans="1:34" x14ac:dyDescent="0.55000000000000004">
      <c r="A660">
        <f>ALGLIB_SSA_XAUUSD!J660</f>
        <v>1775591400</v>
      </c>
      <c r="B660" t="str">
        <f>_xlfn.XLOOKUP($A660,ALGLIB_SSA_XAUUSD!$A$2:$A$1000,ALGLIB_SSA_XAUUSD!$B$2:$B$1000,"",0)</f>
        <v/>
      </c>
      <c r="C660" t="str">
        <f>_xlfn.XLOOKUP($A660,ALGLIB_SSA_XAUUSD!$A$2:$A$1000,ALGLIB_SSA_XAUUSD!$C$2:$C$1000,"",0)</f>
        <v/>
      </c>
      <c r="D660" s="1">
        <f>D650+(D662-D650)*10/12</f>
        <v>4704.7350000000006</v>
      </c>
      <c r="E660" s="1">
        <f>E650+(E662-E650)*10/12</f>
        <v>4738.1310833333337</v>
      </c>
      <c r="F660" s="1">
        <f>F650+(F662-F650)*10/12</f>
        <v>4714.3684083333328</v>
      </c>
      <c r="G660" s="1">
        <f>G650+(G662-G650)*10/12</f>
        <v>4751.4188783333329</v>
      </c>
      <c r="H660" s="1">
        <f>H650+(H662-H650)*10/12</f>
        <v>4703.5127149999998</v>
      </c>
      <c r="I660" t="str">
        <f>_xlfn.XLOOKUP($A660,ALGLIB_SSA_XAUUSD!$J$2:$J$1000,ALGLIB_SSA_XAUUSD!$K$2:$K$1000,"",0)</f>
        <v>XAUUSD</v>
      </c>
      <c r="J660" t="str">
        <f>_xlfn.XLOOKUP($A660,ALGLIB_SSA_XAUUSD!$J$2:$J$1000,ALGLIB_SSA_XAUUSD!$L$2:$L$1000,"",0)</f>
        <v>M5</v>
      </c>
      <c r="K660">
        <f>_xlfn.XLOOKUP($A660,ALGLIB_SSA_XAUUSD!$J$2:$J$1000,ALGLIB_SSA_XAUUSD!$M$2:$M$1000,"",0)</f>
        <v>4699.96</v>
      </c>
      <c r="L660">
        <f>_xlfn.XLOOKUP($A660,ALGLIB_SSA_XAUUSD!$J$2:$J$1000,ALGLIB_SSA_XAUUSD!$N$2:$N$1000,"",0)</f>
        <v>4700.5512600000002</v>
      </c>
      <c r="M660">
        <f>_xlfn.XLOOKUP($A660,ALGLIB_SSA_XAUUSD!$J$2:$J$1000,ALGLIB_SSA_XAUUSD!$O$2:$O$1000,"",0)</f>
        <v>4697.7167799999997</v>
      </c>
      <c r="N660">
        <f>_xlfn.XLOOKUP($A660,ALGLIB_SSA_XAUUSD!$J$2:$J$1000,ALGLIB_SSA_XAUUSD!$P$2:$P$1000,"",0)</f>
        <v>4707.2521100000004</v>
      </c>
      <c r="O660">
        <f>_xlfn.XLOOKUP($A660,ALGLIB_SSA_XAUUSD!$J$2:$J$1000,ALGLIB_SSA_XAUUSD!$Q$2:$Q$1000,"",0)</f>
        <v>4692.9410799999996</v>
      </c>
      <c r="R660">
        <f t="shared" si="110"/>
        <v>1775591400</v>
      </c>
      <c r="S660" t="str">
        <f t="shared" si="111"/>
        <v>XAUUSD</v>
      </c>
      <c r="T660" t="str">
        <f t="shared" si="112"/>
        <v>M5</v>
      </c>
      <c r="U660">
        <f t="shared" si="113"/>
        <v>4699.96</v>
      </c>
      <c r="V660">
        <v>4738.1310800000001</v>
      </c>
      <c r="W660">
        <v>4714.36841</v>
      </c>
      <c r="X660">
        <v>4700.5512600000002</v>
      </c>
      <c r="Y660">
        <v>4697.7167799999997</v>
      </c>
      <c r="Z660">
        <f t="shared" si="114"/>
        <v>4751.4188783333329</v>
      </c>
      <c r="AA660">
        <f t="shared" si="115"/>
        <v>4707.2521100000004</v>
      </c>
      <c r="AB660">
        <f t="shared" si="116"/>
        <v>4703.5127149999998</v>
      </c>
      <c r="AC660">
        <f t="shared" si="117"/>
        <v>4692.9410799999996</v>
      </c>
      <c r="AF660">
        <f t="shared" si="118"/>
        <v>4700.5512600000002</v>
      </c>
      <c r="AG660">
        <f t="shared" si="119"/>
        <v>4751.4188783333329</v>
      </c>
      <c r="AH660">
        <f t="shared" si="120"/>
        <v>4703.5127149999998</v>
      </c>
    </row>
    <row r="661" spans="1:34" x14ac:dyDescent="0.55000000000000004">
      <c r="A661">
        <f>ALGLIB_SSA_XAUUSD!J661</f>
        <v>1775591700</v>
      </c>
      <c r="B661" t="str">
        <f>_xlfn.XLOOKUP($A661,ALGLIB_SSA_XAUUSD!$A$2:$A$1000,ALGLIB_SSA_XAUUSD!$B$2:$B$1000,"",0)</f>
        <v/>
      </c>
      <c r="C661" t="str">
        <f>_xlfn.XLOOKUP($A661,ALGLIB_SSA_XAUUSD!$A$2:$A$1000,ALGLIB_SSA_XAUUSD!$C$2:$C$1000,"",0)</f>
        <v/>
      </c>
      <c r="D661" s="1">
        <f>D650+(D662-D650)*11/12</f>
        <v>4705.1475</v>
      </c>
      <c r="E661" s="1">
        <f>E650+(E662-E650)*11/12</f>
        <v>4740.436791666667</v>
      </c>
      <c r="F661" s="1">
        <f>F650+(F662-F650)*11/12</f>
        <v>4716.3951291666663</v>
      </c>
      <c r="G661" s="1">
        <f>G650+(G662-G650)*11/12</f>
        <v>4753.7415941666668</v>
      </c>
      <c r="H661" s="1">
        <f>H650+(H662-H650)*11/12</f>
        <v>4705.5854925000003</v>
      </c>
      <c r="I661" t="str">
        <f>_xlfn.XLOOKUP($A661,ALGLIB_SSA_XAUUSD!$J$2:$J$1000,ALGLIB_SSA_XAUUSD!$K$2:$K$1000,"",0)</f>
        <v>XAUUSD</v>
      </c>
      <c r="J661" t="str">
        <f>_xlfn.XLOOKUP($A661,ALGLIB_SSA_XAUUSD!$J$2:$J$1000,ALGLIB_SSA_XAUUSD!$L$2:$L$1000,"",0)</f>
        <v>M5</v>
      </c>
      <c r="K661">
        <f>_xlfn.XLOOKUP($A661,ALGLIB_SSA_XAUUSD!$J$2:$J$1000,ALGLIB_SSA_XAUUSD!$M$2:$M$1000,"",0)</f>
        <v>4700.6099999999997</v>
      </c>
      <c r="L661">
        <f>_xlfn.XLOOKUP($A661,ALGLIB_SSA_XAUUSD!$J$2:$J$1000,ALGLIB_SSA_XAUUSD!$N$2:$N$1000,"",0)</f>
        <v>4702.9057000000003</v>
      </c>
      <c r="M661">
        <f>_xlfn.XLOOKUP($A661,ALGLIB_SSA_XAUUSD!$J$2:$J$1000,ALGLIB_SSA_XAUUSD!$O$2:$O$1000,"",0)</f>
        <v>4700.31124</v>
      </c>
      <c r="N661">
        <f>_xlfn.XLOOKUP($A661,ALGLIB_SSA_XAUUSD!$J$2:$J$1000,ALGLIB_SSA_XAUUSD!$P$2:$P$1000,"",0)</f>
        <v>4708.6433999999999</v>
      </c>
      <c r="O661">
        <f>_xlfn.XLOOKUP($A661,ALGLIB_SSA_XAUUSD!$J$2:$J$1000,ALGLIB_SSA_XAUUSD!$Q$2:$Q$1000,"",0)</f>
        <v>4695.5064300000004</v>
      </c>
      <c r="R661">
        <f t="shared" si="110"/>
        <v>1775591700</v>
      </c>
      <c r="S661" t="str">
        <f t="shared" si="111"/>
        <v>XAUUSD</v>
      </c>
      <c r="T661" t="str">
        <f t="shared" si="112"/>
        <v>M5</v>
      </c>
      <c r="U661">
        <f t="shared" si="113"/>
        <v>4700.6099999999997</v>
      </c>
      <c r="V661">
        <v>4740.4367899999997</v>
      </c>
      <c r="W661">
        <v>4716.3951299999999</v>
      </c>
      <c r="X661">
        <v>4702.9057000000003</v>
      </c>
      <c r="Y661">
        <v>4700.31124</v>
      </c>
      <c r="Z661">
        <f t="shared" si="114"/>
        <v>4753.7415941666668</v>
      </c>
      <c r="AA661">
        <f t="shared" si="115"/>
        <v>4708.6433999999999</v>
      </c>
      <c r="AB661">
        <f t="shared" si="116"/>
        <v>4705.5854925000003</v>
      </c>
      <c r="AC661">
        <f t="shared" si="117"/>
        <v>4695.5064300000004</v>
      </c>
      <c r="AF661">
        <f t="shared" si="118"/>
        <v>4702.9057000000003</v>
      </c>
      <c r="AG661">
        <f t="shared" si="119"/>
        <v>4753.7415941666668</v>
      </c>
      <c r="AH661">
        <f t="shared" si="120"/>
        <v>4705.5854925000003</v>
      </c>
    </row>
    <row r="662" spans="1:34" x14ac:dyDescent="0.55000000000000004">
      <c r="A662">
        <f>ALGLIB_SSA_XAUUSD!J662</f>
        <v>1775592000</v>
      </c>
      <c r="B662" t="str">
        <f>_xlfn.XLOOKUP($A662,ALGLIB_SSA_XAUUSD!$A$2:$A$1000,ALGLIB_SSA_XAUUSD!$B$2:$B$1000,"",0)</f>
        <v>XAUUSD</v>
      </c>
      <c r="C662" t="str">
        <f>_xlfn.XLOOKUP($A662,ALGLIB_SSA_XAUUSD!$A$2:$A$1000,ALGLIB_SSA_XAUUSD!$C$2:$C$1000,"",0)</f>
        <v>H1</v>
      </c>
      <c r="D662" s="2">
        <f>_xlfn.XLOOKUP($A662,ALGLIB_SSA_XAUUSD!$A$2:$A$1000,ALGLIB_SSA_XAUUSD!$D$2:$D$1000,"",0)</f>
        <v>4705.5600000000004</v>
      </c>
      <c r="E662" s="2">
        <f>_xlfn.XLOOKUP($A662,ALGLIB_SSA_XAUUSD!$A$2:$A$1000,ALGLIB_SSA_XAUUSD!$E$2:$E$1000,"",0)</f>
        <v>4742.7425000000003</v>
      </c>
      <c r="F662" s="2">
        <f>_xlfn.XLOOKUP($A662,ALGLIB_SSA_XAUUSD!$A$2:$A$1000,ALGLIB_SSA_XAUUSD!$F$2:$F$1000,"",0)</f>
        <v>4718.4218499999997</v>
      </c>
      <c r="G662" s="2">
        <f>_xlfn.XLOOKUP($A662,ALGLIB_SSA_XAUUSD!$A$2:$A$1000,ALGLIB_SSA_XAUUSD!$G$2:$G$1000,"",0)</f>
        <v>4756.0643099999998</v>
      </c>
      <c r="H662" s="2">
        <f>_xlfn.XLOOKUP($A662,ALGLIB_SSA_XAUUSD!$A$2:$A$1000,ALGLIB_SSA_XAUUSD!$H$2:$H$1000,"",0)</f>
        <v>4707.6582699999999</v>
      </c>
      <c r="I662" t="str">
        <f>_xlfn.XLOOKUP($A662,ALGLIB_SSA_XAUUSD!$J$2:$J$1000,ALGLIB_SSA_XAUUSD!$K$2:$K$1000,"",0)</f>
        <v>XAUUSD</v>
      </c>
      <c r="J662" t="str">
        <f>_xlfn.XLOOKUP($A662,ALGLIB_SSA_XAUUSD!$J$2:$J$1000,ALGLIB_SSA_XAUUSD!$L$2:$L$1000,"",0)</f>
        <v>M5</v>
      </c>
      <c r="K662">
        <f>_xlfn.XLOOKUP($A662,ALGLIB_SSA_XAUUSD!$J$2:$J$1000,ALGLIB_SSA_XAUUSD!$M$2:$M$1000,"",0)</f>
        <v>4705.91</v>
      </c>
      <c r="L662">
        <f>_xlfn.XLOOKUP($A662,ALGLIB_SSA_XAUUSD!$J$2:$J$1000,ALGLIB_SSA_XAUUSD!$N$2:$N$1000,"",0)</f>
        <v>4704.9904999999999</v>
      </c>
      <c r="M662">
        <f>_xlfn.XLOOKUP($A662,ALGLIB_SSA_XAUUSD!$J$2:$J$1000,ALGLIB_SSA_XAUUSD!$O$2:$O$1000,"",0)</f>
        <v>4702.6508700000004</v>
      </c>
      <c r="N662">
        <f>_xlfn.XLOOKUP($A662,ALGLIB_SSA_XAUUSD!$J$2:$J$1000,ALGLIB_SSA_XAUUSD!$P$2:$P$1000,"",0)</f>
        <v>4709.6854199999998</v>
      </c>
      <c r="O662">
        <f>_xlfn.XLOOKUP($A662,ALGLIB_SSA_XAUUSD!$J$2:$J$1000,ALGLIB_SSA_XAUUSD!$Q$2:$Q$1000,"",0)</f>
        <v>4697.9671799999996</v>
      </c>
      <c r="R662">
        <f t="shared" si="110"/>
        <v>1775592000</v>
      </c>
      <c r="S662" t="str">
        <f t="shared" si="111"/>
        <v>XAUUSD</v>
      </c>
      <c r="T662" t="str">
        <f t="shared" si="112"/>
        <v>M5</v>
      </c>
      <c r="U662">
        <f t="shared" si="113"/>
        <v>4705.91</v>
      </c>
      <c r="V662">
        <v>4742.7425000000003</v>
      </c>
      <c r="W662">
        <v>4718.4218499999997</v>
      </c>
      <c r="X662">
        <v>4704.9904999999999</v>
      </c>
      <c r="Y662">
        <v>4702.6508700000004</v>
      </c>
      <c r="Z662">
        <f t="shared" si="114"/>
        <v>4756.0643099999998</v>
      </c>
      <c r="AA662">
        <f t="shared" si="115"/>
        <v>4709.6854199999998</v>
      </c>
      <c r="AB662">
        <f t="shared" si="116"/>
        <v>4707.6582699999999</v>
      </c>
      <c r="AC662">
        <f t="shared" si="117"/>
        <v>4697.9671799999996</v>
      </c>
      <c r="AF662">
        <f t="shared" si="118"/>
        <v>4704.9904999999999</v>
      </c>
      <c r="AG662">
        <f t="shared" si="119"/>
        <v>4756.0643099999998</v>
      </c>
      <c r="AH662">
        <f t="shared" si="120"/>
        <v>4707.6582699999999</v>
      </c>
    </row>
    <row r="663" spans="1:34" x14ac:dyDescent="0.55000000000000004">
      <c r="A663">
        <f>ALGLIB_SSA_XAUUSD!J663</f>
        <v>1775592300</v>
      </c>
      <c r="B663" t="str">
        <f>_xlfn.XLOOKUP($A663,ALGLIB_SSA_XAUUSD!$A$2:$A$1000,ALGLIB_SSA_XAUUSD!$B$2:$B$1000,"",0)</f>
        <v/>
      </c>
      <c r="C663" t="str">
        <f>_xlfn.XLOOKUP($A663,ALGLIB_SSA_XAUUSD!$A$2:$A$1000,ALGLIB_SSA_XAUUSD!$C$2:$C$1000,"",0)</f>
        <v/>
      </c>
      <c r="D663" s="1">
        <f>D662+(D674-D662)*1/12</f>
        <v>4714.9716666666673</v>
      </c>
      <c r="E663" s="1">
        <f>E662+(E674-E662)*1/12</f>
        <v>4745.0428983333331</v>
      </c>
      <c r="F663" s="1">
        <f>F662+(F674-F662)*1/12</f>
        <v>4720.5854099999997</v>
      </c>
      <c r="G663" s="1">
        <f>G662+(G674-G662)*1/12</f>
        <v>4758.4087491666669</v>
      </c>
      <c r="H663" s="1">
        <f>H662+(H674-H662)*1/12</f>
        <v>4709.8592600000002</v>
      </c>
      <c r="I663" t="str">
        <f>_xlfn.XLOOKUP($A663,ALGLIB_SSA_XAUUSD!$J$2:$J$1000,ALGLIB_SSA_XAUUSD!$K$2:$K$1000,"",0)</f>
        <v>XAUUSD</v>
      </c>
      <c r="J663" t="str">
        <f>_xlfn.XLOOKUP($A663,ALGLIB_SSA_XAUUSD!$J$2:$J$1000,ALGLIB_SSA_XAUUSD!$L$2:$L$1000,"",0)</f>
        <v>M5</v>
      </c>
      <c r="K663">
        <f>_xlfn.XLOOKUP($A663,ALGLIB_SSA_XAUUSD!$J$2:$J$1000,ALGLIB_SSA_XAUUSD!$M$2:$M$1000,"",0)</f>
        <v>4707.32</v>
      </c>
      <c r="L663">
        <f>_xlfn.XLOOKUP($A663,ALGLIB_SSA_XAUUSD!$J$2:$J$1000,ALGLIB_SSA_XAUUSD!$N$2:$N$1000,"",0)</f>
        <v>4706.5714099999996</v>
      </c>
      <c r="M663">
        <f>_xlfn.XLOOKUP($A663,ALGLIB_SSA_XAUUSD!$J$2:$J$1000,ALGLIB_SSA_XAUUSD!$O$2:$O$1000,"",0)</f>
        <v>4704.61114</v>
      </c>
      <c r="N663">
        <f>_xlfn.XLOOKUP($A663,ALGLIB_SSA_XAUUSD!$J$2:$J$1000,ALGLIB_SSA_XAUUSD!$P$2:$P$1000,"",0)</f>
        <v>4710.2429099999999</v>
      </c>
      <c r="O663">
        <f>_xlfn.XLOOKUP($A663,ALGLIB_SSA_XAUUSD!$J$2:$J$1000,ALGLIB_SSA_XAUUSD!$Q$2:$Q$1000,"",0)</f>
        <v>4700.2013699999998</v>
      </c>
      <c r="R663">
        <f t="shared" si="110"/>
        <v>1775592300</v>
      </c>
      <c r="S663" t="str">
        <f t="shared" si="111"/>
        <v>XAUUSD</v>
      </c>
      <c r="T663" t="str">
        <f t="shared" si="112"/>
        <v>M5</v>
      </c>
      <c r="U663">
        <f t="shared" si="113"/>
        <v>4707.32</v>
      </c>
      <c r="V663">
        <v>4745.0429000000004</v>
      </c>
      <c r="W663">
        <v>4720.5854099999997</v>
      </c>
      <c r="X663">
        <v>4706.5714099999996</v>
      </c>
      <c r="Y663">
        <v>4704.61114</v>
      </c>
      <c r="Z663">
        <f t="shared" si="114"/>
        <v>4758.4087491666669</v>
      </c>
      <c r="AA663">
        <f t="shared" si="115"/>
        <v>4710.2429099999999</v>
      </c>
      <c r="AB663">
        <f t="shared" si="116"/>
        <v>4709.8592600000002</v>
      </c>
      <c r="AC663">
        <f t="shared" si="117"/>
        <v>4700.2013699999998</v>
      </c>
      <c r="AF663">
        <f t="shared" si="118"/>
        <v>4706.5714099999996</v>
      </c>
      <c r="AG663">
        <f t="shared" si="119"/>
        <v>4758.4087491666669</v>
      </c>
      <c r="AH663">
        <f t="shared" si="120"/>
        <v>4709.8592600000002</v>
      </c>
    </row>
    <row r="664" spans="1:34" x14ac:dyDescent="0.55000000000000004">
      <c r="A664">
        <f>ALGLIB_SSA_XAUUSD!J664</f>
        <v>1775592600</v>
      </c>
      <c r="B664" t="str">
        <f>_xlfn.XLOOKUP($A664,ALGLIB_SSA_XAUUSD!$A$2:$A$1000,ALGLIB_SSA_XAUUSD!$B$2:$B$1000,"",0)</f>
        <v/>
      </c>
      <c r="C664" t="str">
        <f>_xlfn.XLOOKUP($A664,ALGLIB_SSA_XAUUSD!$A$2:$A$1000,ALGLIB_SSA_XAUUSD!$C$2:$C$1000,"",0)</f>
        <v/>
      </c>
      <c r="D664" s="1">
        <f>D662+(D674-D662)*2/12</f>
        <v>4724.3833333333332</v>
      </c>
      <c r="E664" s="1">
        <f>E662+(E674-E662)*2/12</f>
        <v>4747.3432966666669</v>
      </c>
      <c r="F664" s="1">
        <f>F662+(F674-F662)*2/12</f>
        <v>4722.7489699999996</v>
      </c>
      <c r="G664" s="1">
        <f>G662+(G674-G662)*2/12</f>
        <v>4760.7531883333331</v>
      </c>
      <c r="H664" s="1">
        <f>H662+(H674-H662)*2/12</f>
        <v>4712.0602499999995</v>
      </c>
      <c r="I664" t="str">
        <f>_xlfn.XLOOKUP($A664,ALGLIB_SSA_XAUUSD!$J$2:$J$1000,ALGLIB_SSA_XAUUSD!$K$2:$K$1000,"",0)</f>
        <v>XAUUSD</v>
      </c>
      <c r="J664" t="str">
        <f>_xlfn.XLOOKUP($A664,ALGLIB_SSA_XAUUSD!$J$2:$J$1000,ALGLIB_SSA_XAUUSD!$L$2:$L$1000,"",0)</f>
        <v>M5</v>
      </c>
      <c r="K664">
        <f>_xlfn.XLOOKUP($A664,ALGLIB_SSA_XAUUSD!$J$2:$J$1000,ALGLIB_SSA_XAUUSD!$M$2:$M$1000,"",0)</f>
        <v>4708.6499999999996</v>
      </c>
      <c r="L664">
        <f>_xlfn.XLOOKUP($A664,ALGLIB_SSA_XAUUSD!$J$2:$J$1000,ALGLIB_SSA_XAUUSD!$N$2:$N$1000,"",0)</f>
        <v>4707.5403900000001</v>
      </c>
      <c r="M664">
        <f>_xlfn.XLOOKUP($A664,ALGLIB_SSA_XAUUSD!$J$2:$J$1000,ALGLIB_SSA_XAUUSD!$O$2:$O$1000,"",0)</f>
        <v>4706.0757700000004</v>
      </c>
      <c r="N664">
        <f>_xlfn.XLOOKUP($A664,ALGLIB_SSA_XAUUSD!$J$2:$J$1000,ALGLIB_SSA_XAUUSD!$P$2:$P$1000,"",0)</f>
        <v>4710.4551899999997</v>
      </c>
      <c r="O664">
        <f>_xlfn.XLOOKUP($A664,ALGLIB_SSA_XAUUSD!$J$2:$J$1000,ALGLIB_SSA_XAUUSD!$Q$2:$Q$1000,"",0)</f>
        <v>4702.0710900000004</v>
      </c>
      <c r="R664">
        <f t="shared" si="110"/>
        <v>1775592600</v>
      </c>
      <c r="S664" t="str">
        <f t="shared" si="111"/>
        <v>XAUUSD</v>
      </c>
      <c r="T664" t="str">
        <f t="shared" si="112"/>
        <v>M5</v>
      </c>
      <c r="U664">
        <f t="shared" si="113"/>
        <v>4708.6499999999996</v>
      </c>
      <c r="V664">
        <v>4747.3433000000005</v>
      </c>
      <c r="W664">
        <v>4722.7489699999996</v>
      </c>
      <c r="X664">
        <v>4707.5403900000001</v>
      </c>
      <c r="Y664">
        <v>4706.0757700000004</v>
      </c>
      <c r="Z664">
        <f t="shared" si="114"/>
        <v>4760.7531883333331</v>
      </c>
      <c r="AA664">
        <f t="shared" si="115"/>
        <v>4710.4551899999997</v>
      </c>
      <c r="AB664">
        <f t="shared" si="116"/>
        <v>4712.0602499999995</v>
      </c>
      <c r="AC664">
        <f t="shared" si="117"/>
        <v>4702.0710900000004</v>
      </c>
      <c r="AF664">
        <f t="shared" si="118"/>
        <v>4707.5403900000001</v>
      </c>
      <c r="AG664">
        <f t="shared" si="119"/>
        <v>4760.7531883333331</v>
      </c>
      <c r="AH664">
        <f t="shared" si="120"/>
        <v>4712.0602499999995</v>
      </c>
    </row>
    <row r="665" spans="1:34" x14ac:dyDescent="0.55000000000000004">
      <c r="A665">
        <f>ALGLIB_SSA_XAUUSD!J665</f>
        <v>1775592900</v>
      </c>
      <c r="B665" t="str">
        <f>_xlfn.XLOOKUP($A665,ALGLIB_SSA_XAUUSD!$A$2:$A$1000,ALGLIB_SSA_XAUUSD!$B$2:$B$1000,"",0)</f>
        <v/>
      </c>
      <c r="C665" t="str">
        <f>_xlfn.XLOOKUP($A665,ALGLIB_SSA_XAUUSD!$A$2:$A$1000,ALGLIB_SSA_XAUUSD!$C$2:$C$1000,"",0)</f>
        <v/>
      </c>
      <c r="D665" s="1">
        <f>D662+(D674-D662)*3/12</f>
        <v>4733.7950000000001</v>
      </c>
      <c r="E665" s="1">
        <f>E662+(E674-E662)*3/12</f>
        <v>4749.6436950000007</v>
      </c>
      <c r="F665" s="1">
        <f>F662+(F674-F662)*3/12</f>
        <v>4724.9125299999996</v>
      </c>
      <c r="G665" s="1">
        <f>G662+(G674-G662)*3/12</f>
        <v>4763.0976274999994</v>
      </c>
      <c r="H665" s="1">
        <f>H662+(H674-H662)*3/12</f>
        <v>4714.2612399999998</v>
      </c>
      <c r="I665" t="str">
        <f>_xlfn.XLOOKUP($A665,ALGLIB_SSA_XAUUSD!$J$2:$J$1000,ALGLIB_SSA_XAUUSD!$K$2:$K$1000,"",0)</f>
        <v>XAUUSD</v>
      </c>
      <c r="J665" t="str">
        <f>_xlfn.XLOOKUP($A665,ALGLIB_SSA_XAUUSD!$J$2:$J$1000,ALGLIB_SSA_XAUUSD!$L$2:$L$1000,"",0)</f>
        <v>M5</v>
      </c>
      <c r="K665">
        <f>_xlfn.XLOOKUP($A665,ALGLIB_SSA_XAUUSD!$J$2:$J$1000,ALGLIB_SSA_XAUUSD!$M$2:$M$1000,"",0)</f>
        <v>4708.26</v>
      </c>
      <c r="L665">
        <f>_xlfn.XLOOKUP($A665,ALGLIB_SSA_XAUUSD!$J$2:$J$1000,ALGLIB_SSA_XAUUSD!$N$2:$N$1000,"",0)</f>
        <v>4707.9208600000002</v>
      </c>
      <c r="M665">
        <f>_xlfn.XLOOKUP($A665,ALGLIB_SSA_XAUUSD!$J$2:$J$1000,ALGLIB_SSA_XAUUSD!$O$2:$O$1000,"",0)</f>
        <v>4706.9983199999997</v>
      </c>
      <c r="N665">
        <f>_xlfn.XLOOKUP($A665,ALGLIB_SSA_XAUUSD!$J$2:$J$1000,ALGLIB_SSA_XAUUSD!$P$2:$P$1000,"",0)</f>
        <v>4710.4646499999999</v>
      </c>
      <c r="O665">
        <f>_xlfn.XLOOKUP($A665,ALGLIB_SSA_XAUUSD!$J$2:$J$1000,ALGLIB_SSA_XAUUSD!$Q$2:$Q$1000,"",0)</f>
        <v>4703.3117400000001</v>
      </c>
      <c r="R665">
        <f t="shared" si="110"/>
        <v>1775592900</v>
      </c>
      <c r="S665" t="str">
        <f t="shared" si="111"/>
        <v>XAUUSD</v>
      </c>
      <c r="T665" t="str">
        <f t="shared" si="112"/>
        <v>M5</v>
      </c>
      <c r="U665">
        <f t="shared" si="113"/>
        <v>4708.26</v>
      </c>
      <c r="V665">
        <v>4749.6436999999996</v>
      </c>
      <c r="W665">
        <v>4724.9125299999996</v>
      </c>
      <c r="X665">
        <v>4707.9208600000002</v>
      </c>
      <c r="Y665">
        <v>4706.9983199999997</v>
      </c>
      <c r="Z665">
        <f t="shared" si="114"/>
        <v>4763.0976274999994</v>
      </c>
      <c r="AA665">
        <f t="shared" si="115"/>
        <v>4710.4646499999999</v>
      </c>
      <c r="AB665">
        <f t="shared" si="116"/>
        <v>4714.2612399999998</v>
      </c>
      <c r="AC665">
        <f t="shared" si="117"/>
        <v>4703.3117400000001</v>
      </c>
      <c r="AF665">
        <f t="shared" si="118"/>
        <v>4707.9208600000002</v>
      </c>
      <c r="AG665">
        <f t="shared" si="119"/>
        <v>4763.0976274999994</v>
      </c>
      <c r="AH665">
        <f t="shared" si="120"/>
        <v>4714.2612399999998</v>
      </c>
    </row>
    <row r="666" spans="1:34" x14ac:dyDescent="0.55000000000000004">
      <c r="A666">
        <f>ALGLIB_SSA_XAUUSD!J666</f>
        <v>1775593200</v>
      </c>
      <c r="B666" t="str">
        <f>_xlfn.XLOOKUP($A666,ALGLIB_SSA_XAUUSD!$A$2:$A$1000,ALGLIB_SSA_XAUUSD!$B$2:$B$1000,"",0)</f>
        <v/>
      </c>
      <c r="C666" t="str">
        <f>_xlfn.XLOOKUP($A666,ALGLIB_SSA_XAUUSD!$A$2:$A$1000,ALGLIB_SSA_XAUUSD!$C$2:$C$1000,"",0)</f>
        <v/>
      </c>
      <c r="D666" s="1">
        <f>D662+(D674-D662)*4/12</f>
        <v>4743.2066666666669</v>
      </c>
      <c r="E666" s="1">
        <f>E662+(E674-E662)*4/12</f>
        <v>4751.9440933333335</v>
      </c>
      <c r="F666" s="1">
        <f>F662+(F674-F662)*4/12</f>
        <v>4727.0760899999996</v>
      </c>
      <c r="G666" s="1">
        <f>G662+(G674-G662)*4/12</f>
        <v>4765.4420666666665</v>
      </c>
      <c r="H666" s="1">
        <f>H662+(H674-H662)*4/12</f>
        <v>4716.4622300000001</v>
      </c>
      <c r="I666" t="str">
        <f>_xlfn.XLOOKUP($A666,ALGLIB_SSA_XAUUSD!$J$2:$J$1000,ALGLIB_SSA_XAUUSD!$K$2:$K$1000,"",0)</f>
        <v>XAUUSD</v>
      </c>
      <c r="J666" t="str">
        <f>_xlfn.XLOOKUP($A666,ALGLIB_SSA_XAUUSD!$J$2:$J$1000,ALGLIB_SSA_XAUUSD!$L$2:$L$1000,"",0)</f>
        <v>M5</v>
      </c>
      <c r="K666">
        <f>_xlfn.XLOOKUP($A666,ALGLIB_SSA_XAUUSD!$J$2:$J$1000,ALGLIB_SSA_XAUUSD!$M$2:$M$1000,"",0)</f>
        <v>4707.58</v>
      </c>
      <c r="L666">
        <f>_xlfn.XLOOKUP($A666,ALGLIB_SSA_XAUUSD!$J$2:$J$1000,ALGLIB_SSA_XAUUSD!$N$2:$N$1000,"",0)</f>
        <v>4707.9197899999999</v>
      </c>
      <c r="M666">
        <f>_xlfn.XLOOKUP($A666,ALGLIB_SSA_XAUUSD!$J$2:$J$1000,ALGLIB_SSA_XAUUSD!$O$2:$O$1000,"",0)</f>
        <v>4707.4590500000004</v>
      </c>
      <c r="N666">
        <f>_xlfn.XLOOKUP($A666,ALGLIB_SSA_XAUUSD!$J$2:$J$1000,ALGLIB_SSA_XAUUSD!$P$2:$P$1000,"",0)</f>
        <v>4710.4534700000004</v>
      </c>
      <c r="O666">
        <f>_xlfn.XLOOKUP($A666,ALGLIB_SSA_XAUUSD!$J$2:$J$1000,ALGLIB_SSA_XAUUSD!$Q$2:$Q$1000,"",0)</f>
        <v>4703.9915799999999</v>
      </c>
      <c r="R666">
        <f t="shared" si="110"/>
        <v>1775593200</v>
      </c>
      <c r="S666" t="str">
        <f t="shared" si="111"/>
        <v>XAUUSD</v>
      </c>
      <c r="T666" t="str">
        <f t="shared" si="112"/>
        <v>M5</v>
      </c>
      <c r="U666">
        <f t="shared" si="113"/>
        <v>4707.58</v>
      </c>
      <c r="V666">
        <v>4751.94409</v>
      </c>
      <c r="W666">
        <v>4727.0760899999996</v>
      </c>
      <c r="X666">
        <v>4707.9197899999999</v>
      </c>
      <c r="Y666">
        <v>4707.4590500000004</v>
      </c>
      <c r="Z666">
        <f t="shared" si="114"/>
        <v>4765.4420666666665</v>
      </c>
      <c r="AA666">
        <f t="shared" si="115"/>
        <v>4710.4534700000004</v>
      </c>
      <c r="AB666">
        <f t="shared" si="116"/>
        <v>4716.4622300000001</v>
      </c>
      <c r="AC666">
        <f t="shared" si="117"/>
        <v>4703.9915799999999</v>
      </c>
      <c r="AF666">
        <f t="shared" si="118"/>
        <v>4707.9197899999999</v>
      </c>
      <c r="AG666">
        <f t="shared" si="119"/>
        <v>4765.4420666666665</v>
      </c>
      <c r="AH666">
        <f t="shared" si="120"/>
        <v>4716.4622300000001</v>
      </c>
    </row>
    <row r="667" spans="1:34" x14ac:dyDescent="0.55000000000000004">
      <c r="A667">
        <f>ALGLIB_SSA_XAUUSD!J667</f>
        <v>1775593500</v>
      </c>
      <c r="B667" t="str">
        <f>_xlfn.XLOOKUP($A667,ALGLIB_SSA_XAUUSD!$A$2:$A$1000,ALGLIB_SSA_XAUUSD!$B$2:$B$1000,"",0)</f>
        <v/>
      </c>
      <c r="C667" t="str">
        <f>_xlfn.XLOOKUP($A667,ALGLIB_SSA_XAUUSD!$A$2:$A$1000,ALGLIB_SSA_XAUUSD!$C$2:$C$1000,"",0)</f>
        <v/>
      </c>
      <c r="D667" s="1">
        <f>D662+(D674-D662)*5/12</f>
        <v>4752.6183333333338</v>
      </c>
      <c r="E667" s="1">
        <f>E662+(E674-E662)*5/12</f>
        <v>4754.2444916666664</v>
      </c>
      <c r="F667" s="1">
        <f>F662+(F674-F662)*5/12</f>
        <v>4729.2396499999995</v>
      </c>
      <c r="G667" s="1">
        <f>G662+(G674-G662)*5/12</f>
        <v>4767.7865058333336</v>
      </c>
      <c r="H667" s="1">
        <f>H662+(H674-H662)*5/12</f>
        <v>4718.6632199999995</v>
      </c>
      <c r="I667" t="str">
        <f>_xlfn.XLOOKUP($A667,ALGLIB_SSA_XAUUSD!$J$2:$J$1000,ALGLIB_SSA_XAUUSD!$K$2:$K$1000,"",0)</f>
        <v>XAUUSD</v>
      </c>
      <c r="J667" t="str">
        <f>_xlfn.XLOOKUP($A667,ALGLIB_SSA_XAUUSD!$J$2:$J$1000,ALGLIB_SSA_XAUUSD!$L$2:$L$1000,"",0)</f>
        <v>M5</v>
      </c>
      <c r="K667">
        <f>_xlfn.XLOOKUP($A667,ALGLIB_SSA_XAUUSD!$J$2:$J$1000,ALGLIB_SSA_XAUUSD!$M$2:$M$1000,"",0)</f>
        <v>4710.21</v>
      </c>
      <c r="L667">
        <f>_xlfn.XLOOKUP($A667,ALGLIB_SSA_XAUUSD!$J$2:$J$1000,ALGLIB_SSA_XAUUSD!$N$2:$N$1000,"",0)</f>
        <v>4707.8692199999996</v>
      </c>
      <c r="M667">
        <f>_xlfn.XLOOKUP($A667,ALGLIB_SSA_XAUUSD!$J$2:$J$1000,ALGLIB_SSA_XAUUSD!$O$2:$O$1000,"",0)</f>
        <v>4707.6641399999999</v>
      </c>
      <c r="N667">
        <f>_xlfn.XLOOKUP($A667,ALGLIB_SSA_XAUUSD!$J$2:$J$1000,ALGLIB_SSA_XAUUSD!$P$2:$P$1000,"",0)</f>
        <v>4710.7990399999999</v>
      </c>
      <c r="O667">
        <f>_xlfn.XLOOKUP($A667,ALGLIB_SSA_XAUUSD!$J$2:$J$1000,ALGLIB_SSA_XAUUSD!$Q$2:$Q$1000,"",0)</f>
        <v>4704.3999999999996</v>
      </c>
      <c r="R667">
        <f t="shared" si="110"/>
        <v>1775593500</v>
      </c>
      <c r="S667" t="str">
        <f t="shared" si="111"/>
        <v>XAUUSD</v>
      </c>
      <c r="T667" t="str">
        <f t="shared" si="112"/>
        <v>M5</v>
      </c>
      <c r="U667">
        <f t="shared" si="113"/>
        <v>4710.21</v>
      </c>
      <c r="V667">
        <v>4754.24449</v>
      </c>
      <c r="W667">
        <v>4729.2396500000004</v>
      </c>
      <c r="X667">
        <v>4707.8692199999996</v>
      </c>
      <c r="Y667">
        <v>4707.6641399999999</v>
      </c>
      <c r="Z667">
        <f t="shared" si="114"/>
        <v>4767.7865058333336</v>
      </c>
      <c r="AA667">
        <f t="shared" si="115"/>
        <v>4710.7990399999999</v>
      </c>
      <c r="AB667">
        <f t="shared" si="116"/>
        <v>4718.6632199999995</v>
      </c>
      <c r="AC667">
        <f t="shared" si="117"/>
        <v>4704.3999999999996</v>
      </c>
      <c r="AF667">
        <f t="shared" si="118"/>
        <v>4707.8692199999996</v>
      </c>
      <c r="AG667">
        <f t="shared" si="119"/>
        <v>4767.7865058333336</v>
      </c>
      <c r="AH667">
        <f t="shared" si="120"/>
        <v>4718.6632199999995</v>
      </c>
    </row>
    <row r="668" spans="1:34" x14ac:dyDescent="0.55000000000000004">
      <c r="A668">
        <f>ALGLIB_SSA_XAUUSD!J668</f>
        <v>1775593800</v>
      </c>
      <c r="B668" t="str">
        <f>_xlfn.XLOOKUP($A668,ALGLIB_SSA_XAUUSD!$A$2:$A$1000,ALGLIB_SSA_XAUUSD!$B$2:$B$1000,"",0)</f>
        <v/>
      </c>
      <c r="C668" t="str">
        <f>_xlfn.XLOOKUP($A668,ALGLIB_SSA_XAUUSD!$A$2:$A$1000,ALGLIB_SSA_XAUUSD!$C$2:$C$1000,"",0)</f>
        <v/>
      </c>
      <c r="D668" s="1">
        <f>D662+(D674-D662)*6/12</f>
        <v>4762.0300000000007</v>
      </c>
      <c r="E668" s="1">
        <f>E662+(E674-E662)*6/12</f>
        <v>4756.5448900000001</v>
      </c>
      <c r="F668" s="1">
        <f>F662+(F674-F662)*6/12</f>
        <v>4731.4032100000004</v>
      </c>
      <c r="G668" s="1">
        <f>G662+(G674-G662)*6/12</f>
        <v>4770.1309449999999</v>
      </c>
      <c r="H668" s="1">
        <f>H662+(H674-H662)*6/12</f>
        <v>4720.8642099999997</v>
      </c>
      <c r="I668" t="str">
        <f>_xlfn.XLOOKUP($A668,ALGLIB_SSA_XAUUSD!$J$2:$J$1000,ALGLIB_SSA_XAUUSD!$K$2:$K$1000,"",0)</f>
        <v>XAUUSD</v>
      </c>
      <c r="J668" t="str">
        <f>_xlfn.XLOOKUP($A668,ALGLIB_SSA_XAUUSD!$J$2:$J$1000,ALGLIB_SSA_XAUUSD!$L$2:$L$1000,"",0)</f>
        <v>M5</v>
      </c>
      <c r="K668">
        <f>_xlfn.XLOOKUP($A668,ALGLIB_SSA_XAUUSD!$J$2:$J$1000,ALGLIB_SSA_XAUUSD!$M$2:$M$1000,"",0)</f>
        <v>4710.6899999999996</v>
      </c>
      <c r="L668">
        <f>_xlfn.XLOOKUP($A668,ALGLIB_SSA_XAUUSD!$J$2:$J$1000,ALGLIB_SSA_XAUUSD!$N$2:$N$1000,"",0)</f>
        <v>4708.0686100000003</v>
      </c>
      <c r="M668">
        <f>_xlfn.XLOOKUP($A668,ALGLIB_SSA_XAUUSD!$J$2:$J$1000,ALGLIB_SSA_XAUUSD!$O$2:$O$1000,"",0)</f>
        <v>4707.8663800000004</v>
      </c>
      <c r="N668">
        <f>_xlfn.XLOOKUP($A668,ALGLIB_SSA_XAUUSD!$J$2:$J$1000,ALGLIB_SSA_XAUUSD!$P$2:$P$1000,"",0)</f>
        <v>4711.6872899999998</v>
      </c>
      <c r="O668">
        <f>_xlfn.XLOOKUP($A668,ALGLIB_SSA_XAUUSD!$J$2:$J$1000,ALGLIB_SSA_XAUUSD!$Q$2:$Q$1000,"",0)</f>
        <v>4704.8976599999996</v>
      </c>
      <c r="R668">
        <f t="shared" si="110"/>
        <v>1775593800</v>
      </c>
      <c r="S668" t="str">
        <f t="shared" si="111"/>
        <v>XAUUSD</v>
      </c>
      <c r="T668" t="str">
        <f t="shared" si="112"/>
        <v>M5</v>
      </c>
      <c r="U668">
        <f t="shared" si="113"/>
        <v>4710.6899999999996</v>
      </c>
      <c r="V668">
        <v>4756.5448900000001</v>
      </c>
      <c r="W668">
        <v>4731.4032100000004</v>
      </c>
      <c r="X668">
        <v>4708.0686100000003</v>
      </c>
      <c r="Y668">
        <v>4707.8663800000004</v>
      </c>
      <c r="Z668">
        <f t="shared" si="114"/>
        <v>4770.1309449999999</v>
      </c>
      <c r="AA668">
        <f t="shared" si="115"/>
        <v>4711.6872899999998</v>
      </c>
      <c r="AB668">
        <f t="shared" si="116"/>
        <v>4720.8642099999997</v>
      </c>
      <c r="AC668">
        <f t="shared" si="117"/>
        <v>4704.8976599999996</v>
      </c>
      <c r="AF668">
        <f t="shared" si="118"/>
        <v>4708.0686100000003</v>
      </c>
      <c r="AG668">
        <f t="shared" si="119"/>
        <v>4770.1309449999999</v>
      </c>
      <c r="AH668">
        <f t="shared" si="120"/>
        <v>4720.8642099999997</v>
      </c>
    </row>
    <row r="669" spans="1:34" x14ac:dyDescent="0.55000000000000004">
      <c r="A669">
        <f>ALGLIB_SSA_XAUUSD!J669</f>
        <v>1775594100</v>
      </c>
      <c r="B669" t="str">
        <f>_xlfn.XLOOKUP($A669,ALGLIB_SSA_XAUUSD!$A$2:$A$1000,ALGLIB_SSA_XAUUSD!$B$2:$B$1000,"",0)</f>
        <v/>
      </c>
      <c r="C669" t="str">
        <f>_xlfn.XLOOKUP($A669,ALGLIB_SSA_XAUUSD!$A$2:$A$1000,ALGLIB_SSA_XAUUSD!$C$2:$C$1000,"",0)</f>
        <v/>
      </c>
      <c r="D669" s="1">
        <f>D662+(D674-D662)*7/12</f>
        <v>4771.4416666666666</v>
      </c>
      <c r="E669" s="1">
        <f>E662+(E674-E662)*7/12</f>
        <v>4758.8452883333339</v>
      </c>
      <c r="F669" s="1">
        <f>F662+(F674-F662)*7/12</f>
        <v>4733.5667700000004</v>
      </c>
      <c r="G669" s="1">
        <f>G662+(G674-G662)*7/12</f>
        <v>4772.4753841666661</v>
      </c>
      <c r="H669" s="1">
        <f>H662+(H674-H662)*7/12</f>
        <v>4723.0652</v>
      </c>
      <c r="I669" t="str">
        <f>_xlfn.XLOOKUP($A669,ALGLIB_SSA_XAUUSD!$J$2:$J$1000,ALGLIB_SSA_XAUUSD!$K$2:$K$1000,"",0)</f>
        <v>XAUUSD</v>
      </c>
      <c r="J669" t="str">
        <f>_xlfn.XLOOKUP($A669,ALGLIB_SSA_XAUUSD!$J$2:$J$1000,ALGLIB_SSA_XAUUSD!$L$2:$L$1000,"",0)</f>
        <v>M5</v>
      </c>
      <c r="K669">
        <f>_xlfn.XLOOKUP($A669,ALGLIB_SSA_XAUUSD!$J$2:$J$1000,ALGLIB_SSA_XAUUSD!$M$2:$M$1000,"",0)</f>
        <v>4708.28</v>
      </c>
      <c r="L669">
        <f>_xlfn.XLOOKUP($A669,ALGLIB_SSA_XAUUSD!$J$2:$J$1000,ALGLIB_SSA_XAUUSD!$N$2:$N$1000,"",0)</f>
        <v>4708.8566799999999</v>
      </c>
      <c r="M669">
        <f>_xlfn.XLOOKUP($A669,ALGLIB_SSA_XAUUSD!$J$2:$J$1000,ALGLIB_SSA_XAUUSD!$O$2:$O$1000,"",0)</f>
        <v>4708.3615300000001</v>
      </c>
      <c r="N669">
        <f>_xlfn.XLOOKUP($A669,ALGLIB_SSA_XAUUSD!$J$2:$J$1000,ALGLIB_SSA_XAUUSD!$P$2:$P$1000,"",0)</f>
        <v>4713.2653300000002</v>
      </c>
      <c r="O669">
        <f>_xlfn.XLOOKUP($A669,ALGLIB_SSA_XAUUSD!$J$2:$J$1000,ALGLIB_SSA_XAUUSD!$Q$2:$Q$1000,"",0)</f>
        <v>4705.7308400000002</v>
      </c>
      <c r="R669">
        <f t="shared" si="110"/>
        <v>1775594100</v>
      </c>
      <c r="S669" t="str">
        <f t="shared" si="111"/>
        <v>XAUUSD</v>
      </c>
      <c r="T669" t="str">
        <f t="shared" si="112"/>
        <v>M5</v>
      </c>
      <c r="U669">
        <f t="shared" si="113"/>
        <v>4708.28</v>
      </c>
      <c r="V669">
        <v>4758.8452900000002</v>
      </c>
      <c r="W669">
        <v>4733.5667700000004</v>
      </c>
      <c r="X669">
        <v>4708.8566799999999</v>
      </c>
      <c r="Y669">
        <v>4708.3615300000001</v>
      </c>
      <c r="Z669">
        <f t="shared" si="114"/>
        <v>4772.4753841666661</v>
      </c>
      <c r="AA669">
        <f t="shared" si="115"/>
        <v>4713.2653300000002</v>
      </c>
      <c r="AB669">
        <f t="shared" si="116"/>
        <v>4723.0652</v>
      </c>
      <c r="AC669">
        <f t="shared" si="117"/>
        <v>4705.7308400000002</v>
      </c>
      <c r="AF669">
        <f t="shared" si="118"/>
        <v>4708.8566799999999</v>
      </c>
      <c r="AG669">
        <f t="shared" si="119"/>
        <v>4772.4753841666661</v>
      </c>
      <c r="AH669">
        <f t="shared" si="120"/>
        <v>4723.0652</v>
      </c>
    </row>
    <row r="670" spans="1:34" x14ac:dyDescent="0.55000000000000004">
      <c r="A670">
        <f>ALGLIB_SSA_XAUUSD!J670</f>
        <v>1775594400</v>
      </c>
      <c r="B670" t="str">
        <f>_xlfn.XLOOKUP($A670,ALGLIB_SSA_XAUUSD!$A$2:$A$1000,ALGLIB_SSA_XAUUSD!$B$2:$B$1000,"",0)</f>
        <v/>
      </c>
      <c r="C670" t="str">
        <f>_xlfn.XLOOKUP($A670,ALGLIB_SSA_XAUUSD!$A$2:$A$1000,ALGLIB_SSA_XAUUSD!$C$2:$C$1000,"",0)</f>
        <v/>
      </c>
      <c r="D670" s="1">
        <f>D662+(D674-D662)*8/12</f>
        <v>4780.8533333333335</v>
      </c>
      <c r="E670" s="1">
        <f>E662+(E674-E662)*8/12</f>
        <v>4761.1456866666667</v>
      </c>
      <c r="F670" s="1">
        <f>F662+(F674-F662)*8/12</f>
        <v>4735.7303300000003</v>
      </c>
      <c r="G670" s="1">
        <f>G662+(G674-G662)*8/12</f>
        <v>4774.8198233333333</v>
      </c>
      <c r="H670" s="1">
        <f>H662+(H674-H662)*8/12</f>
        <v>4725.2661899999994</v>
      </c>
      <c r="I670" t="str">
        <f>_xlfn.XLOOKUP($A670,ALGLIB_SSA_XAUUSD!$J$2:$J$1000,ALGLIB_SSA_XAUUSD!$K$2:$K$1000,"",0)</f>
        <v>XAUUSD</v>
      </c>
      <c r="J670" t="str">
        <f>_xlfn.XLOOKUP($A670,ALGLIB_SSA_XAUUSD!$J$2:$J$1000,ALGLIB_SSA_XAUUSD!$L$2:$L$1000,"",0)</f>
        <v>M5</v>
      </c>
      <c r="K670">
        <f>_xlfn.XLOOKUP($A670,ALGLIB_SSA_XAUUSD!$J$2:$J$1000,ALGLIB_SSA_XAUUSD!$M$2:$M$1000,"",0)</f>
        <v>4708.21</v>
      </c>
      <c r="L670">
        <f>_xlfn.XLOOKUP($A670,ALGLIB_SSA_XAUUSD!$J$2:$J$1000,ALGLIB_SSA_XAUUSD!$N$2:$N$1000,"",0)</f>
        <v>4710.5613999999996</v>
      </c>
      <c r="M670">
        <f>_xlfn.XLOOKUP($A670,ALGLIB_SSA_XAUUSD!$J$2:$J$1000,ALGLIB_SSA_XAUUSD!$O$2:$O$1000,"",0)</f>
        <v>4709.4614700000002</v>
      </c>
      <c r="N670">
        <f>_xlfn.XLOOKUP($A670,ALGLIB_SSA_XAUUSD!$J$2:$J$1000,ALGLIB_SSA_XAUUSD!$P$2:$P$1000,"",0)</f>
        <v>4715.6644399999996</v>
      </c>
      <c r="O670">
        <f>_xlfn.XLOOKUP($A670,ALGLIB_SSA_XAUUSD!$J$2:$J$1000,ALGLIB_SSA_XAUUSD!$Q$2:$Q$1000,"",0)</f>
        <v>4707.3349600000001</v>
      </c>
      <c r="R670">
        <f t="shared" si="110"/>
        <v>1775594400</v>
      </c>
      <c r="S670" t="str">
        <f t="shared" si="111"/>
        <v>XAUUSD</v>
      </c>
      <c r="T670" t="str">
        <f t="shared" si="112"/>
        <v>M5</v>
      </c>
      <c r="U670">
        <f t="shared" si="113"/>
        <v>4708.21</v>
      </c>
      <c r="V670">
        <v>4761.1456900000003</v>
      </c>
      <c r="W670">
        <v>4735.7303300000003</v>
      </c>
      <c r="X670">
        <v>4710.5613999999996</v>
      </c>
      <c r="Y670">
        <v>4709.4614700000002</v>
      </c>
      <c r="Z670">
        <f t="shared" si="114"/>
        <v>4774.8198233333333</v>
      </c>
      <c r="AA670">
        <f t="shared" si="115"/>
        <v>4715.6644399999996</v>
      </c>
      <c r="AB670">
        <f t="shared" si="116"/>
        <v>4725.2661899999994</v>
      </c>
      <c r="AC670">
        <f t="shared" si="117"/>
        <v>4707.3349600000001</v>
      </c>
      <c r="AF670">
        <f t="shared" si="118"/>
        <v>4710.5613999999996</v>
      </c>
      <c r="AG670">
        <f t="shared" si="119"/>
        <v>4774.8198233333333</v>
      </c>
      <c r="AH670">
        <f t="shared" si="120"/>
        <v>4725.2661899999994</v>
      </c>
    </row>
    <row r="671" spans="1:34" x14ac:dyDescent="0.55000000000000004">
      <c r="A671">
        <f>ALGLIB_SSA_XAUUSD!J671</f>
        <v>1775594700</v>
      </c>
      <c r="B671" t="str">
        <f>_xlfn.XLOOKUP($A671,ALGLIB_SSA_XAUUSD!$A$2:$A$1000,ALGLIB_SSA_XAUUSD!$B$2:$B$1000,"",0)</f>
        <v/>
      </c>
      <c r="C671" t="str">
        <f>_xlfn.XLOOKUP($A671,ALGLIB_SSA_XAUUSD!$A$2:$A$1000,ALGLIB_SSA_XAUUSD!$C$2:$C$1000,"",0)</f>
        <v/>
      </c>
      <c r="D671" s="1">
        <f>D662+(D674-D662)*9/12</f>
        <v>4790.2650000000003</v>
      </c>
      <c r="E671" s="1">
        <f>E662+(E674-E662)*9/12</f>
        <v>4763.4460849999996</v>
      </c>
      <c r="F671" s="1">
        <f>F662+(F674-F662)*9/12</f>
        <v>4737.8938900000003</v>
      </c>
      <c r="G671" s="1">
        <f>G662+(G674-G662)*9/12</f>
        <v>4777.1642625000004</v>
      </c>
      <c r="H671" s="1">
        <f>H662+(H674-H662)*9/12</f>
        <v>4727.4671799999996</v>
      </c>
      <c r="I671" t="str">
        <f>_xlfn.XLOOKUP($A671,ALGLIB_SSA_XAUUSD!$J$2:$J$1000,ALGLIB_SSA_XAUUSD!$K$2:$K$1000,"",0)</f>
        <v>XAUUSD</v>
      </c>
      <c r="J671" t="str">
        <f>_xlfn.XLOOKUP($A671,ALGLIB_SSA_XAUUSD!$J$2:$J$1000,ALGLIB_SSA_XAUUSD!$L$2:$L$1000,"",0)</f>
        <v>M5</v>
      </c>
      <c r="K671">
        <f>_xlfn.XLOOKUP($A671,ALGLIB_SSA_XAUUSD!$J$2:$J$1000,ALGLIB_SSA_XAUUSD!$M$2:$M$1000,"",0)</f>
        <v>4712.3999999999996</v>
      </c>
      <c r="L671">
        <f>_xlfn.XLOOKUP($A671,ALGLIB_SSA_XAUUSD!$J$2:$J$1000,ALGLIB_SSA_XAUUSD!$N$2:$N$1000,"",0)</f>
        <v>4713.2545899999996</v>
      </c>
      <c r="M671">
        <f>_xlfn.XLOOKUP($A671,ALGLIB_SSA_XAUUSD!$J$2:$J$1000,ALGLIB_SSA_XAUUSD!$O$2:$O$1000,"",0)</f>
        <v>4711.3580300000003</v>
      </c>
      <c r="N671">
        <f>_xlfn.XLOOKUP($A671,ALGLIB_SSA_XAUUSD!$J$2:$J$1000,ALGLIB_SSA_XAUUSD!$P$2:$P$1000,"",0)</f>
        <v>4718.8716999999997</v>
      </c>
      <c r="O671">
        <f>_xlfn.XLOOKUP($A671,ALGLIB_SSA_XAUUSD!$J$2:$J$1000,ALGLIB_SSA_XAUUSD!$Q$2:$Q$1000,"",0)</f>
        <v>4709.7372800000003</v>
      </c>
      <c r="R671">
        <f t="shared" si="110"/>
        <v>1775594700</v>
      </c>
      <c r="S671" t="str">
        <f t="shared" si="111"/>
        <v>XAUUSD</v>
      </c>
      <c r="T671" t="str">
        <f t="shared" si="112"/>
        <v>M5</v>
      </c>
      <c r="U671">
        <f t="shared" si="113"/>
        <v>4712.3999999999996</v>
      </c>
      <c r="V671">
        <v>4763.4460799999997</v>
      </c>
      <c r="W671">
        <v>4737.8938900000003</v>
      </c>
      <c r="X671">
        <v>4713.2545899999996</v>
      </c>
      <c r="Y671">
        <v>4711.3580300000003</v>
      </c>
      <c r="Z671">
        <f t="shared" si="114"/>
        <v>4777.1642625000004</v>
      </c>
      <c r="AA671">
        <f t="shared" si="115"/>
        <v>4718.8716999999997</v>
      </c>
      <c r="AB671">
        <f t="shared" si="116"/>
        <v>4727.4671799999996</v>
      </c>
      <c r="AC671">
        <f t="shared" si="117"/>
        <v>4709.7372800000003</v>
      </c>
      <c r="AF671">
        <f t="shared" si="118"/>
        <v>4713.2545899999996</v>
      </c>
      <c r="AG671">
        <f t="shared" si="119"/>
        <v>4777.1642625000004</v>
      </c>
      <c r="AH671">
        <f t="shared" si="120"/>
        <v>4727.4671799999996</v>
      </c>
    </row>
    <row r="672" spans="1:34" x14ac:dyDescent="0.55000000000000004">
      <c r="A672">
        <f>ALGLIB_SSA_XAUUSD!J672</f>
        <v>1775595000</v>
      </c>
      <c r="B672" t="str">
        <f>_xlfn.XLOOKUP($A672,ALGLIB_SSA_XAUUSD!$A$2:$A$1000,ALGLIB_SSA_XAUUSD!$B$2:$B$1000,"",0)</f>
        <v/>
      </c>
      <c r="C672" t="str">
        <f>_xlfn.XLOOKUP($A672,ALGLIB_SSA_XAUUSD!$A$2:$A$1000,ALGLIB_SSA_XAUUSD!$C$2:$C$1000,"",0)</f>
        <v/>
      </c>
      <c r="D672" s="1">
        <f>D662+(D674-D662)*10/12</f>
        <v>4799.6766666666663</v>
      </c>
      <c r="E672" s="1">
        <f>E662+(E674-E662)*10/12</f>
        <v>4765.7464833333333</v>
      </c>
      <c r="F672" s="1">
        <f>F662+(F674-F662)*10/12</f>
        <v>4740.0574500000002</v>
      </c>
      <c r="G672" s="1">
        <f>G662+(G674-G662)*10/12</f>
        <v>4779.5087016666666</v>
      </c>
      <c r="H672" s="1">
        <f>H662+(H674-H662)*10/12</f>
        <v>4729.6681699999999</v>
      </c>
      <c r="I672" t="str">
        <f>_xlfn.XLOOKUP($A672,ALGLIB_SSA_XAUUSD!$J$2:$J$1000,ALGLIB_SSA_XAUUSD!$K$2:$K$1000,"",0)</f>
        <v>XAUUSD</v>
      </c>
      <c r="J672" t="str">
        <f>_xlfn.XLOOKUP($A672,ALGLIB_SSA_XAUUSD!$J$2:$J$1000,ALGLIB_SSA_XAUUSD!$L$2:$L$1000,"",0)</f>
        <v>M5</v>
      </c>
      <c r="K672">
        <f>_xlfn.XLOOKUP($A672,ALGLIB_SSA_XAUUSD!$J$2:$J$1000,ALGLIB_SSA_XAUUSD!$M$2:$M$1000,"",0)</f>
        <v>4708.72</v>
      </c>
      <c r="L672">
        <f>_xlfn.XLOOKUP($A672,ALGLIB_SSA_XAUUSD!$J$2:$J$1000,ALGLIB_SSA_XAUUSD!$N$2:$N$1000,"",0)</f>
        <v>4716.7078099999999</v>
      </c>
      <c r="M672">
        <f>_xlfn.XLOOKUP($A672,ALGLIB_SSA_XAUUSD!$J$2:$J$1000,ALGLIB_SSA_XAUUSD!$O$2:$O$1000,"",0)</f>
        <v>4714.0329199999996</v>
      </c>
      <c r="N672">
        <f>_xlfn.XLOOKUP($A672,ALGLIB_SSA_XAUUSD!$J$2:$J$1000,ALGLIB_SSA_XAUUSD!$P$2:$P$1000,"",0)</f>
        <v>4722.8146500000003</v>
      </c>
      <c r="O672">
        <f>_xlfn.XLOOKUP($A672,ALGLIB_SSA_XAUUSD!$J$2:$J$1000,ALGLIB_SSA_XAUUSD!$Q$2:$Q$1000,"",0)</f>
        <v>4712.8166499999998</v>
      </c>
      <c r="R672">
        <f t="shared" si="110"/>
        <v>1775595000</v>
      </c>
      <c r="S672" t="str">
        <f t="shared" si="111"/>
        <v>XAUUSD</v>
      </c>
      <c r="T672" t="str">
        <f t="shared" si="112"/>
        <v>M5</v>
      </c>
      <c r="U672">
        <f t="shared" si="113"/>
        <v>4708.72</v>
      </c>
      <c r="V672">
        <v>4765.7464799999998</v>
      </c>
      <c r="W672">
        <v>4740.0574500000002</v>
      </c>
      <c r="X672">
        <v>4716.7078099999999</v>
      </c>
      <c r="Y672">
        <v>4714.0329199999996</v>
      </c>
      <c r="Z672">
        <f t="shared" si="114"/>
        <v>4779.5087016666666</v>
      </c>
      <c r="AA672">
        <f t="shared" si="115"/>
        <v>4722.8146500000003</v>
      </c>
      <c r="AB672">
        <f t="shared" si="116"/>
        <v>4729.6681699999999</v>
      </c>
      <c r="AC672">
        <f t="shared" si="117"/>
        <v>4712.8166499999998</v>
      </c>
      <c r="AF672">
        <f t="shared" si="118"/>
        <v>4716.7078099999999</v>
      </c>
      <c r="AG672">
        <f t="shared" si="119"/>
        <v>4779.5087016666666</v>
      </c>
      <c r="AH672">
        <f t="shared" si="120"/>
        <v>4729.6681699999999</v>
      </c>
    </row>
    <row r="673" spans="1:34" x14ac:dyDescent="0.55000000000000004">
      <c r="A673">
        <f>ALGLIB_SSA_XAUUSD!J673</f>
        <v>1775595300</v>
      </c>
      <c r="B673" t="str">
        <f>_xlfn.XLOOKUP($A673,ALGLIB_SSA_XAUUSD!$A$2:$A$1000,ALGLIB_SSA_XAUUSD!$B$2:$B$1000,"",0)</f>
        <v/>
      </c>
      <c r="C673" t="str">
        <f>_xlfn.XLOOKUP($A673,ALGLIB_SSA_XAUUSD!$A$2:$A$1000,ALGLIB_SSA_XAUUSD!$C$2:$C$1000,"",0)</f>
        <v/>
      </c>
      <c r="D673" s="1">
        <f>D662+(D674-D662)*11/12</f>
        <v>4809.0883333333331</v>
      </c>
      <c r="E673" s="1">
        <f>E662+(E674-E662)*11/12</f>
        <v>4768.0468816666671</v>
      </c>
      <c r="F673" s="1">
        <f>F662+(F674-F662)*11/12</f>
        <v>4742.2210100000002</v>
      </c>
      <c r="G673" s="1">
        <f>G662+(G674-G662)*11/12</f>
        <v>4781.8531408333329</v>
      </c>
      <c r="H673" s="1">
        <f>H662+(H674-H662)*11/12</f>
        <v>4731.8691599999993</v>
      </c>
      <c r="I673" t="str">
        <f>_xlfn.XLOOKUP($A673,ALGLIB_SSA_XAUUSD!$J$2:$J$1000,ALGLIB_SSA_XAUUSD!$K$2:$K$1000,"",0)</f>
        <v>XAUUSD</v>
      </c>
      <c r="J673" t="str">
        <f>_xlfn.XLOOKUP($A673,ALGLIB_SSA_XAUUSD!$J$2:$J$1000,ALGLIB_SSA_XAUUSD!$L$2:$L$1000,"",0)</f>
        <v>M5</v>
      </c>
      <c r="K673">
        <f>_xlfn.XLOOKUP($A673,ALGLIB_SSA_XAUUSD!$J$2:$J$1000,ALGLIB_SSA_XAUUSD!$M$2:$M$1000,"",0)</f>
        <v>4705.5600000000004</v>
      </c>
      <c r="L673">
        <f>_xlfn.XLOOKUP($A673,ALGLIB_SSA_XAUUSD!$J$2:$J$1000,ALGLIB_SSA_XAUUSD!$N$2:$N$1000,"",0)</f>
        <v>4720.7801499999996</v>
      </c>
      <c r="M673">
        <f>_xlfn.XLOOKUP($A673,ALGLIB_SSA_XAUUSD!$J$2:$J$1000,ALGLIB_SSA_XAUUSD!$O$2:$O$1000,"",0)</f>
        <v>4717.4065399999999</v>
      </c>
      <c r="N673">
        <f>_xlfn.XLOOKUP($A673,ALGLIB_SSA_XAUUSD!$J$2:$J$1000,ALGLIB_SSA_XAUUSD!$P$2:$P$1000,"",0)</f>
        <v>4727.2197999999999</v>
      </c>
      <c r="O673">
        <f>_xlfn.XLOOKUP($A673,ALGLIB_SSA_XAUUSD!$J$2:$J$1000,ALGLIB_SSA_XAUUSD!$Q$2:$Q$1000,"",0)</f>
        <v>4716.2849500000002</v>
      </c>
      <c r="R673">
        <f t="shared" si="110"/>
        <v>1775595300</v>
      </c>
      <c r="S673" t="str">
        <f t="shared" si="111"/>
        <v>XAUUSD</v>
      </c>
      <c r="T673" t="str">
        <f t="shared" si="112"/>
        <v>M5</v>
      </c>
      <c r="U673">
        <f t="shared" si="113"/>
        <v>4705.5600000000004</v>
      </c>
      <c r="V673">
        <v>4768.0468799999999</v>
      </c>
      <c r="W673">
        <v>4742.2210100000002</v>
      </c>
      <c r="X673">
        <v>4720.7801499999996</v>
      </c>
      <c r="Y673">
        <v>4717.4065399999999</v>
      </c>
      <c r="Z673">
        <f t="shared" si="114"/>
        <v>4781.8531408333329</v>
      </c>
      <c r="AA673">
        <f t="shared" si="115"/>
        <v>4727.2197999999999</v>
      </c>
      <c r="AB673">
        <f t="shared" si="116"/>
        <v>4731.8691599999993</v>
      </c>
      <c r="AC673">
        <f t="shared" si="117"/>
        <v>4716.2849500000002</v>
      </c>
      <c r="AF673">
        <f t="shared" si="118"/>
        <v>4720.7801499999996</v>
      </c>
      <c r="AG673">
        <f t="shared" si="119"/>
        <v>4781.8531408333329</v>
      </c>
      <c r="AH673">
        <f t="shared" si="120"/>
        <v>4731.8691599999993</v>
      </c>
    </row>
    <row r="674" spans="1:34" x14ac:dyDescent="0.55000000000000004">
      <c r="A674">
        <f>ALGLIB_SSA_XAUUSD!J674</f>
        <v>1775599200</v>
      </c>
      <c r="B674" t="str">
        <f>_xlfn.XLOOKUP($A674,ALGLIB_SSA_XAUUSD!$A$2:$A$1000,ALGLIB_SSA_XAUUSD!$B$2:$B$1000,"",0)</f>
        <v>XAUUSD</v>
      </c>
      <c r="C674" t="str">
        <f>_xlfn.XLOOKUP($A674,ALGLIB_SSA_XAUUSD!$A$2:$A$1000,ALGLIB_SSA_XAUUSD!$C$2:$C$1000,"",0)</f>
        <v>H1</v>
      </c>
      <c r="D674" s="2">
        <f>_xlfn.XLOOKUP($A674,ALGLIB_SSA_XAUUSD!$A$2:$A$1000,ALGLIB_SSA_XAUUSD!$D$2:$D$1000,"",0)</f>
        <v>4818.5</v>
      </c>
      <c r="E674" s="2">
        <f>_xlfn.XLOOKUP($A674,ALGLIB_SSA_XAUUSD!$A$2:$A$1000,ALGLIB_SSA_XAUUSD!$E$2:$E$1000,"",0)</f>
        <v>4770.34728</v>
      </c>
      <c r="F674" s="2">
        <f>_xlfn.XLOOKUP($A674,ALGLIB_SSA_XAUUSD!$A$2:$A$1000,ALGLIB_SSA_XAUUSD!$F$2:$F$1000,"",0)</f>
        <v>4744.3845700000002</v>
      </c>
      <c r="G674" s="2">
        <f>_xlfn.XLOOKUP($A674,ALGLIB_SSA_XAUUSD!$A$2:$A$1000,ALGLIB_SSA_XAUUSD!$G$2:$G$1000,"",0)</f>
        <v>4784.19758</v>
      </c>
      <c r="H674" s="2">
        <f>_xlfn.XLOOKUP($A674,ALGLIB_SSA_XAUUSD!$A$2:$A$1000,ALGLIB_SSA_XAUUSD!$H$2:$H$1000,"",0)</f>
        <v>4734.0701499999996</v>
      </c>
      <c r="I674" t="str">
        <f>_xlfn.XLOOKUP($A674,ALGLIB_SSA_XAUUSD!$J$2:$J$1000,ALGLIB_SSA_XAUUSD!$K$2:$K$1000,"",0)</f>
        <v>XAUUSD</v>
      </c>
      <c r="J674" t="str">
        <f>_xlfn.XLOOKUP($A674,ALGLIB_SSA_XAUUSD!$J$2:$J$1000,ALGLIB_SSA_XAUUSD!$L$2:$L$1000,"",0)</f>
        <v>M5</v>
      </c>
      <c r="K674">
        <f>_xlfn.XLOOKUP($A674,ALGLIB_SSA_XAUUSD!$J$2:$J$1000,ALGLIB_SSA_XAUUSD!$M$2:$M$1000,"",0)</f>
        <v>4744.34</v>
      </c>
      <c r="L674">
        <f>_xlfn.XLOOKUP($A674,ALGLIB_SSA_XAUUSD!$J$2:$J$1000,ALGLIB_SSA_XAUUSD!$N$2:$N$1000,"",0)</f>
        <v>4725.2583500000001</v>
      </c>
      <c r="M674">
        <f>_xlfn.XLOOKUP($A674,ALGLIB_SSA_XAUUSD!$J$2:$J$1000,ALGLIB_SSA_XAUUSD!$O$2:$O$1000,"",0)</f>
        <v>4721.3324499999999</v>
      </c>
      <c r="N674">
        <f>_xlfn.XLOOKUP($A674,ALGLIB_SSA_XAUUSD!$J$2:$J$1000,ALGLIB_SSA_XAUUSD!$P$2:$P$1000,"",0)</f>
        <v>4731.7274399999997</v>
      </c>
      <c r="O674">
        <f>_xlfn.XLOOKUP($A674,ALGLIB_SSA_XAUUSD!$J$2:$J$1000,ALGLIB_SSA_XAUUSD!$Q$2:$Q$1000,"",0)</f>
        <v>4719.8566600000004</v>
      </c>
      <c r="R674">
        <f t="shared" si="110"/>
        <v>1775599200</v>
      </c>
      <c r="S674" t="str">
        <f t="shared" si="111"/>
        <v>XAUUSD</v>
      </c>
      <c r="T674" t="str">
        <f t="shared" si="112"/>
        <v>M5</v>
      </c>
      <c r="U674">
        <f t="shared" si="113"/>
        <v>4744.34</v>
      </c>
      <c r="V674">
        <v>4770.34728</v>
      </c>
      <c r="W674">
        <v>4744.3845700000002</v>
      </c>
      <c r="X674">
        <v>4725.2583500000001</v>
      </c>
      <c r="Y674">
        <v>4721.3324499999999</v>
      </c>
      <c r="Z674">
        <f t="shared" si="114"/>
        <v>4784.19758</v>
      </c>
      <c r="AA674">
        <f t="shared" si="115"/>
        <v>4731.7274399999997</v>
      </c>
      <c r="AB674">
        <f t="shared" si="116"/>
        <v>4734.0701499999996</v>
      </c>
      <c r="AC674">
        <f t="shared" si="117"/>
        <v>4719.8566600000004</v>
      </c>
      <c r="AF674">
        <f t="shared" si="118"/>
        <v>4725.2583500000001</v>
      </c>
      <c r="AG674">
        <f t="shared" si="119"/>
        <v>4784.19758</v>
      </c>
      <c r="AH674">
        <f t="shared" si="120"/>
        <v>4734.0701499999996</v>
      </c>
    </row>
    <row r="675" spans="1:34" x14ac:dyDescent="0.55000000000000004">
      <c r="A675">
        <f>ALGLIB_SSA_XAUUSD!J675</f>
        <v>1775599500</v>
      </c>
      <c r="B675" t="str">
        <f>_xlfn.XLOOKUP($A675,ALGLIB_SSA_XAUUSD!$A$2:$A$1000,ALGLIB_SSA_XAUUSD!$B$2:$B$1000,"",0)</f>
        <v/>
      </c>
      <c r="C675" t="str">
        <f>_xlfn.XLOOKUP($A675,ALGLIB_SSA_XAUUSD!$A$2:$A$1000,ALGLIB_SSA_XAUUSD!$C$2:$C$1000,"",0)</f>
        <v/>
      </c>
      <c r="D675" s="1">
        <f>D674+(D686-D674)*1/12</f>
        <v>4819.7250000000004</v>
      </c>
      <c r="E675" s="1">
        <f>E674+(E686-E674)*1/12</f>
        <v>4772.2843224999997</v>
      </c>
      <c r="F675" s="1">
        <f>F674+(F686-F674)*1/12</f>
        <v>4746.4348708333337</v>
      </c>
      <c r="G675" s="1">
        <f>G674+(G686-G674)*1/12</f>
        <v>4786.2118575000004</v>
      </c>
      <c r="H675" s="1">
        <f>H674+(H686-H674)*1/12</f>
        <v>4736.1903116666663</v>
      </c>
      <c r="I675" t="str">
        <f>_xlfn.XLOOKUP($A675,ALGLIB_SSA_XAUUSD!$J$2:$J$1000,ALGLIB_SSA_XAUUSD!$K$2:$K$1000,"",0)</f>
        <v>XAUUSD</v>
      </c>
      <c r="J675" t="str">
        <f>_xlfn.XLOOKUP($A675,ALGLIB_SSA_XAUUSD!$J$2:$J$1000,ALGLIB_SSA_XAUUSD!$L$2:$L$1000,"",0)</f>
        <v>M5</v>
      </c>
      <c r="K675">
        <f>_xlfn.XLOOKUP($A675,ALGLIB_SSA_XAUUSD!$J$2:$J$1000,ALGLIB_SSA_XAUUSD!$M$2:$M$1000,"",0)</f>
        <v>4744.09</v>
      </c>
      <c r="L675">
        <f>_xlfn.XLOOKUP($A675,ALGLIB_SSA_XAUUSD!$J$2:$J$1000,ALGLIB_SSA_XAUUSD!$N$2:$N$1000,"",0)</f>
        <v>4728.9632799999999</v>
      </c>
      <c r="M675">
        <f>_xlfn.XLOOKUP($A675,ALGLIB_SSA_XAUUSD!$J$2:$J$1000,ALGLIB_SSA_XAUUSD!$O$2:$O$1000,"",0)</f>
        <v>4725.14786</v>
      </c>
      <c r="N675">
        <f>_xlfn.XLOOKUP($A675,ALGLIB_SSA_XAUUSD!$J$2:$J$1000,ALGLIB_SSA_XAUUSD!$P$2:$P$1000,"",0)</f>
        <v>4735.2890200000002</v>
      </c>
      <c r="O675">
        <f>_xlfn.XLOOKUP($A675,ALGLIB_SSA_XAUUSD!$J$2:$J$1000,ALGLIB_SSA_XAUUSD!$Q$2:$Q$1000,"",0)</f>
        <v>4722.8708900000001</v>
      </c>
      <c r="R675">
        <f t="shared" si="110"/>
        <v>1775599500</v>
      </c>
      <c r="S675" t="str">
        <f t="shared" si="111"/>
        <v>XAUUSD</v>
      </c>
      <c r="T675" t="str">
        <f t="shared" si="112"/>
        <v>M5</v>
      </c>
      <c r="U675">
        <f t="shared" si="113"/>
        <v>4744.09</v>
      </c>
      <c r="V675">
        <v>4772.2843199999998</v>
      </c>
      <c r="W675">
        <v>4746.43487</v>
      </c>
      <c r="X675">
        <v>4728.9632799999999</v>
      </c>
      <c r="Y675">
        <v>4725.14786</v>
      </c>
      <c r="Z675">
        <f t="shared" si="114"/>
        <v>4786.2118575000004</v>
      </c>
      <c r="AA675">
        <f t="shared" si="115"/>
        <v>4735.2890200000002</v>
      </c>
      <c r="AB675">
        <f t="shared" si="116"/>
        <v>4736.1903116666663</v>
      </c>
      <c r="AC675">
        <f t="shared" si="117"/>
        <v>4722.8708900000001</v>
      </c>
      <c r="AF675">
        <f t="shared" si="118"/>
        <v>4728.9632799999999</v>
      </c>
      <c r="AG675">
        <f t="shared" si="119"/>
        <v>4786.2118575000004</v>
      </c>
      <c r="AH675">
        <f t="shared" si="120"/>
        <v>4736.1903116666663</v>
      </c>
    </row>
    <row r="676" spans="1:34" x14ac:dyDescent="0.55000000000000004">
      <c r="A676">
        <f>ALGLIB_SSA_XAUUSD!J676</f>
        <v>1775599800</v>
      </c>
      <c r="B676" t="str">
        <f>_xlfn.XLOOKUP($A676,ALGLIB_SSA_XAUUSD!$A$2:$A$1000,ALGLIB_SSA_XAUUSD!$B$2:$B$1000,"",0)</f>
        <v/>
      </c>
      <c r="C676" t="str">
        <f>_xlfn.XLOOKUP($A676,ALGLIB_SSA_XAUUSD!$A$2:$A$1000,ALGLIB_SSA_XAUUSD!$C$2:$C$1000,"",0)</f>
        <v/>
      </c>
      <c r="D676" s="1">
        <f>D674+(D686-D674)*2/12</f>
        <v>4820.95</v>
      </c>
      <c r="E676" s="1">
        <f>E674+(E686-E674)*2/12</f>
        <v>4774.2213650000003</v>
      </c>
      <c r="F676" s="1">
        <f>F674+(F686-F674)*2/12</f>
        <v>4748.4851716666672</v>
      </c>
      <c r="G676" s="1">
        <f>G674+(G686-G674)*2/12</f>
        <v>4788.2261349999999</v>
      </c>
      <c r="H676" s="1">
        <f>H674+(H686-H674)*2/12</f>
        <v>4738.310473333333</v>
      </c>
      <c r="I676" t="str">
        <f>_xlfn.XLOOKUP($A676,ALGLIB_SSA_XAUUSD!$J$2:$J$1000,ALGLIB_SSA_XAUUSD!$K$2:$K$1000,"",0)</f>
        <v>XAUUSD</v>
      </c>
      <c r="J676" t="str">
        <f>_xlfn.XLOOKUP($A676,ALGLIB_SSA_XAUUSD!$J$2:$J$1000,ALGLIB_SSA_XAUUSD!$L$2:$L$1000,"",0)</f>
        <v>M5</v>
      </c>
      <c r="K676">
        <f>_xlfn.XLOOKUP($A676,ALGLIB_SSA_XAUUSD!$J$2:$J$1000,ALGLIB_SSA_XAUUSD!$M$2:$M$1000,"",0)</f>
        <v>4731.87</v>
      </c>
      <c r="L676">
        <f>_xlfn.XLOOKUP($A676,ALGLIB_SSA_XAUUSD!$J$2:$J$1000,ALGLIB_SSA_XAUUSD!$N$2:$N$1000,"",0)</f>
        <v>4732.0035500000004</v>
      </c>
      <c r="M676">
        <f>_xlfn.XLOOKUP($A676,ALGLIB_SSA_XAUUSD!$J$2:$J$1000,ALGLIB_SSA_XAUUSD!$O$2:$O$1000,"",0)</f>
        <v>4728.5757100000001</v>
      </c>
      <c r="N676">
        <f>_xlfn.XLOOKUP($A676,ALGLIB_SSA_XAUUSD!$J$2:$J$1000,ALGLIB_SSA_XAUUSD!$P$2:$P$1000,"",0)</f>
        <v>4737.9322300000003</v>
      </c>
      <c r="O676">
        <f>_xlfn.XLOOKUP($A676,ALGLIB_SSA_XAUUSD!$J$2:$J$1000,ALGLIB_SSA_XAUUSD!$Q$2:$Q$1000,"",0)</f>
        <v>4724.7866400000003</v>
      </c>
      <c r="R676">
        <f t="shared" si="110"/>
        <v>1775599800</v>
      </c>
      <c r="S676" t="str">
        <f t="shared" si="111"/>
        <v>XAUUSD</v>
      </c>
      <c r="T676" t="str">
        <f t="shared" si="112"/>
        <v>M5</v>
      </c>
      <c r="U676">
        <f t="shared" si="113"/>
        <v>4731.87</v>
      </c>
      <c r="V676">
        <v>4774.2213700000002</v>
      </c>
      <c r="W676">
        <v>4748.4851699999999</v>
      </c>
      <c r="X676">
        <v>4732.0035500000004</v>
      </c>
      <c r="Y676">
        <v>4728.5757100000001</v>
      </c>
      <c r="Z676">
        <f t="shared" si="114"/>
        <v>4788.2261349999999</v>
      </c>
      <c r="AA676">
        <f t="shared" si="115"/>
        <v>4737.9322300000003</v>
      </c>
      <c r="AB676">
        <f t="shared" si="116"/>
        <v>4738.310473333333</v>
      </c>
      <c r="AC676">
        <f t="shared" si="117"/>
        <v>4724.7866400000003</v>
      </c>
      <c r="AF676">
        <f t="shared" si="118"/>
        <v>4732.0035500000004</v>
      </c>
      <c r="AG676">
        <f t="shared" si="119"/>
        <v>4788.2261349999999</v>
      </c>
      <c r="AH676">
        <f t="shared" si="120"/>
        <v>4738.310473333333</v>
      </c>
    </row>
    <row r="677" spans="1:34" x14ac:dyDescent="0.55000000000000004">
      <c r="A677">
        <f>ALGLIB_SSA_XAUUSD!J677</f>
        <v>1775600100</v>
      </c>
      <c r="B677" t="str">
        <f>_xlfn.XLOOKUP($A677,ALGLIB_SSA_XAUUSD!$A$2:$A$1000,ALGLIB_SSA_XAUUSD!$B$2:$B$1000,"",0)</f>
        <v/>
      </c>
      <c r="C677" t="str">
        <f>_xlfn.XLOOKUP($A677,ALGLIB_SSA_XAUUSD!$A$2:$A$1000,ALGLIB_SSA_XAUUSD!$C$2:$C$1000,"",0)</f>
        <v/>
      </c>
      <c r="D677" s="1">
        <f>D674+(D686-D674)*3/12</f>
        <v>4822.1750000000002</v>
      </c>
      <c r="E677" s="1">
        <f>E674+(E686-E674)*3/12</f>
        <v>4776.1584075000001</v>
      </c>
      <c r="F677" s="1">
        <f>F674+(F686-F674)*3/12</f>
        <v>4750.5354724999997</v>
      </c>
      <c r="G677" s="1">
        <f>G674+(G686-G674)*3/12</f>
        <v>4790.2404125000003</v>
      </c>
      <c r="H677" s="1">
        <f>H674+(H686-H674)*3/12</f>
        <v>4740.4306349999997</v>
      </c>
      <c r="I677" t="str">
        <f>_xlfn.XLOOKUP($A677,ALGLIB_SSA_XAUUSD!$J$2:$J$1000,ALGLIB_SSA_XAUUSD!$K$2:$K$1000,"",0)</f>
        <v>XAUUSD</v>
      </c>
      <c r="J677" t="str">
        <f>_xlfn.XLOOKUP($A677,ALGLIB_SSA_XAUUSD!$J$2:$J$1000,ALGLIB_SSA_XAUUSD!$L$2:$L$1000,"",0)</f>
        <v>M5</v>
      </c>
      <c r="K677">
        <f>_xlfn.XLOOKUP($A677,ALGLIB_SSA_XAUUSD!$J$2:$J$1000,ALGLIB_SSA_XAUUSD!$M$2:$M$1000,"",0)</f>
        <v>4730.66</v>
      </c>
      <c r="L677">
        <f>_xlfn.XLOOKUP($A677,ALGLIB_SSA_XAUUSD!$J$2:$J$1000,ALGLIB_SSA_XAUUSD!$N$2:$N$1000,"",0)</f>
        <v>4735.1721100000004</v>
      </c>
      <c r="M677">
        <f>_xlfn.XLOOKUP($A677,ALGLIB_SSA_XAUUSD!$J$2:$J$1000,ALGLIB_SSA_XAUUSD!$O$2:$O$1000,"",0)</f>
        <v>4731.8739100000003</v>
      </c>
      <c r="N677">
        <f>_xlfn.XLOOKUP($A677,ALGLIB_SSA_XAUUSD!$J$2:$J$1000,ALGLIB_SSA_XAUUSD!$P$2:$P$1000,"",0)</f>
        <v>4740.3910999999998</v>
      </c>
      <c r="O677">
        <f>_xlfn.XLOOKUP($A677,ALGLIB_SSA_XAUUSD!$J$2:$J$1000,ALGLIB_SSA_XAUUSD!$Q$2:$Q$1000,"",0)</f>
        <v>4726.2380499999999</v>
      </c>
      <c r="R677">
        <f t="shared" si="110"/>
        <v>1775600100</v>
      </c>
      <c r="S677" t="str">
        <f t="shared" si="111"/>
        <v>XAUUSD</v>
      </c>
      <c r="T677" t="str">
        <f t="shared" si="112"/>
        <v>M5</v>
      </c>
      <c r="U677">
        <f t="shared" si="113"/>
        <v>4730.66</v>
      </c>
      <c r="V677">
        <v>4776.15841</v>
      </c>
      <c r="W677">
        <v>4750.5354699999998</v>
      </c>
      <c r="X677">
        <v>4735.1721100000004</v>
      </c>
      <c r="Y677">
        <v>4731.8739100000003</v>
      </c>
      <c r="Z677">
        <f t="shared" si="114"/>
        <v>4790.2404125000003</v>
      </c>
      <c r="AA677">
        <f t="shared" si="115"/>
        <v>4740.3910999999998</v>
      </c>
      <c r="AB677">
        <f t="shared" si="116"/>
        <v>4740.4306349999997</v>
      </c>
      <c r="AC677">
        <f t="shared" si="117"/>
        <v>4726.2380499999999</v>
      </c>
      <c r="AF677">
        <f t="shared" si="118"/>
        <v>4735.1721100000004</v>
      </c>
      <c r="AG677">
        <f t="shared" si="119"/>
        <v>4790.2404125000003</v>
      </c>
      <c r="AH677">
        <f t="shared" si="120"/>
        <v>4740.4306349999997</v>
      </c>
    </row>
    <row r="678" spans="1:34" x14ac:dyDescent="0.55000000000000004">
      <c r="A678">
        <f>ALGLIB_SSA_XAUUSD!J678</f>
        <v>1775600400</v>
      </c>
      <c r="B678" t="str">
        <f>_xlfn.XLOOKUP($A678,ALGLIB_SSA_XAUUSD!$A$2:$A$1000,ALGLIB_SSA_XAUUSD!$B$2:$B$1000,"",0)</f>
        <v/>
      </c>
      <c r="C678" t="str">
        <f>_xlfn.XLOOKUP($A678,ALGLIB_SSA_XAUUSD!$A$2:$A$1000,ALGLIB_SSA_XAUUSD!$C$2:$C$1000,"",0)</f>
        <v/>
      </c>
      <c r="D678" s="1">
        <f>D674+(D686-D674)*4/12</f>
        <v>4823.3999999999996</v>
      </c>
      <c r="E678" s="1">
        <f>E674+(E686-E674)*4/12</f>
        <v>4778.0954499999998</v>
      </c>
      <c r="F678" s="1">
        <f>F674+(F686-F674)*4/12</f>
        <v>4752.5857733333332</v>
      </c>
      <c r="G678" s="1">
        <f>G674+(G686-G674)*4/12</f>
        <v>4792.2546899999998</v>
      </c>
      <c r="H678" s="1">
        <f>H674+(H686-H674)*4/12</f>
        <v>4742.5507966666664</v>
      </c>
      <c r="I678" t="str">
        <f>_xlfn.XLOOKUP($A678,ALGLIB_SSA_XAUUSD!$J$2:$J$1000,ALGLIB_SSA_XAUUSD!$K$2:$K$1000,"",0)</f>
        <v>XAUUSD</v>
      </c>
      <c r="J678" t="str">
        <f>_xlfn.XLOOKUP($A678,ALGLIB_SSA_XAUUSD!$J$2:$J$1000,ALGLIB_SSA_XAUUSD!$L$2:$L$1000,"",0)</f>
        <v>M5</v>
      </c>
      <c r="K678">
        <f>_xlfn.XLOOKUP($A678,ALGLIB_SSA_XAUUSD!$J$2:$J$1000,ALGLIB_SSA_XAUUSD!$M$2:$M$1000,"",0)</f>
        <v>4728.04</v>
      </c>
      <c r="L678">
        <f>_xlfn.XLOOKUP($A678,ALGLIB_SSA_XAUUSD!$J$2:$J$1000,ALGLIB_SSA_XAUUSD!$N$2:$N$1000,"",0)</f>
        <v>4739.2167099999997</v>
      </c>
      <c r="M678">
        <f>_xlfn.XLOOKUP($A678,ALGLIB_SSA_XAUUSD!$J$2:$J$1000,ALGLIB_SSA_XAUUSD!$O$2:$O$1000,"",0)</f>
        <v>4735.5453100000004</v>
      </c>
      <c r="N678">
        <f>_xlfn.XLOOKUP($A678,ALGLIB_SSA_XAUUSD!$J$2:$J$1000,ALGLIB_SSA_XAUUSD!$P$2:$P$1000,"",0)</f>
        <v>4743.7694799999999</v>
      </c>
      <c r="O678">
        <f>_xlfn.XLOOKUP($A678,ALGLIB_SSA_XAUUSD!$J$2:$J$1000,ALGLIB_SSA_XAUUSD!$Q$2:$Q$1000,"",0)</f>
        <v>4728.0712000000003</v>
      </c>
      <c r="R678">
        <f t="shared" si="110"/>
        <v>1775600400</v>
      </c>
      <c r="S678" t="str">
        <f t="shared" si="111"/>
        <v>XAUUSD</v>
      </c>
      <c r="T678" t="str">
        <f t="shared" si="112"/>
        <v>M5</v>
      </c>
      <c r="U678">
        <f t="shared" si="113"/>
        <v>4728.04</v>
      </c>
      <c r="V678">
        <v>4778.0954499999998</v>
      </c>
      <c r="W678">
        <v>4752.5857699999997</v>
      </c>
      <c r="X678">
        <v>4739.2167099999997</v>
      </c>
      <c r="Y678">
        <v>4735.5453100000004</v>
      </c>
      <c r="Z678">
        <f t="shared" si="114"/>
        <v>4792.2546899999998</v>
      </c>
      <c r="AA678">
        <f t="shared" si="115"/>
        <v>4743.7694799999999</v>
      </c>
      <c r="AB678">
        <f t="shared" si="116"/>
        <v>4742.5507966666664</v>
      </c>
      <c r="AC678">
        <f t="shared" si="117"/>
        <v>4728.0712000000003</v>
      </c>
      <c r="AF678">
        <f t="shared" si="118"/>
        <v>4739.2167099999997</v>
      </c>
      <c r="AG678">
        <f t="shared" si="119"/>
        <v>4792.2546899999998</v>
      </c>
      <c r="AH678">
        <f t="shared" si="120"/>
        <v>4742.5507966666664</v>
      </c>
    </row>
    <row r="679" spans="1:34" x14ac:dyDescent="0.55000000000000004">
      <c r="A679">
        <f>ALGLIB_SSA_XAUUSD!J679</f>
        <v>1775600700</v>
      </c>
      <c r="B679" t="str">
        <f>_xlfn.XLOOKUP($A679,ALGLIB_SSA_XAUUSD!$A$2:$A$1000,ALGLIB_SSA_XAUUSD!$B$2:$B$1000,"",0)</f>
        <v/>
      </c>
      <c r="C679" t="str">
        <f>_xlfn.XLOOKUP($A679,ALGLIB_SSA_XAUUSD!$A$2:$A$1000,ALGLIB_SSA_XAUUSD!$C$2:$C$1000,"",0)</f>
        <v/>
      </c>
      <c r="D679" s="1">
        <f>D674+(D686-D674)*5/12</f>
        <v>4824.625</v>
      </c>
      <c r="E679" s="1">
        <f>E674+(E686-E674)*5/12</f>
        <v>4780.0324925000004</v>
      </c>
      <c r="F679" s="1">
        <f>F674+(F686-F674)*5/12</f>
        <v>4754.6360741666667</v>
      </c>
      <c r="G679" s="1">
        <f>G674+(G686-G674)*5/12</f>
        <v>4794.2689675000001</v>
      </c>
      <c r="H679" s="1">
        <f>H674+(H686-H674)*5/12</f>
        <v>4744.6709583333331</v>
      </c>
      <c r="I679" t="str">
        <f>_xlfn.XLOOKUP($A679,ALGLIB_SSA_XAUUSD!$J$2:$J$1000,ALGLIB_SSA_XAUUSD!$K$2:$K$1000,"",0)</f>
        <v>XAUUSD</v>
      </c>
      <c r="J679" t="str">
        <f>_xlfn.XLOOKUP($A679,ALGLIB_SSA_XAUUSD!$J$2:$J$1000,ALGLIB_SSA_XAUUSD!$L$2:$L$1000,"",0)</f>
        <v>M5</v>
      </c>
      <c r="K679">
        <f>_xlfn.XLOOKUP($A679,ALGLIB_SSA_XAUUSD!$J$2:$J$1000,ALGLIB_SSA_XAUUSD!$M$2:$M$1000,"",0)</f>
        <v>4735.63</v>
      </c>
      <c r="L679">
        <f>_xlfn.XLOOKUP($A679,ALGLIB_SSA_XAUUSD!$J$2:$J$1000,ALGLIB_SSA_XAUUSD!$N$2:$N$1000,"",0)</f>
        <v>4744.9528300000002</v>
      </c>
      <c r="M679">
        <f>_xlfn.XLOOKUP($A679,ALGLIB_SSA_XAUUSD!$J$2:$J$1000,ALGLIB_SSA_XAUUSD!$O$2:$O$1000,"",0)</f>
        <v>4740.2490699999998</v>
      </c>
      <c r="N679">
        <f>_xlfn.XLOOKUP($A679,ALGLIB_SSA_XAUUSD!$J$2:$J$1000,ALGLIB_SSA_XAUUSD!$P$2:$P$1000,"",0)</f>
        <v>4748.9848199999997</v>
      </c>
      <c r="O679">
        <f>_xlfn.XLOOKUP($A679,ALGLIB_SSA_XAUUSD!$J$2:$J$1000,ALGLIB_SSA_XAUUSD!$Q$2:$Q$1000,"",0)</f>
        <v>4731.1530400000001</v>
      </c>
      <c r="R679">
        <f t="shared" si="110"/>
        <v>1775600700</v>
      </c>
      <c r="S679" t="str">
        <f t="shared" si="111"/>
        <v>XAUUSD</v>
      </c>
      <c r="T679" t="str">
        <f t="shared" si="112"/>
        <v>M5</v>
      </c>
      <c r="U679">
        <f t="shared" si="113"/>
        <v>4735.63</v>
      </c>
      <c r="V679">
        <v>4780.0324899999996</v>
      </c>
      <c r="W679">
        <v>4754.6360699999996</v>
      </c>
      <c r="X679">
        <v>4744.9528300000002</v>
      </c>
      <c r="Y679">
        <v>4740.2490699999998</v>
      </c>
      <c r="Z679">
        <f t="shared" si="114"/>
        <v>4794.2689675000001</v>
      </c>
      <c r="AA679">
        <f t="shared" si="115"/>
        <v>4748.9848199999997</v>
      </c>
      <c r="AB679">
        <f t="shared" si="116"/>
        <v>4744.6709583333331</v>
      </c>
      <c r="AC679">
        <f t="shared" si="117"/>
        <v>4731.1530400000001</v>
      </c>
      <c r="AF679">
        <f t="shared" si="118"/>
        <v>4744.9528300000002</v>
      </c>
      <c r="AG679">
        <f t="shared" si="119"/>
        <v>4794.2689675000001</v>
      </c>
      <c r="AH679">
        <f t="shared" si="120"/>
        <v>4744.6709583333331</v>
      </c>
    </row>
    <row r="680" spans="1:34" x14ac:dyDescent="0.55000000000000004">
      <c r="A680">
        <f>ALGLIB_SSA_XAUUSD!J680</f>
        <v>1775601000</v>
      </c>
      <c r="B680" t="str">
        <f>_xlfn.XLOOKUP($A680,ALGLIB_SSA_XAUUSD!$A$2:$A$1000,ALGLIB_SSA_XAUUSD!$B$2:$B$1000,"",0)</f>
        <v/>
      </c>
      <c r="C680" t="str">
        <f>_xlfn.XLOOKUP($A680,ALGLIB_SSA_XAUUSD!$A$2:$A$1000,ALGLIB_SSA_XAUUSD!$C$2:$C$1000,"",0)</f>
        <v/>
      </c>
      <c r="D680" s="1">
        <f>D674+(D686-D674)*6/12</f>
        <v>4825.8500000000004</v>
      </c>
      <c r="E680" s="1">
        <f>E674+(E686-E674)*6/12</f>
        <v>4781.9695350000002</v>
      </c>
      <c r="F680" s="1">
        <f>F674+(F686-F674)*6/12</f>
        <v>4756.6863750000002</v>
      </c>
      <c r="G680" s="1">
        <f>G674+(G686-G674)*6/12</f>
        <v>4796.2832450000005</v>
      </c>
      <c r="H680" s="1">
        <f>H674+(H686-H674)*6/12</f>
        <v>4746.7911199999999</v>
      </c>
      <c r="I680" t="str">
        <f>_xlfn.XLOOKUP($A680,ALGLIB_SSA_XAUUSD!$J$2:$J$1000,ALGLIB_SSA_XAUUSD!$K$2:$K$1000,"",0)</f>
        <v>XAUUSD</v>
      </c>
      <c r="J680" t="str">
        <f>_xlfn.XLOOKUP($A680,ALGLIB_SSA_XAUUSD!$J$2:$J$1000,ALGLIB_SSA_XAUUSD!$L$2:$L$1000,"",0)</f>
        <v>M5</v>
      </c>
      <c r="K680">
        <f>_xlfn.XLOOKUP($A680,ALGLIB_SSA_XAUUSD!$J$2:$J$1000,ALGLIB_SSA_XAUUSD!$M$2:$M$1000,"",0)</f>
        <v>4760.8599999999997</v>
      </c>
      <c r="L680">
        <f>_xlfn.XLOOKUP($A680,ALGLIB_SSA_XAUUSD!$J$2:$J$1000,ALGLIB_SSA_XAUUSD!$N$2:$N$1000,"",0)</f>
        <v>4752.7552100000003</v>
      </c>
      <c r="M680">
        <f>_xlfn.XLOOKUP($A680,ALGLIB_SSA_XAUUSD!$J$2:$J$1000,ALGLIB_SSA_XAUUSD!$O$2:$O$1000,"",0)</f>
        <v>4746.5021399999996</v>
      </c>
      <c r="N680">
        <f>_xlfn.XLOOKUP($A680,ALGLIB_SSA_XAUUSD!$J$2:$J$1000,ALGLIB_SSA_XAUUSD!$P$2:$P$1000,"",0)</f>
        <v>4756.5922600000004</v>
      </c>
      <c r="O680">
        <f>_xlfn.XLOOKUP($A680,ALGLIB_SSA_XAUUSD!$J$2:$J$1000,ALGLIB_SSA_XAUUSD!$Q$2:$Q$1000,"",0)</f>
        <v>4736.2914700000001</v>
      </c>
      <c r="R680">
        <f t="shared" si="110"/>
        <v>1775601000</v>
      </c>
      <c r="S680" t="str">
        <f t="shared" si="111"/>
        <v>XAUUSD</v>
      </c>
      <c r="T680" t="str">
        <f t="shared" si="112"/>
        <v>M5</v>
      </c>
      <c r="U680">
        <f t="shared" si="113"/>
        <v>4760.8599999999997</v>
      </c>
      <c r="V680">
        <v>4781.9695400000001</v>
      </c>
      <c r="W680">
        <v>4756.6863800000001</v>
      </c>
      <c r="X680">
        <v>4752.7552100000003</v>
      </c>
      <c r="Y680">
        <v>4746.5021399999996</v>
      </c>
      <c r="Z680">
        <f t="shared" si="114"/>
        <v>4796.2832450000005</v>
      </c>
      <c r="AA680">
        <f t="shared" si="115"/>
        <v>4756.5922600000004</v>
      </c>
      <c r="AB680">
        <f t="shared" si="116"/>
        <v>4746.7911199999999</v>
      </c>
      <c r="AC680">
        <f t="shared" si="117"/>
        <v>4736.2914700000001</v>
      </c>
      <c r="AF680">
        <f t="shared" si="118"/>
        <v>4752.7552100000003</v>
      </c>
      <c r="AG680">
        <f t="shared" si="119"/>
        <v>4796.2832450000005</v>
      </c>
      <c r="AH680">
        <f t="shared" si="120"/>
        <v>4746.7911199999999</v>
      </c>
    </row>
    <row r="681" spans="1:34" x14ac:dyDescent="0.55000000000000004">
      <c r="A681">
        <f>ALGLIB_SSA_XAUUSD!J681</f>
        <v>1775601300</v>
      </c>
      <c r="B681" t="str">
        <f>_xlfn.XLOOKUP($A681,ALGLIB_SSA_XAUUSD!$A$2:$A$1000,ALGLIB_SSA_XAUUSD!$B$2:$B$1000,"",0)</f>
        <v/>
      </c>
      <c r="C681" t="str">
        <f>_xlfn.XLOOKUP($A681,ALGLIB_SSA_XAUUSD!$A$2:$A$1000,ALGLIB_SSA_XAUUSD!$C$2:$C$1000,"",0)</f>
        <v/>
      </c>
      <c r="D681" s="1">
        <f>D674+(D686-D674)*7/12</f>
        <v>4827.0749999999998</v>
      </c>
      <c r="E681" s="1">
        <f>E674+(E686-E674)*7/12</f>
        <v>4783.9065774999999</v>
      </c>
      <c r="F681" s="1">
        <f>F674+(F686-F674)*7/12</f>
        <v>4758.7366758333337</v>
      </c>
      <c r="G681" s="1">
        <f>G674+(G686-G674)*7/12</f>
        <v>4798.2975225</v>
      </c>
      <c r="H681" s="1">
        <f>H674+(H686-H674)*7/12</f>
        <v>4748.9112816666666</v>
      </c>
      <c r="I681" t="str">
        <f>_xlfn.XLOOKUP($A681,ALGLIB_SSA_XAUUSD!$J$2:$J$1000,ALGLIB_SSA_XAUUSD!$K$2:$K$1000,"",0)</f>
        <v>XAUUSD</v>
      </c>
      <c r="J681" t="str">
        <f>_xlfn.XLOOKUP($A681,ALGLIB_SSA_XAUUSD!$J$2:$J$1000,ALGLIB_SSA_XAUUSD!$L$2:$L$1000,"",0)</f>
        <v>M5</v>
      </c>
      <c r="K681">
        <f>_xlfn.XLOOKUP($A681,ALGLIB_SSA_XAUUSD!$J$2:$J$1000,ALGLIB_SSA_XAUUSD!$M$2:$M$1000,"",0)</f>
        <v>4775.2700000000004</v>
      </c>
      <c r="L681">
        <f>_xlfn.XLOOKUP($A681,ALGLIB_SSA_XAUUSD!$J$2:$J$1000,ALGLIB_SSA_XAUUSD!$N$2:$N$1000,"",0)</f>
        <v>4762.2261900000003</v>
      </c>
      <c r="M681">
        <f>_xlfn.XLOOKUP($A681,ALGLIB_SSA_XAUUSD!$J$2:$J$1000,ALGLIB_SSA_XAUUSD!$O$2:$O$1000,"",0)</f>
        <v>4754.3641699999998</v>
      </c>
      <c r="N681">
        <f>_xlfn.XLOOKUP($A681,ALGLIB_SSA_XAUUSD!$J$2:$J$1000,ALGLIB_SSA_XAUUSD!$P$2:$P$1000,"",0)</f>
        <v>4766.1809000000003</v>
      </c>
      <c r="O681">
        <f>_xlfn.XLOOKUP($A681,ALGLIB_SSA_XAUUSD!$J$2:$J$1000,ALGLIB_SSA_XAUUSD!$Q$2:$Q$1000,"",0)</f>
        <v>4744.3306000000002</v>
      </c>
      <c r="R681">
        <f t="shared" si="110"/>
        <v>1775601300</v>
      </c>
      <c r="S681" t="str">
        <f t="shared" si="111"/>
        <v>XAUUSD</v>
      </c>
      <c r="T681" t="str">
        <f t="shared" si="112"/>
        <v>M5</v>
      </c>
      <c r="U681">
        <f t="shared" si="113"/>
        <v>4775.2700000000004</v>
      </c>
      <c r="V681">
        <v>4783.9065799999998</v>
      </c>
      <c r="W681">
        <v>4758.73668</v>
      </c>
      <c r="X681">
        <v>4762.2261900000003</v>
      </c>
      <c r="Y681">
        <v>4754.3641699999998</v>
      </c>
      <c r="Z681">
        <f t="shared" si="114"/>
        <v>4798.2975225</v>
      </c>
      <c r="AA681">
        <f t="shared" si="115"/>
        <v>4766.1809000000003</v>
      </c>
      <c r="AB681">
        <f t="shared" si="116"/>
        <v>4748.9112816666666</v>
      </c>
      <c r="AC681">
        <f t="shared" si="117"/>
        <v>4744.3306000000002</v>
      </c>
      <c r="AF681">
        <f t="shared" si="118"/>
        <v>4762.2261900000003</v>
      </c>
      <c r="AG681">
        <f t="shared" si="119"/>
        <v>4798.2975225</v>
      </c>
      <c r="AH681">
        <f t="shared" si="120"/>
        <v>4748.9112816666666</v>
      </c>
    </row>
    <row r="682" spans="1:34" x14ac:dyDescent="0.55000000000000004">
      <c r="A682">
        <f>ALGLIB_SSA_XAUUSD!J682</f>
        <v>1775601600</v>
      </c>
      <c r="B682" t="str">
        <f>_xlfn.XLOOKUP($A682,ALGLIB_SSA_XAUUSD!$A$2:$A$1000,ALGLIB_SSA_XAUUSD!$B$2:$B$1000,"",0)</f>
        <v/>
      </c>
      <c r="C682" t="str">
        <f>_xlfn.XLOOKUP($A682,ALGLIB_SSA_XAUUSD!$A$2:$A$1000,ALGLIB_SSA_XAUUSD!$C$2:$C$1000,"",0)</f>
        <v/>
      </c>
      <c r="D682" s="1">
        <f>D674+(D686-D674)*8/12</f>
        <v>4828.3</v>
      </c>
      <c r="E682" s="1">
        <f>E674+(E686-E674)*8/12</f>
        <v>4785.8436200000006</v>
      </c>
      <c r="F682" s="1">
        <f>F674+(F686-F674)*8/12</f>
        <v>4760.7869766666672</v>
      </c>
      <c r="G682" s="1">
        <f>G674+(G686-G674)*8/12</f>
        <v>4800.3118000000004</v>
      </c>
      <c r="H682" s="1">
        <f>H674+(H686-H674)*8/12</f>
        <v>4751.0314433333333</v>
      </c>
      <c r="I682" t="str">
        <f>_xlfn.XLOOKUP($A682,ALGLIB_SSA_XAUUSD!$J$2:$J$1000,ALGLIB_SSA_XAUUSD!$K$2:$K$1000,"",0)</f>
        <v>XAUUSD</v>
      </c>
      <c r="J682" t="str">
        <f>_xlfn.XLOOKUP($A682,ALGLIB_SSA_XAUUSD!$J$2:$J$1000,ALGLIB_SSA_XAUUSD!$L$2:$L$1000,"",0)</f>
        <v>M5</v>
      </c>
      <c r="K682">
        <f>_xlfn.XLOOKUP($A682,ALGLIB_SSA_XAUUSD!$J$2:$J$1000,ALGLIB_SSA_XAUUSD!$M$2:$M$1000,"",0)</f>
        <v>4770.0200000000004</v>
      </c>
      <c r="L682">
        <f>_xlfn.XLOOKUP($A682,ALGLIB_SSA_XAUUSD!$J$2:$J$1000,ALGLIB_SSA_XAUUSD!$N$2:$N$1000,"",0)</f>
        <v>4772.8776099999995</v>
      </c>
      <c r="M682">
        <f>_xlfn.XLOOKUP($A682,ALGLIB_SSA_XAUUSD!$J$2:$J$1000,ALGLIB_SSA_XAUUSD!$O$2:$O$1000,"",0)</f>
        <v>4763.6208900000001</v>
      </c>
      <c r="N682">
        <f>_xlfn.XLOOKUP($A682,ALGLIB_SSA_XAUUSD!$J$2:$J$1000,ALGLIB_SSA_XAUUSD!$P$2:$P$1000,"",0)</f>
        <v>4777.2227599999997</v>
      </c>
      <c r="O682">
        <f>_xlfn.XLOOKUP($A682,ALGLIB_SSA_XAUUSD!$J$2:$J$1000,ALGLIB_SSA_XAUUSD!$Q$2:$Q$1000,"",0)</f>
        <v>4754.3768200000004</v>
      </c>
      <c r="R682">
        <f t="shared" si="110"/>
        <v>1775601600</v>
      </c>
      <c r="S682" t="str">
        <f t="shared" si="111"/>
        <v>XAUUSD</v>
      </c>
      <c r="T682" t="str">
        <f t="shared" si="112"/>
        <v>M5</v>
      </c>
      <c r="U682">
        <f t="shared" si="113"/>
        <v>4770.0200000000004</v>
      </c>
      <c r="V682">
        <v>4785.8436199999996</v>
      </c>
      <c r="W682">
        <v>4760.7869799999999</v>
      </c>
      <c r="X682">
        <v>4772.8776099999995</v>
      </c>
      <c r="Y682">
        <v>4763.6208900000001</v>
      </c>
      <c r="Z682">
        <f t="shared" si="114"/>
        <v>4800.3118000000004</v>
      </c>
      <c r="AA682">
        <f t="shared" si="115"/>
        <v>4777.2227599999997</v>
      </c>
      <c r="AB682">
        <f t="shared" si="116"/>
        <v>4751.0314433333333</v>
      </c>
      <c r="AC682">
        <f t="shared" si="117"/>
        <v>4754.3768200000004</v>
      </c>
      <c r="AF682">
        <f t="shared" si="118"/>
        <v>4772.8776099999995</v>
      </c>
      <c r="AG682">
        <f t="shared" si="119"/>
        <v>4800.3118000000004</v>
      </c>
      <c r="AH682">
        <f t="shared" si="120"/>
        <v>4751.0314433333333</v>
      </c>
    </row>
    <row r="683" spans="1:34" x14ac:dyDescent="0.55000000000000004">
      <c r="A683">
        <f>ALGLIB_SSA_XAUUSD!J683</f>
        <v>1775601900</v>
      </c>
      <c r="B683" t="str">
        <f>_xlfn.XLOOKUP($A683,ALGLIB_SSA_XAUUSD!$A$2:$A$1000,ALGLIB_SSA_XAUUSD!$B$2:$B$1000,"",0)</f>
        <v/>
      </c>
      <c r="C683" t="str">
        <f>_xlfn.XLOOKUP($A683,ALGLIB_SSA_XAUUSD!$A$2:$A$1000,ALGLIB_SSA_XAUUSD!$C$2:$C$1000,"",0)</f>
        <v/>
      </c>
      <c r="D683" s="1">
        <f>D674+(D686-D674)*9/12</f>
        <v>4829.5249999999996</v>
      </c>
      <c r="E683" s="1">
        <f>E674+(E686-E674)*9/12</f>
        <v>4787.7806625000003</v>
      </c>
      <c r="F683" s="1">
        <f>F674+(F686-F674)*9/12</f>
        <v>4762.8372775000007</v>
      </c>
      <c r="G683" s="1">
        <f>G674+(G686-G674)*9/12</f>
        <v>4802.3260774999999</v>
      </c>
      <c r="H683" s="1">
        <f>H674+(H686-H674)*9/12</f>
        <v>4753.151605</v>
      </c>
      <c r="I683" t="str">
        <f>_xlfn.XLOOKUP($A683,ALGLIB_SSA_XAUUSD!$J$2:$J$1000,ALGLIB_SSA_XAUUSD!$K$2:$K$1000,"",0)</f>
        <v>XAUUSD</v>
      </c>
      <c r="J683" t="str">
        <f>_xlfn.XLOOKUP($A683,ALGLIB_SSA_XAUUSD!$J$2:$J$1000,ALGLIB_SSA_XAUUSD!$L$2:$L$1000,"",0)</f>
        <v>M5</v>
      </c>
      <c r="K683">
        <f>_xlfn.XLOOKUP($A683,ALGLIB_SSA_XAUUSD!$J$2:$J$1000,ALGLIB_SSA_XAUUSD!$M$2:$M$1000,"",0)</f>
        <v>4772.0600000000004</v>
      </c>
      <c r="L683">
        <f>_xlfn.XLOOKUP($A683,ALGLIB_SSA_XAUUSD!$J$2:$J$1000,ALGLIB_SSA_XAUUSD!$N$2:$N$1000,"",0)</f>
        <v>4784.3898799999997</v>
      </c>
      <c r="M683">
        <f>_xlfn.XLOOKUP($A683,ALGLIB_SSA_XAUUSD!$J$2:$J$1000,ALGLIB_SSA_XAUUSD!$O$2:$O$1000,"",0)</f>
        <v>4774.0053900000003</v>
      </c>
      <c r="N683">
        <f>_xlfn.XLOOKUP($A683,ALGLIB_SSA_XAUUSD!$J$2:$J$1000,ALGLIB_SSA_XAUUSD!$P$2:$P$1000,"",0)</f>
        <v>4789.1879900000004</v>
      </c>
      <c r="O683">
        <f>_xlfn.XLOOKUP($A683,ALGLIB_SSA_XAUUSD!$J$2:$J$1000,ALGLIB_SSA_XAUUSD!$Q$2:$Q$1000,"",0)</f>
        <v>4765.6237700000001</v>
      </c>
      <c r="R683">
        <f t="shared" si="110"/>
        <v>1775601900</v>
      </c>
      <c r="S683" t="str">
        <f t="shared" si="111"/>
        <v>XAUUSD</v>
      </c>
      <c r="T683" t="str">
        <f t="shared" si="112"/>
        <v>M5</v>
      </c>
      <c r="U683">
        <f t="shared" si="113"/>
        <v>4772.0600000000004</v>
      </c>
      <c r="V683">
        <v>4787.7806600000004</v>
      </c>
      <c r="W683">
        <v>4762.8372799999997</v>
      </c>
      <c r="X683">
        <v>4784.3898799999997</v>
      </c>
      <c r="Y683">
        <v>4774.0053900000003</v>
      </c>
      <c r="Z683">
        <f t="shared" si="114"/>
        <v>4802.3260774999999</v>
      </c>
      <c r="AA683">
        <f t="shared" si="115"/>
        <v>4789.1879900000004</v>
      </c>
      <c r="AB683">
        <f t="shared" si="116"/>
        <v>4753.151605</v>
      </c>
      <c r="AC683">
        <f t="shared" si="117"/>
        <v>4765.6237700000001</v>
      </c>
      <c r="AF683">
        <f t="shared" si="118"/>
        <v>4784.3898799999997</v>
      </c>
      <c r="AG683">
        <f t="shared" si="119"/>
        <v>4802.3260774999999</v>
      </c>
      <c r="AH683">
        <f t="shared" si="120"/>
        <v>4753.151605</v>
      </c>
    </row>
    <row r="684" spans="1:34" x14ac:dyDescent="0.55000000000000004">
      <c r="A684">
        <f>ALGLIB_SSA_XAUUSD!J684</f>
        <v>1775602200</v>
      </c>
      <c r="B684" t="str">
        <f>_xlfn.XLOOKUP($A684,ALGLIB_SSA_XAUUSD!$A$2:$A$1000,ALGLIB_SSA_XAUUSD!$B$2:$B$1000,"",0)</f>
        <v/>
      </c>
      <c r="C684" t="str">
        <f>_xlfn.XLOOKUP($A684,ALGLIB_SSA_XAUUSD!$A$2:$A$1000,ALGLIB_SSA_XAUUSD!$C$2:$C$1000,"",0)</f>
        <v/>
      </c>
      <c r="D684" s="1">
        <f>D674+(D686-D674)*10/12</f>
        <v>4830.75</v>
      </c>
      <c r="E684" s="1">
        <f>E674+(E686-E674)*10/12</f>
        <v>4789.717705</v>
      </c>
      <c r="F684" s="1">
        <f>F674+(F686-F674)*10/12</f>
        <v>4764.8875783333333</v>
      </c>
      <c r="G684" s="1">
        <f>G674+(G686-G674)*10/12</f>
        <v>4804.3403550000003</v>
      </c>
      <c r="H684" s="1">
        <f>H674+(H686-H674)*10/12</f>
        <v>4755.2717666666667</v>
      </c>
      <c r="I684" t="str">
        <f>_xlfn.XLOOKUP($A684,ALGLIB_SSA_XAUUSD!$J$2:$J$1000,ALGLIB_SSA_XAUUSD!$K$2:$K$1000,"",0)</f>
        <v>XAUUSD</v>
      </c>
      <c r="J684" t="str">
        <f>_xlfn.XLOOKUP($A684,ALGLIB_SSA_XAUUSD!$J$2:$J$1000,ALGLIB_SSA_XAUUSD!$L$2:$L$1000,"",0)</f>
        <v>M5</v>
      </c>
      <c r="K684">
        <f>_xlfn.XLOOKUP($A684,ALGLIB_SSA_XAUUSD!$J$2:$J$1000,ALGLIB_SSA_XAUUSD!$M$2:$M$1000,"",0)</f>
        <v>4794.3500000000004</v>
      </c>
      <c r="L684">
        <f>_xlfn.XLOOKUP($A684,ALGLIB_SSA_XAUUSD!$J$2:$J$1000,ALGLIB_SSA_XAUUSD!$N$2:$N$1000,"",0)</f>
        <v>4795.9622900000004</v>
      </c>
      <c r="M684">
        <f>_xlfn.XLOOKUP($A684,ALGLIB_SSA_XAUUSD!$J$2:$J$1000,ALGLIB_SSA_XAUUSD!$O$2:$O$1000,"",0)</f>
        <v>4784.9838399999999</v>
      </c>
      <c r="N684">
        <f>_xlfn.XLOOKUP($A684,ALGLIB_SSA_XAUUSD!$J$2:$J$1000,ALGLIB_SSA_XAUUSD!$P$2:$P$1000,"",0)</f>
        <v>4801.3135599999996</v>
      </c>
      <c r="O684">
        <f>_xlfn.XLOOKUP($A684,ALGLIB_SSA_XAUUSD!$J$2:$J$1000,ALGLIB_SSA_XAUUSD!$Q$2:$Q$1000,"",0)</f>
        <v>4777.5890499999996</v>
      </c>
      <c r="R684">
        <f t="shared" si="110"/>
        <v>1775602200</v>
      </c>
      <c r="S684" t="str">
        <f t="shared" si="111"/>
        <v>XAUUSD</v>
      </c>
      <c r="T684" t="str">
        <f t="shared" si="112"/>
        <v>M5</v>
      </c>
      <c r="U684">
        <f t="shared" si="113"/>
        <v>4794.3500000000004</v>
      </c>
      <c r="V684">
        <v>4789.7177099999999</v>
      </c>
      <c r="W684">
        <v>4764.8875799999996</v>
      </c>
      <c r="X684">
        <v>4795.9622900000004</v>
      </c>
      <c r="Y684">
        <v>4784.9838399999999</v>
      </c>
      <c r="Z684">
        <f t="shared" si="114"/>
        <v>4804.3403550000003</v>
      </c>
      <c r="AA684">
        <f t="shared" si="115"/>
        <v>4801.3135599999996</v>
      </c>
      <c r="AB684">
        <f t="shared" si="116"/>
        <v>4755.2717666666667</v>
      </c>
      <c r="AC684">
        <f t="shared" si="117"/>
        <v>4777.5890499999996</v>
      </c>
      <c r="AF684">
        <f t="shared" si="118"/>
        <v>4795.9622900000004</v>
      </c>
      <c r="AG684">
        <f t="shared" si="119"/>
        <v>4804.3403550000003</v>
      </c>
      <c r="AH684">
        <f t="shared" si="120"/>
        <v>4755.2717666666667</v>
      </c>
    </row>
    <row r="685" spans="1:34" x14ac:dyDescent="0.55000000000000004">
      <c r="A685">
        <f>ALGLIB_SSA_XAUUSD!J685</f>
        <v>1775602500</v>
      </c>
      <c r="B685" t="str">
        <f>_xlfn.XLOOKUP($A685,ALGLIB_SSA_XAUUSD!$A$2:$A$1000,ALGLIB_SSA_XAUUSD!$B$2:$B$1000,"",0)</f>
        <v/>
      </c>
      <c r="C685" t="str">
        <f>_xlfn.XLOOKUP($A685,ALGLIB_SSA_XAUUSD!$A$2:$A$1000,ALGLIB_SSA_XAUUSD!$C$2:$C$1000,"",0)</f>
        <v/>
      </c>
      <c r="D685" s="1">
        <f>D674+(D686-D674)*11/12</f>
        <v>4831.9749999999995</v>
      </c>
      <c r="E685" s="1">
        <f>E674+(E686-E674)*11/12</f>
        <v>4791.6547475000007</v>
      </c>
      <c r="F685" s="1">
        <f>F674+(F686-F674)*11/12</f>
        <v>4766.9378791666668</v>
      </c>
      <c r="G685" s="1">
        <f>G674+(G686-G674)*11/12</f>
        <v>4806.3546324999998</v>
      </c>
      <c r="H685" s="1">
        <f>H674+(H686-H674)*11/12</f>
        <v>4757.3919283333335</v>
      </c>
      <c r="I685" t="str">
        <f>_xlfn.XLOOKUP($A685,ALGLIB_SSA_XAUUSD!$J$2:$J$1000,ALGLIB_SSA_XAUUSD!$K$2:$K$1000,"",0)</f>
        <v>XAUUSD</v>
      </c>
      <c r="J685" t="str">
        <f>_xlfn.XLOOKUP($A685,ALGLIB_SSA_XAUUSD!$J$2:$J$1000,ALGLIB_SSA_XAUUSD!$L$2:$L$1000,"",0)</f>
        <v>M5</v>
      </c>
      <c r="K685">
        <f>_xlfn.XLOOKUP($A685,ALGLIB_SSA_XAUUSD!$J$2:$J$1000,ALGLIB_SSA_XAUUSD!$M$2:$M$1000,"",0)</f>
        <v>4818.5</v>
      </c>
      <c r="L685">
        <f>_xlfn.XLOOKUP($A685,ALGLIB_SSA_XAUUSD!$J$2:$J$1000,ALGLIB_SSA_XAUUSD!$N$2:$N$1000,"",0)</f>
        <v>4806.1314400000001</v>
      </c>
      <c r="M685">
        <f>_xlfn.XLOOKUP($A685,ALGLIB_SSA_XAUUSD!$J$2:$J$1000,ALGLIB_SSA_XAUUSD!$O$2:$O$1000,"",0)</f>
        <v>4795.55764</v>
      </c>
      <c r="N685">
        <f>_xlfn.XLOOKUP($A685,ALGLIB_SSA_XAUUSD!$J$2:$J$1000,ALGLIB_SSA_XAUUSD!$P$2:$P$1000,"",0)</f>
        <v>4811.9315200000001</v>
      </c>
      <c r="O685">
        <f>_xlfn.XLOOKUP($A685,ALGLIB_SSA_XAUUSD!$J$2:$J$1000,ALGLIB_SSA_XAUUSD!$Q$2:$Q$1000,"",0)</f>
        <v>4789.1519399999997</v>
      </c>
      <c r="R685">
        <f t="shared" si="110"/>
        <v>1775602500</v>
      </c>
      <c r="S685" t="str">
        <f t="shared" si="111"/>
        <v>XAUUSD</v>
      </c>
      <c r="T685" t="str">
        <f t="shared" si="112"/>
        <v>M5</v>
      </c>
      <c r="U685">
        <f t="shared" si="113"/>
        <v>4818.5</v>
      </c>
      <c r="V685">
        <v>4791.6547499999997</v>
      </c>
      <c r="W685">
        <v>4766.9378800000004</v>
      </c>
      <c r="X685">
        <v>4806.1314400000001</v>
      </c>
      <c r="Y685">
        <v>4795.55764</v>
      </c>
      <c r="Z685">
        <f t="shared" si="114"/>
        <v>4806.3546324999998</v>
      </c>
      <c r="AA685">
        <f t="shared" si="115"/>
        <v>4811.9315200000001</v>
      </c>
      <c r="AB685">
        <f t="shared" si="116"/>
        <v>4757.3919283333335</v>
      </c>
      <c r="AC685">
        <f t="shared" si="117"/>
        <v>4789.1519399999997</v>
      </c>
      <c r="AF685">
        <f t="shared" si="118"/>
        <v>4806.1314400000001</v>
      </c>
      <c r="AG685">
        <f t="shared" si="119"/>
        <v>4806.3546324999998</v>
      </c>
      <c r="AH685">
        <f t="shared" si="120"/>
        <v>4757.3919283333335</v>
      </c>
    </row>
    <row r="686" spans="1:34" x14ac:dyDescent="0.55000000000000004">
      <c r="A686">
        <f>ALGLIB_SSA_XAUUSD!J686</f>
        <v>1775602800</v>
      </c>
      <c r="B686" t="str">
        <f>_xlfn.XLOOKUP($A686,ALGLIB_SSA_XAUUSD!$A$2:$A$1000,ALGLIB_SSA_XAUUSD!$B$2:$B$1000,"",0)</f>
        <v>XAUUSD</v>
      </c>
      <c r="C686" t="str">
        <f>_xlfn.XLOOKUP($A686,ALGLIB_SSA_XAUUSD!$A$2:$A$1000,ALGLIB_SSA_XAUUSD!$C$2:$C$1000,"",0)</f>
        <v>H1</v>
      </c>
      <c r="D686" s="2">
        <f>_xlfn.XLOOKUP($A686,ALGLIB_SSA_XAUUSD!$A$2:$A$1000,ALGLIB_SSA_XAUUSD!$D$2:$D$1000,"",0)</f>
        <v>4833.2</v>
      </c>
      <c r="E686" s="2">
        <f>_xlfn.XLOOKUP($A686,ALGLIB_SSA_XAUUSD!$A$2:$A$1000,ALGLIB_SSA_XAUUSD!$E$2:$E$1000,"",0)</f>
        <v>4793.5917900000004</v>
      </c>
      <c r="F686" s="2">
        <f>_xlfn.XLOOKUP($A686,ALGLIB_SSA_XAUUSD!$A$2:$A$1000,ALGLIB_SSA_XAUUSD!$F$2:$F$1000,"",0)</f>
        <v>4768.9881800000003</v>
      </c>
      <c r="G686" s="2">
        <f>_xlfn.XLOOKUP($A686,ALGLIB_SSA_XAUUSD!$A$2:$A$1000,ALGLIB_SSA_XAUUSD!$G$2:$G$1000,"",0)</f>
        <v>4808.3689100000001</v>
      </c>
      <c r="H686" s="2">
        <f>_xlfn.XLOOKUP($A686,ALGLIB_SSA_XAUUSD!$A$2:$A$1000,ALGLIB_SSA_XAUUSD!$H$2:$H$1000,"",0)</f>
        <v>4759.5120900000002</v>
      </c>
      <c r="I686" t="str">
        <f>_xlfn.XLOOKUP($A686,ALGLIB_SSA_XAUUSD!$J$2:$J$1000,ALGLIB_SSA_XAUUSD!$K$2:$K$1000,"",0)</f>
        <v>XAUUSD</v>
      </c>
      <c r="J686" t="str">
        <f>_xlfn.XLOOKUP($A686,ALGLIB_SSA_XAUUSD!$J$2:$J$1000,ALGLIB_SSA_XAUUSD!$L$2:$L$1000,"",0)</f>
        <v>M5</v>
      </c>
      <c r="K686">
        <f>_xlfn.XLOOKUP($A686,ALGLIB_SSA_XAUUSD!$J$2:$J$1000,ALGLIB_SSA_XAUUSD!$M$2:$M$1000,"",0)</f>
        <v>4810.66</v>
      </c>
      <c r="L686">
        <f>_xlfn.XLOOKUP($A686,ALGLIB_SSA_XAUUSD!$J$2:$J$1000,ALGLIB_SSA_XAUUSD!$N$2:$N$1000,"",0)</f>
        <v>4813.5291500000003</v>
      </c>
      <c r="M686">
        <f>_xlfn.XLOOKUP($A686,ALGLIB_SSA_XAUUSD!$J$2:$J$1000,ALGLIB_SSA_XAUUSD!$O$2:$O$1000,"",0)</f>
        <v>4804.5433999999996</v>
      </c>
      <c r="N686">
        <f>_xlfn.XLOOKUP($A686,ALGLIB_SSA_XAUUSD!$J$2:$J$1000,ALGLIB_SSA_XAUUSD!$P$2:$P$1000,"",0)</f>
        <v>4819.7412100000001</v>
      </c>
      <c r="O686">
        <f>_xlfn.XLOOKUP($A686,ALGLIB_SSA_XAUUSD!$J$2:$J$1000,ALGLIB_SSA_XAUUSD!$Q$2:$Q$1000,"",0)</f>
        <v>4798.8532500000001</v>
      </c>
      <c r="R686">
        <f t="shared" si="110"/>
        <v>1775602800</v>
      </c>
      <c r="S686" t="str">
        <f t="shared" si="111"/>
        <v>XAUUSD</v>
      </c>
      <c r="T686" t="str">
        <f t="shared" si="112"/>
        <v>M5</v>
      </c>
      <c r="U686">
        <f t="shared" si="113"/>
        <v>4810.66</v>
      </c>
      <c r="V686">
        <v>4793.5917900000004</v>
      </c>
      <c r="W686">
        <v>4768.9881800000003</v>
      </c>
      <c r="X686">
        <v>4813.5291500000003</v>
      </c>
      <c r="Y686">
        <v>4804.5433999999996</v>
      </c>
      <c r="Z686">
        <f t="shared" si="114"/>
        <v>4808.3689100000001</v>
      </c>
      <c r="AA686">
        <f t="shared" si="115"/>
        <v>4819.7412100000001</v>
      </c>
      <c r="AB686">
        <f t="shared" si="116"/>
        <v>4759.5120900000002</v>
      </c>
      <c r="AC686">
        <f t="shared" si="117"/>
        <v>4798.8532500000001</v>
      </c>
      <c r="AF686">
        <f t="shared" si="118"/>
        <v>4813.5291500000003</v>
      </c>
      <c r="AG686">
        <f t="shared" si="119"/>
        <v>4808.3689100000001</v>
      </c>
      <c r="AH686">
        <f t="shared" si="120"/>
        <v>4759.5120900000002</v>
      </c>
    </row>
    <row r="687" spans="1:34" x14ac:dyDescent="0.55000000000000004">
      <c r="A687">
        <f>ALGLIB_SSA_XAUUSD!J687</f>
        <v>1775603100</v>
      </c>
      <c r="B687" t="str">
        <f>_xlfn.XLOOKUP($A687,ALGLIB_SSA_XAUUSD!$A$2:$A$1000,ALGLIB_SSA_XAUUSD!$B$2:$B$1000,"",0)</f>
        <v/>
      </c>
      <c r="C687" t="str">
        <f>_xlfn.XLOOKUP($A687,ALGLIB_SSA_XAUUSD!$A$2:$A$1000,ALGLIB_SSA_XAUUSD!$C$2:$C$1000,"",0)</f>
        <v/>
      </c>
      <c r="D687" s="1">
        <f>D686+(D698-D686)*1/12</f>
        <v>4831.9158333333335</v>
      </c>
      <c r="E687" s="1">
        <f>E686+(E698-E686)*1/12</f>
        <v>4794.9908825000002</v>
      </c>
      <c r="F687" s="1">
        <f>F686+(F698-F686)*1/12</f>
        <v>4770.7128766666665</v>
      </c>
      <c r="G687" s="1">
        <f>G686+(G698-G686)*1/12</f>
        <v>4809.8527933333335</v>
      </c>
      <c r="H687" s="1">
        <f>H686+(H698-H686)*1/12</f>
        <v>4761.2734833333334</v>
      </c>
      <c r="I687" t="str">
        <f>_xlfn.XLOOKUP($A687,ALGLIB_SSA_XAUUSD!$J$2:$J$1000,ALGLIB_SSA_XAUUSD!$K$2:$K$1000,"",0)</f>
        <v>XAUUSD</v>
      </c>
      <c r="J687" t="str">
        <f>_xlfn.XLOOKUP($A687,ALGLIB_SSA_XAUUSD!$J$2:$J$1000,ALGLIB_SSA_XAUUSD!$L$2:$L$1000,"",0)</f>
        <v>M5</v>
      </c>
      <c r="K687">
        <f>_xlfn.XLOOKUP($A687,ALGLIB_SSA_XAUUSD!$J$2:$J$1000,ALGLIB_SSA_XAUUSD!$M$2:$M$1000,"",0)</f>
        <v>4814.95</v>
      </c>
      <c r="L687">
        <f>_xlfn.XLOOKUP($A687,ALGLIB_SSA_XAUUSD!$J$2:$J$1000,ALGLIB_SSA_XAUUSD!$N$2:$N$1000,"",0)</f>
        <v>4817.9768199999999</v>
      </c>
      <c r="M687">
        <f>_xlfn.XLOOKUP($A687,ALGLIB_SSA_XAUUSD!$J$2:$J$1000,ALGLIB_SSA_XAUUSD!$O$2:$O$1000,"",0)</f>
        <v>4811.2601100000002</v>
      </c>
      <c r="N687">
        <f>_xlfn.XLOOKUP($A687,ALGLIB_SSA_XAUUSD!$J$2:$J$1000,ALGLIB_SSA_XAUUSD!$P$2:$P$1000,"",0)</f>
        <v>4824.1726099999996</v>
      </c>
      <c r="O687">
        <f>_xlfn.XLOOKUP($A687,ALGLIB_SSA_XAUUSD!$J$2:$J$1000,ALGLIB_SSA_XAUUSD!$Q$2:$Q$1000,"",0)</f>
        <v>4805.8711999999996</v>
      </c>
      <c r="R687">
        <f t="shared" si="110"/>
        <v>1775603100</v>
      </c>
      <c r="S687" t="str">
        <f t="shared" si="111"/>
        <v>XAUUSD</v>
      </c>
      <c r="T687" t="str">
        <f t="shared" si="112"/>
        <v>M5</v>
      </c>
      <c r="U687">
        <f t="shared" si="113"/>
        <v>4814.95</v>
      </c>
      <c r="V687">
        <v>4794.9908800000003</v>
      </c>
      <c r="W687">
        <v>4770.71288</v>
      </c>
      <c r="X687">
        <v>4817.9768199999999</v>
      </c>
      <c r="Y687">
        <v>4811.2601100000002</v>
      </c>
      <c r="Z687">
        <f t="shared" si="114"/>
        <v>4809.8527933333335</v>
      </c>
      <c r="AA687">
        <f t="shared" si="115"/>
        <v>4824.1726099999996</v>
      </c>
      <c r="AB687">
        <f t="shared" si="116"/>
        <v>4761.2734833333334</v>
      </c>
      <c r="AC687">
        <f t="shared" si="117"/>
        <v>4805.8711999999996</v>
      </c>
      <c r="AF687">
        <f t="shared" si="118"/>
        <v>4817.9768199999999</v>
      </c>
      <c r="AG687">
        <f t="shared" si="119"/>
        <v>4809.8527933333335</v>
      </c>
      <c r="AH687">
        <f t="shared" si="120"/>
        <v>4761.2734833333334</v>
      </c>
    </row>
    <row r="688" spans="1:34" x14ac:dyDescent="0.55000000000000004">
      <c r="A688">
        <f>ALGLIB_SSA_XAUUSD!J688</f>
        <v>1775603400</v>
      </c>
      <c r="B688" t="str">
        <f>_xlfn.XLOOKUP($A688,ALGLIB_SSA_XAUUSD!$A$2:$A$1000,ALGLIB_SSA_XAUUSD!$B$2:$B$1000,"",0)</f>
        <v/>
      </c>
      <c r="C688" t="str">
        <f>_xlfn.XLOOKUP($A688,ALGLIB_SSA_XAUUSD!$A$2:$A$1000,ALGLIB_SSA_XAUUSD!$C$2:$C$1000,"",0)</f>
        <v/>
      </c>
      <c r="D688" s="1">
        <f>D686+(D698-D686)*2/12</f>
        <v>4830.6316666666662</v>
      </c>
      <c r="E688" s="1">
        <f>E686+(E698-E686)*2/12</f>
        <v>4796.389975</v>
      </c>
      <c r="F688" s="1">
        <f>F686+(F698-F686)*2/12</f>
        <v>4772.4375733333336</v>
      </c>
      <c r="G688" s="1">
        <f>G686+(G698-G686)*2/12</f>
        <v>4811.3366766666668</v>
      </c>
      <c r="H688" s="1">
        <f>H686+(H698-H686)*2/12</f>
        <v>4763.0348766666666</v>
      </c>
      <c r="I688" t="str">
        <f>_xlfn.XLOOKUP($A688,ALGLIB_SSA_XAUUSD!$J$2:$J$1000,ALGLIB_SSA_XAUUSD!$K$2:$K$1000,"",0)</f>
        <v>XAUUSD</v>
      </c>
      <c r="J688" t="str">
        <f>_xlfn.XLOOKUP($A688,ALGLIB_SSA_XAUUSD!$J$2:$J$1000,ALGLIB_SSA_XAUUSD!$L$2:$L$1000,"",0)</f>
        <v>M5</v>
      </c>
      <c r="K688">
        <f>_xlfn.XLOOKUP($A688,ALGLIB_SSA_XAUUSD!$J$2:$J$1000,ALGLIB_SSA_XAUUSD!$M$2:$M$1000,"",0)</f>
        <v>4817.9399999999996</v>
      </c>
      <c r="L688">
        <f>_xlfn.XLOOKUP($A688,ALGLIB_SSA_XAUUSD!$J$2:$J$1000,ALGLIB_SSA_XAUUSD!$N$2:$N$1000,"",0)</f>
        <v>4819.4851500000004</v>
      </c>
      <c r="M688">
        <f>_xlfn.XLOOKUP($A688,ALGLIB_SSA_XAUUSD!$J$2:$J$1000,ALGLIB_SSA_XAUUSD!$O$2:$O$1000,"",0)</f>
        <v>4815.3726299999998</v>
      </c>
      <c r="N688">
        <f>_xlfn.XLOOKUP($A688,ALGLIB_SSA_XAUUSD!$J$2:$J$1000,ALGLIB_SSA_XAUUSD!$P$2:$P$1000,"",0)</f>
        <v>4825.4617600000001</v>
      </c>
      <c r="O688">
        <f>_xlfn.XLOOKUP($A688,ALGLIB_SSA_XAUUSD!$J$2:$J$1000,ALGLIB_SSA_XAUUSD!$Q$2:$Q$1000,"",0)</f>
        <v>4809.9027900000001</v>
      </c>
      <c r="R688">
        <f t="shared" si="110"/>
        <v>1775603400</v>
      </c>
      <c r="S688" t="str">
        <f t="shared" si="111"/>
        <v>XAUUSD</v>
      </c>
      <c r="T688" t="str">
        <f t="shared" si="112"/>
        <v>M5</v>
      </c>
      <c r="U688">
        <f t="shared" si="113"/>
        <v>4817.9399999999996</v>
      </c>
      <c r="V688">
        <v>4796.3899799999999</v>
      </c>
      <c r="W688">
        <v>4772.4375700000001</v>
      </c>
      <c r="X688">
        <v>4819.4851500000004</v>
      </c>
      <c r="Y688">
        <v>4815.3726299999998</v>
      </c>
      <c r="Z688">
        <f t="shared" si="114"/>
        <v>4811.3366766666668</v>
      </c>
      <c r="AA688">
        <f t="shared" si="115"/>
        <v>4825.4617600000001</v>
      </c>
      <c r="AB688">
        <f t="shared" si="116"/>
        <v>4763.0348766666666</v>
      </c>
      <c r="AC688">
        <f t="shared" si="117"/>
        <v>4809.9027900000001</v>
      </c>
      <c r="AF688">
        <f t="shared" si="118"/>
        <v>4819.4851500000004</v>
      </c>
      <c r="AG688">
        <f t="shared" si="119"/>
        <v>4811.3366766666668</v>
      </c>
      <c r="AH688">
        <f t="shared" si="120"/>
        <v>4763.0348766666666</v>
      </c>
    </row>
    <row r="689" spans="1:34" x14ac:dyDescent="0.55000000000000004">
      <c r="A689">
        <f>ALGLIB_SSA_XAUUSD!J689</f>
        <v>1775603700</v>
      </c>
      <c r="B689" t="str">
        <f>_xlfn.XLOOKUP($A689,ALGLIB_SSA_XAUUSD!$A$2:$A$1000,ALGLIB_SSA_XAUUSD!$B$2:$B$1000,"",0)</f>
        <v/>
      </c>
      <c r="C689" t="str">
        <f>_xlfn.XLOOKUP($A689,ALGLIB_SSA_XAUUSD!$A$2:$A$1000,ALGLIB_SSA_XAUUSD!$C$2:$C$1000,"",0)</f>
        <v/>
      </c>
      <c r="D689" s="1">
        <f>D686+(D698-D686)*3/12</f>
        <v>4829.3474999999999</v>
      </c>
      <c r="E689" s="1">
        <f>E686+(E698-E686)*3/12</f>
        <v>4797.7890674999999</v>
      </c>
      <c r="F689" s="1">
        <f>F686+(F698-F686)*3/12</f>
        <v>4774.1622700000007</v>
      </c>
      <c r="G689" s="1">
        <f>G686+(G698-G686)*3/12</f>
        <v>4812.8205600000001</v>
      </c>
      <c r="H689" s="1">
        <f>H686+(H698-H686)*3/12</f>
        <v>4764.7962699999998</v>
      </c>
      <c r="I689" t="str">
        <f>_xlfn.XLOOKUP($A689,ALGLIB_SSA_XAUUSD!$J$2:$J$1000,ALGLIB_SSA_XAUUSD!$K$2:$K$1000,"",0)</f>
        <v>XAUUSD</v>
      </c>
      <c r="J689" t="str">
        <f>_xlfn.XLOOKUP($A689,ALGLIB_SSA_XAUUSD!$J$2:$J$1000,ALGLIB_SSA_XAUUSD!$L$2:$L$1000,"",0)</f>
        <v>M5</v>
      </c>
      <c r="K689">
        <f>_xlfn.XLOOKUP($A689,ALGLIB_SSA_XAUUSD!$J$2:$J$1000,ALGLIB_SSA_XAUUSD!$M$2:$M$1000,"",0)</f>
        <v>4824.26</v>
      </c>
      <c r="L689">
        <f>_xlfn.XLOOKUP($A689,ALGLIB_SSA_XAUUSD!$J$2:$J$1000,ALGLIB_SSA_XAUUSD!$N$2:$N$1000,"",0)</f>
        <v>4818.5700699999998</v>
      </c>
      <c r="M689">
        <f>_xlfn.XLOOKUP($A689,ALGLIB_SSA_XAUUSD!$J$2:$J$1000,ALGLIB_SSA_XAUUSD!$O$2:$O$1000,"",0)</f>
        <v>4816.9713499999998</v>
      </c>
      <c r="N689">
        <f>_xlfn.XLOOKUP($A689,ALGLIB_SSA_XAUUSD!$J$2:$J$1000,ALGLIB_SSA_XAUUSD!$P$2:$P$1000,"",0)</f>
        <v>4824.1479300000001</v>
      </c>
      <c r="O689">
        <f>_xlfn.XLOOKUP($A689,ALGLIB_SSA_XAUUSD!$J$2:$J$1000,ALGLIB_SSA_XAUUSD!$Q$2:$Q$1000,"",0)</f>
        <v>4811.2437099999997</v>
      </c>
      <c r="R689">
        <f t="shared" si="110"/>
        <v>1775603700</v>
      </c>
      <c r="S689" t="str">
        <f t="shared" si="111"/>
        <v>XAUUSD</v>
      </c>
      <c r="T689" t="str">
        <f t="shared" si="112"/>
        <v>M5</v>
      </c>
      <c r="U689">
        <f t="shared" si="113"/>
        <v>4824.26</v>
      </c>
      <c r="V689">
        <v>4797.7890699999998</v>
      </c>
      <c r="W689">
        <v>4774.1622699999998</v>
      </c>
      <c r="X689">
        <v>4818.5700699999998</v>
      </c>
      <c r="Y689">
        <v>4816.9713499999998</v>
      </c>
      <c r="Z689">
        <f t="shared" si="114"/>
        <v>4812.8205600000001</v>
      </c>
      <c r="AA689">
        <f t="shared" si="115"/>
        <v>4824.1479300000001</v>
      </c>
      <c r="AB689">
        <f t="shared" si="116"/>
        <v>4764.7962699999998</v>
      </c>
      <c r="AC689">
        <f t="shared" si="117"/>
        <v>4811.2437099999997</v>
      </c>
      <c r="AF689">
        <f t="shared" si="118"/>
        <v>4818.5700699999998</v>
      </c>
      <c r="AG689">
        <f t="shared" si="119"/>
        <v>4812.8205600000001</v>
      </c>
      <c r="AH689">
        <f t="shared" si="120"/>
        <v>4764.7962699999998</v>
      </c>
    </row>
    <row r="690" spans="1:34" x14ac:dyDescent="0.55000000000000004">
      <c r="A690">
        <f>ALGLIB_SSA_XAUUSD!J690</f>
        <v>1775604000</v>
      </c>
      <c r="B690" t="str">
        <f>_xlfn.XLOOKUP($A690,ALGLIB_SSA_XAUUSD!$A$2:$A$1000,ALGLIB_SSA_XAUUSD!$B$2:$B$1000,"",0)</f>
        <v/>
      </c>
      <c r="C690" t="str">
        <f>_xlfn.XLOOKUP($A690,ALGLIB_SSA_XAUUSD!$A$2:$A$1000,ALGLIB_SSA_XAUUSD!$C$2:$C$1000,"",0)</f>
        <v/>
      </c>
      <c r="D690" s="1">
        <f>D686+(D698-D686)*4/12</f>
        <v>4828.0633333333335</v>
      </c>
      <c r="E690" s="1">
        <f>E686+(E698-E686)*4/12</f>
        <v>4799.1881600000006</v>
      </c>
      <c r="F690" s="1">
        <f>F686+(F698-F686)*4/12</f>
        <v>4775.8869666666669</v>
      </c>
      <c r="G690" s="1">
        <f>G686+(G698-G686)*4/12</f>
        <v>4814.3044433333334</v>
      </c>
      <c r="H690" s="1">
        <f>H686+(H698-H686)*4/12</f>
        <v>4766.557663333333</v>
      </c>
      <c r="I690" t="str">
        <f>_xlfn.XLOOKUP($A690,ALGLIB_SSA_XAUUSD!$J$2:$J$1000,ALGLIB_SSA_XAUUSD!$K$2:$K$1000,"",0)</f>
        <v>XAUUSD</v>
      </c>
      <c r="J690" t="str">
        <f>_xlfn.XLOOKUP($A690,ALGLIB_SSA_XAUUSD!$J$2:$J$1000,ALGLIB_SSA_XAUUSD!$L$2:$L$1000,"",0)</f>
        <v>M5</v>
      </c>
      <c r="K690">
        <f>_xlfn.XLOOKUP($A690,ALGLIB_SSA_XAUUSD!$J$2:$J$1000,ALGLIB_SSA_XAUUSD!$M$2:$M$1000,"",0)</f>
        <v>4818.28</v>
      </c>
      <c r="L690">
        <f>_xlfn.XLOOKUP($A690,ALGLIB_SSA_XAUUSD!$J$2:$J$1000,ALGLIB_SSA_XAUUSD!$N$2:$N$1000,"",0)</f>
        <v>4816.0297300000002</v>
      </c>
      <c r="M690">
        <f>_xlfn.XLOOKUP($A690,ALGLIB_SSA_XAUUSD!$J$2:$J$1000,ALGLIB_SSA_XAUUSD!$O$2:$O$1000,"",0)</f>
        <v>4816.50054</v>
      </c>
      <c r="N690">
        <f>_xlfn.XLOOKUP($A690,ALGLIB_SSA_XAUUSD!$J$2:$J$1000,ALGLIB_SSA_XAUUSD!$P$2:$P$1000,"",0)</f>
        <v>4821.1774599999999</v>
      </c>
      <c r="O690">
        <f>_xlfn.XLOOKUP($A690,ALGLIB_SSA_XAUUSD!$J$2:$J$1000,ALGLIB_SSA_XAUUSD!$Q$2:$Q$1000,"",0)</f>
        <v>4810.5446300000003</v>
      </c>
      <c r="R690">
        <f t="shared" si="110"/>
        <v>1775604000</v>
      </c>
      <c r="S690" t="str">
        <f t="shared" si="111"/>
        <v>XAUUSD</v>
      </c>
      <c r="T690" t="str">
        <f t="shared" si="112"/>
        <v>M5</v>
      </c>
      <c r="U690">
        <f t="shared" si="113"/>
        <v>4818.28</v>
      </c>
      <c r="V690">
        <v>4799.1881599999997</v>
      </c>
      <c r="W690">
        <v>4775.8869699999996</v>
      </c>
      <c r="X690">
        <v>4816.0297300000002</v>
      </c>
      <c r="Y690">
        <v>4816.50054</v>
      </c>
      <c r="Z690">
        <f t="shared" si="114"/>
        <v>4814.3044433333334</v>
      </c>
      <c r="AA690">
        <f t="shared" si="115"/>
        <v>4821.1774599999999</v>
      </c>
      <c r="AB690">
        <f t="shared" si="116"/>
        <v>4766.557663333333</v>
      </c>
      <c r="AC690">
        <f t="shared" si="117"/>
        <v>4810.5446300000003</v>
      </c>
      <c r="AF690">
        <f t="shared" si="118"/>
        <v>4816.0297300000002</v>
      </c>
      <c r="AG690">
        <f t="shared" si="119"/>
        <v>4814.3044433333334</v>
      </c>
      <c r="AH690">
        <f t="shared" si="120"/>
        <v>4766.557663333333</v>
      </c>
    </row>
    <row r="691" spans="1:34" x14ac:dyDescent="0.55000000000000004">
      <c r="A691">
        <f>ALGLIB_SSA_XAUUSD!J691</f>
        <v>1775604300</v>
      </c>
      <c r="B691" t="str">
        <f>_xlfn.XLOOKUP($A691,ALGLIB_SSA_XAUUSD!$A$2:$A$1000,ALGLIB_SSA_XAUUSD!$B$2:$B$1000,"",0)</f>
        <v/>
      </c>
      <c r="C691" t="str">
        <f>_xlfn.XLOOKUP($A691,ALGLIB_SSA_XAUUSD!$A$2:$A$1000,ALGLIB_SSA_XAUUSD!$C$2:$C$1000,"",0)</f>
        <v/>
      </c>
      <c r="D691" s="1">
        <f>D686+(D698-D686)*5/12</f>
        <v>4826.7791666666662</v>
      </c>
      <c r="E691" s="1">
        <f>E686+(E698-E686)*5/12</f>
        <v>4800.5872525000004</v>
      </c>
      <c r="F691" s="1">
        <f>F686+(F698-F686)*5/12</f>
        <v>4777.6116633333331</v>
      </c>
      <c r="G691" s="1">
        <f>G686+(G698-G686)*5/12</f>
        <v>4815.7883266666668</v>
      </c>
      <c r="H691" s="1">
        <f>H686+(H698-H686)*5/12</f>
        <v>4768.3190566666663</v>
      </c>
      <c r="I691" t="str">
        <f>_xlfn.XLOOKUP($A691,ALGLIB_SSA_XAUUSD!$J$2:$J$1000,ALGLIB_SSA_XAUUSD!$K$2:$K$1000,"",0)</f>
        <v>XAUUSD</v>
      </c>
      <c r="J691" t="str">
        <f>_xlfn.XLOOKUP($A691,ALGLIB_SSA_XAUUSD!$J$2:$J$1000,ALGLIB_SSA_XAUUSD!$L$2:$L$1000,"",0)</f>
        <v>M5</v>
      </c>
      <c r="K691">
        <f>_xlfn.XLOOKUP($A691,ALGLIB_SSA_XAUUSD!$J$2:$J$1000,ALGLIB_SSA_XAUUSD!$M$2:$M$1000,"",0)</f>
        <v>4814.83</v>
      </c>
      <c r="L691">
        <f>_xlfn.XLOOKUP($A691,ALGLIB_SSA_XAUUSD!$J$2:$J$1000,ALGLIB_SSA_XAUUSD!$N$2:$N$1000,"",0)</f>
        <v>4813.2276000000002</v>
      </c>
      <c r="M691">
        <f>_xlfn.XLOOKUP($A691,ALGLIB_SSA_XAUUSD!$J$2:$J$1000,ALGLIB_SSA_XAUUSD!$O$2:$O$1000,"",0)</f>
        <v>4814.8640699999996</v>
      </c>
      <c r="N691">
        <f>_xlfn.XLOOKUP($A691,ALGLIB_SSA_XAUUSD!$J$2:$J$1000,ALGLIB_SSA_XAUUSD!$P$2:$P$1000,"",0)</f>
        <v>4817.78352</v>
      </c>
      <c r="O691">
        <f>_xlfn.XLOOKUP($A691,ALGLIB_SSA_XAUUSD!$J$2:$J$1000,ALGLIB_SSA_XAUUSD!$Q$2:$Q$1000,"",0)</f>
        <v>4808.6570499999998</v>
      </c>
      <c r="R691">
        <f t="shared" si="110"/>
        <v>1775604300</v>
      </c>
      <c r="S691" t="str">
        <f t="shared" si="111"/>
        <v>XAUUSD</v>
      </c>
      <c r="T691" t="str">
        <f t="shared" si="112"/>
        <v>M5</v>
      </c>
      <c r="U691">
        <f t="shared" si="113"/>
        <v>4814.83</v>
      </c>
      <c r="V691">
        <v>4800.5872499999996</v>
      </c>
      <c r="W691">
        <v>4777.6116599999996</v>
      </c>
      <c r="X691">
        <v>4813.2276000000002</v>
      </c>
      <c r="Y691">
        <v>4814.8640699999996</v>
      </c>
      <c r="Z691">
        <f t="shared" si="114"/>
        <v>4815.7883266666668</v>
      </c>
      <c r="AA691">
        <f t="shared" si="115"/>
        <v>4817.78352</v>
      </c>
      <c r="AB691">
        <f t="shared" si="116"/>
        <v>4768.3190566666663</v>
      </c>
      <c r="AC691">
        <f t="shared" si="117"/>
        <v>4808.6570499999998</v>
      </c>
      <c r="AF691">
        <f t="shared" si="118"/>
        <v>4813.2276000000002</v>
      </c>
      <c r="AG691">
        <f t="shared" si="119"/>
        <v>4815.7883266666668</v>
      </c>
      <c r="AH691">
        <f t="shared" si="120"/>
        <v>4768.3190566666663</v>
      </c>
    </row>
    <row r="692" spans="1:34" x14ac:dyDescent="0.55000000000000004">
      <c r="A692">
        <f>ALGLIB_SSA_XAUUSD!J692</f>
        <v>1775604600</v>
      </c>
      <c r="B692" t="str">
        <f>_xlfn.XLOOKUP($A692,ALGLIB_SSA_XAUUSD!$A$2:$A$1000,ALGLIB_SSA_XAUUSD!$B$2:$B$1000,"",0)</f>
        <v/>
      </c>
      <c r="C692" t="str">
        <f>_xlfn.XLOOKUP($A692,ALGLIB_SSA_XAUUSD!$A$2:$A$1000,ALGLIB_SSA_XAUUSD!$C$2:$C$1000,"",0)</f>
        <v/>
      </c>
      <c r="D692" s="1">
        <f>D686+(D698-D686)*6/12</f>
        <v>4825.4949999999999</v>
      </c>
      <c r="E692" s="1">
        <f>E686+(E698-E686)*6/12</f>
        <v>4801.9863450000003</v>
      </c>
      <c r="F692" s="1">
        <f>F686+(F698-F686)*6/12</f>
        <v>4779.3363600000002</v>
      </c>
      <c r="G692" s="1">
        <f>G686+(G698-G686)*6/12</f>
        <v>4817.2722100000001</v>
      </c>
      <c r="H692" s="1">
        <f>H686+(H698-H686)*6/12</f>
        <v>4770.0804499999995</v>
      </c>
      <c r="I692" t="str">
        <f>_xlfn.XLOOKUP($A692,ALGLIB_SSA_XAUUSD!$J$2:$J$1000,ALGLIB_SSA_XAUUSD!$K$2:$K$1000,"",0)</f>
        <v>XAUUSD</v>
      </c>
      <c r="J692" t="str">
        <f>_xlfn.XLOOKUP($A692,ALGLIB_SSA_XAUUSD!$J$2:$J$1000,ALGLIB_SSA_XAUUSD!$L$2:$L$1000,"",0)</f>
        <v>M5</v>
      </c>
      <c r="K692">
        <f>_xlfn.XLOOKUP($A692,ALGLIB_SSA_XAUUSD!$J$2:$J$1000,ALGLIB_SSA_XAUUSD!$M$2:$M$1000,"",0)</f>
        <v>4808.3</v>
      </c>
      <c r="L692">
        <f>_xlfn.XLOOKUP($A692,ALGLIB_SSA_XAUUSD!$J$2:$J$1000,ALGLIB_SSA_XAUUSD!$N$2:$N$1000,"",0)</f>
        <v>4811.4182199999996</v>
      </c>
      <c r="M692">
        <f>_xlfn.XLOOKUP($A692,ALGLIB_SSA_XAUUSD!$J$2:$J$1000,ALGLIB_SSA_XAUUSD!$O$2:$O$1000,"",0)</f>
        <v>4813.1411399999997</v>
      </c>
      <c r="N692">
        <f>_xlfn.XLOOKUP($A692,ALGLIB_SSA_XAUUSD!$J$2:$J$1000,ALGLIB_SSA_XAUUSD!$P$2:$P$1000,"",0)</f>
        <v>4815.5457999999999</v>
      </c>
      <c r="O692">
        <f>_xlfn.XLOOKUP($A692,ALGLIB_SSA_XAUUSD!$J$2:$J$1000,ALGLIB_SSA_XAUUSD!$Q$2:$Q$1000,"",0)</f>
        <v>4806.9727999999996</v>
      </c>
      <c r="R692">
        <f t="shared" si="110"/>
        <v>1775604600</v>
      </c>
      <c r="S692" t="str">
        <f t="shared" si="111"/>
        <v>XAUUSD</v>
      </c>
      <c r="T692" t="str">
        <f t="shared" si="112"/>
        <v>M5</v>
      </c>
      <c r="U692">
        <f t="shared" si="113"/>
        <v>4808.3</v>
      </c>
      <c r="V692">
        <v>4801.9863500000001</v>
      </c>
      <c r="W692">
        <v>4779.3363600000002</v>
      </c>
      <c r="X692">
        <v>4811.4182199999996</v>
      </c>
      <c r="Y692">
        <v>4813.1411399999997</v>
      </c>
      <c r="Z692">
        <f t="shared" si="114"/>
        <v>4817.2722100000001</v>
      </c>
      <c r="AA692">
        <f t="shared" si="115"/>
        <v>4815.5457999999999</v>
      </c>
      <c r="AB692">
        <f t="shared" si="116"/>
        <v>4770.0804499999995</v>
      </c>
      <c r="AC692">
        <f t="shared" si="117"/>
        <v>4806.9727999999996</v>
      </c>
      <c r="AF692">
        <f t="shared" si="118"/>
        <v>4811.4182199999996</v>
      </c>
      <c r="AG692">
        <f t="shared" si="119"/>
        <v>4817.2722100000001</v>
      </c>
      <c r="AH692">
        <f t="shared" si="120"/>
        <v>4770.0804499999995</v>
      </c>
    </row>
    <row r="693" spans="1:34" x14ac:dyDescent="0.55000000000000004">
      <c r="A693">
        <f>ALGLIB_SSA_XAUUSD!J693</f>
        <v>1775604900</v>
      </c>
      <c r="B693" t="str">
        <f>_xlfn.XLOOKUP($A693,ALGLIB_SSA_XAUUSD!$A$2:$A$1000,ALGLIB_SSA_XAUUSD!$B$2:$B$1000,"",0)</f>
        <v/>
      </c>
      <c r="C693" t="str">
        <f>_xlfn.XLOOKUP($A693,ALGLIB_SSA_XAUUSD!$A$2:$A$1000,ALGLIB_SSA_XAUUSD!$C$2:$C$1000,"",0)</f>
        <v/>
      </c>
      <c r="D693" s="1">
        <f>D686+(D698-D686)*7/12</f>
        <v>4824.2108333333335</v>
      </c>
      <c r="E693" s="1">
        <f>E686+(E698-E686)*7/12</f>
        <v>4803.3854375000001</v>
      </c>
      <c r="F693" s="1">
        <f>F686+(F698-F686)*7/12</f>
        <v>4781.0610566666674</v>
      </c>
      <c r="G693" s="1">
        <f>G686+(G698-G686)*7/12</f>
        <v>4818.7560933333334</v>
      </c>
      <c r="H693" s="1">
        <f>H686+(H698-H686)*7/12</f>
        <v>4771.8418433333336</v>
      </c>
      <c r="I693" t="str">
        <f>_xlfn.XLOOKUP($A693,ALGLIB_SSA_XAUUSD!$J$2:$J$1000,ALGLIB_SSA_XAUUSD!$K$2:$K$1000,"",0)</f>
        <v>XAUUSD</v>
      </c>
      <c r="J693" t="str">
        <f>_xlfn.XLOOKUP($A693,ALGLIB_SSA_XAUUSD!$J$2:$J$1000,ALGLIB_SSA_XAUUSD!$L$2:$L$1000,"",0)</f>
        <v>M5</v>
      </c>
      <c r="K693">
        <f>_xlfn.XLOOKUP($A693,ALGLIB_SSA_XAUUSD!$J$2:$J$1000,ALGLIB_SSA_XAUUSD!$M$2:$M$1000,"",0)</f>
        <v>4810.18</v>
      </c>
      <c r="L693">
        <f>_xlfn.XLOOKUP($A693,ALGLIB_SSA_XAUUSD!$J$2:$J$1000,ALGLIB_SSA_XAUUSD!$N$2:$N$1000,"",0)</f>
        <v>4811.5980900000004</v>
      </c>
      <c r="M693">
        <f>_xlfn.XLOOKUP($A693,ALGLIB_SSA_XAUUSD!$J$2:$J$1000,ALGLIB_SSA_XAUUSD!$O$2:$O$1000,"",0)</f>
        <v>4812.3696200000004</v>
      </c>
      <c r="N693">
        <f>_xlfn.XLOOKUP($A693,ALGLIB_SSA_XAUUSD!$J$2:$J$1000,ALGLIB_SSA_XAUUSD!$P$2:$P$1000,"",0)</f>
        <v>4815.4742500000002</v>
      </c>
      <c r="O693">
        <f>_xlfn.XLOOKUP($A693,ALGLIB_SSA_XAUUSD!$J$2:$J$1000,ALGLIB_SSA_XAUUSD!$Q$2:$Q$1000,"",0)</f>
        <v>4806.4592199999997</v>
      </c>
      <c r="R693">
        <f t="shared" si="110"/>
        <v>1775604900</v>
      </c>
      <c r="S693" t="str">
        <f t="shared" si="111"/>
        <v>XAUUSD</v>
      </c>
      <c r="T693" t="str">
        <f t="shared" si="112"/>
        <v>M5</v>
      </c>
      <c r="U693">
        <f t="shared" si="113"/>
        <v>4810.18</v>
      </c>
      <c r="V693">
        <v>4803.38544</v>
      </c>
      <c r="W693">
        <v>4781.06106</v>
      </c>
      <c r="X693">
        <v>4811.5980900000004</v>
      </c>
      <c r="Y693">
        <v>4812.3696200000004</v>
      </c>
      <c r="Z693">
        <f t="shared" si="114"/>
        <v>4818.7560933333334</v>
      </c>
      <c r="AA693">
        <f t="shared" si="115"/>
        <v>4815.4742500000002</v>
      </c>
      <c r="AB693">
        <f t="shared" si="116"/>
        <v>4771.8418433333336</v>
      </c>
      <c r="AC693">
        <f t="shared" si="117"/>
        <v>4806.4592199999997</v>
      </c>
      <c r="AF693">
        <f t="shared" si="118"/>
        <v>4811.5980900000004</v>
      </c>
      <c r="AG693">
        <f t="shared" si="119"/>
        <v>4818.7560933333334</v>
      </c>
      <c r="AH693">
        <f t="shared" si="120"/>
        <v>4771.8418433333336</v>
      </c>
    </row>
    <row r="694" spans="1:34" x14ac:dyDescent="0.55000000000000004">
      <c r="A694">
        <f>ALGLIB_SSA_XAUUSD!J694</f>
        <v>1775605200</v>
      </c>
      <c r="B694" t="str">
        <f>_xlfn.XLOOKUP($A694,ALGLIB_SSA_XAUUSD!$A$2:$A$1000,ALGLIB_SSA_XAUUSD!$B$2:$B$1000,"",0)</f>
        <v/>
      </c>
      <c r="C694" t="str">
        <f>_xlfn.XLOOKUP($A694,ALGLIB_SSA_XAUUSD!$A$2:$A$1000,ALGLIB_SSA_XAUUSD!$C$2:$C$1000,"",0)</f>
        <v/>
      </c>
      <c r="D694" s="1">
        <f>D686+(D698-D686)*8/12</f>
        <v>4822.9266666666663</v>
      </c>
      <c r="E694" s="1">
        <f>E686+(E698-E686)*8/12</f>
        <v>4804.7845299999999</v>
      </c>
      <c r="F694" s="1">
        <f>F686+(F698-F686)*8/12</f>
        <v>4782.7857533333336</v>
      </c>
      <c r="G694" s="1">
        <f>G686+(G698-G686)*8/12</f>
        <v>4820.2399766666667</v>
      </c>
      <c r="H694" s="1">
        <f>H686+(H698-H686)*8/12</f>
        <v>4773.6032366666668</v>
      </c>
      <c r="I694" t="str">
        <f>_xlfn.XLOOKUP($A694,ALGLIB_SSA_XAUUSD!$J$2:$J$1000,ALGLIB_SSA_XAUUSD!$K$2:$K$1000,"",0)</f>
        <v>XAUUSD</v>
      </c>
      <c r="J694" t="str">
        <f>_xlfn.XLOOKUP($A694,ALGLIB_SSA_XAUUSD!$J$2:$J$1000,ALGLIB_SSA_XAUUSD!$L$2:$L$1000,"",0)</f>
        <v>M5</v>
      </c>
      <c r="K694">
        <f>_xlfn.XLOOKUP($A694,ALGLIB_SSA_XAUUSD!$J$2:$J$1000,ALGLIB_SSA_XAUUSD!$M$2:$M$1000,"",0)</f>
        <v>4813.25</v>
      </c>
      <c r="L694">
        <f>_xlfn.XLOOKUP($A694,ALGLIB_SSA_XAUUSD!$J$2:$J$1000,ALGLIB_SSA_XAUUSD!$N$2:$N$1000,"",0)</f>
        <v>4814.0496599999997</v>
      </c>
      <c r="M694">
        <f>_xlfn.XLOOKUP($A694,ALGLIB_SSA_XAUUSD!$J$2:$J$1000,ALGLIB_SSA_XAUUSD!$O$2:$O$1000,"",0)</f>
        <v>4813.20964</v>
      </c>
      <c r="N694">
        <f>_xlfn.XLOOKUP($A694,ALGLIB_SSA_XAUUSD!$J$2:$J$1000,ALGLIB_SSA_XAUUSD!$P$2:$P$1000,"",0)</f>
        <v>4818.1056900000003</v>
      </c>
      <c r="O694">
        <f>_xlfn.XLOOKUP($A694,ALGLIB_SSA_XAUUSD!$J$2:$J$1000,ALGLIB_SSA_XAUUSD!$Q$2:$Q$1000,"",0)</f>
        <v>4807.8002800000004</v>
      </c>
      <c r="R694">
        <f t="shared" si="110"/>
        <v>1775605200</v>
      </c>
      <c r="S694" t="str">
        <f t="shared" si="111"/>
        <v>XAUUSD</v>
      </c>
      <c r="T694" t="str">
        <f t="shared" si="112"/>
        <v>M5</v>
      </c>
      <c r="U694">
        <f t="shared" si="113"/>
        <v>4813.25</v>
      </c>
      <c r="V694">
        <v>4804.7845299999999</v>
      </c>
      <c r="W694">
        <v>4782.78575</v>
      </c>
      <c r="X694">
        <v>4814.0496599999997</v>
      </c>
      <c r="Y694">
        <v>4813.20964</v>
      </c>
      <c r="Z694">
        <f t="shared" si="114"/>
        <v>4820.2399766666667</v>
      </c>
      <c r="AA694">
        <f t="shared" si="115"/>
        <v>4818.1056900000003</v>
      </c>
      <c r="AB694">
        <f t="shared" si="116"/>
        <v>4773.6032366666668</v>
      </c>
      <c r="AC694">
        <f t="shared" si="117"/>
        <v>4807.8002800000004</v>
      </c>
      <c r="AF694">
        <f t="shared" si="118"/>
        <v>4814.0496599999997</v>
      </c>
      <c r="AG694">
        <f t="shared" si="119"/>
        <v>4820.2399766666667</v>
      </c>
      <c r="AH694">
        <f t="shared" si="120"/>
        <v>4773.6032366666668</v>
      </c>
    </row>
    <row r="695" spans="1:34" x14ac:dyDescent="0.55000000000000004">
      <c r="A695">
        <f>ALGLIB_SSA_XAUUSD!J695</f>
        <v>1775605500</v>
      </c>
      <c r="B695" t="str">
        <f>_xlfn.XLOOKUP($A695,ALGLIB_SSA_XAUUSD!$A$2:$A$1000,ALGLIB_SSA_XAUUSD!$B$2:$B$1000,"",0)</f>
        <v/>
      </c>
      <c r="C695" t="str">
        <f>_xlfn.XLOOKUP($A695,ALGLIB_SSA_XAUUSD!$A$2:$A$1000,ALGLIB_SSA_XAUUSD!$C$2:$C$1000,"",0)</f>
        <v/>
      </c>
      <c r="D695" s="1">
        <f>D686+(D698-D686)*9/12</f>
        <v>4821.6424999999999</v>
      </c>
      <c r="E695" s="1">
        <f>E686+(E698-E686)*9/12</f>
        <v>4806.1836225000006</v>
      </c>
      <c r="F695" s="1">
        <f>F686+(F698-F686)*9/12</f>
        <v>4784.5104499999998</v>
      </c>
      <c r="G695" s="1">
        <f>G686+(G698-G686)*9/12</f>
        <v>4821.7238600000001</v>
      </c>
      <c r="H695" s="1">
        <f>H686+(H698-H686)*9/12</f>
        <v>4775.36463</v>
      </c>
      <c r="I695" t="str">
        <f>_xlfn.XLOOKUP($A695,ALGLIB_SSA_XAUUSD!$J$2:$J$1000,ALGLIB_SSA_XAUUSD!$K$2:$K$1000,"",0)</f>
        <v>XAUUSD</v>
      </c>
      <c r="J695" t="str">
        <f>_xlfn.XLOOKUP($A695,ALGLIB_SSA_XAUUSD!$J$2:$J$1000,ALGLIB_SSA_XAUUSD!$L$2:$L$1000,"",0)</f>
        <v>M5</v>
      </c>
      <c r="K695">
        <f>_xlfn.XLOOKUP($A695,ALGLIB_SSA_XAUUSD!$J$2:$J$1000,ALGLIB_SSA_XAUUSD!$M$2:$M$1000,"",0)</f>
        <v>4812.05</v>
      </c>
      <c r="L695">
        <f>_xlfn.XLOOKUP($A695,ALGLIB_SSA_XAUUSD!$J$2:$J$1000,ALGLIB_SSA_XAUUSD!$N$2:$N$1000,"",0)</f>
        <v>4818.4620800000002</v>
      </c>
      <c r="M695">
        <f>_xlfn.XLOOKUP($A695,ALGLIB_SSA_XAUUSD!$J$2:$J$1000,ALGLIB_SSA_XAUUSD!$O$2:$O$1000,"",0)</f>
        <v>4815.8358600000001</v>
      </c>
      <c r="N695">
        <f>_xlfn.XLOOKUP($A695,ALGLIB_SSA_XAUUSD!$J$2:$J$1000,ALGLIB_SSA_XAUUSD!$P$2:$P$1000,"",0)</f>
        <v>4823.2620699999998</v>
      </c>
      <c r="O695">
        <f>_xlfn.XLOOKUP($A695,ALGLIB_SSA_XAUUSD!$J$2:$J$1000,ALGLIB_SSA_XAUUSD!$Q$2:$Q$1000,"",0)</f>
        <v>4810.9764999999998</v>
      </c>
      <c r="R695">
        <f t="shared" si="110"/>
        <v>1775605500</v>
      </c>
      <c r="S695" t="str">
        <f t="shared" si="111"/>
        <v>XAUUSD</v>
      </c>
      <c r="T695" t="str">
        <f t="shared" si="112"/>
        <v>M5</v>
      </c>
      <c r="U695">
        <f t="shared" si="113"/>
        <v>4812.05</v>
      </c>
      <c r="V695">
        <v>4806.1836199999998</v>
      </c>
      <c r="W695">
        <v>4784.5104499999998</v>
      </c>
      <c r="X695">
        <v>4818.4620800000002</v>
      </c>
      <c r="Y695">
        <v>4815.8358600000001</v>
      </c>
      <c r="Z695">
        <f t="shared" si="114"/>
        <v>4821.7238600000001</v>
      </c>
      <c r="AA695">
        <f t="shared" si="115"/>
        <v>4823.2620699999998</v>
      </c>
      <c r="AB695">
        <f t="shared" si="116"/>
        <v>4775.36463</v>
      </c>
      <c r="AC695">
        <f t="shared" si="117"/>
        <v>4810.9764999999998</v>
      </c>
      <c r="AF695">
        <f t="shared" si="118"/>
        <v>4818.4620800000002</v>
      </c>
      <c r="AG695">
        <f t="shared" si="119"/>
        <v>4821.7238600000001</v>
      </c>
      <c r="AH695">
        <f t="shared" si="120"/>
        <v>4775.36463</v>
      </c>
    </row>
    <row r="696" spans="1:34" x14ac:dyDescent="0.55000000000000004">
      <c r="A696">
        <f>ALGLIB_SSA_XAUUSD!J696</f>
        <v>1775605800</v>
      </c>
      <c r="B696" t="str">
        <f>_xlfn.XLOOKUP($A696,ALGLIB_SSA_XAUUSD!$A$2:$A$1000,ALGLIB_SSA_XAUUSD!$B$2:$B$1000,"",0)</f>
        <v/>
      </c>
      <c r="C696" t="str">
        <f>_xlfn.XLOOKUP($A696,ALGLIB_SSA_XAUUSD!$A$2:$A$1000,ALGLIB_SSA_XAUUSD!$C$2:$C$1000,"",0)</f>
        <v/>
      </c>
      <c r="D696" s="1">
        <f>D686+(D698-D686)*10/12</f>
        <v>4820.3583333333336</v>
      </c>
      <c r="E696" s="1">
        <f>E686+(E698-E686)*10/12</f>
        <v>4807.5827150000005</v>
      </c>
      <c r="F696" s="1">
        <f>F686+(F698-F686)*10/12</f>
        <v>4786.2351466666669</v>
      </c>
      <c r="G696" s="1">
        <f>G686+(G698-G686)*10/12</f>
        <v>4823.2077433333334</v>
      </c>
      <c r="H696" s="1">
        <f>H686+(H698-H686)*10/12</f>
        <v>4777.1260233333333</v>
      </c>
      <c r="I696" t="str">
        <f>_xlfn.XLOOKUP($A696,ALGLIB_SSA_XAUUSD!$J$2:$J$1000,ALGLIB_SSA_XAUUSD!$K$2:$K$1000,"",0)</f>
        <v>XAUUSD</v>
      </c>
      <c r="J696" t="str">
        <f>_xlfn.XLOOKUP($A696,ALGLIB_SSA_XAUUSD!$J$2:$J$1000,ALGLIB_SSA_XAUUSD!$L$2:$L$1000,"",0)</f>
        <v>M5</v>
      </c>
      <c r="K696">
        <f>_xlfn.XLOOKUP($A696,ALGLIB_SSA_XAUUSD!$J$2:$J$1000,ALGLIB_SSA_XAUUSD!$M$2:$M$1000,"",0)</f>
        <v>4818.92</v>
      </c>
      <c r="L696">
        <f>_xlfn.XLOOKUP($A696,ALGLIB_SSA_XAUUSD!$J$2:$J$1000,ALGLIB_SSA_XAUUSD!$N$2:$N$1000,"",0)</f>
        <v>4824.1435499999998</v>
      </c>
      <c r="M696">
        <f>_xlfn.XLOOKUP($A696,ALGLIB_SSA_XAUUSD!$J$2:$J$1000,ALGLIB_SSA_XAUUSD!$O$2:$O$1000,"",0)</f>
        <v>4819.9897099999998</v>
      </c>
      <c r="N696">
        <f>_xlfn.XLOOKUP($A696,ALGLIB_SSA_XAUUSD!$J$2:$J$1000,ALGLIB_SSA_XAUUSD!$P$2:$P$1000,"",0)</f>
        <v>4830.0312199999998</v>
      </c>
      <c r="O696">
        <f>_xlfn.XLOOKUP($A696,ALGLIB_SSA_XAUUSD!$J$2:$J$1000,ALGLIB_SSA_XAUUSD!$Q$2:$Q$1000,"",0)</f>
        <v>4815.53557</v>
      </c>
      <c r="R696">
        <f t="shared" si="110"/>
        <v>1775605800</v>
      </c>
      <c r="S696" t="str">
        <f t="shared" si="111"/>
        <v>XAUUSD</v>
      </c>
      <c r="T696" t="str">
        <f t="shared" si="112"/>
        <v>M5</v>
      </c>
      <c r="U696">
        <f t="shared" si="113"/>
        <v>4818.92</v>
      </c>
      <c r="V696">
        <v>4807.5827200000003</v>
      </c>
      <c r="W696">
        <v>4786.2351500000004</v>
      </c>
      <c r="X696">
        <v>4824.1435499999998</v>
      </c>
      <c r="Y696">
        <v>4819.9897099999998</v>
      </c>
      <c r="Z696">
        <f t="shared" si="114"/>
        <v>4823.2077433333334</v>
      </c>
      <c r="AA696">
        <f t="shared" si="115"/>
        <v>4830.0312199999998</v>
      </c>
      <c r="AB696">
        <f t="shared" si="116"/>
        <v>4777.1260233333333</v>
      </c>
      <c r="AC696">
        <f t="shared" si="117"/>
        <v>4815.53557</v>
      </c>
      <c r="AF696">
        <f t="shared" si="118"/>
        <v>4824.1435499999998</v>
      </c>
      <c r="AG696">
        <f t="shared" si="119"/>
        <v>4823.2077433333334</v>
      </c>
      <c r="AH696">
        <f t="shared" si="120"/>
        <v>4777.1260233333333</v>
      </c>
    </row>
    <row r="697" spans="1:34" x14ac:dyDescent="0.55000000000000004">
      <c r="A697">
        <f>ALGLIB_SSA_XAUUSD!J697</f>
        <v>1775606100</v>
      </c>
      <c r="B697" t="str">
        <f>_xlfn.XLOOKUP($A697,ALGLIB_SSA_XAUUSD!$A$2:$A$1000,ALGLIB_SSA_XAUUSD!$B$2:$B$1000,"",0)</f>
        <v/>
      </c>
      <c r="C697" t="str">
        <f>_xlfn.XLOOKUP($A697,ALGLIB_SSA_XAUUSD!$A$2:$A$1000,ALGLIB_SSA_XAUUSD!$C$2:$C$1000,"",0)</f>
        <v/>
      </c>
      <c r="D697" s="1">
        <f>D686+(D698-D686)*11/12</f>
        <v>4819.0741666666663</v>
      </c>
      <c r="E697" s="1">
        <f>E686+(E698-E686)*11/12</f>
        <v>4808.9818075000003</v>
      </c>
      <c r="F697" s="1">
        <f>F686+(F698-F686)*11/12</f>
        <v>4787.959843333334</v>
      </c>
      <c r="G697" s="1">
        <f>G686+(G698-G686)*11/12</f>
        <v>4824.6916266666667</v>
      </c>
      <c r="H697" s="1">
        <f>H686+(H698-H686)*11/12</f>
        <v>4778.8874166666665</v>
      </c>
      <c r="I697" t="str">
        <f>_xlfn.XLOOKUP($A697,ALGLIB_SSA_XAUUSD!$J$2:$J$1000,ALGLIB_SSA_XAUUSD!$K$2:$K$1000,"",0)</f>
        <v>XAUUSD</v>
      </c>
      <c r="J697" t="str">
        <f>_xlfn.XLOOKUP($A697,ALGLIB_SSA_XAUUSD!$J$2:$J$1000,ALGLIB_SSA_XAUUSD!$L$2:$L$1000,"",0)</f>
        <v>M5</v>
      </c>
      <c r="K697">
        <f>_xlfn.XLOOKUP($A697,ALGLIB_SSA_XAUUSD!$J$2:$J$1000,ALGLIB_SSA_XAUUSD!$M$2:$M$1000,"",0)</f>
        <v>4833.2</v>
      </c>
      <c r="L697">
        <f>_xlfn.XLOOKUP($A697,ALGLIB_SSA_XAUUSD!$J$2:$J$1000,ALGLIB_SSA_XAUUSD!$N$2:$N$1000,"",0)</f>
        <v>4829.9040000000005</v>
      </c>
      <c r="M697">
        <f>_xlfn.XLOOKUP($A697,ALGLIB_SSA_XAUUSD!$J$2:$J$1000,ALGLIB_SSA_XAUUSD!$O$2:$O$1000,"",0)</f>
        <v>4824.94686</v>
      </c>
      <c r="N697">
        <f>_xlfn.XLOOKUP($A697,ALGLIB_SSA_XAUUSD!$J$2:$J$1000,ALGLIB_SSA_XAUUSD!$P$2:$P$1000,"",0)</f>
        <v>4837.0111100000004</v>
      </c>
      <c r="O697">
        <f>_xlfn.XLOOKUP($A697,ALGLIB_SSA_XAUUSD!$J$2:$J$1000,ALGLIB_SSA_XAUUSD!$Q$2:$Q$1000,"",0)</f>
        <v>4820.7376999999997</v>
      </c>
      <c r="R697">
        <f t="shared" si="110"/>
        <v>1775606100</v>
      </c>
      <c r="S697" t="str">
        <f t="shared" si="111"/>
        <v>XAUUSD</v>
      </c>
      <c r="T697" t="str">
        <f t="shared" si="112"/>
        <v>M5</v>
      </c>
      <c r="U697">
        <f t="shared" si="113"/>
        <v>4833.2</v>
      </c>
      <c r="V697">
        <v>4808.9818100000002</v>
      </c>
      <c r="W697">
        <v>4787.9598400000004</v>
      </c>
      <c r="X697">
        <v>4829.9040000000005</v>
      </c>
      <c r="Y697">
        <v>4824.94686</v>
      </c>
      <c r="Z697">
        <f t="shared" si="114"/>
        <v>4824.6916266666667</v>
      </c>
      <c r="AA697">
        <f t="shared" si="115"/>
        <v>4837.0111100000004</v>
      </c>
      <c r="AB697">
        <f t="shared" si="116"/>
        <v>4778.8874166666665</v>
      </c>
      <c r="AC697">
        <f t="shared" si="117"/>
        <v>4820.7376999999997</v>
      </c>
      <c r="AF697">
        <f t="shared" si="118"/>
        <v>4829.9040000000005</v>
      </c>
      <c r="AG697">
        <f t="shared" si="119"/>
        <v>4824.6916266666667</v>
      </c>
      <c r="AH697">
        <f t="shared" si="120"/>
        <v>4778.8874166666665</v>
      </c>
    </row>
    <row r="698" spans="1:34" x14ac:dyDescent="0.55000000000000004">
      <c r="A698">
        <f>ALGLIB_SSA_XAUUSD!J698</f>
        <v>1775606400</v>
      </c>
      <c r="B698" t="str">
        <f>_xlfn.XLOOKUP($A698,ALGLIB_SSA_XAUUSD!$A$2:$A$1000,ALGLIB_SSA_XAUUSD!$B$2:$B$1000,"",0)</f>
        <v>XAUUSD</v>
      </c>
      <c r="C698" t="str">
        <f>_xlfn.XLOOKUP($A698,ALGLIB_SSA_XAUUSD!$A$2:$A$1000,ALGLIB_SSA_XAUUSD!$C$2:$C$1000,"",0)</f>
        <v>H1</v>
      </c>
      <c r="D698" s="2">
        <f>_xlfn.XLOOKUP($A698,ALGLIB_SSA_XAUUSD!$A$2:$A$1000,ALGLIB_SSA_XAUUSD!$D$2:$D$1000,"",0)</f>
        <v>4817.79</v>
      </c>
      <c r="E698" s="2">
        <f>_xlfn.XLOOKUP($A698,ALGLIB_SSA_XAUUSD!$A$2:$A$1000,ALGLIB_SSA_XAUUSD!$E$2:$E$1000,"",0)</f>
        <v>4810.3809000000001</v>
      </c>
      <c r="F698" s="2">
        <f>_xlfn.XLOOKUP($A698,ALGLIB_SSA_XAUUSD!$A$2:$A$1000,ALGLIB_SSA_XAUUSD!$F$2:$F$1000,"",0)</f>
        <v>4789.6845400000002</v>
      </c>
      <c r="G698" s="2">
        <f>_xlfn.XLOOKUP($A698,ALGLIB_SSA_XAUUSD!$A$2:$A$1000,ALGLIB_SSA_XAUUSD!$G$2:$G$1000,"",0)</f>
        <v>4826.17551</v>
      </c>
      <c r="H698" s="2">
        <f>_xlfn.XLOOKUP($A698,ALGLIB_SSA_XAUUSD!$A$2:$A$1000,ALGLIB_SSA_XAUUSD!$H$2:$H$1000,"",0)</f>
        <v>4780.6488099999997</v>
      </c>
      <c r="I698" t="str">
        <f>_xlfn.XLOOKUP($A698,ALGLIB_SSA_XAUUSD!$J$2:$J$1000,ALGLIB_SSA_XAUUSD!$K$2:$K$1000,"",0)</f>
        <v>XAUUSD</v>
      </c>
      <c r="J698" t="str">
        <f>_xlfn.XLOOKUP($A698,ALGLIB_SSA_XAUUSD!$J$2:$J$1000,ALGLIB_SSA_XAUUSD!$L$2:$L$1000,"",0)</f>
        <v>M5</v>
      </c>
      <c r="K698">
        <f>_xlfn.XLOOKUP($A698,ALGLIB_SSA_XAUUSD!$J$2:$J$1000,ALGLIB_SSA_XAUUSD!$M$2:$M$1000,"",0)</f>
        <v>4845.6000000000004</v>
      </c>
      <c r="L698">
        <f>_xlfn.XLOOKUP($A698,ALGLIB_SSA_XAUUSD!$J$2:$J$1000,ALGLIB_SSA_XAUUSD!$N$2:$N$1000,"",0)</f>
        <v>4834.3347800000001</v>
      </c>
      <c r="M698">
        <f>_xlfn.XLOOKUP($A698,ALGLIB_SSA_XAUUSD!$J$2:$J$1000,ALGLIB_SSA_XAUUSD!$O$2:$O$1000,"",0)</f>
        <v>4829.6408199999996</v>
      </c>
      <c r="N698">
        <f>_xlfn.XLOOKUP($A698,ALGLIB_SSA_XAUUSD!$J$2:$J$1000,ALGLIB_SSA_XAUUSD!$P$2:$P$1000,"",0)</f>
        <v>4842.6096299999999</v>
      </c>
      <c r="O698">
        <f>_xlfn.XLOOKUP($A698,ALGLIB_SSA_XAUUSD!$J$2:$J$1000,ALGLIB_SSA_XAUUSD!$Q$2:$Q$1000,"",0)</f>
        <v>4825.56059</v>
      </c>
      <c r="R698">
        <f t="shared" si="110"/>
        <v>1775606400</v>
      </c>
      <c r="S698" t="str">
        <f t="shared" si="111"/>
        <v>XAUUSD</v>
      </c>
      <c r="T698" t="str">
        <f t="shared" si="112"/>
        <v>M5</v>
      </c>
      <c r="U698">
        <f t="shared" si="113"/>
        <v>4845.6000000000004</v>
      </c>
      <c r="V698">
        <v>4810.3809000000001</v>
      </c>
      <c r="W698">
        <v>4789.6845400000002</v>
      </c>
      <c r="X698">
        <v>4834.3347800000001</v>
      </c>
      <c r="Y698">
        <v>4829.6408199999996</v>
      </c>
      <c r="Z698">
        <f t="shared" si="114"/>
        <v>4826.17551</v>
      </c>
      <c r="AA698">
        <f t="shared" si="115"/>
        <v>4842.6096299999999</v>
      </c>
      <c r="AB698">
        <f t="shared" si="116"/>
        <v>4780.6488099999997</v>
      </c>
      <c r="AC698">
        <f t="shared" si="117"/>
        <v>4825.56059</v>
      </c>
      <c r="AF698">
        <f t="shared" si="118"/>
        <v>4834.3347800000001</v>
      </c>
      <c r="AG698">
        <f t="shared" si="119"/>
        <v>4826.17551</v>
      </c>
      <c r="AH698">
        <f t="shared" si="120"/>
        <v>4780.6488099999997</v>
      </c>
    </row>
    <row r="699" spans="1:34" x14ac:dyDescent="0.55000000000000004">
      <c r="A699">
        <f>ALGLIB_SSA_XAUUSD!J699</f>
        <v>1775606700</v>
      </c>
      <c r="B699" t="str">
        <f>_xlfn.XLOOKUP($A699,ALGLIB_SSA_XAUUSD!$A$2:$A$1000,ALGLIB_SSA_XAUUSD!$B$2:$B$1000,"",0)</f>
        <v/>
      </c>
      <c r="C699" t="str">
        <f>_xlfn.XLOOKUP($A699,ALGLIB_SSA_XAUUSD!$A$2:$A$1000,ALGLIB_SSA_XAUUSD!$C$2:$C$1000,"",0)</f>
        <v/>
      </c>
      <c r="D699" s="1">
        <f>D698+(D710-D698)*1/12</f>
        <v>4817.165</v>
      </c>
      <c r="E699" s="1">
        <f>E698+(E710-E698)*1/12</f>
        <v>4811.203821666667</v>
      </c>
      <c r="F699" s="1">
        <f>F698+(F710-F698)*1/12</f>
        <v>4790.9583491666672</v>
      </c>
      <c r="G699" s="1">
        <f>G698+(G710-G698)*1/12</f>
        <v>4827.018208333333</v>
      </c>
      <c r="H699" s="1">
        <f>H698+(H710-H698)*1/12</f>
        <v>4781.928955833333</v>
      </c>
      <c r="I699" t="str">
        <f>_xlfn.XLOOKUP($A699,ALGLIB_SSA_XAUUSD!$J$2:$J$1000,ALGLIB_SSA_XAUUSD!$K$2:$K$1000,"",0)</f>
        <v>XAUUSD</v>
      </c>
      <c r="J699" t="str">
        <f>_xlfn.XLOOKUP($A699,ALGLIB_SSA_XAUUSD!$J$2:$J$1000,ALGLIB_SSA_XAUUSD!$L$2:$L$1000,"",0)</f>
        <v>M5</v>
      </c>
      <c r="K699">
        <f>_xlfn.XLOOKUP($A699,ALGLIB_SSA_XAUUSD!$J$2:$J$1000,ALGLIB_SSA_XAUUSD!$M$2:$M$1000,"",0)</f>
        <v>4839.17</v>
      </c>
      <c r="L699">
        <f>_xlfn.XLOOKUP($A699,ALGLIB_SSA_XAUUSD!$J$2:$J$1000,ALGLIB_SSA_XAUUSD!$N$2:$N$1000,"",0)</f>
        <v>4836.3614200000002</v>
      </c>
      <c r="M699">
        <f>_xlfn.XLOOKUP($A699,ALGLIB_SSA_XAUUSD!$J$2:$J$1000,ALGLIB_SSA_XAUUSD!$O$2:$O$1000,"",0)</f>
        <v>4833.0011199999999</v>
      </c>
      <c r="N699">
        <f>_xlfn.XLOOKUP($A699,ALGLIB_SSA_XAUUSD!$J$2:$J$1000,ALGLIB_SSA_XAUUSD!$P$2:$P$1000,"",0)</f>
        <v>4845.44445</v>
      </c>
      <c r="O699">
        <f>_xlfn.XLOOKUP($A699,ALGLIB_SSA_XAUUSD!$J$2:$J$1000,ALGLIB_SSA_XAUUSD!$Q$2:$Q$1000,"",0)</f>
        <v>4828.7816800000001</v>
      </c>
      <c r="R699">
        <f t="shared" si="110"/>
        <v>1775606700</v>
      </c>
      <c r="S699" t="str">
        <f t="shared" si="111"/>
        <v>XAUUSD</v>
      </c>
      <c r="T699" t="str">
        <f t="shared" si="112"/>
        <v>M5</v>
      </c>
      <c r="U699">
        <f t="shared" si="113"/>
        <v>4839.17</v>
      </c>
      <c r="V699">
        <v>4811.2038199999997</v>
      </c>
      <c r="W699">
        <v>4790.9583499999999</v>
      </c>
      <c r="X699">
        <v>4836.3614200000002</v>
      </c>
      <c r="Y699">
        <v>4833.0011199999999</v>
      </c>
      <c r="Z699">
        <f t="shared" si="114"/>
        <v>4827.018208333333</v>
      </c>
      <c r="AA699">
        <f t="shared" si="115"/>
        <v>4845.44445</v>
      </c>
      <c r="AB699">
        <f t="shared" si="116"/>
        <v>4781.928955833333</v>
      </c>
      <c r="AC699">
        <f t="shared" si="117"/>
        <v>4828.7816800000001</v>
      </c>
      <c r="AF699">
        <f t="shared" si="118"/>
        <v>4836.3614200000002</v>
      </c>
      <c r="AG699">
        <f t="shared" si="119"/>
        <v>4827.018208333333</v>
      </c>
      <c r="AH699">
        <f t="shared" si="120"/>
        <v>4781.928955833333</v>
      </c>
    </row>
    <row r="700" spans="1:34" x14ac:dyDescent="0.55000000000000004">
      <c r="A700">
        <f>ALGLIB_SSA_XAUUSD!J700</f>
        <v>1775607000</v>
      </c>
      <c r="B700" t="str">
        <f>_xlfn.XLOOKUP($A700,ALGLIB_SSA_XAUUSD!$A$2:$A$1000,ALGLIB_SSA_XAUUSD!$B$2:$B$1000,"",0)</f>
        <v/>
      </c>
      <c r="C700" t="str">
        <f>_xlfn.XLOOKUP($A700,ALGLIB_SSA_XAUUSD!$A$2:$A$1000,ALGLIB_SSA_XAUUSD!$C$2:$C$1000,"",0)</f>
        <v/>
      </c>
      <c r="D700" s="1">
        <f>D698+(D710-D698)*2/12</f>
        <v>4816.54</v>
      </c>
      <c r="E700" s="1">
        <f>E698+(E710-E698)*2/12</f>
        <v>4812.0267433333338</v>
      </c>
      <c r="F700" s="1">
        <f>F698+(F710-F698)*2/12</f>
        <v>4792.2321583333332</v>
      </c>
      <c r="G700" s="1">
        <f>G698+(G710-G698)*2/12</f>
        <v>4827.8609066666668</v>
      </c>
      <c r="H700" s="1">
        <f>H698+(H710-H698)*2/12</f>
        <v>4783.2091016666664</v>
      </c>
      <c r="I700" t="str">
        <f>_xlfn.XLOOKUP($A700,ALGLIB_SSA_XAUUSD!$J$2:$J$1000,ALGLIB_SSA_XAUUSD!$K$2:$K$1000,"",0)</f>
        <v>XAUUSD</v>
      </c>
      <c r="J700" t="str">
        <f>_xlfn.XLOOKUP($A700,ALGLIB_SSA_XAUUSD!$J$2:$J$1000,ALGLIB_SSA_XAUUSD!$L$2:$L$1000,"",0)</f>
        <v>M5</v>
      </c>
      <c r="K700">
        <f>_xlfn.XLOOKUP($A700,ALGLIB_SSA_XAUUSD!$J$2:$J$1000,ALGLIB_SSA_XAUUSD!$M$2:$M$1000,"",0)</f>
        <v>4834.2700000000004</v>
      </c>
      <c r="L700">
        <f>_xlfn.XLOOKUP($A700,ALGLIB_SSA_XAUUSD!$J$2:$J$1000,ALGLIB_SSA_XAUUSD!$N$2:$N$1000,"",0)</f>
        <v>4835.8945800000001</v>
      </c>
      <c r="M700">
        <f>_xlfn.XLOOKUP($A700,ALGLIB_SSA_XAUUSD!$J$2:$J$1000,ALGLIB_SSA_XAUUSD!$O$2:$O$1000,"",0)</f>
        <v>4834.4478499999996</v>
      </c>
      <c r="N700">
        <f>_xlfn.XLOOKUP($A700,ALGLIB_SSA_XAUUSD!$J$2:$J$1000,ALGLIB_SSA_XAUUSD!$P$2:$P$1000,"",0)</f>
        <v>4844.9642999999996</v>
      </c>
      <c r="O700">
        <f>_xlfn.XLOOKUP($A700,ALGLIB_SSA_XAUUSD!$J$2:$J$1000,ALGLIB_SSA_XAUUSD!$Q$2:$Q$1000,"",0)</f>
        <v>4829.74323</v>
      </c>
      <c r="R700">
        <f t="shared" si="110"/>
        <v>1775607000</v>
      </c>
      <c r="S700" t="str">
        <f t="shared" si="111"/>
        <v>XAUUSD</v>
      </c>
      <c r="T700" t="str">
        <f t="shared" si="112"/>
        <v>M5</v>
      </c>
      <c r="U700">
        <f t="shared" si="113"/>
        <v>4834.2700000000004</v>
      </c>
      <c r="V700">
        <v>4812.0267400000002</v>
      </c>
      <c r="W700">
        <v>4792.2321599999996</v>
      </c>
      <c r="X700">
        <v>4835.8945800000001</v>
      </c>
      <c r="Y700">
        <v>4834.4478499999996</v>
      </c>
      <c r="Z700">
        <f t="shared" si="114"/>
        <v>4827.8609066666668</v>
      </c>
      <c r="AA700">
        <f t="shared" si="115"/>
        <v>4844.9642999999996</v>
      </c>
      <c r="AB700">
        <f t="shared" si="116"/>
        <v>4783.2091016666664</v>
      </c>
      <c r="AC700">
        <f t="shared" si="117"/>
        <v>4829.74323</v>
      </c>
      <c r="AF700">
        <f t="shared" si="118"/>
        <v>4835.8945800000001</v>
      </c>
      <c r="AG700">
        <f t="shared" si="119"/>
        <v>4827.8609066666668</v>
      </c>
      <c r="AH700">
        <f t="shared" si="120"/>
        <v>4783.2091016666664</v>
      </c>
    </row>
    <row r="701" spans="1:34" x14ac:dyDescent="0.55000000000000004">
      <c r="A701">
        <f>ALGLIB_SSA_XAUUSD!J701</f>
        <v>1775607300</v>
      </c>
      <c r="B701" t="str">
        <f>_xlfn.XLOOKUP($A701,ALGLIB_SSA_XAUUSD!$A$2:$A$1000,ALGLIB_SSA_XAUUSD!$B$2:$B$1000,"",0)</f>
        <v/>
      </c>
      <c r="C701" t="str">
        <f>_xlfn.XLOOKUP($A701,ALGLIB_SSA_XAUUSD!$A$2:$A$1000,ALGLIB_SSA_XAUUSD!$C$2:$C$1000,"",0)</f>
        <v/>
      </c>
      <c r="D701" s="1">
        <f>D698+(D710-D698)*3/12</f>
        <v>4815.915</v>
      </c>
      <c r="E701" s="1">
        <f>E698+(E710-E698)*3/12</f>
        <v>4812.8496649999997</v>
      </c>
      <c r="F701" s="1">
        <f>F698+(F710-F698)*3/12</f>
        <v>4793.5059675000002</v>
      </c>
      <c r="G701" s="1">
        <f>G698+(G710-G698)*3/12</f>
        <v>4828.7036049999997</v>
      </c>
      <c r="H701" s="1">
        <f>H698+(H710-H698)*3/12</f>
        <v>4784.4892474999997</v>
      </c>
      <c r="I701" t="str">
        <f>_xlfn.XLOOKUP($A701,ALGLIB_SSA_XAUUSD!$J$2:$J$1000,ALGLIB_SSA_XAUUSD!$K$2:$K$1000,"",0)</f>
        <v>XAUUSD</v>
      </c>
      <c r="J701" t="str">
        <f>_xlfn.XLOOKUP($A701,ALGLIB_SSA_XAUUSD!$J$2:$J$1000,ALGLIB_SSA_XAUUSD!$L$2:$L$1000,"",0)</f>
        <v>M5</v>
      </c>
      <c r="K701">
        <f>_xlfn.XLOOKUP($A701,ALGLIB_SSA_XAUUSD!$J$2:$J$1000,ALGLIB_SSA_XAUUSD!$M$2:$M$1000,"",0)</f>
        <v>4833.22</v>
      </c>
      <c r="L701">
        <f>_xlfn.XLOOKUP($A701,ALGLIB_SSA_XAUUSD!$J$2:$J$1000,ALGLIB_SSA_XAUUSD!$N$2:$N$1000,"",0)</f>
        <v>4833.31844</v>
      </c>
      <c r="M701">
        <f>_xlfn.XLOOKUP($A701,ALGLIB_SSA_XAUUSD!$J$2:$J$1000,ALGLIB_SSA_XAUUSD!$O$2:$O$1000,"",0)</f>
        <v>4833.8831399999999</v>
      </c>
      <c r="N701">
        <f>_xlfn.XLOOKUP($A701,ALGLIB_SSA_XAUUSD!$J$2:$J$1000,ALGLIB_SSA_XAUUSD!$P$2:$P$1000,"",0)</f>
        <v>4841.7796399999997</v>
      </c>
      <c r="O701">
        <f>_xlfn.XLOOKUP($A701,ALGLIB_SSA_XAUUSD!$J$2:$J$1000,ALGLIB_SSA_XAUUSD!$Q$2:$Q$1000,"",0)</f>
        <v>4828.5505999999996</v>
      </c>
      <c r="R701">
        <f t="shared" si="110"/>
        <v>1775607300</v>
      </c>
      <c r="S701" t="str">
        <f t="shared" si="111"/>
        <v>XAUUSD</v>
      </c>
      <c r="T701" t="str">
        <f t="shared" si="112"/>
        <v>M5</v>
      </c>
      <c r="U701">
        <f t="shared" si="113"/>
        <v>4833.22</v>
      </c>
      <c r="V701">
        <v>4812.8496699999996</v>
      </c>
      <c r="W701">
        <v>4793.5059700000002</v>
      </c>
      <c r="X701">
        <v>4833.31844</v>
      </c>
      <c r="Y701">
        <v>4833.8831399999999</v>
      </c>
      <c r="Z701">
        <f t="shared" si="114"/>
        <v>4828.7036049999997</v>
      </c>
      <c r="AA701">
        <f t="shared" si="115"/>
        <v>4841.7796399999997</v>
      </c>
      <c r="AB701">
        <f t="shared" si="116"/>
        <v>4784.4892474999997</v>
      </c>
      <c r="AC701">
        <f t="shared" si="117"/>
        <v>4828.5505999999996</v>
      </c>
      <c r="AF701">
        <f t="shared" si="118"/>
        <v>4833.31844</v>
      </c>
      <c r="AG701">
        <f t="shared" si="119"/>
        <v>4828.7036049999997</v>
      </c>
      <c r="AH701">
        <f t="shared" si="120"/>
        <v>4784.4892474999997</v>
      </c>
    </row>
    <row r="702" spans="1:34" x14ac:dyDescent="0.55000000000000004">
      <c r="A702">
        <f>ALGLIB_SSA_XAUUSD!J702</f>
        <v>1775607600</v>
      </c>
      <c r="B702" t="str">
        <f>_xlfn.XLOOKUP($A702,ALGLIB_SSA_XAUUSD!$A$2:$A$1000,ALGLIB_SSA_XAUUSD!$B$2:$B$1000,"",0)</f>
        <v/>
      </c>
      <c r="C702" t="str">
        <f>_xlfn.XLOOKUP($A702,ALGLIB_SSA_XAUUSD!$A$2:$A$1000,ALGLIB_SSA_XAUUSD!$C$2:$C$1000,"",0)</f>
        <v/>
      </c>
      <c r="D702" s="1">
        <f>D698+(D710-D698)*4/12</f>
        <v>4815.29</v>
      </c>
      <c r="E702" s="1">
        <f>E698+(E710-E698)*4/12</f>
        <v>4813.6725866666666</v>
      </c>
      <c r="F702" s="1">
        <f>F698+(F710-F698)*4/12</f>
        <v>4794.7797766666672</v>
      </c>
      <c r="G702" s="1">
        <f>G698+(G710-G698)*4/12</f>
        <v>4829.5463033333335</v>
      </c>
      <c r="H702" s="1">
        <f>H698+(H710-H698)*4/12</f>
        <v>4785.769393333333</v>
      </c>
      <c r="I702" t="str">
        <f>_xlfn.XLOOKUP($A702,ALGLIB_SSA_XAUUSD!$J$2:$J$1000,ALGLIB_SSA_XAUUSD!$K$2:$K$1000,"",0)</f>
        <v>XAUUSD</v>
      </c>
      <c r="J702" t="str">
        <f>_xlfn.XLOOKUP($A702,ALGLIB_SSA_XAUUSD!$J$2:$J$1000,ALGLIB_SSA_XAUUSD!$L$2:$L$1000,"",0)</f>
        <v>M5</v>
      </c>
      <c r="K702">
        <f>_xlfn.XLOOKUP($A702,ALGLIB_SSA_XAUUSD!$J$2:$J$1000,ALGLIB_SSA_XAUUSD!$M$2:$M$1000,"",0)</f>
        <v>4828.05</v>
      </c>
      <c r="L702">
        <f>_xlfn.XLOOKUP($A702,ALGLIB_SSA_XAUUSD!$J$2:$J$1000,ALGLIB_SSA_XAUUSD!$N$2:$N$1000,"",0)</f>
        <v>4829.2949799999997</v>
      </c>
      <c r="M702">
        <f>_xlfn.XLOOKUP($A702,ALGLIB_SSA_XAUUSD!$J$2:$J$1000,ALGLIB_SSA_XAUUSD!$O$2:$O$1000,"",0)</f>
        <v>4831.5890600000002</v>
      </c>
      <c r="N702">
        <f>_xlfn.XLOOKUP($A702,ALGLIB_SSA_XAUUSD!$J$2:$J$1000,ALGLIB_SSA_XAUUSD!$P$2:$P$1000,"",0)</f>
        <v>4836.8167299999996</v>
      </c>
      <c r="O702">
        <f>_xlfn.XLOOKUP($A702,ALGLIB_SSA_XAUUSD!$J$2:$J$1000,ALGLIB_SSA_XAUUSD!$Q$2:$Q$1000,"",0)</f>
        <v>4825.6220899999998</v>
      </c>
      <c r="R702">
        <f t="shared" si="110"/>
        <v>1775607600</v>
      </c>
      <c r="S702" t="str">
        <f t="shared" si="111"/>
        <v>XAUUSD</v>
      </c>
      <c r="T702" t="str">
        <f t="shared" si="112"/>
        <v>M5</v>
      </c>
      <c r="U702">
        <f t="shared" si="113"/>
        <v>4828.05</v>
      </c>
      <c r="V702">
        <v>4813.6725900000001</v>
      </c>
      <c r="W702">
        <v>4794.7797799999998</v>
      </c>
      <c r="X702">
        <v>4829.2949799999997</v>
      </c>
      <c r="Y702">
        <v>4831.5890600000002</v>
      </c>
      <c r="Z702">
        <f t="shared" si="114"/>
        <v>4829.5463033333335</v>
      </c>
      <c r="AA702">
        <f t="shared" si="115"/>
        <v>4836.8167299999996</v>
      </c>
      <c r="AB702">
        <f t="shared" si="116"/>
        <v>4785.769393333333</v>
      </c>
      <c r="AC702">
        <f t="shared" si="117"/>
        <v>4825.6220899999998</v>
      </c>
      <c r="AF702">
        <f t="shared" si="118"/>
        <v>4829.2949799999997</v>
      </c>
      <c r="AG702">
        <f t="shared" si="119"/>
        <v>4829.5463033333335</v>
      </c>
      <c r="AH702">
        <f t="shared" si="120"/>
        <v>4785.769393333333</v>
      </c>
    </row>
    <row r="703" spans="1:34" x14ac:dyDescent="0.55000000000000004">
      <c r="A703">
        <f>ALGLIB_SSA_XAUUSD!J703</f>
        <v>1775607900</v>
      </c>
      <c r="B703" t="str">
        <f>_xlfn.XLOOKUP($A703,ALGLIB_SSA_XAUUSD!$A$2:$A$1000,ALGLIB_SSA_XAUUSD!$B$2:$B$1000,"",0)</f>
        <v/>
      </c>
      <c r="C703" t="str">
        <f>_xlfn.XLOOKUP($A703,ALGLIB_SSA_XAUUSD!$A$2:$A$1000,ALGLIB_SSA_XAUUSD!$C$2:$C$1000,"",0)</f>
        <v/>
      </c>
      <c r="D703" s="1">
        <f>D698+(D710-D698)*5/12</f>
        <v>4814.665</v>
      </c>
      <c r="E703" s="1">
        <f>E698+(E710-E698)*5/12</f>
        <v>4814.4955083333334</v>
      </c>
      <c r="F703" s="1">
        <f>F698+(F710-F698)*5/12</f>
        <v>4796.0535858333333</v>
      </c>
      <c r="G703" s="1">
        <f>G698+(G710-G698)*5/12</f>
        <v>4830.3890016666664</v>
      </c>
      <c r="H703" s="1">
        <f>H698+(H710-H698)*5/12</f>
        <v>4787.0495391666664</v>
      </c>
      <c r="I703" t="str">
        <f>_xlfn.XLOOKUP($A703,ALGLIB_SSA_XAUUSD!$J$2:$J$1000,ALGLIB_SSA_XAUUSD!$K$2:$K$1000,"",0)</f>
        <v>XAUUSD</v>
      </c>
      <c r="J703" t="str">
        <f>_xlfn.XLOOKUP($A703,ALGLIB_SSA_XAUUSD!$J$2:$J$1000,ALGLIB_SSA_XAUUSD!$L$2:$L$1000,"",0)</f>
        <v>M5</v>
      </c>
      <c r="K703">
        <f>_xlfn.XLOOKUP($A703,ALGLIB_SSA_XAUUSD!$J$2:$J$1000,ALGLIB_SSA_XAUUSD!$M$2:$M$1000,"",0)</f>
        <v>4822.75</v>
      </c>
      <c r="L703">
        <f>_xlfn.XLOOKUP($A703,ALGLIB_SSA_XAUUSD!$J$2:$J$1000,ALGLIB_SSA_XAUUSD!$N$2:$N$1000,"",0)</f>
        <v>4824.8139000000001</v>
      </c>
      <c r="M703">
        <f>_xlfn.XLOOKUP($A703,ALGLIB_SSA_XAUUSD!$J$2:$J$1000,ALGLIB_SSA_XAUUSD!$O$2:$O$1000,"",0)</f>
        <v>4828.2014799999997</v>
      </c>
      <c r="N703">
        <f>_xlfn.XLOOKUP($A703,ALGLIB_SSA_XAUUSD!$J$2:$J$1000,ALGLIB_SSA_XAUUSD!$P$2:$P$1000,"",0)</f>
        <v>4831.2634099999996</v>
      </c>
      <c r="O703">
        <f>_xlfn.XLOOKUP($A703,ALGLIB_SSA_XAUUSD!$J$2:$J$1000,ALGLIB_SSA_XAUUSD!$Q$2:$Q$1000,"",0)</f>
        <v>4821.6886199999999</v>
      </c>
      <c r="R703">
        <f t="shared" si="110"/>
        <v>1775607900</v>
      </c>
      <c r="S703" t="str">
        <f t="shared" si="111"/>
        <v>XAUUSD</v>
      </c>
      <c r="T703" t="str">
        <f t="shared" si="112"/>
        <v>M5</v>
      </c>
      <c r="U703">
        <f t="shared" si="113"/>
        <v>4822.75</v>
      </c>
      <c r="V703">
        <v>4814.4955099999997</v>
      </c>
      <c r="W703">
        <v>4796.0535900000004</v>
      </c>
      <c r="X703">
        <v>4824.8139000000001</v>
      </c>
      <c r="Y703">
        <v>4828.2014799999997</v>
      </c>
      <c r="Z703">
        <f t="shared" si="114"/>
        <v>4830.3890016666664</v>
      </c>
      <c r="AA703">
        <f t="shared" si="115"/>
        <v>4831.2634099999996</v>
      </c>
      <c r="AB703">
        <f t="shared" si="116"/>
        <v>4787.0495391666664</v>
      </c>
      <c r="AC703">
        <f t="shared" si="117"/>
        <v>4821.6886199999999</v>
      </c>
      <c r="AF703">
        <f t="shared" si="118"/>
        <v>4824.8139000000001</v>
      </c>
      <c r="AG703">
        <f t="shared" si="119"/>
        <v>4830.3890016666664</v>
      </c>
      <c r="AH703">
        <f t="shared" si="120"/>
        <v>4787.0495391666664</v>
      </c>
    </row>
    <row r="704" spans="1:34" x14ac:dyDescent="0.55000000000000004">
      <c r="A704">
        <f>ALGLIB_SSA_XAUUSD!J704</f>
        <v>1775608200</v>
      </c>
      <c r="B704" t="str">
        <f>_xlfn.XLOOKUP($A704,ALGLIB_SSA_XAUUSD!$A$2:$A$1000,ALGLIB_SSA_XAUUSD!$B$2:$B$1000,"",0)</f>
        <v/>
      </c>
      <c r="C704" t="str">
        <f>_xlfn.XLOOKUP($A704,ALGLIB_SSA_XAUUSD!$A$2:$A$1000,ALGLIB_SSA_XAUUSD!$C$2:$C$1000,"",0)</f>
        <v/>
      </c>
      <c r="D704" s="1">
        <f>D698+(D710-D698)*6/12</f>
        <v>4814.04</v>
      </c>
      <c r="E704" s="1">
        <f>E698+(E710-E698)*6/12</f>
        <v>4815.3184300000003</v>
      </c>
      <c r="F704" s="1">
        <f>F698+(F710-F698)*6/12</f>
        <v>4797.3273950000003</v>
      </c>
      <c r="G704" s="1">
        <f>G698+(G710-G698)*6/12</f>
        <v>4831.2317000000003</v>
      </c>
      <c r="H704" s="1">
        <f>H698+(H710-H698)*6/12</f>
        <v>4788.3296849999997</v>
      </c>
      <c r="I704" t="str">
        <f>_xlfn.XLOOKUP($A704,ALGLIB_SSA_XAUUSD!$J$2:$J$1000,ALGLIB_SSA_XAUUSD!$K$2:$K$1000,"",0)</f>
        <v>XAUUSD</v>
      </c>
      <c r="J704" t="str">
        <f>_xlfn.XLOOKUP($A704,ALGLIB_SSA_XAUUSD!$J$2:$J$1000,ALGLIB_SSA_XAUUSD!$L$2:$L$1000,"",0)</f>
        <v>M5</v>
      </c>
      <c r="K704">
        <f>_xlfn.XLOOKUP($A704,ALGLIB_SSA_XAUUSD!$J$2:$J$1000,ALGLIB_SSA_XAUUSD!$M$2:$M$1000,"",0)</f>
        <v>4815.74</v>
      </c>
      <c r="L704">
        <f>_xlfn.XLOOKUP($A704,ALGLIB_SSA_XAUUSD!$J$2:$J$1000,ALGLIB_SSA_XAUUSD!$N$2:$N$1000,"",0)</f>
        <v>4820.8296</v>
      </c>
      <c r="M704">
        <f>_xlfn.XLOOKUP($A704,ALGLIB_SSA_XAUUSD!$J$2:$J$1000,ALGLIB_SSA_XAUUSD!$O$2:$O$1000,"",0)</f>
        <v>4824.5155400000003</v>
      </c>
      <c r="N704">
        <f>_xlfn.XLOOKUP($A704,ALGLIB_SSA_XAUUSD!$J$2:$J$1000,ALGLIB_SSA_XAUUSD!$P$2:$P$1000,"",0)</f>
        <v>4826.3131100000001</v>
      </c>
      <c r="O704">
        <f>_xlfn.XLOOKUP($A704,ALGLIB_SSA_XAUUSD!$J$2:$J$1000,ALGLIB_SSA_XAUUSD!$Q$2:$Q$1000,"",0)</f>
        <v>4817.71173</v>
      </c>
      <c r="R704">
        <f t="shared" si="110"/>
        <v>1775608200</v>
      </c>
      <c r="S704" t="str">
        <f t="shared" si="111"/>
        <v>XAUUSD</v>
      </c>
      <c r="T704" t="str">
        <f t="shared" si="112"/>
        <v>M5</v>
      </c>
      <c r="U704">
        <f t="shared" si="113"/>
        <v>4815.74</v>
      </c>
      <c r="V704">
        <v>4815.3184300000003</v>
      </c>
      <c r="W704">
        <v>4797.3274000000001</v>
      </c>
      <c r="X704">
        <v>4820.8296</v>
      </c>
      <c r="Y704">
        <v>4824.5155400000003</v>
      </c>
      <c r="Z704">
        <f t="shared" si="114"/>
        <v>4831.2317000000003</v>
      </c>
      <c r="AA704">
        <f t="shared" si="115"/>
        <v>4826.3131100000001</v>
      </c>
      <c r="AB704">
        <f t="shared" si="116"/>
        <v>4788.3296849999997</v>
      </c>
      <c r="AC704">
        <f t="shared" si="117"/>
        <v>4817.71173</v>
      </c>
      <c r="AF704">
        <f t="shared" si="118"/>
        <v>4820.8296</v>
      </c>
      <c r="AG704">
        <f t="shared" si="119"/>
        <v>4831.2317000000003</v>
      </c>
      <c r="AH704">
        <f t="shared" si="120"/>
        <v>4788.3296849999997</v>
      </c>
    </row>
    <row r="705" spans="1:34" x14ac:dyDescent="0.55000000000000004">
      <c r="A705">
        <f>ALGLIB_SSA_XAUUSD!J705</f>
        <v>1775608500</v>
      </c>
      <c r="B705" t="str">
        <f>_xlfn.XLOOKUP($A705,ALGLIB_SSA_XAUUSD!$A$2:$A$1000,ALGLIB_SSA_XAUUSD!$B$2:$B$1000,"",0)</f>
        <v/>
      </c>
      <c r="C705" t="str">
        <f>_xlfn.XLOOKUP($A705,ALGLIB_SSA_XAUUSD!$A$2:$A$1000,ALGLIB_SSA_XAUUSD!$C$2:$C$1000,"",0)</f>
        <v/>
      </c>
      <c r="D705" s="1">
        <f>D698+(D710-D698)*7/12</f>
        <v>4813.415</v>
      </c>
      <c r="E705" s="1">
        <f>E698+(E710-E698)*7/12</f>
        <v>4816.1413516666671</v>
      </c>
      <c r="F705" s="1">
        <f>F698+(F710-F698)*7/12</f>
        <v>4798.6012041666672</v>
      </c>
      <c r="G705" s="1">
        <f>G698+(G710-G698)*7/12</f>
        <v>4832.0743983333332</v>
      </c>
      <c r="H705" s="1">
        <f>H698+(H710-H698)*7/12</f>
        <v>4789.609830833333</v>
      </c>
      <c r="I705" t="str">
        <f>_xlfn.XLOOKUP($A705,ALGLIB_SSA_XAUUSD!$J$2:$J$1000,ALGLIB_SSA_XAUUSD!$K$2:$K$1000,"",0)</f>
        <v>XAUUSD</v>
      </c>
      <c r="J705" t="str">
        <f>_xlfn.XLOOKUP($A705,ALGLIB_SSA_XAUUSD!$J$2:$J$1000,ALGLIB_SSA_XAUUSD!$L$2:$L$1000,"",0)</f>
        <v>M5</v>
      </c>
      <c r="K705">
        <f>_xlfn.XLOOKUP($A705,ALGLIB_SSA_XAUUSD!$J$2:$J$1000,ALGLIB_SSA_XAUUSD!$M$2:$M$1000,"",0)</f>
        <v>4820.84</v>
      </c>
      <c r="L705">
        <f>_xlfn.XLOOKUP($A705,ALGLIB_SSA_XAUUSD!$J$2:$J$1000,ALGLIB_SSA_XAUUSD!$N$2:$N$1000,"",0)</f>
        <v>4818.0239300000003</v>
      </c>
      <c r="M705">
        <f>_xlfn.XLOOKUP($A705,ALGLIB_SSA_XAUUSD!$J$2:$J$1000,ALGLIB_SSA_XAUUSD!$O$2:$O$1000,"",0)</f>
        <v>4821.2697399999997</v>
      </c>
      <c r="N705">
        <f>_xlfn.XLOOKUP($A705,ALGLIB_SSA_XAUUSD!$J$2:$J$1000,ALGLIB_SSA_XAUUSD!$P$2:$P$1000,"",0)</f>
        <v>4822.7792200000004</v>
      </c>
      <c r="O705">
        <f>_xlfn.XLOOKUP($A705,ALGLIB_SSA_XAUUSD!$J$2:$J$1000,ALGLIB_SSA_XAUUSD!$Q$2:$Q$1000,"",0)</f>
        <v>4814.4060900000004</v>
      </c>
      <c r="R705">
        <f t="shared" si="110"/>
        <v>1775608500</v>
      </c>
      <c r="S705" t="str">
        <f t="shared" si="111"/>
        <v>XAUUSD</v>
      </c>
      <c r="T705" t="str">
        <f t="shared" si="112"/>
        <v>M5</v>
      </c>
      <c r="U705">
        <f t="shared" si="113"/>
        <v>4820.84</v>
      </c>
      <c r="V705">
        <v>4816.1413499999999</v>
      </c>
      <c r="W705">
        <v>4798.6012000000001</v>
      </c>
      <c r="X705">
        <v>4818.0239300000003</v>
      </c>
      <c r="Y705">
        <v>4821.2697399999997</v>
      </c>
      <c r="Z705">
        <f t="shared" si="114"/>
        <v>4832.0743983333332</v>
      </c>
      <c r="AA705">
        <f t="shared" si="115"/>
        <v>4822.7792200000004</v>
      </c>
      <c r="AB705">
        <f t="shared" si="116"/>
        <v>4789.609830833333</v>
      </c>
      <c r="AC705">
        <f t="shared" si="117"/>
        <v>4814.4060900000004</v>
      </c>
      <c r="AF705">
        <f t="shared" si="118"/>
        <v>4818.0239300000003</v>
      </c>
      <c r="AG705">
        <f t="shared" si="119"/>
        <v>4832.0743983333332</v>
      </c>
      <c r="AH705">
        <f t="shared" si="120"/>
        <v>4789.609830833333</v>
      </c>
    </row>
    <row r="706" spans="1:34" x14ac:dyDescent="0.55000000000000004">
      <c r="A706">
        <f>ALGLIB_SSA_XAUUSD!J706</f>
        <v>1775608800</v>
      </c>
      <c r="B706" t="str">
        <f>_xlfn.XLOOKUP($A706,ALGLIB_SSA_XAUUSD!$A$2:$A$1000,ALGLIB_SSA_XAUUSD!$B$2:$B$1000,"",0)</f>
        <v/>
      </c>
      <c r="C706" t="str">
        <f>_xlfn.XLOOKUP($A706,ALGLIB_SSA_XAUUSD!$A$2:$A$1000,ALGLIB_SSA_XAUUSD!$C$2:$C$1000,"",0)</f>
        <v/>
      </c>
      <c r="D706" s="1">
        <f>D698+(D710-D698)*8/12</f>
        <v>4812.79</v>
      </c>
      <c r="E706" s="1">
        <f>E698+(E710-E698)*8/12</f>
        <v>4816.9642733333339</v>
      </c>
      <c r="F706" s="1">
        <f>F698+(F710-F698)*8/12</f>
        <v>4799.8750133333333</v>
      </c>
      <c r="G706" s="1">
        <f>G698+(G710-G698)*8/12</f>
        <v>4832.9170966666661</v>
      </c>
      <c r="H706" s="1">
        <f>H698+(H710-H698)*8/12</f>
        <v>4790.8899766666664</v>
      </c>
      <c r="I706" t="str">
        <f>_xlfn.XLOOKUP($A706,ALGLIB_SSA_XAUUSD!$J$2:$J$1000,ALGLIB_SSA_XAUUSD!$K$2:$K$1000,"",0)</f>
        <v>XAUUSD</v>
      </c>
      <c r="J706" t="str">
        <f>_xlfn.XLOOKUP($A706,ALGLIB_SSA_XAUUSD!$J$2:$J$1000,ALGLIB_SSA_XAUUSD!$L$2:$L$1000,"",0)</f>
        <v>M5</v>
      </c>
      <c r="K706">
        <f>_xlfn.XLOOKUP($A706,ALGLIB_SSA_XAUUSD!$J$2:$J$1000,ALGLIB_SSA_XAUUSD!$M$2:$M$1000,"",0)</f>
        <v>4813.83</v>
      </c>
      <c r="L706">
        <f>_xlfn.XLOOKUP($A706,ALGLIB_SSA_XAUUSD!$J$2:$J$1000,ALGLIB_SSA_XAUUSD!$N$2:$N$1000,"",0)</f>
        <v>4816.4297200000001</v>
      </c>
      <c r="M706">
        <f>_xlfn.XLOOKUP($A706,ALGLIB_SSA_XAUUSD!$J$2:$J$1000,ALGLIB_SSA_XAUUSD!$O$2:$O$1000,"",0)</f>
        <v>4818.8497299999999</v>
      </c>
      <c r="N706">
        <f>_xlfn.XLOOKUP($A706,ALGLIB_SSA_XAUUSD!$J$2:$J$1000,ALGLIB_SSA_XAUUSD!$P$2:$P$1000,"",0)</f>
        <v>4820.9977699999999</v>
      </c>
      <c r="O706">
        <f>_xlfn.XLOOKUP($A706,ALGLIB_SSA_XAUUSD!$J$2:$J$1000,ALGLIB_SSA_XAUUSD!$Q$2:$Q$1000,"",0)</f>
        <v>4812.1442399999996</v>
      </c>
      <c r="R706">
        <f t="shared" si="110"/>
        <v>1775608800</v>
      </c>
      <c r="S706" t="str">
        <f t="shared" si="111"/>
        <v>XAUUSD</v>
      </c>
      <c r="T706" t="str">
        <f t="shared" si="112"/>
        <v>M5</v>
      </c>
      <c r="U706">
        <f t="shared" si="113"/>
        <v>4813.83</v>
      </c>
      <c r="V706">
        <v>4816.9642700000004</v>
      </c>
      <c r="W706">
        <v>4799.8750099999997</v>
      </c>
      <c r="X706">
        <v>4816.4297200000001</v>
      </c>
      <c r="Y706">
        <v>4818.8497299999999</v>
      </c>
      <c r="Z706">
        <f t="shared" si="114"/>
        <v>4832.9170966666661</v>
      </c>
      <c r="AA706">
        <f t="shared" si="115"/>
        <v>4820.9977699999999</v>
      </c>
      <c r="AB706">
        <f t="shared" si="116"/>
        <v>4790.8899766666664</v>
      </c>
      <c r="AC706">
        <f t="shared" si="117"/>
        <v>4812.1442399999996</v>
      </c>
      <c r="AF706">
        <f t="shared" si="118"/>
        <v>4816.4297200000001</v>
      </c>
      <c r="AG706">
        <f t="shared" si="119"/>
        <v>4832.9170966666661</v>
      </c>
      <c r="AH706">
        <f t="shared" si="120"/>
        <v>4790.8899766666664</v>
      </c>
    </row>
    <row r="707" spans="1:34" x14ac:dyDescent="0.55000000000000004">
      <c r="A707">
        <f>ALGLIB_SSA_XAUUSD!J707</f>
        <v>1775609100</v>
      </c>
      <c r="B707" t="str">
        <f>_xlfn.XLOOKUP($A707,ALGLIB_SSA_XAUUSD!$A$2:$A$1000,ALGLIB_SSA_XAUUSD!$B$2:$B$1000,"",0)</f>
        <v/>
      </c>
      <c r="C707" t="str">
        <f>_xlfn.XLOOKUP($A707,ALGLIB_SSA_XAUUSD!$A$2:$A$1000,ALGLIB_SSA_XAUUSD!$C$2:$C$1000,"",0)</f>
        <v/>
      </c>
      <c r="D707" s="1">
        <f>D698+(D710-D698)*9/12</f>
        <v>4812.165</v>
      </c>
      <c r="E707" s="1">
        <f>E698+(E710-E698)*9/12</f>
        <v>4817.7871950000008</v>
      </c>
      <c r="F707" s="1">
        <f>F698+(F710-F698)*9/12</f>
        <v>4801.1488225000003</v>
      </c>
      <c r="G707" s="1">
        <f>G698+(G710-G698)*9/12</f>
        <v>4833.7597949999999</v>
      </c>
      <c r="H707" s="1">
        <f>H698+(H710-H698)*9/12</f>
        <v>4792.1701224999997</v>
      </c>
      <c r="I707" t="str">
        <f>_xlfn.XLOOKUP($A707,ALGLIB_SSA_XAUUSD!$J$2:$J$1000,ALGLIB_SSA_XAUUSD!$K$2:$K$1000,"",0)</f>
        <v>XAUUSD</v>
      </c>
      <c r="J707" t="str">
        <f>_xlfn.XLOOKUP($A707,ALGLIB_SSA_XAUUSD!$J$2:$J$1000,ALGLIB_SSA_XAUUSD!$L$2:$L$1000,"",0)</f>
        <v>M5</v>
      </c>
      <c r="K707">
        <f>_xlfn.XLOOKUP($A707,ALGLIB_SSA_XAUUSD!$J$2:$J$1000,ALGLIB_SSA_XAUUSD!$M$2:$M$1000,"",0)</f>
        <v>4815.3</v>
      </c>
      <c r="L707">
        <f>_xlfn.XLOOKUP($A707,ALGLIB_SSA_XAUUSD!$J$2:$J$1000,ALGLIB_SSA_XAUUSD!$N$2:$N$1000,"",0)</f>
        <v>4816.0033299999996</v>
      </c>
      <c r="M707">
        <f>_xlfn.XLOOKUP($A707,ALGLIB_SSA_XAUUSD!$J$2:$J$1000,ALGLIB_SSA_XAUUSD!$O$2:$O$1000,"",0)</f>
        <v>4817.4265299999997</v>
      </c>
      <c r="N707">
        <f>_xlfn.XLOOKUP($A707,ALGLIB_SSA_XAUUSD!$J$2:$J$1000,ALGLIB_SSA_XAUUSD!$P$2:$P$1000,"",0)</f>
        <v>4820.8067199999996</v>
      </c>
      <c r="O707">
        <f>_xlfn.XLOOKUP($A707,ALGLIB_SSA_XAUUSD!$J$2:$J$1000,ALGLIB_SSA_XAUUSD!$Q$2:$Q$1000,"",0)</f>
        <v>4810.89383</v>
      </c>
      <c r="R707">
        <f t="shared" ref="R707:R770" si="121">A707</f>
        <v>1775609100</v>
      </c>
      <c r="S707" t="str">
        <f t="shared" ref="S707:S770" si="122">I707</f>
        <v>XAUUSD</v>
      </c>
      <c r="T707" t="str">
        <f t="shared" ref="T707:T770" si="123">J707</f>
        <v>M5</v>
      </c>
      <c r="U707">
        <f t="shared" ref="U707:U770" si="124">K707</f>
        <v>4815.3</v>
      </c>
      <c r="V707">
        <v>4817.7871999999998</v>
      </c>
      <c r="W707">
        <v>4801.1488200000003</v>
      </c>
      <c r="X707">
        <v>4816.0033299999996</v>
      </c>
      <c r="Y707">
        <v>4817.4265299999997</v>
      </c>
      <c r="Z707">
        <f t="shared" ref="Z707:Z770" si="125">G707</f>
        <v>4833.7597949999999</v>
      </c>
      <c r="AA707">
        <f t="shared" ref="AA707:AA770" si="126">N707</f>
        <v>4820.8067199999996</v>
      </c>
      <c r="AB707">
        <f t="shared" ref="AB707:AB770" si="127">H707</f>
        <v>4792.1701224999997</v>
      </c>
      <c r="AC707">
        <f t="shared" ref="AC707:AC770" si="128">O707</f>
        <v>4810.89383</v>
      </c>
      <c r="AF707">
        <f t="shared" ref="AF707:AF770" si="129">X707</f>
        <v>4816.0033299999996</v>
      </c>
      <c r="AG707">
        <f t="shared" ref="AG707:AG770" si="130">Z707</f>
        <v>4833.7597949999999</v>
      </c>
      <c r="AH707">
        <f t="shared" ref="AH707:AH770" si="131">AB707</f>
        <v>4792.1701224999997</v>
      </c>
    </row>
    <row r="708" spans="1:34" x14ac:dyDescent="0.55000000000000004">
      <c r="A708">
        <f>ALGLIB_SSA_XAUUSD!J708</f>
        <v>1775609400</v>
      </c>
      <c r="B708" t="str">
        <f>_xlfn.XLOOKUP($A708,ALGLIB_SSA_XAUUSD!$A$2:$A$1000,ALGLIB_SSA_XAUUSD!$B$2:$B$1000,"",0)</f>
        <v/>
      </c>
      <c r="C708" t="str">
        <f>_xlfn.XLOOKUP($A708,ALGLIB_SSA_XAUUSD!$A$2:$A$1000,ALGLIB_SSA_XAUUSD!$C$2:$C$1000,"",0)</f>
        <v/>
      </c>
      <c r="D708" s="1">
        <f>D698+(D710-D698)*10/12</f>
        <v>4811.54</v>
      </c>
      <c r="E708" s="1">
        <f>E698+(E710-E698)*10/12</f>
        <v>4818.6101166666667</v>
      </c>
      <c r="F708" s="1">
        <f>F698+(F710-F698)*10/12</f>
        <v>4802.4226316666673</v>
      </c>
      <c r="G708" s="1">
        <f>G698+(G710-G698)*10/12</f>
        <v>4834.6024933333329</v>
      </c>
      <c r="H708" s="1">
        <f>H698+(H710-H698)*10/12</f>
        <v>4793.450268333333</v>
      </c>
      <c r="I708" t="str">
        <f>_xlfn.XLOOKUP($A708,ALGLIB_SSA_XAUUSD!$J$2:$J$1000,ALGLIB_SSA_XAUUSD!$K$2:$K$1000,"",0)</f>
        <v>XAUUSD</v>
      </c>
      <c r="J708" t="str">
        <f>_xlfn.XLOOKUP($A708,ALGLIB_SSA_XAUUSD!$J$2:$J$1000,ALGLIB_SSA_XAUUSD!$L$2:$L$1000,"",0)</f>
        <v>M5</v>
      </c>
      <c r="K708">
        <f>_xlfn.XLOOKUP($A708,ALGLIB_SSA_XAUUSD!$J$2:$J$1000,ALGLIB_SSA_XAUUSD!$M$2:$M$1000,"",0)</f>
        <v>4821.7</v>
      </c>
      <c r="L708">
        <f>_xlfn.XLOOKUP($A708,ALGLIB_SSA_XAUUSD!$J$2:$J$1000,ALGLIB_SSA_XAUUSD!$N$2:$N$1000,"",0)</f>
        <v>4816.1689699999997</v>
      </c>
      <c r="M708">
        <f>_xlfn.XLOOKUP($A708,ALGLIB_SSA_XAUUSD!$J$2:$J$1000,ALGLIB_SSA_XAUUSD!$O$2:$O$1000,"",0)</f>
        <v>4816.7977499999997</v>
      </c>
      <c r="N708">
        <f>_xlfn.XLOOKUP($A708,ALGLIB_SSA_XAUUSD!$J$2:$J$1000,ALGLIB_SSA_XAUUSD!$P$2:$P$1000,"",0)</f>
        <v>4821.78514</v>
      </c>
      <c r="O708">
        <f>_xlfn.XLOOKUP($A708,ALGLIB_SSA_XAUUSD!$J$2:$J$1000,ALGLIB_SSA_XAUUSD!$Q$2:$Q$1000,"",0)</f>
        <v>4810.3756599999997</v>
      </c>
      <c r="R708">
        <f t="shared" si="121"/>
        <v>1775609400</v>
      </c>
      <c r="S708" t="str">
        <f t="shared" si="122"/>
        <v>XAUUSD</v>
      </c>
      <c r="T708" t="str">
        <f t="shared" si="123"/>
        <v>M5</v>
      </c>
      <c r="U708">
        <f t="shared" si="124"/>
        <v>4821.7</v>
      </c>
      <c r="V708">
        <v>4818.6101200000003</v>
      </c>
      <c r="W708">
        <v>4802.42263</v>
      </c>
      <c r="X708">
        <v>4816.1689699999997</v>
      </c>
      <c r="Y708">
        <v>4816.7977499999997</v>
      </c>
      <c r="Z708">
        <f t="shared" si="125"/>
        <v>4834.6024933333329</v>
      </c>
      <c r="AA708">
        <f t="shared" si="126"/>
        <v>4821.78514</v>
      </c>
      <c r="AB708">
        <f t="shared" si="127"/>
        <v>4793.450268333333</v>
      </c>
      <c r="AC708">
        <f t="shared" si="128"/>
        <v>4810.3756599999997</v>
      </c>
      <c r="AF708">
        <f t="shared" si="129"/>
        <v>4816.1689699999997</v>
      </c>
      <c r="AG708">
        <f t="shared" si="130"/>
        <v>4834.6024933333329</v>
      </c>
      <c r="AH708">
        <f t="shared" si="131"/>
        <v>4793.450268333333</v>
      </c>
    </row>
    <row r="709" spans="1:34" x14ac:dyDescent="0.55000000000000004">
      <c r="A709">
        <f>ALGLIB_SSA_XAUUSD!J709</f>
        <v>1775609700</v>
      </c>
      <c r="B709" t="str">
        <f>_xlfn.XLOOKUP($A709,ALGLIB_SSA_XAUUSD!$A$2:$A$1000,ALGLIB_SSA_XAUUSD!$B$2:$B$1000,"",0)</f>
        <v/>
      </c>
      <c r="C709" t="str">
        <f>_xlfn.XLOOKUP($A709,ALGLIB_SSA_XAUUSD!$A$2:$A$1000,ALGLIB_SSA_XAUUSD!$C$2:$C$1000,"",0)</f>
        <v/>
      </c>
      <c r="D709" s="1">
        <f>D698+(D710-D698)*11/12</f>
        <v>4810.915</v>
      </c>
      <c r="E709" s="1">
        <f>E698+(E710-E698)*11/12</f>
        <v>4819.4330383333336</v>
      </c>
      <c r="F709" s="1">
        <f>F698+(F710-F698)*11/12</f>
        <v>4803.6964408333333</v>
      </c>
      <c r="G709" s="1">
        <f>G698+(G710-G698)*11/12</f>
        <v>4835.4451916666667</v>
      </c>
      <c r="H709" s="1">
        <f>H698+(H710-H698)*11/12</f>
        <v>4794.7304141666664</v>
      </c>
      <c r="I709" t="str">
        <f>_xlfn.XLOOKUP($A709,ALGLIB_SSA_XAUUSD!$J$2:$J$1000,ALGLIB_SSA_XAUUSD!$K$2:$K$1000,"",0)</f>
        <v>XAUUSD</v>
      </c>
      <c r="J709" t="str">
        <f>_xlfn.XLOOKUP($A709,ALGLIB_SSA_XAUUSD!$J$2:$J$1000,ALGLIB_SSA_XAUUSD!$L$2:$L$1000,"",0)</f>
        <v>M5</v>
      </c>
      <c r="K709">
        <f>_xlfn.XLOOKUP($A709,ALGLIB_SSA_XAUUSD!$J$2:$J$1000,ALGLIB_SSA_XAUUSD!$M$2:$M$1000,"",0)</f>
        <v>4817.79</v>
      </c>
      <c r="L709">
        <f>_xlfn.XLOOKUP($A709,ALGLIB_SSA_XAUUSD!$J$2:$J$1000,ALGLIB_SSA_XAUUSD!$N$2:$N$1000,"",0)</f>
        <v>4816.1000199999999</v>
      </c>
      <c r="M709">
        <f>_xlfn.XLOOKUP($A709,ALGLIB_SSA_XAUUSD!$J$2:$J$1000,ALGLIB_SSA_XAUUSD!$O$2:$O$1000,"",0)</f>
        <v>4816.4488899999997</v>
      </c>
      <c r="N709">
        <f>_xlfn.XLOOKUP($A709,ALGLIB_SSA_XAUUSD!$J$2:$J$1000,ALGLIB_SSA_XAUUSD!$P$2:$P$1000,"",0)</f>
        <v>4822.8493699999999</v>
      </c>
      <c r="O709">
        <f>_xlfn.XLOOKUP($A709,ALGLIB_SSA_XAUUSD!$J$2:$J$1000,ALGLIB_SSA_XAUUSD!$Q$2:$Q$1000,"",0)</f>
        <v>4809.8737300000003</v>
      </c>
      <c r="R709">
        <f t="shared" si="121"/>
        <v>1775609700</v>
      </c>
      <c r="S709" t="str">
        <f t="shared" si="122"/>
        <v>XAUUSD</v>
      </c>
      <c r="T709" t="str">
        <f t="shared" si="123"/>
        <v>M5</v>
      </c>
      <c r="U709">
        <f t="shared" si="124"/>
        <v>4817.79</v>
      </c>
      <c r="V709">
        <v>4819.4330399999999</v>
      </c>
      <c r="W709">
        <v>4803.6964399999997</v>
      </c>
      <c r="X709">
        <v>4816.1000199999999</v>
      </c>
      <c r="Y709">
        <v>4816.4488899999997</v>
      </c>
      <c r="Z709">
        <f t="shared" si="125"/>
        <v>4835.4451916666667</v>
      </c>
      <c r="AA709">
        <f t="shared" si="126"/>
        <v>4822.8493699999999</v>
      </c>
      <c r="AB709">
        <f t="shared" si="127"/>
        <v>4794.7304141666664</v>
      </c>
      <c r="AC709">
        <f t="shared" si="128"/>
        <v>4809.8737300000003</v>
      </c>
      <c r="AF709">
        <f t="shared" si="129"/>
        <v>4816.1000199999999</v>
      </c>
      <c r="AG709">
        <f t="shared" si="130"/>
        <v>4835.4451916666667</v>
      </c>
      <c r="AH709">
        <f t="shared" si="131"/>
        <v>4794.7304141666664</v>
      </c>
    </row>
    <row r="710" spans="1:34" x14ac:dyDescent="0.55000000000000004">
      <c r="A710">
        <f>ALGLIB_SSA_XAUUSD!J710</f>
        <v>1775610000</v>
      </c>
      <c r="B710" t="str">
        <f>_xlfn.XLOOKUP($A710,ALGLIB_SSA_XAUUSD!$A$2:$A$1000,ALGLIB_SSA_XAUUSD!$B$2:$B$1000,"",0)</f>
        <v>XAUUSD</v>
      </c>
      <c r="C710" t="str">
        <f>_xlfn.XLOOKUP($A710,ALGLIB_SSA_XAUUSD!$A$2:$A$1000,ALGLIB_SSA_XAUUSD!$C$2:$C$1000,"",0)</f>
        <v>H1</v>
      </c>
      <c r="D710" s="2">
        <f>_xlfn.XLOOKUP($A710,ALGLIB_SSA_XAUUSD!$A$2:$A$1000,ALGLIB_SSA_XAUUSD!$D$2:$D$1000,"",0)</f>
        <v>4810.29</v>
      </c>
      <c r="E710" s="2">
        <f>_xlfn.XLOOKUP($A710,ALGLIB_SSA_XAUUSD!$A$2:$A$1000,ALGLIB_SSA_XAUUSD!$E$2:$E$1000,"",0)</f>
        <v>4820.2559600000004</v>
      </c>
      <c r="F710" s="2">
        <f>_xlfn.XLOOKUP($A710,ALGLIB_SSA_XAUUSD!$A$2:$A$1000,ALGLIB_SSA_XAUUSD!$F$2:$F$1000,"",0)</f>
        <v>4804.9702500000003</v>
      </c>
      <c r="G710" s="2">
        <f>_xlfn.XLOOKUP($A710,ALGLIB_SSA_XAUUSD!$A$2:$A$1000,ALGLIB_SSA_XAUUSD!$G$2:$G$1000,"",0)</f>
        <v>4836.2878899999996</v>
      </c>
      <c r="H710" s="2">
        <f>_xlfn.XLOOKUP($A710,ALGLIB_SSA_XAUUSD!$A$2:$A$1000,ALGLIB_SSA_XAUUSD!$H$2:$H$1000,"",0)</f>
        <v>4796.0105599999997</v>
      </c>
      <c r="I710" t="str">
        <f>_xlfn.XLOOKUP($A710,ALGLIB_SSA_XAUUSD!$J$2:$J$1000,ALGLIB_SSA_XAUUSD!$K$2:$K$1000,"",0)</f>
        <v>XAUUSD</v>
      </c>
      <c r="J710" t="str">
        <f>_xlfn.XLOOKUP($A710,ALGLIB_SSA_XAUUSD!$J$2:$J$1000,ALGLIB_SSA_XAUUSD!$L$2:$L$1000,"",0)</f>
        <v>M5</v>
      </c>
      <c r="K710">
        <f>_xlfn.XLOOKUP($A710,ALGLIB_SSA_XAUUSD!$J$2:$J$1000,ALGLIB_SSA_XAUUSD!$M$2:$M$1000,"",0)</f>
        <v>4807.13</v>
      </c>
      <c r="L710">
        <f>_xlfn.XLOOKUP($A710,ALGLIB_SSA_XAUUSD!$J$2:$J$1000,ALGLIB_SSA_XAUUSD!$N$2:$N$1000,"",0)</f>
        <v>4815.3050899999998</v>
      </c>
      <c r="M710">
        <f>_xlfn.XLOOKUP($A710,ALGLIB_SSA_XAUUSD!$J$2:$J$1000,ALGLIB_SSA_XAUUSD!$O$2:$O$1000,"",0)</f>
        <v>4815.8769899999998</v>
      </c>
      <c r="N710">
        <f>_xlfn.XLOOKUP($A710,ALGLIB_SSA_XAUUSD!$J$2:$J$1000,ALGLIB_SSA_XAUUSD!$P$2:$P$1000,"",0)</f>
        <v>4823.2313700000004</v>
      </c>
      <c r="O710">
        <f>_xlfn.XLOOKUP($A710,ALGLIB_SSA_XAUUSD!$J$2:$J$1000,ALGLIB_SSA_XAUUSD!$Q$2:$Q$1000,"",0)</f>
        <v>4808.9576299999999</v>
      </c>
      <c r="R710">
        <f t="shared" si="121"/>
        <v>1775610000</v>
      </c>
      <c r="S710" t="str">
        <f t="shared" si="122"/>
        <v>XAUUSD</v>
      </c>
      <c r="T710" t="str">
        <f t="shared" si="123"/>
        <v>M5</v>
      </c>
      <c r="U710">
        <f t="shared" si="124"/>
        <v>4807.13</v>
      </c>
      <c r="V710">
        <v>4820.2559600000004</v>
      </c>
      <c r="W710">
        <v>4804.9702500000003</v>
      </c>
      <c r="X710">
        <v>4815.3050899999998</v>
      </c>
      <c r="Y710">
        <v>4815.8769899999998</v>
      </c>
      <c r="Z710">
        <f t="shared" si="125"/>
        <v>4836.2878899999996</v>
      </c>
      <c r="AA710">
        <f t="shared" si="126"/>
        <v>4823.2313700000004</v>
      </c>
      <c r="AB710">
        <f t="shared" si="127"/>
        <v>4796.0105599999997</v>
      </c>
      <c r="AC710">
        <f t="shared" si="128"/>
        <v>4808.9576299999999</v>
      </c>
      <c r="AF710">
        <f t="shared" si="129"/>
        <v>4815.3050899999998</v>
      </c>
      <c r="AG710">
        <f t="shared" si="130"/>
        <v>4836.2878899999996</v>
      </c>
      <c r="AH710">
        <f t="shared" si="131"/>
        <v>4796.0105599999997</v>
      </c>
    </row>
    <row r="711" spans="1:34" x14ac:dyDescent="0.55000000000000004">
      <c r="A711">
        <f>ALGLIB_SSA_XAUUSD!J711</f>
        <v>1775610300</v>
      </c>
      <c r="B711" t="str">
        <f>_xlfn.XLOOKUP($A711,ALGLIB_SSA_XAUUSD!$A$2:$A$1000,ALGLIB_SSA_XAUUSD!$B$2:$B$1000,"",0)</f>
        <v/>
      </c>
      <c r="C711" t="str">
        <f>_xlfn.XLOOKUP($A711,ALGLIB_SSA_XAUUSD!$A$2:$A$1000,ALGLIB_SSA_XAUUSD!$C$2:$C$1000,"",0)</f>
        <v/>
      </c>
      <c r="D711" s="1">
        <f>D710+(D722-D710)*1/12</f>
        <v>4809.78</v>
      </c>
      <c r="E711" s="1">
        <f>E710+(E722-E710)*1/12</f>
        <v>4820.5488916666673</v>
      </c>
      <c r="F711" s="1">
        <f>F710+(F722-F710)*1/12</f>
        <v>4805.753620833334</v>
      </c>
      <c r="G711" s="1">
        <f>G710+(G722-G710)*1/12</f>
        <v>4836.5541166666662</v>
      </c>
      <c r="H711" s="1">
        <f>H710+(H722-H710)*1/12</f>
        <v>4796.8052975000001</v>
      </c>
      <c r="I711" t="str">
        <f>_xlfn.XLOOKUP($A711,ALGLIB_SSA_XAUUSD!$J$2:$J$1000,ALGLIB_SSA_XAUUSD!$K$2:$K$1000,"",0)</f>
        <v>XAUUSD</v>
      </c>
      <c r="J711" t="str">
        <f>_xlfn.XLOOKUP($A711,ALGLIB_SSA_XAUUSD!$J$2:$J$1000,ALGLIB_SSA_XAUUSD!$L$2:$L$1000,"",0)</f>
        <v>M5</v>
      </c>
      <c r="K711">
        <f>_xlfn.XLOOKUP($A711,ALGLIB_SSA_XAUUSD!$J$2:$J$1000,ALGLIB_SSA_XAUUSD!$M$2:$M$1000,"",0)</f>
        <v>4818.93</v>
      </c>
      <c r="L711">
        <f>_xlfn.XLOOKUP($A711,ALGLIB_SSA_XAUUSD!$J$2:$J$1000,ALGLIB_SSA_XAUUSD!$N$2:$N$1000,"",0)</f>
        <v>4813.6760000000004</v>
      </c>
      <c r="M711">
        <f>_xlfn.XLOOKUP($A711,ALGLIB_SSA_XAUUSD!$J$2:$J$1000,ALGLIB_SSA_XAUUSD!$O$2:$O$1000,"",0)</f>
        <v>4814.7764900000002</v>
      </c>
      <c r="N711">
        <f>_xlfn.XLOOKUP($A711,ALGLIB_SSA_XAUUSD!$J$2:$J$1000,ALGLIB_SSA_XAUUSD!$P$2:$P$1000,"",0)</f>
        <v>4822.2717599999996</v>
      </c>
      <c r="O711">
        <f>_xlfn.XLOOKUP($A711,ALGLIB_SSA_XAUUSD!$J$2:$J$1000,ALGLIB_SSA_XAUUSD!$Q$2:$Q$1000,"",0)</f>
        <v>4807.3491400000003</v>
      </c>
      <c r="R711">
        <f t="shared" si="121"/>
        <v>1775610300</v>
      </c>
      <c r="S711" t="str">
        <f t="shared" si="122"/>
        <v>XAUUSD</v>
      </c>
      <c r="T711" t="str">
        <f t="shared" si="123"/>
        <v>M5</v>
      </c>
      <c r="U711">
        <f t="shared" si="124"/>
        <v>4818.93</v>
      </c>
      <c r="V711">
        <v>4820.54889</v>
      </c>
      <c r="W711">
        <v>4805.7536200000004</v>
      </c>
      <c r="X711">
        <v>4813.6760000000004</v>
      </c>
      <c r="Y711">
        <v>4814.7764900000002</v>
      </c>
      <c r="Z711">
        <f t="shared" si="125"/>
        <v>4836.5541166666662</v>
      </c>
      <c r="AA711">
        <f t="shared" si="126"/>
        <v>4822.2717599999996</v>
      </c>
      <c r="AB711">
        <f t="shared" si="127"/>
        <v>4796.8052975000001</v>
      </c>
      <c r="AC711">
        <f t="shared" si="128"/>
        <v>4807.3491400000003</v>
      </c>
      <c r="AF711">
        <f t="shared" si="129"/>
        <v>4813.6760000000004</v>
      </c>
      <c r="AG711">
        <f t="shared" si="130"/>
        <v>4836.5541166666662</v>
      </c>
      <c r="AH711">
        <f t="shared" si="131"/>
        <v>4796.8052975000001</v>
      </c>
    </row>
    <row r="712" spans="1:34" x14ac:dyDescent="0.55000000000000004">
      <c r="A712">
        <f>ALGLIB_SSA_XAUUSD!J712</f>
        <v>1775610600</v>
      </c>
      <c r="B712" t="str">
        <f>_xlfn.XLOOKUP($A712,ALGLIB_SSA_XAUUSD!$A$2:$A$1000,ALGLIB_SSA_XAUUSD!$B$2:$B$1000,"",0)</f>
        <v/>
      </c>
      <c r="C712" t="str">
        <f>_xlfn.XLOOKUP($A712,ALGLIB_SSA_XAUUSD!$A$2:$A$1000,ALGLIB_SSA_XAUUSD!$C$2:$C$1000,"",0)</f>
        <v/>
      </c>
      <c r="D712" s="1">
        <f>D710+(D722-D710)*2/12</f>
        <v>4809.2700000000004</v>
      </c>
      <c r="E712" s="1">
        <f>E710+(E722-E710)*2/12</f>
        <v>4820.8418233333341</v>
      </c>
      <c r="F712" s="1">
        <f>F710+(F722-F710)*2/12</f>
        <v>4806.5369916666668</v>
      </c>
      <c r="G712" s="1">
        <f>G710+(G722-G710)*2/12</f>
        <v>4836.8203433333329</v>
      </c>
      <c r="H712" s="1">
        <f>H710+(H722-H710)*2/12</f>
        <v>4797.6000349999995</v>
      </c>
      <c r="I712" t="str">
        <f>_xlfn.XLOOKUP($A712,ALGLIB_SSA_XAUUSD!$J$2:$J$1000,ALGLIB_SSA_XAUUSD!$K$2:$K$1000,"",0)</f>
        <v>XAUUSD</v>
      </c>
      <c r="J712" t="str">
        <f>_xlfn.XLOOKUP($A712,ALGLIB_SSA_XAUUSD!$J$2:$J$1000,ALGLIB_SSA_XAUUSD!$L$2:$L$1000,"",0)</f>
        <v>M5</v>
      </c>
      <c r="K712">
        <f>_xlfn.XLOOKUP($A712,ALGLIB_SSA_XAUUSD!$J$2:$J$1000,ALGLIB_SSA_XAUUSD!$M$2:$M$1000,"",0)</f>
        <v>4820.1000000000004</v>
      </c>
      <c r="L712">
        <f>_xlfn.XLOOKUP($A712,ALGLIB_SSA_XAUUSD!$J$2:$J$1000,ALGLIB_SSA_XAUUSD!$N$2:$N$1000,"",0)</f>
        <v>4810.8639400000002</v>
      </c>
      <c r="M712">
        <f>_xlfn.XLOOKUP($A712,ALGLIB_SSA_XAUUSD!$J$2:$J$1000,ALGLIB_SSA_XAUUSD!$O$2:$O$1000,"",0)</f>
        <v>4812.8202099999999</v>
      </c>
      <c r="N712">
        <f>_xlfn.XLOOKUP($A712,ALGLIB_SSA_XAUUSD!$J$2:$J$1000,ALGLIB_SSA_XAUUSD!$P$2:$P$1000,"",0)</f>
        <v>4819.8619399999998</v>
      </c>
      <c r="O712">
        <f>_xlfn.XLOOKUP($A712,ALGLIB_SSA_XAUUSD!$J$2:$J$1000,ALGLIB_SSA_XAUUSD!$Q$2:$Q$1000,"",0)</f>
        <v>4804.8727399999998</v>
      </c>
      <c r="R712">
        <f t="shared" si="121"/>
        <v>1775610600</v>
      </c>
      <c r="S712" t="str">
        <f t="shared" si="122"/>
        <v>XAUUSD</v>
      </c>
      <c r="T712" t="str">
        <f t="shared" si="123"/>
        <v>M5</v>
      </c>
      <c r="U712">
        <f t="shared" si="124"/>
        <v>4820.1000000000004</v>
      </c>
      <c r="V712">
        <v>4820.8418199999996</v>
      </c>
      <c r="W712">
        <v>4806.5369899999996</v>
      </c>
      <c r="X712">
        <v>4810.8639400000002</v>
      </c>
      <c r="Y712">
        <v>4812.8202099999999</v>
      </c>
      <c r="Z712">
        <f t="shared" si="125"/>
        <v>4836.8203433333329</v>
      </c>
      <c r="AA712">
        <f t="shared" si="126"/>
        <v>4819.8619399999998</v>
      </c>
      <c r="AB712">
        <f t="shared" si="127"/>
        <v>4797.6000349999995</v>
      </c>
      <c r="AC712">
        <f t="shared" si="128"/>
        <v>4804.8727399999998</v>
      </c>
      <c r="AF712">
        <f t="shared" si="129"/>
        <v>4810.8639400000002</v>
      </c>
      <c r="AG712">
        <f t="shared" si="130"/>
        <v>4836.8203433333329</v>
      </c>
      <c r="AH712">
        <f t="shared" si="131"/>
        <v>4797.6000349999995</v>
      </c>
    </row>
    <row r="713" spans="1:34" x14ac:dyDescent="0.55000000000000004">
      <c r="A713">
        <f>ALGLIB_SSA_XAUUSD!J713</f>
        <v>1775610900</v>
      </c>
      <c r="B713" t="str">
        <f>_xlfn.XLOOKUP($A713,ALGLIB_SSA_XAUUSD!$A$2:$A$1000,ALGLIB_SSA_XAUUSD!$B$2:$B$1000,"",0)</f>
        <v/>
      </c>
      <c r="C713" t="str">
        <f>_xlfn.XLOOKUP($A713,ALGLIB_SSA_XAUUSD!$A$2:$A$1000,ALGLIB_SSA_XAUUSD!$C$2:$C$1000,"",0)</f>
        <v/>
      </c>
      <c r="D713" s="1">
        <f>D710+(D722-D710)*3/12</f>
        <v>4808.76</v>
      </c>
      <c r="E713" s="1">
        <f>E710+(E722-E710)*3/12</f>
        <v>4821.134755</v>
      </c>
      <c r="F713" s="1">
        <f>F710+(F722-F710)*3/12</f>
        <v>4807.3203625000006</v>
      </c>
      <c r="G713" s="1">
        <f>G710+(G722-G710)*3/12</f>
        <v>4837.0865699999995</v>
      </c>
      <c r="H713" s="1">
        <f>H710+(H722-H710)*3/12</f>
        <v>4798.3947724999998</v>
      </c>
      <c r="I713" t="str">
        <f>_xlfn.XLOOKUP($A713,ALGLIB_SSA_XAUUSD!$J$2:$J$1000,ALGLIB_SSA_XAUUSD!$K$2:$K$1000,"",0)</f>
        <v>XAUUSD</v>
      </c>
      <c r="J713" t="str">
        <f>_xlfn.XLOOKUP($A713,ALGLIB_SSA_XAUUSD!$J$2:$J$1000,ALGLIB_SSA_XAUUSD!$L$2:$L$1000,"",0)</f>
        <v>M5</v>
      </c>
      <c r="K713">
        <f>_xlfn.XLOOKUP($A713,ALGLIB_SSA_XAUUSD!$J$2:$J$1000,ALGLIB_SSA_XAUUSD!$M$2:$M$1000,"",0)</f>
        <v>4803.42</v>
      </c>
      <c r="L713">
        <f>_xlfn.XLOOKUP($A713,ALGLIB_SSA_XAUUSD!$J$2:$J$1000,ALGLIB_SSA_XAUUSD!$N$2:$N$1000,"",0)</f>
        <v>4807.1683999999996</v>
      </c>
      <c r="M713">
        <f>_xlfn.XLOOKUP($A713,ALGLIB_SSA_XAUUSD!$J$2:$J$1000,ALGLIB_SSA_XAUUSD!$O$2:$O$1000,"",0)</f>
        <v>4809.99431</v>
      </c>
      <c r="N713">
        <f>_xlfn.XLOOKUP($A713,ALGLIB_SSA_XAUUSD!$J$2:$J$1000,ALGLIB_SSA_XAUUSD!$P$2:$P$1000,"",0)</f>
        <v>4816.1691499999997</v>
      </c>
      <c r="O713">
        <f>_xlfn.XLOOKUP($A713,ALGLIB_SSA_XAUUSD!$J$2:$J$1000,ALGLIB_SSA_XAUUSD!$Q$2:$Q$1000,"",0)</f>
        <v>4801.5303000000004</v>
      </c>
      <c r="R713">
        <f t="shared" si="121"/>
        <v>1775610900</v>
      </c>
      <c r="S713" t="str">
        <f t="shared" si="122"/>
        <v>XAUUSD</v>
      </c>
      <c r="T713" t="str">
        <f t="shared" si="123"/>
        <v>M5</v>
      </c>
      <c r="U713">
        <f t="shared" si="124"/>
        <v>4803.42</v>
      </c>
      <c r="V713">
        <v>4821.1347599999999</v>
      </c>
      <c r="W713">
        <v>4807.3203599999997</v>
      </c>
      <c r="X713">
        <v>4807.1683999999996</v>
      </c>
      <c r="Y713">
        <v>4809.99431</v>
      </c>
      <c r="Z713">
        <f t="shared" si="125"/>
        <v>4837.0865699999995</v>
      </c>
      <c r="AA713">
        <f t="shared" si="126"/>
        <v>4816.1691499999997</v>
      </c>
      <c r="AB713">
        <f t="shared" si="127"/>
        <v>4798.3947724999998</v>
      </c>
      <c r="AC713">
        <f t="shared" si="128"/>
        <v>4801.5303000000004</v>
      </c>
      <c r="AF713">
        <f t="shared" si="129"/>
        <v>4807.1683999999996</v>
      </c>
      <c r="AG713">
        <f t="shared" si="130"/>
        <v>4837.0865699999995</v>
      </c>
      <c r="AH713">
        <f t="shared" si="131"/>
        <v>4798.3947724999998</v>
      </c>
    </row>
    <row r="714" spans="1:34" x14ac:dyDescent="0.55000000000000004">
      <c r="A714">
        <f>ALGLIB_SSA_XAUUSD!J714</f>
        <v>1775611200</v>
      </c>
      <c r="B714" t="str">
        <f>_xlfn.XLOOKUP($A714,ALGLIB_SSA_XAUUSD!$A$2:$A$1000,ALGLIB_SSA_XAUUSD!$B$2:$B$1000,"",0)</f>
        <v/>
      </c>
      <c r="C714" t="str">
        <f>_xlfn.XLOOKUP($A714,ALGLIB_SSA_XAUUSD!$A$2:$A$1000,ALGLIB_SSA_XAUUSD!$C$2:$C$1000,"",0)</f>
        <v/>
      </c>
      <c r="D714" s="1">
        <f>D710+(D722-D710)*4/12</f>
        <v>4808.25</v>
      </c>
      <c r="E714" s="1">
        <f>E710+(E722-E710)*4/12</f>
        <v>4821.4276866666669</v>
      </c>
      <c r="F714" s="1">
        <f>F710+(F722-F710)*4/12</f>
        <v>4808.1037333333334</v>
      </c>
      <c r="G714" s="1">
        <f>G710+(G722-G710)*4/12</f>
        <v>4837.3527966666661</v>
      </c>
      <c r="H714" s="1">
        <f>H710+(H722-H710)*4/12</f>
        <v>4799.1895100000002</v>
      </c>
      <c r="I714" t="str">
        <f>_xlfn.XLOOKUP($A714,ALGLIB_SSA_XAUUSD!$J$2:$J$1000,ALGLIB_SSA_XAUUSD!$K$2:$K$1000,"",0)</f>
        <v>XAUUSD</v>
      </c>
      <c r="J714" t="str">
        <f>_xlfn.XLOOKUP($A714,ALGLIB_SSA_XAUUSD!$J$2:$J$1000,ALGLIB_SSA_XAUUSD!$L$2:$L$1000,"",0)</f>
        <v>M5</v>
      </c>
      <c r="K714">
        <f>_xlfn.XLOOKUP($A714,ALGLIB_SSA_XAUUSD!$J$2:$J$1000,ALGLIB_SSA_XAUUSD!$M$2:$M$1000,"",0)</f>
        <v>4801.6899999999996</v>
      </c>
      <c r="L714">
        <f>_xlfn.XLOOKUP($A714,ALGLIB_SSA_XAUUSD!$J$2:$J$1000,ALGLIB_SSA_XAUUSD!$N$2:$N$1000,"",0)</f>
        <v>4803.6057600000004</v>
      </c>
      <c r="M714">
        <f>_xlfn.XLOOKUP($A714,ALGLIB_SSA_XAUUSD!$J$2:$J$1000,ALGLIB_SSA_XAUUSD!$O$2:$O$1000,"",0)</f>
        <v>4806.8000300000003</v>
      </c>
      <c r="N714">
        <f>_xlfn.XLOOKUP($A714,ALGLIB_SSA_XAUUSD!$J$2:$J$1000,ALGLIB_SSA_XAUUSD!$P$2:$P$1000,"",0)</f>
        <v>4811.8251200000004</v>
      </c>
      <c r="O714">
        <f>_xlfn.XLOOKUP($A714,ALGLIB_SSA_XAUUSD!$J$2:$J$1000,ALGLIB_SSA_XAUUSD!$Q$2:$Q$1000,"",0)</f>
        <v>4798.1842900000001</v>
      </c>
      <c r="R714">
        <f t="shared" si="121"/>
        <v>1775611200</v>
      </c>
      <c r="S714" t="str">
        <f t="shared" si="122"/>
        <v>XAUUSD</v>
      </c>
      <c r="T714" t="str">
        <f t="shared" si="123"/>
        <v>M5</v>
      </c>
      <c r="U714">
        <f t="shared" si="124"/>
        <v>4801.6899999999996</v>
      </c>
      <c r="V714">
        <v>4821.4276900000004</v>
      </c>
      <c r="W714">
        <v>4808.1037299999998</v>
      </c>
      <c r="X714">
        <v>4803.6057600000004</v>
      </c>
      <c r="Y714">
        <v>4806.8000300000003</v>
      </c>
      <c r="Z714">
        <f t="shared" si="125"/>
        <v>4837.3527966666661</v>
      </c>
      <c r="AA714">
        <f t="shared" si="126"/>
        <v>4811.8251200000004</v>
      </c>
      <c r="AB714">
        <f t="shared" si="127"/>
        <v>4799.1895100000002</v>
      </c>
      <c r="AC714">
        <f t="shared" si="128"/>
        <v>4798.1842900000001</v>
      </c>
      <c r="AF714">
        <f t="shared" si="129"/>
        <v>4803.6057600000004</v>
      </c>
      <c r="AG714">
        <f t="shared" si="130"/>
        <v>4837.3527966666661</v>
      </c>
      <c r="AH714">
        <f t="shared" si="131"/>
        <v>4799.1895100000002</v>
      </c>
    </row>
    <row r="715" spans="1:34" x14ac:dyDescent="0.55000000000000004">
      <c r="A715">
        <f>ALGLIB_SSA_XAUUSD!J715</f>
        <v>1775611500</v>
      </c>
      <c r="B715" t="str">
        <f>_xlfn.XLOOKUP($A715,ALGLIB_SSA_XAUUSD!$A$2:$A$1000,ALGLIB_SSA_XAUUSD!$B$2:$B$1000,"",0)</f>
        <v/>
      </c>
      <c r="C715" t="str">
        <f>_xlfn.XLOOKUP($A715,ALGLIB_SSA_XAUUSD!$A$2:$A$1000,ALGLIB_SSA_XAUUSD!$C$2:$C$1000,"",0)</f>
        <v/>
      </c>
      <c r="D715" s="1">
        <f>D710+(D722-D710)*5/12</f>
        <v>4807.74</v>
      </c>
      <c r="E715" s="1">
        <f>E710+(E722-E710)*5/12</f>
        <v>4821.7206183333337</v>
      </c>
      <c r="F715" s="1">
        <f>F710+(F722-F710)*5/12</f>
        <v>4808.8871041666671</v>
      </c>
      <c r="G715" s="1">
        <f>G710+(G722-G710)*5/12</f>
        <v>4837.6190233333327</v>
      </c>
      <c r="H715" s="1">
        <f>H710+(H722-H710)*5/12</f>
        <v>4799.9842474999996</v>
      </c>
      <c r="I715" t="str">
        <f>_xlfn.XLOOKUP($A715,ALGLIB_SSA_XAUUSD!$J$2:$J$1000,ALGLIB_SSA_XAUUSD!$K$2:$K$1000,"",0)</f>
        <v>XAUUSD</v>
      </c>
      <c r="J715" t="str">
        <f>_xlfn.XLOOKUP($A715,ALGLIB_SSA_XAUUSD!$J$2:$J$1000,ALGLIB_SSA_XAUUSD!$L$2:$L$1000,"",0)</f>
        <v>M5</v>
      </c>
      <c r="K715">
        <f>_xlfn.XLOOKUP($A715,ALGLIB_SSA_XAUUSD!$J$2:$J$1000,ALGLIB_SSA_XAUUSD!$M$2:$M$1000,"",0)</f>
        <v>4794.28</v>
      </c>
      <c r="L715">
        <f>_xlfn.XLOOKUP($A715,ALGLIB_SSA_XAUUSD!$J$2:$J$1000,ALGLIB_SSA_XAUUSD!$N$2:$N$1000,"",0)</f>
        <v>4800.83907</v>
      </c>
      <c r="M715">
        <f>_xlfn.XLOOKUP($A715,ALGLIB_SSA_XAUUSD!$J$2:$J$1000,ALGLIB_SSA_XAUUSD!$O$2:$O$1000,"",0)</f>
        <v>4803.8195500000002</v>
      </c>
      <c r="N715">
        <f>_xlfn.XLOOKUP($A715,ALGLIB_SSA_XAUUSD!$J$2:$J$1000,ALGLIB_SSA_XAUUSD!$P$2:$P$1000,"",0)</f>
        <v>4807.9019200000002</v>
      </c>
      <c r="O715">
        <f>_xlfn.XLOOKUP($A715,ALGLIB_SSA_XAUUSD!$J$2:$J$1000,ALGLIB_SSA_XAUUSD!$Q$2:$Q$1000,"",0)</f>
        <v>4795.6105699999998</v>
      </c>
      <c r="R715">
        <f t="shared" si="121"/>
        <v>1775611500</v>
      </c>
      <c r="S715" t="str">
        <f t="shared" si="122"/>
        <v>XAUUSD</v>
      </c>
      <c r="T715" t="str">
        <f t="shared" si="123"/>
        <v>M5</v>
      </c>
      <c r="U715">
        <f t="shared" si="124"/>
        <v>4794.28</v>
      </c>
      <c r="V715">
        <v>4821.7206200000001</v>
      </c>
      <c r="W715">
        <v>4808.8870999999999</v>
      </c>
      <c r="X715">
        <v>4800.83907</v>
      </c>
      <c r="Y715">
        <v>4803.8195500000002</v>
      </c>
      <c r="Z715">
        <f t="shared" si="125"/>
        <v>4837.6190233333327</v>
      </c>
      <c r="AA715">
        <f t="shared" si="126"/>
        <v>4807.9019200000002</v>
      </c>
      <c r="AB715">
        <f t="shared" si="127"/>
        <v>4799.9842474999996</v>
      </c>
      <c r="AC715">
        <f t="shared" si="128"/>
        <v>4795.6105699999998</v>
      </c>
      <c r="AF715">
        <f t="shared" si="129"/>
        <v>4800.83907</v>
      </c>
      <c r="AG715">
        <f t="shared" si="130"/>
        <v>4837.6190233333327</v>
      </c>
      <c r="AH715">
        <f t="shared" si="131"/>
        <v>4799.9842474999996</v>
      </c>
    </row>
    <row r="716" spans="1:34" x14ac:dyDescent="0.55000000000000004">
      <c r="A716">
        <f>ALGLIB_SSA_XAUUSD!J716</f>
        <v>1775611800</v>
      </c>
      <c r="B716" t="str">
        <f>_xlfn.XLOOKUP($A716,ALGLIB_SSA_XAUUSD!$A$2:$A$1000,ALGLIB_SSA_XAUUSD!$B$2:$B$1000,"",0)</f>
        <v/>
      </c>
      <c r="C716" t="str">
        <f>_xlfn.XLOOKUP($A716,ALGLIB_SSA_XAUUSD!$A$2:$A$1000,ALGLIB_SSA_XAUUSD!$C$2:$C$1000,"",0)</f>
        <v/>
      </c>
      <c r="D716" s="1">
        <f>D710+(D722-D710)*6/12</f>
        <v>4807.2299999999996</v>
      </c>
      <c r="E716" s="1">
        <f>E710+(E722-E710)*6/12</f>
        <v>4822.0135499999997</v>
      </c>
      <c r="F716" s="1">
        <f>F710+(F722-F710)*6/12</f>
        <v>4809.6704750000008</v>
      </c>
      <c r="G716" s="1">
        <f>G710+(G722-G710)*6/12</f>
        <v>4837.8852499999994</v>
      </c>
      <c r="H716" s="1">
        <f>H710+(H722-H710)*6/12</f>
        <v>4800.7789849999999</v>
      </c>
      <c r="I716" t="str">
        <f>_xlfn.XLOOKUP($A716,ALGLIB_SSA_XAUUSD!$J$2:$J$1000,ALGLIB_SSA_XAUUSD!$K$2:$K$1000,"",0)</f>
        <v>XAUUSD</v>
      </c>
      <c r="J716" t="str">
        <f>_xlfn.XLOOKUP($A716,ALGLIB_SSA_XAUUSD!$J$2:$J$1000,ALGLIB_SSA_XAUUSD!$L$2:$L$1000,"",0)</f>
        <v>M5</v>
      </c>
      <c r="K716">
        <f>_xlfn.XLOOKUP($A716,ALGLIB_SSA_XAUUSD!$J$2:$J$1000,ALGLIB_SSA_XAUUSD!$M$2:$M$1000,"",0)</f>
        <v>4799.51</v>
      </c>
      <c r="L716">
        <f>_xlfn.XLOOKUP($A716,ALGLIB_SSA_XAUUSD!$J$2:$J$1000,ALGLIB_SSA_XAUUSD!$N$2:$N$1000,"",0)</f>
        <v>4799.5351899999996</v>
      </c>
      <c r="M716">
        <f>_xlfn.XLOOKUP($A716,ALGLIB_SSA_XAUUSD!$J$2:$J$1000,ALGLIB_SSA_XAUUSD!$O$2:$O$1000,"",0)</f>
        <v>4801.6773700000003</v>
      </c>
      <c r="N716">
        <f>_xlfn.XLOOKUP($A716,ALGLIB_SSA_XAUUSD!$J$2:$J$1000,ALGLIB_SSA_XAUUSD!$P$2:$P$1000,"",0)</f>
        <v>4805.18415</v>
      </c>
      <c r="O716">
        <f>_xlfn.XLOOKUP($A716,ALGLIB_SSA_XAUUSD!$J$2:$J$1000,ALGLIB_SSA_XAUUSD!$Q$2:$Q$1000,"",0)</f>
        <v>4794.3614799999996</v>
      </c>
      <c r="R716">
        <f t="shared" si="121"/>
        <v>1775611800</v>
      </c>
      <c r="S716" t="str">
        <f t="shared" si="122"/>
        <v>XAUUSD</v>
      </c>
      <c r="T716" t="str">
        <f t="shared" si="123"/>
        <v>M5</v>
      </c>
      <c r="U716">
        <f t="shared" si="124"/>
        <v>4799.51</v>
      </c>
      <c r="V716">
        <v>4822.0135499999997</v>
      </c>
      <c r="W716">
        <v>4809.6704799999998</v>
      </c>
      <c r="X716">
        <v>4799.5351899999996</v>
      </c>
      <c r="Y716">
        <v>4801.6773700000003</v>
      </c>
      <c r="Z716">
        <f t="shared" si="125"/>
        <v>4837.8852499999994</v>
      </c>
      <c r="AA716">
        <f t="shared" si="126"/>
        <v>4805.18415</v>
      </c>
      <c r="AB716">
        <f t="shared" si="127"/>
        <v>4800.7789849999999</v>
      </c>
      <c r="AC716">
        <f t="shared" si="128"/>
        <v>4794.3614799999996</v>
      </c>
      <c r="AF716">
        <f t="shared" si="129"/>
        <v>4799.5351899999996</v>
      </c>
      <c r="AG716">
        <f t="shared" si="130"/>
        <v>4837.8852499999994</v>
      </c>
      <c r="AH716">
        <f t="shared" si="131"/>
        <v>4800.7789849999999</v>
      </c>
    </row>
    <row r="717" spans="1:34" x14ac:dyDescent="0.55000000000000004">
      <c r="A717">
        <f>ALGLIB_SSA_XAUUSD!J717</f>
        <v>1775612100</v>
      </c>
      <c r="B717" t="str">
        <f>_xlfn.XLOOKUP($A717,ALGLIB_SSA_XAUUSD!$A$2:$A$1000,ALGLIB_SSA_XAUUSD!$B$2:$B$1000,"",0)</f>
        <v/>
      </c>
      <c r="C717" t="str">
        <f>_xlfn.XLOOKUP($A717,ALGLIB_SSA_XAUUSD!$A$2:$A$1000,ALGLIB_SSA_XAUUSD!$C$2:$C$1000,"",0)</f>
        <v/>
      </c>
      <c r="D717" s="1">
        <f>D710+(D722-D710)*7/12</f>
        <v>4806.72</v>
      </c>
      <c r="E717" s="1">
        <f>E710+(E722-E710)*7/12</f>
        <v>4822.3064816666665</v>
      </c>
      <c r="F717" s="1">
        <f>F710+(F722-F710)*7/12</f>
        <v>4810.4538458333336</v>
      </c>
      <c r="G717" s="1">
        <f>G710+(G722-G710)*7/12</f>
        <v>4838.1514766666669</v>
      </c>
      <c r="H717" s="1">
        <f>H710+(H722-H710)*7/12</f>
        <v>4801.5737225000003</v>
      </c>
      <c r="I717" t="str">
        <f>_xlfn.XLOOKUP($A717,ALGLIB_SSA_XAUUSD!$J$2:$J$1000,ALGLIB_SSA_XAUUSD!$K$2:$K$1000,"",0)</f>
        <v>XAUUSD</v>
      </c>
      <c r="J717" t="str">
        <f>_xlfn.XLOOKUP($A717,ALGLIB_SSA_XAUUSD!$J$2:$J$1000,ALGLIB_SSA_XAUUSD!$L$2:$L$1000,"",0)</f>
        <v>M5</v>
      </c>
      <c r="K717">
        <f>_xlfn.XLOOKUP($A717,ALGLIB_SSA_XAUUSD!$J$2:$J$1000,ALGLIB_SSA_XAUUSD!$M$2:$M$1000,"",0)</f>
        <v>4799.29</v>
      </c>
      <c r="L717">
        <f>_xlfn.XLOOKUP($A717,ALGLIB_SSA_XAUUSD!$J$2:$J$1000,ALGLIB_SSA_XAUUSD!$N$2:$N$1000,"",0)</f>
        <v>4799.8130899999996</v>
      </c>
      <c r="M717">
        <f>_xlfn.XLOOKUP($A717,ALGLIB_SSA_XAUUSD!$J$2:$J$1000,ALGLIB_SSA_XAUUSD!$O$2:$O$1000,"",0)</f>
        <v>4800.7452300000004</v>
      </c>
      <c r="N717">
        <f>_xlfn.XLOOKUP($A717,ALGLIB_SSA_XAUUSD!$J$2:$J$1000,ALGLIB_SSA_XAUUSD!$P$2:$P$1000,"",0)</f>
        <v>4804.2638200000001</v>
      </c>
      <c r="O717">
        <f>_xlfn.XLOOKUP($A717,ALGLIB_SSA_XAUUSD!$J$2:$J$1000,ALGLIB_SSA_XAUUSD!$Q$2:$Q$1000,"",0)</f>
        <v>4794.82528</v>
      </c>
      <c r="R717">
        <f t="shared" si="121"/>
        <v>1775612100</v>
      </c>
      <c r="S717" t="str">
        <f t="shared" si="122"/>
        <v>XAUUSD</v>
      </c>
      <c r="T717" t="str">
        <f t="shared" si="123"/>
        <v>M5</v>
      </c>
      <c r="U717">
        <f t="shared" si="124"/>
        <v>4799.29</v>
      </c>
      <c r="V717">
        <v>4822.3064800000002</v>
      </c>
      <c r="W717">
        <v>4810.4538499999999</v>
      </c>
      <c r="X717">
        <v>4799.8130899999996</v>
      </c>
      <c r="Y717">
        <v>4800.7452300000004</v>
      </c>
      <c r="Z717">
        <f t="shared" si="125"/>
        <v>4838.1514766666669</v>
      </c>
      <c r="AA717">
        <f t="shared" si="126"/>
        <v>4804.2638200000001</v>
      </c>
      <c r="AB717">
        <f t="shared" si="127"/>
        <v>4801.5737225000003</v>
      </c>
      <c r="AC717">
        <f t="shared" si="128"/>
        <v>4794.82528</v>
      </c>
      <c r="AF717">
        <f t="shared" si="129"/>
        <v>4799.8130899999996</v>
      </c>
      <c r="AG717">
        <f t="shared" si="130"/>
        <v>4838.1514766666669</v>
      </c>
      <c r="AH717">
        <f t="shared" si="131"/>
        <v>4801.5737225000003</v>
      </c>
    </row>
    <row r="718" spans="1:34" x14ac:dyDescent="0.55000000000000004">
      <c r="A718">
        <f>ALGLIB_SSA_XAUUSD!J718</f>
        <v>1775612400</v>
      </c>
      <c r="B718" t="str">
        <f>_xlfn.XLOOKUP($A718,ALGLIB_SSA_XAUUSD!$A$2:$A$1000,ALGLIB_SSA_XAUUSD!$B$2:$B$1000,"",0)</f>
        <v/>
      </c>
      <c r="C718" t="str">
        <f>_xlfn.XLOOKUP($A718,ALGLIB_SSA_XAUUSD!$A$2:$A$1000,ALGLIB_SSA_XAUUSD!$C$2:$C$1000,"",0)</f>
        <v/>
      </c>
      <c r="D718" s="1">
        <f>D710+(D722-D710)*8/12</f>
        <v>4806.21</v>
      </c>
      <c r="E718" s="1">
        <f>E710+(E722-E710)*8/12</f>
        <v>4822.5994133333334</v>
      </c>
      <c r="F718" s="1">
        <f>F710+(F722-F710)*8/12</f>
        <v>4811.2372166666673</v>
      </c>
      <c r="G718" s="1">
        <f>G710+(G722-G710)*8/12</f>
        <v>4838.4177033333335</v>
      </c>
      <c r="H718" s="1">
        <f>H710+(H722-H710)*8/12</f>
        <v>4802.3684599999997</v>
      </c>
      <c r="I718" t="str">
        <f>_xlfn.XLOOKUP($A718,ALGLIB_SSA_XAUUSD!$J$2:$J$1000,ALGLIB_SSA_XAUUSD!$K$2:$K$1000,"",0)</f>
        <v>XAUUSD</v>
      </c>
      <c r="J718" t="str">
        <f>_xlfn.XLOOKUP($A718,ALGLIB_SSA_XAUUSD!$J$2:$J$1000,ALGLIB_SSA_XAUUSD!$L$2:$L$1000,"",0)</f>
        <v>M5</v>
      </c>
      <c r="K718">
        <f>_xlfn.XLOOKUP($A718,ALGLIB_SSA_XAUUSD!$J$2:$J$1000,ALGLIB_SSA_XAUUSD!$M$2:$M$1000,"",0)</f>
        <v>4800.22</v>
      </c>
      <c r="L718">
        <f>_xlfn.XLOOKUP($A718,ALGLIB_SSA_XAUUSD!$J$2:$J$1000,ALGLIB_SSA_XAUUSD!$N$2:$N$1000,"",0)</f>
        <v>4801.6087399999997</v>
      </c>
      <c r="M718">
        <f>_xlfn.XLOOKUP($A718,ALGLIB_SSA_XAUUSD!$J$2:$J$1000,ALGLIB_SSA_XAUUSD!$O$2:$O$1000,"",0)</f>
        <v>4801.1769800000002</v>
      </c>
      <c r="N718">
        <f>_xlfn.XLOOKUP($A718,ALGLIB_SSA_XAUUSD!$J$2:$J$1000,ALGLIB_SSA_XAUUSD!$P$2:$P$1000,"",0)</f>
        <v>4805.1339500000004</v>
      </c>
      <c r="O718">
        <f>_xlfn.XLOOKUP($A718,ALGLIB_SSA_XAUUSD!$J$2:$J$1000,ALGLIB_SSA_XAUUSD!$Q$2:$Q$1000,"",0)</f>
        <v>4796.7540099999997</v>
      </c>
      <c r="R718">
        <f t="shared" si="121"/>
        <v>1775612400</v>
      </c>
      <c r="S718" t="str">
        <f t="shared" si="122"/>
        <v>XAUUSD</v>
      </c>
      <c r="T718" t="str">
        <f t="shared" si="123"/>
        <v>M5</v>
      </c>
      <c r="U718">
        <f t="shared" si="124"/>
        <v>4800.22</v>
      </c>
      <c r="V718">
        <v>4822.5994099999998</v>
      </c>
      <c r="W718">
        <v>4811.23722</v>
      </c>
      <c r="X718">
        <v>4801.6087399999997</v>
      </c>
      <c r="Y718">
        <v>4801.1769800000002</v>
      </c>
      <c r="Z718">
        <f t="shared" si="125"/>
        <v>4838.4177033333335</v>
      </c>
      <c r="AA718">
        <f t="shared" si="126"/>
        <v>4805.1339500000004</v>
      </c>
      <c r="AB718">
        <f t="shared" si="127"/>
        <v>4802.3684599999997</v>
      </c>
      <c r="AC718">
        <f t="shared" si="128"/>
        <v>4796.7540099999997</v>
      </c>
      <c r="AF718">
        <f t="shared" si="129"/>
        <v>4801.6087399999997</v>
      </c>
      <c r="AG718">
        <f t="shared" si="130"/>
        <v>4838.4177033333335</v>
      </c>
      <c r="AH718">
        <f t="shared" si="131"/>
        <v>4802.3684599999997</v>
      </c>
    </row>
    <row r="719" spans="1:34" x14ac:dyDescent="0.55000000000000004">
      <c r="A719">
        <f>ALGLIB_SSA_XAUUSD!J719</f>
        <v>1775612700</v>
      </c>
      <c r="B719" t="str">
        <f>_xlfn.XLOOKUP($A719,ALGLIB_SSA_XAUUSD!$A$2:$A$1000,ALGLIB_SSA_XAUUSD!$B$2:$B$1000,"",0)</f>
        <v/>
      </c>
      <c r="C719" t="str">
        <f>_xlfn.XLOOKUP($A719,ALGLIB_SSA_XAUUSD!$A$2:$A$1000,ALGLIB_SSA_XAUUSD!$C$2:$C$1000,"",0)</f>
        <v/>
      </c>
      <c r="D719" s="1">
        <f>D710+(D722-D710)*9/12</f>
        <v>4805.7</v>
      </c>
      <c r="E719" s="1">
        <f>E710+(E722-E710)*9/12</f>
        <v>4822.8923450000002</v>
      </c>
      <c r="F719" s="1">
        <f>F710+(F722-F710)*9/12</f>
        <v>4812.0205875000001</v>
      </c>
      <c r="G719" s="1">
        <f>G710+(G722-G710)*9/12</f>
        <v>4838.6839300000001</v>
      </c>
      <c r="H719" s="1">
        <f>H710+(H722-H710)*9/12</f>
        <v>4803.1631975</v>
      </c>
      <c r="I719" t="str">
        <f>_xlfn.XLOOKUP($A719,ALGLIB_SSA_XAUUSD!$J$2:$J$1000,ALGLIB_SSA_XAUUSD!$K$2:$K$1000,"",0)</f>
        <v>XAUUSD</v>
      </c>
      <c r="J719" t="str">
        <f>_xlfn.XLOOKUP($A719,ALGLIB_SSA_XAUUSD!$J$2:$J$1000,ALGLIB_SSA_XAUUSD!$L$2:$L$1000,"",0)</f>
        <v>M5</v>
      </c>
      <c r="K719">
        <f>_xlfn.XLOOKUP($A719,ALGLIB_SSA_XAUUSD!$J$2:$J$1000,ALGLIB_SSA_XAUUSD!$M$2:$M$1000,"",0)</f>
        <v>4808.3900000000003</v>
      </c>
      <c r="L719">
        <f>_xlfn.XLOOKUP($A719,ALGLIB_SSA_XAUUSD!$J$2:$J$1000,ALGLIB_SSA_XAUUSD!$N$2:$N$1000,"",0)</f>
        <v>4804.5413500000004</v>
      </c>
      <c r="M719">
        <f>_xlfn.XLOOKUP($A719,ALGLIB_SSA_XAUUSD!$J$2:$J$1000,ALGLIB_SSA_XAUUSD!$O$2:$O$1000,"",0)</f>
        <v>4802.8591699999997</v>
      </c>
      <c r="N719">
        <f>_xlfn.XLOOKUP($A719,ALGLIB_SSA_XAUUSD!$J$2:$J$1000,ALGLIB_SSA_XAUUSD!$P$2:$P$1000,"",0)</f>
        <v>4807.5452599999999</v>
      </c>
      <c r="O719">
        <f>_xlfn.XLOOKUP($A719,ALGLIB_SSA_XAUUSD!$J$2:$J$1000,ALGLIB_SSA_XAUUSD!$Q$2:$Q$1000,"",0)</f>
        <v>4799.8923400000003</v>
      </c>
      <c r="R719">
        <f t="shared" si="121"/>
        <v>1775612700</v>
      </c>
      <c r="S719" t="str">
        <f t="shared" si="122"/>
        <v>XAUUSD</v>
      </c>
      <c r="T719" t="str">
        <f t="shared" si="123"/>
        <v>M5</v>
      </c>
      <c r="U719">
        <f t="shared" si="124"/>
        <v>4808.3900000000003</v>
      </c>
      <c r="V719">
        <v>4822.8923500000001</v>
      </c>
      <c r="W719">
        <v>4812.0205900000001</v>
      </c>
      <c r="X719">
        <v>4804.5413500000004</v>
      </c>
      <c r="Y719">
        <v>4802.8591699999997</v>
      </c>
      <c r="Z719">
        <f t="shared" si="125"/>
        <v>4838.6839300000001</v>
      </c>
      <c r="AA719">
        <f t="shared" si="126"/>
        <v>4807.5452599999999</v>
      </c>
      <c r="AB719">
        <f t="shared" si="127"/>
        <v>4803.1631975</v>
      </c>
      <c r="AC719">
        <f t="shared" si="128"/>
        <v>4799.8923400000003</v>
      </c>
      <c r="AF719">
        <f t="shared" si="129"/>
        <v>4804.5413500000004</v>
      </c>
      <c r="AG719">
        <f t="shared" si="130"/>
        <v>4838.6839300000001</v>
      </c>
      <c r="AH719">
        <f t="shared" si="131"/>
        <v>4803.1631975</v>
      </c>
    </row>
    <row r="720" spans="1:34" x14ac:dyDescent="0.55000000000000004">
      <c r="A720">
        <f>ALGLIB_SSA_XAUUSD!J720</f>
        <v>1775613000</v>
      </c>
      <c r="B720" t="str">
        <f>_xlfn.XLOOKUP($A720,ALGLIB_SSA_XAUUSD!$A$2:$A$1000,ALGLIB_SSA_XAUUSD!$B$2:$B$1000,"",0)</f>
        <v/>
      </c>
      <c r="C720" t="str">
        <f>_xlfn.XLOOKUP($A720,ALGLIB_SSA_XAUUSD!$A$2:$A$1000,ALGLIB_SSA_XAUUSD!$C$2:$C$1000,"",0)</f>
        <v/>
      </c>
      <c r="D720" s="1">
        <f>D710+(D722-D710)*10/12</f>
        <v>4805.1900000000005</v>
      </c>
      <c r="E720" s="1">
        <f>E710+(E722-E710)*10/12</f>
        <v>4823.1852766666671</v>
      </c>
      <c r="F720" s="1">
        <f>F710+(F722-F710)*10/12</f>
        <v>4812.8039583333339</v>
      </c>
      <c r="G720" s="1">
        <f>G710+(G722-G710)*10/12</f>
        <v>4838.9501566666668</v>
      </c>
      <c r="H720" s="1">
        <f>H710+(H722-H710)*10/12</f>
        <v>4803.9579350000004</v>
      </c>
      <c r="I720" t="str">
        <f>_xlfn.XLOOKUP($A720,ALGLIB_SSA_XAUUSD!$J$2:$J$1000,ALGLIB_SSA_XAUUSD!$K$2:$K$1000,"",0)</f>
        <v>XAUUSD</v>
      </c>
      <c r="J720" t="str">
        <f>_xlfn.XLOOKUP($A720,ALGLIB_SSA_XAUUSD!$J$2:$J$1000,ALGLIB_SSA_XAUUSD!$L$2:$L$1000,"",0)</f>
        <v>M5</v>
      </c>
      <c r="K720">
        <f>_xlfn.XLOOKUP($A720,ALGLIB_SSA_XAUUSD!$J$2:$J$1000,ALGLIB_SSA_XAUUSD!$M$2:$M$1000,"",0)</f>
        <v>4809.57</v>
      </c>
      <c r="L720">
        <f>_xlfn.XLOOKUP($A720,ALGLIB_SSA_XAUUSD!$J$2:$J$1000,ALGLIB_SSA_XAUUSD!$N$2:$N$1000,"",0)</f>
        <v>4807.8756100000001</v>
      </c>
      <c r="M720">
        <f>_xlfn.XLOOKUP($A720,ALGLIB_SSA_XAUUSD!$J$2:$J$1000,ALGLIB_SSA_XAUUSD!$O$2:$O$1000,"",0)</f>
        <v>4805.3673900000003</v>
      </c>
      <c r="N720">
        <f>_xlfn.XLOOKUP($A720,ALGLIB_SSA_XAUUSD!$J$2:$J$1000,ALGLIB_SSA_XAUUSD!$P$2:$P$1000,"",0)</f>
        <v>4810.8199100000002</v>
      </c>
      <c r="O720">
        <f>_xlfn.XLOOKUP($A720,ALGLIB_SSA_XAUUSD!$J$2:$J$1000,ALGLIB_SSA_XAUUSD!$Q$2:$Q$1000,"",0)</f>
        <v>4803.7043599999997</v>
      </c>
      <c r="R720">
        <f t="shared" si="121"/>
        <v>1775613000</v>
      </c>
      <c r="S720" t="str">
        <f t="shared" si="122"/>
        <v>XAUUSD</v>
      </c>
      <c r="T720" t="str">
        <f t="shared" si="123"/>
        <v>M5</v>
      </c>
      <c r="U720">
        <f t="shared" si="124"/>
        <v>4809.57</v>
      </c>
      <c r="V720">
        <v>4823.1852799999997</v>
      </c>
      <c r="W720">
        <v>4812.8039600000002</v>
      </c>
      <c r="X720">
        <v>4807.8756100000001</v>
      </c>
      <c r="Y720">
        <v>4805.3673900000003</v>
      </c>
      <c r="Z720">
        <f t="shared" si="125"/>
        <v>4838.9501566666668</v>
      </c>
      <c r="AA720">
        <f t="shared" si="126"/>
        <v>4810.8199100000002</v>
      </c>
      <c r="AB720">
        <f t="shared" si="127"/>
        <v>4803.9579350000004</v>
      </c>
      <c r="AC720">
        <f t="shared" si="128"/>
        <v>4803.7043599999997</v>
      </c>
      <c r="AF720">
        <f t="shared" si="129"/>
        <v>4807.8756100000001</v>
      </c>
      <c r="AG720">
        <f t="shared" si="130"/>
        <v>4838.9501566666668</v>
      </c>
      <c r="AH720">
        <f t="shared" si="131"/>
        <v>4803.9579350000004</v>
      </c>
    </row>
    <row r="721" spans="1:34" x14ac:dyDescent="0.55000000000000004">
      <c r="A721">
        <f>ALGLIB_SSA_XAUUSD!J721</f>
        <v>1775613300</v>
      </c>
      <c r="B721" t="str">
        <f>_xlfn.XLOOKUP($A721,ALGLIB_SSA_XAUUSD!$A$2:$A$1000,ALGLIB_SSA_XAUUSD!$B$2:$B$1000,"",0)</f>
        <v/>
      </c>
      <c r="C721" t="str">
        <f>_xlfn.XLOOKUP($A721,ALGLIB_SSA_XAUUSD!$A$2:$A$1000,ALGLIB_SSA_XAUUSD!$C$2:$C$1000,"",0)</f>
        <v/>
      </c>
      <c r="D721" s="1">
        <f>D710+(D722-D710)*11/12</f>
        <v>4804.68</v>
      </c>
      <c r="E721" s="1">
        <f>E710+(E722-E710)*11/12</f>
        <v>4823.478208333333</v>
      </c>
      <c r="F721" s="1">
        <f>F710+(F722-F710)*11/12</f>
        <v>4813.5873291666667</v>
      </c>
      <c r="G721" s="1">
        <f>G710+(G722-G710)*11/12</f>
        <v>4839.2163833333334</v>
      </c>
      <c r="H721" s="1">
        <f>H710+(H722-H710)*11/12</f>
        <v>4804.7526724999998</v>
      </c>
      <c r="I721" t="str">
        <f>_xlfn.XLOOKUP($A721,ALGLIB_SSA_XAUUSD!$J$2:$J$1000,ALGLIB_SSA_XAUUSD!$K$2:$K$1000,"",0)</f>
        <v>XAUUSD</v>
      </c>
      <c r="J721" t="str">
        <f>_xlfn.XLOOKUP($A721,ALGLIB_SSA_XAUUSD!$J$2:$J$1000,ALGLIB_SSA_XAUUSD!$L$2:$L$1000,"",0)</f>
        <v>M5</v>
      </c>
      <c r="K721">
        <f>_xlfn.XLOOKUP($A721,ALGLIB_SSA_XAUUSD!$J$2:$J$1000,ALGLIB_SSA_XAUUSD!$M$2:$M$1000,"",0)</f>
        <v>4810.29</v>
      </c>
      <c r="L721">
        <f>_xlfn.XLOOKUP($A721,ALGLIB_SSA_XAUUSD!$J$2:$J$1000,ALGLIB_SSA_XAUUSD!$N$2:$N$1000,"",0)</f>
        <v>4811.0448100000003</v>
      </c>
      <c r="M721">
        <f>_xlfn.XLOOKUP($A721,ALGLIB_SSA_XAUUSD!$J$2:$J$1000,ALGLIB_SSA_XAUUSD!$O$2:$O$1000,"",0)</f>
        <v>4808.2061000000003</v>
      </c>
      <c r="N721">
        <f>_xlfn.XLOOKUP($A721,ALGLIB_SSA_XAUUSD!$J$2:$J$1000,ALGLIB_SSA_XAUUSD!$P$2:$P$1000,"",0)</f>
        <v>4814.1463800000001</v>
      </c>
      <c r="O721">
        <f>_xlfn.XLOOKUP($A721,ALGLIB_SSA_XAUUSD!$J$2:$J$1000,ALGLIB_SSA_XAUUSD!$Q$2:$Q$1000,"",0)</f>
        <v>4807.3840700000001</v>
      </c>
      <c r="R721">
        <f t="shared" si="121"/>
        <v>1775613300</v>
      </c>
      <c r="S721" t="str">
        <f t="shared" si="122"/>
        <v>XAUUSD</v>
      </c>
      <c r="T721" t="str">
        <f t="shared" si="123"/>
        <v>M5</v>
      </c>
      <c r="U721">
        <f t="shared" si="124"/>
        <v>4810.29</v>
      </c>
      <c r="V721">
        <v>4823.4782100000002</v>
      </c>
      <c r="W721">
        <v>4813.5873300000003</v>
      </c>
      <c r="X721">
        <v>4811.0448100000003</v>
      </c>
      <c r="Y721">
        <v>4808.2061000000003</v>
      </c>
      <c r="Z721">
        <f t="shared" si="125"/>
        <v>4839.2163833333334</v>
      </c>
      <c r="AA721">
        <f t="shared" si="126"/>
        <v>4814.1463800000001</v>
      </c>
      <c r="AB721">
        <f t="shared" si="127"/>
        <v>4804.7526724999998</v>
      </c>
      <c r="AC721">
        <f t="shared" si="128"/>
        <v>4807.3840700000001</v>
      </c>
      <c r="AF721">
        <f t="shared" si="129"/>
        <v>4811.0448100000003</v>
      </c>
      <c r="AG721">
        <f t="shared" si="130"/>
        <v>4839.2163833333334</v>
      </c>
      <c r="AH721">
        <f t="shared" si="131"/>
        <v>4804.7526724999998</v>
      </c>
    </row>
    <row r="722" spans="1:34" x14ac:dyDescent="0.55000000000000004">
      <c r="A722">
        <f>ALGLIB_SSA_XAUUSD!J722</f>
        <v>1775613600</v>
      </c>
      <c r="B722" t="str">
        <f>_xlfn.XLOOKUP($A722,ALGLIB_SSA_XAUUSD!$A$2:$A$1000,ALGLIB_SSA_XAUUSD!$B$2:$B$1000,"",0)</f>
        <v>XAUUSD</v>
      </c>
      <c r="C722" t="str">
        <f>_xlfn.XLOOKUP($A722,ALGLIB_SSA_XAUUSD!$A$2:$A$1000,ALGLIB_SSA_XAUUSD!$C$2:$C$1000,"",0)</f>
        <v>H1</v>
      </c>
      <c r="D722" s="2">
        <f>_xlfn.XLOOKUP($A722,ALGLIB_SSA_XAUUSD!$A$2:$A$1000,ALGLIB_SSA_XAUUSD!$D$2:$D$1000,"",0)</f>
        <v>4804.17</v>
      </c>
      <c r="E722" s="2">
        <f>_xlfn.XLOOKUP($A722,ALGLIB_SSA_XAUUSD!$A$2:$A$1000,ALGLIB_SSA_XAUUSD!$E$2:$E$1000,"",0)</f>
        <v>4823.7711399999998</v>
      </c>
      <c r="F722" s="2">
        <f>_xlfn.XLOOKUP($A722,ALGLIB_SSA_XAUUSD!$A$2:$A$1000,ALGLIB_SSA_XAUUSD!$F$2:$F$1000,"",0)</f>
        <v>4814.3707000000004</v>
      </c>
      <c r="G722" s="2">
        <f>_xlfn.XLOOKUP($A722,ALGLIB_SSA_XAUUSD!$A$2:$A$1000,ALGLIB_SSA_XAUUSD!$G$2:$G$1000,"",0)</f>
        <v>4839.48261</v>
      </c>
      <c r="H722" s="2">
        <f>_xlfn.XLOOKUP($A722,ALGLIB_SSA_XAUUSD!$A$2:$A$1000,ALGLIB_SSA_XAUUSD!$H$2:$H$1000,"",0)</f>
        <v>4805.5474100000001</v>
      </c>
      <c r="I722" t="str">
        <f>_xlfn.XLOOKUP($A722,ALGLIB_SSA_XAUUSD!$J$2:$J$1000,ALGLIB_SSA_XAUUSD!$K$2:$K$1000,"",0)</f>
        <v>XAUUSD</v>
      </c>
      <c r="J722" t="str">
        <f>_xlfn.XLOOKUP($A722,ALGLIB_SSA_XAUUSD!$J$2:$J$1000,ALGLIB_SSA_XAUUSD!$L$2:$L$1000,"",0)</f>
        <v>M5</v>
      </c>
      <c r="K722">
        <f>_xlfn.XLOOKUP($A722,ALGLIB_SSA_XAUUSD!$J$2:$J$1000,ALGLIB_SSA_XAUUSD!$M$2:$M$1000,"",0)</f>
        <v>4817.1499999999996</v>
      </c>
      <c r="L722">
        <f>_xlfn.XLOOKUP($A722,ALGLIB_SSA_XAUUSD!$J$2:$J$1000,ALGLIB_SSA_XAUUSD!$N$2:$N$1000,"",0)</f>
        <v>4813.5753999999997</v>
      </c>
      <c r="M722">
        <f>_xlfn.XLOOKUP($A722,ALGLIB_SSA_XAUUSD!$J$2:$J$1000,ALGLIB_SSA_XAUUSD!$O$2:$O$1000,"",0)</f>
        <v>4810.8907499999996</v>
      </c>
      <c r="N722">
        <f>_xlfn.XLOOKUP($A722,ALGLIB_SSA_XAUUSD!$J$2:$J$1000,ALGLIB_SSA_XAUUSD!$P$2:$P$1000,"",0)</f>
        <v>4816.9993199999999</v>
      </c>
      <c r="O722">
        <f>_xlfn.XLOOKUP($A722,ALGLIB_SSA_XAUUSD!$J$2:$J$1000,ALGLIB_SSA_XAUUSD!$Q$2:$Q$1000,"",0)</f>
        <v>4810.45957</v>
      </c>
      <c r="R722">
        <f t="shared" si="121"/>
        <v>1775613600</v>
      </c>
      <c r="S722" t="str">
        <f t="shared" si="122"/>
        <v>XAUUSD</v>
      </c>
      <c r="T722" t="str">
        <f t="shared" si="123"/>
        <v>M5</v>
      </c>
      <c r="U722">
        <f t="shared" si="124"/>
        <v>4817.1499999999996</v>
      </c>
      <c r="V722">
        <v>4823.7711399999998</v>
      </c>
      <c r="W722">
        <v>4814.3707000000004</v>
      </c>
      <c r="X722">
        <v>4813.5753999999997</v>
      </c>
      <c r="Y722">
        <v>4810.8907499999996</v>
      </c>
      <c r="Z722">
        <f t="shared" si="125"/>
        <v>4839.48261</v>
      </c>
      <c r="AA722">
        <f t="shared" si="126"/>
        <v>4816.9993199999999</v>
      </c>
      <c r="AB722">
        <f t="shared" si="127"/>
        <v>4805.5474100000001</v>
      </c>
      <c r="AC722">
        <f t="shared" si="128"/>
        <v>4810.45957</v>
      </c>
      <c r="AF722">
        <f t="shared" si="129"/>
        <v>4813.5753999999997</v>
      </c>
      <c r="AG722">
        <f t="shared" si="130"/>
        <v>4839.48261</v>
      </c>
      <c r="AH722">
        <f t="shared" si="131"/>
        <v>4805.5474100000001</v>
      </c>
    </row>
    <row r="723" spans="1:34" x14ac:dyDescent="0.55000000000000004">
      <c r="A723">
        <f>ALGLIB_SSA_XAUUSD!J723</f>
        <v>1775613900</v>
      </c>
      <c r="B723" t="str">
        <f>_xlfn.XLOOKUP($A723,ALGLIB_SSA_XAUUSD!$A$2:$A$1000,ALGLIB_SSA_XAUUSD!$B$2:$B$1000,"",0)</f>
        <v/>
      </c>
      <c r="C723" t="str">
        <f>_xlfn.XLOOKUP($A723,ALGLIB_SSA_XAUUSD!$A$2:$A$1000,ALGLIB_SSA_XAUUSD!$C$2:$C$1000,"",0)</f>
        <v/>
      </c>
      <c r="D723" s="1">
        <f>D722+(D734-D722)*1/12</f>
        <v>4803.6416666666664</v>
      </c>
      <c r="E723" s="1">
        <f>E722+(E734-E722)*1/12</f>
        <v>4823.6505900000002</v>
      </c>
      <c r="F723" s="1">
        <f>F722+(F734-F722)*1/12</f>
        <v>4814.7021100000002</v>
      </c>
      <c r="G723" s="1">
        <f>G722+(G734-G722)*1/12</f>
        <v>4839.2879883333335</v>
      </c>
      <c r="H723" s="1">
        <f>H722+(H734-H722)*1/12</f>
        <v>4805.8829658333334</v>
      </c>
      <c r="I723" t="str">
        <f>_xlfn.XLOOKUP($A723,ALGLIB_SSA_XAUUSD!$J$2:$J$1000,ALGLIB_SSA_XAUUSD!$K$2:$K$1000,"",0)</f>
        <v>XAUUSD</v>
      </c>
      <c r="J723" t="str">
        <f>_xlfn.XLOOKUP($A723,ALGLIB_SSA_XAUUSD!$J$2:$J$1000,ALGLIB_SSA_XAUUSD!$L$2:$L$1000,"",0)</f>
        <v>M5</v>
      </c>
      <c r="K723">
        <f>_xlfn.XLOOKUP($A723,ALGLIB_SSA_XAUUSD!$J$2:$J$1000,ALGLIB_SSA_XAUUSD!$M$2:$M$1000,"",0)</f>
        <v>4816.32</v>
      </c>
      <c r="L723">
        <f>_xlfn.XLOOKUP($A723,ALGLIB_SSA_XAUUSD!$J$2:$J$1000,ALGLIB_SSA_XAUUSD!$N$2:$N$1000,"",0)</f>
        <v>4815.0469999999996</v>
      </c>
      <c r="M723">
        <f>_xlfn.XLOOKUP($A723,ALGLIB_SSA_XAUUSD!$J$2:$J$1000,ALGLIB_SSA_XAUUSD!$O$2:$O$1000,"",0)</f>
        <v>4812.9688800000004</v>
      </c>
      <c r="N723">
        <f>_xlfn.XLOOKUP($A723,ALGLIB_SSA_XAUUSD!$J$2:$J$1000,ALGLIB_SSA_XAUUSD!$P$2:$P$1000,"",0)</f>
        <v>4818.6854000000003</v>
      </c>
      <c r="O723">
        <f>_xlfn.XLOOKUP($A723,ALGLIB_SSA_XAUUSD!$J$2:$J$1000,ALGLIB_SSA_XAUUSD!$Q$2:$Q$1000,"",0)</f>
        <v>4812.5330800000002</v>
      </c>
      <c r="R723">
        <f t="shared" si="121"/>
        <v>1775613900</v>
      </c>
      <c r="S723" t="str">
        <f t="shared" si="122"/>
        <v>XAUUSD</v>
      </c>
      <c r="T723" t="str">
        <f t="shared" si="123"/>
        <v>M5</v>
      </c>
      <c r="U723">
        <f t="shared" si="124"/>
        <v>4816.32</v>
      </c>
      <c r="V723">
        <v>4823.6505900000002</v>
      </c>
      <c r="W723">
        <v>4814.7021100000002</v>
      </c>
      <c r="X723">
        <v>4815.0469999999996</v>
      </c>
      <c r="Y723">
        <v>4812.9688800000004</v>
      </c>
      <c r="Z723">
        <f t="shared" si="125"/>
        <v>4839.2879883333335</v>
      </c>
      <c r="AA723">
        <f t="shared" si="126"/>
        <v>4818.6854000000003</v>
      </c>
      <c r="AB723">
        <f t="shared" si="127"/>
        <v>4805.8829658333334</v>
      </c>
      <c r="AC723">
        <f t="shared" si="128"/>
        <v>4812.5330800000002</v>
      </c>
      <c r="AF723">
        <f t="shared" si="129"/>
        <v>4815.0469999999996</v>
      </c>
      <c r="AG723">
        <f t="shared" si="130"/>
        <v>4839.2879883333335</v>
      </c>
      <c r="AH723">
        <f t="shared" si="131"/>
        <v>4805.8829658333334</v>
      </c>
    </row>
    <row r="724" spans="1:34" x14ac:dyDescent="0.55000000000000004">
      <c r="A724">
        <f>ALGLIB_SSA_XAUUSD!J724</f>
        <v>1775614200</v>
      </c>
      <c r="B724" t="str">
        <f>_xlfn.XLOOKUP($A724,ALGLIB_SSA_XAUUSD!$A$2:$A$1000,ALGLIB_SSA_XAUUSD!$B$2:$B$1000,"",0)</f>
        <v/>
      </c>
      <c r="C724" t="str">
        <f>_xlfn.XLOOKUP($A724,ALGLIB_SSA_XAUUSD!$A$2:$A$1000,ALGLIB_SSA_XAUUSD!$C$2:$C$1000,"",0)</f>
        <v/>
      </c>
      <c r="D724" s="1">
        <f>D722+(D734-D722)*2/12</f>
        <v>4803.1133333333337</v>
      </c>
      <c r="E724" s="1">
        <f>E722+(E734-E722)*2/12</f>
        <v>4823.5300399999996</v>
      </c>
      <c r="F724" s="1">
        <f>F722+(F734-F722)*2/12</f>
        <v>4815.03352</v>
      </c>
      <c r="G724" s="1">
        <f>G722+(G734-G722)*2/12</f>
        <v>4839.093366666667</v>
      </c>
      <c r="H724" s="1">
        <f>H722+(H734-H722)*2/12</f>
        <v>4806.2185216666667</v>
      </c>
      <c r="I724" t="str">
        <f>_xlfn.XLOOKUP($A724,ALGLIB_SSA_XAUUSD!$J$2:$J$1000,ALGLIB_SSA_XAUUSD!$K$2:$K$1000,"",0)</f>
        <v>XAUUSD</v>
      </c>
      <c r="J724" t="str">
        <f>_xlfn.XLOOKUP($A724,ALGLIB_SSA_XAUUSD!$J$2:$J$1000,ALGLIB_SSA_XAUUSD!$L$2:$L$1000,"",0)</f>
        <v>M5</v>
      </c>
      <c r="K724">
        <f>_xlfn.XLOOKUP($A724,ALGLIB_SSA_XAUUSD!$J$2:$J$1000,ALGLIB_SSA_XAUUSD!$M$2:$M$1000,"",0)</f>
        <v>4813.8599999999997</v>
      </c>
      <c r="L724">
        <f>_xlfn.XLOOKUP($A724,ALGLIB_SSA_XAUUSD!$J$2:$J$1000,ALGLIB_SSA_XAUUSD!$N$2:$N$1000,"",0)</f>
        <v>4815.44416</v>
      </c>
      <c r="M724">
        <f>_xlfn.XLOOKUP($A724,ALGLIB_SSA_XAUUSD!$J$2:$J$1000,ALGLIB_SSA_XAUUSD!$O$2:$O$1000,"",0)</f>
        <v>4814.2065199999997</v>
      </c>
      <c r="N724">
        <f>_xlfn.XLOOKUP($A724,ALGLIB_SSA_XAUUSD!$J$2:$J$1000,ALGLIB_SSA_XAUUSD!$P$2:$P$1000,"",0)</f>
        <v>4819.26595</v>
      </c>
      <c r="O724">
        <f>_xlfn.XLOOKUP($A724,ALGLIB_SSA_XAUUSD!$J$2:$J$1000,ALGLIB_SSA_XAUUSD!$Q$2:$Q$1000,"",0)</f>
        <v>4813.3837100000001</v>
      </c>
      <c r="R724">
        <f t="shared" si="121"/>
        <v>1775614200</v>
      </c>
      <c r="S724" t="str">
        <f t="shared" si="122"/>
        <v>XAUUSD</v>
      </c>
      <c r="T724" t="str">
        <f t="shared" si="123"/>
        <v>M5</v>
      </c>
      <c r="U724">
        <f t="shared" si="124"/>
        <v>4813.8599999999997</v>
      </c>
      <c r="V724">
        <v>4823.5300399999996</v>
      </c>
      <c r="W724">
        <v>4815.03352</v>
      </c>
      <c r="X724">
        <v>4815.44416</v>
      </c>
      <c r="Y724">
        <v>4814.2065199999997</v>
      </c>
      <c r="Z724">
        <f t="shared" si="125"/>
        <v>4839.093366666667</v>
      </c>
      <c r="AA724">
        <f t="shared" si="126"/>
        <v>4819.26595</v>
      </c>
      <c r="AB724">
        <f t="shared" si="127"/>
        <v>4806.2185216666667</v>
      </c>
      <c r="AC724">
        <f t="shared" si="128"/>
        <v>4813.3837100000001</v>
      </c>
      <c r="AF724">
        <f t="shared" si="129"/>
        <v>4815.44416</v>
      </c>
      <c r="AG724">
        <f t="shared" si="130"/>
        <v>4839.093366666667</v>
      </c>
      <c r="AH724">
        <f t="shared" si="131"/>
        <v>4806.2185216666667</v>
      </c>
    </row>
    <row r="725" spans="1:34" x14ac:dyDescent="0.55000000000000004">
      <c r="A725">
        <f>ALGLIB_SSA_XAUUSD!J725</f>
        <v>1775614500</v>
      </c>
      <c r="B725" t="str">
        <f>_xlfn.XLOOKUP($A725,ALGLIB_SSA_XAUUSD!$A$2:$A$1000,ALGLIB_SSA_XAUUSD!$B$2:$B$1000,"",0)</f>
        <v/>
      </c>
      <c r="C725" t="str">
        <f>_xlfn.XLOOKUP($A725,ALGLIB_SSA_XAUUSD!$A$2:$A$1000,ALGLIB_SSA_XAUUSD!$C$2:$C$1000,"",0)</f>
        <v/>
      </c>
      <c r="D725" s="1">
        <f>D722+(D734-D722)*3/12</f>
        <v>4802.585</v>
      </c>
      <c r="E725" s="1">
        <f>E722+(E734-E722)*3/12</f>
        <v>4823.40949</v>
      </c>
      <c r="F725" s="1">
        <f>F722+(F734-F722)*3/12</f>
        <v>4815.3649299999997</v>
      </c>
      <c r="G725" s="1">
        <f>G722+(G734-G722)*3/12</f>
        <v>4838.8987450000004</v>
      </c>
      <c r="H725" s="1">
        <f>H722+(H734-H722)*3/12</f>
        <v>4806.5540774999999</v>
      </c>
      <c r="I725" t="str">
        <f>_xlfn.XLOOKUP($A725,ALGLIB_SSA_XAUUSD!$J$2:$J$1000,ALGLIB_SSA_XAUUSD!$K$2:$K$1000,"",0)</f>
        <v>XAUUSD</v>
      </c>
      <c r="J725" t="str">
        <f>_xlfn.XLOOKUP($A725,ALGLIB_SSA_XAUUSD!$J$2:$J$1000,ALGLIB_SSA_XAUUSD!$L$2:$L$1000,"",0)</f>
        <v>M5</v>
      </c>
      <c r="K725">
        <f>_xlfn.XLOOKUP($A725,ALGLIB_SSA_XAUUSD!$J$2:$J$1000,ALGLIB_SSA_XAUUSD!$M$2:$M$1000,"",0)</f>
        <v>4812.3</v>
      </c>
      <c r="L725">
        <f>_xlfn.XLOOKUP($A725,ALGLIB_SSA_XAUUSD!$J$2:$J$1000,ALGLIB_SSA_XAUUSD!$N$2:$N$1000,"",0)</f>
        <v>4814.9813299999996</v>
      </c>
      <c r="M725">
        <f>_xlfn.XLOOKUP($A725,ALGLIB_SSA_XAUUSD!$J$2:$J$1000,ALGLIB_SSA_XAUUSD!$O$2:$O$1000,"",0)</f>
        <v>4814.5939200000003</v>
      </c>
      <c r="N725">
        <f>_xlfn.XLOOKUP($A725,ALGLIB_SSA_XAUUSD!$J$2:$J$1000,ALGLIB_SSA_XAUUSD!$P$2:$P$1000,"",0)</f>
        <v>4818.8755700000002</v>
      </c>
      <c r="O725">
        <f>_xlfn.XLOOKUP($A725,ALGLIB_SSA_XAUUSD!$J$2:$J$1000,ALGLIB_SSA_XAUUSD!$Q$2:$Q$1000,"",0)</f>
        <v>4813.17022</v>
      </c>
      <c r="R725">
        <f t="shared" si="121"/>
        <v>1775614500</v>
      </c>
      <c r="S725" t="str">
        <f t="shared" si="122"/>
        <v>XAUUSD</v>
      </c>
      <c r="T725" t="str">
        <f t="shared" si="123"/>
        <v>M5</v>
      </c>
      <c r="U725">
        <f t="shared" si="124"/>
        <v>4812.3</v>
      </c>
      <c r="V725">
        <v>4823.40949</v>
      </c>
      <c r="W725">
        <v>4815.3649299999997</v>
      </c>
      <c r="X725">
        <v>4814.9813299999996</v>
      </c>
      <c r="Y725">
        <v>4814.5939200000003</v>
      </c>
      <c r="Z725">
        <f t="shared" si="125"/>
        <v>4838.8987450000004</v>
      </c>
      <c r="AA725">
        <f t="shared" si="126"/>
        <v>4818.8755700000002</v>
      </c>
      <c r="AB725">
        <f t="shared" si="127"/>
        <v>4806.5540774999999</v>
      </c>
      <c r="AC725">
        <f t="shared" si="128"/>
        <v>4813.17022</v>
      </c>
      <c r="AF725">
        <f t="shared" si="129"/>
        <v>4814.9813299999996</v>
      </c>
      <c r="AG725">
        <f t="shared" si="130"/>
        <v>4838.8987450000004</v>
      </c>
      <c r="AH725">
        <f t="shared" si="131"/>
        <v>4806.5540774999999</v>
      </c>
    </row>
    <row r="726" spans="1:34" x14ac:dyDescent="0.55000000000000004">
      <c r="A726">
        <f>ALGLIB_SSA_XAUUSD!J726</f>
        <v>1775614800</v>
      </c>
      <c r="B726" t="str">
        <f>_xlfn.XLOOKUP($A726,ALGLIB_SSA_XAUUSD!$A$2:$A$1000,ALGLIB_SSA_XAUUSD!$B$2:$B$1000,"",0)</f>
        <v/>
      </c>
      <c r="C726" t="str">
        <f>_xlfn.XLOOKUP($A726,ALGLIB_SSA_XAUUSD!$A$2:$A$1000,ALGLIB_SSA_XAUUSD!$C$2:$C$1000,"",0)</f>
        <v/>
      </c>
      <c r="D726" s="1">
        <f>D722+(D734-D722)*4/12</f>
        <v>4802.0566666666664</v>
      </c>
      <c r="E726" s="1">
        <f>E722+(E734-E722)*4/12</f>
        <v>4823.2889399999995</v>
      </c>
      <c r="F726" s="1">
        <f>F722+(F734-F722)*4/12</f>
        <v>4815.6963400000004</v>
      </c>
      <c r="G726" s="1">
        <f>G722+(G734-G722)*4/12</f>
        <v>4838.704123333333</v>
      </c>
      <c r="H726" s="1">
        <f>H722+(H734-H722)*4/12</f>
        <v>4806.8896333333332</v>
      </c>
      <c r="I726" t="str">
        <f>_xlfn.XLOOKUP($A726,ALGLIB_SSA_XAUUSD!$J$2:$J$1000,ALGLIB_SSA_XAUUSD!$K$2:$K$1000,"",0)</f>
        <v>XAUUSD</v>
      </c>
      <c r="J726" t="str">
        <f>_xlfn.XLOOKUP($A726,ALGLIB_SSA_XAUUSD!$J$2:$J$1000,ALGLIB_SSA_XAUUSD!$L$2:$L$1000,"",0)</f>
        <v>M5</v>
      </c>
      <c r="K726">
        <f>_xlfn.XLOOKUP($A726,ALGLIB_SSA_XAUUSD!$J$2:$J$1000,ALGLIB_SSA_XAUUSD!$M$2:$M$1000,"",0)</f>
        <v>4809.8</v>
      </c>
      <c r="L726">
        <f>_xlfn.XLOOKUP($A726,ALGLIB_SSA_XAUUSD!$J$2:$J$1000,ALGLIB_SSA_XAUUSD!$N$2:$N$1000,"",0)</f>
        <v>4813.9600300000002</v>
      </c>
      <c r="M726">
        <f>_xlfn.XLOOKUP($A726,ALGLIB_SSA_XAUUSD!$J$2:$J$1000,ALGLIB_SSA_XAUUSD!$O$2:$O$1000,"",0)</f>
        <v>4814.2769799999996</v>
      </c>
      <c r="N726">
        <f>_xlfn.XLOOKUP($A726,ALGLIB_SSA_XAUUSD!$J$2:$J$1000,ALGLIB_SSA_XAUUSD!$P$2:$P$1000,"",0)</f>
        <v>4817.9303399999999</v>
      </c>
      <c r="O726">
        <f>_xlfn.XLOOKUP($A726,ALGLIB_SSA_XAUUSD!$J$2:$J$1000,ALGLIB_SSA_XAUUSD!$Q$2:$Q$1000,"",0)</f>
        <v>4812.2145399999999</v>
      </c>
      <c r="R726">
        <f t="shared" si="121"/>
        <v>1775614800</v>
      </c>
      <c r="S726" t="str">
        <f t="shared" si="122"/>
        <v>XAUUSD</v>
      </c>
      <c r="T726" t="str">
        <f t="shared" si="123"/>
        <v>M5</v>
      </c>
      <c r="U726">
        <f t="shared" si="124"/>
        <v>4809.8</v>
      </c>
      <c r="V726">
        <v>4823.2889400000004</v>
      </c>
      <c r="W726">
        <v>4815.6963400000004</v>
      </c>
      <c r="X726">
        <v>4813.9600300000002</v>
      </c>
      <c r="Y726">
        <v>4814.2769799999996</v>
      </c>
      <c r="Z726">
        <f t="shared" si="125"/>
        <v>4838.704123333333</v>
      </c>
      <c r="AA726">
        <f t="shared" si="126"/>
        <v>4817.9303399999999</v>
      </c>
      <c r="AB726">
        <f t="shared" si="127"/>
        <v>4806.8896333333332</v>
      </c>
      <c r="AC726">
        <f t="shared" si="128"/>
        <v>4812.2145399999999</v>
      </c>
      <c r="AF726">
        <f t="shared" si="129"/>
        <v>4813.9600300000002</v>
      </c>
      <c r="AG726">
        <f t="shared" si="130"/>
        <v>4838.704123333333</v>
      </c>
      <c r="AH726">
        <f t="shared" si="131"/>
        <v>4806.8896333333332</v>
      </c>
    </row>
    <row r="727" spans="1:34" x14ac:dyDescent="0.55000000000000004">
      <c r="A727">
        <f>ALGLIB_SSA_XAUUSD!J727</f>
        <v>1775615100</v>
      </c>
      <c r="B727" t="str">
        <f>_xlfn.XLOOKUP($A727,ALGLIB_SSA_XAUUSD!$A$2:$A$1000,ALGLIB_SSA_XAUUSD!$B$2:$B$1000,"",0)</f>
        <v/>
      </c>
      <c r="C727" t="str">
        <f>_xlfn.XLOOKUP($A727,ALGLIB_SSA_XAUUSD!$A$2:$A$1000,ALGLIB_SSA_XAUUSD!$C$2:$C$1000,"",0)</f>
        <v/>
      </c>
      <c r="D727" s="1">
        <f>D722+(D734-D722)*5/12</f>
        <v>4801.5283333333336</v>
      </c>
      <c r="E727" s="1">
        <f>E722+(E734-E722)*5/12</f>
        <v>4823.1683899999998</v>
      </c>
      <c r="F727" s="1">
        <f>F722+(F734-F722)*5/12</f>
        <v>4816.0277500000002</v>
      </c>
      <c r="G727" s="1">
        <f>G722+(G734-G722)*5/12</f>
        <v>4838.5095016666664</v>
      </c>
      <c r="H727" s="1">
        <f>H722+(H734-H722)*5/12</f>
        <v>4807.2251891666665</v>
      </c>
      <c r="I727" t="str">
        <f>_xlfn.XLOOKUP($A727,ALGLIB_SSA_XAUUSD!$J$2:$J$1000,ALGLIB_SSA_XAUUSD!$K$2:$K$1000,"",0)</f>
        <v>XAUUSD</v>
      </c>
      <c r="J727" t="str">
        <f>_xlfn.XLOOKUP($A727,ALGLIB_SSA_XAUUSD!$J$2:$J$1000,ALGLIB_SSA_XAUUSD!$L$2:$L$1000,"",0)</f>
        <v>M5</v>
      </c>
      <c r="K727">
        <f>_xlfn.XLOOKUP($A727,ALGLIB_SSA_XAUUSD!$J$2:$J$1000,ALGLIB_SSA_XAUUSD!$M$2:$M$1000,"",0)</f>
        <v>4811.55</v>
      </c>
      <c r="L727">
        <f>_xlfn.XLOOKUP($A727,ALGLIB_SSA_XAUUSD!$J$2:$J$1000,ALGLIB_SSA_XAUUSD!$N$2:$N$1000,"",0)</f>
        <v>4812.6883200000002</v>
      </c>
      <c r="M727">
        <f>_xlfn.XLOOKUP($A727,ALGLIB_SSA_XAUUSD!$J$2:$J$1000,ALGLIB_SSA_XAUUSD!$O$2:$O$1000,"",0)</f>
        <v>4813.4826499999999</v>
      </c>
      <c r="N727">
        <f>_xlfn.XLOOKUP($A727,ALGLIB_SSA_XAUUSD!$J$2:$J$1000,ALGLIB_SSA_XAUUSD!$P$2:$P$1000,"",0)</f>
        <v>4816.7054699999999</v>
      </c>
      <c r="O727">
        <f>_xlfn.XLOOKUP($A727,ALGLIB_SSA_XAUUSD!$J$2:$J$1000,ALGLIB_SSA_XAUUSD!$Q$2:$Q$1000,"",0)</f>
        <v>4810.8546399999996</v>
      </c>
      <c r="R727">
        <f t="shared" si="121"/>
        <v>1775615100</v>
      </c>
      <c r="S727" t="str">
        <f t="shared" si="122"/>
        <v>XAUUSD</v>
      </c>
      <c r="T727" t="str">
        <f t="shared" si="123"/>
        <v>M5</v>
      </c>
      <c r="U727">
        <f t="shared" si="124"/>
        <v>4811.55</v>
      </c>
      <c r="V727">
        <v>4823.1683899999998</v>
      </c>
      <c r="W727">
        <v>4816.0277500000002</v>
      </c>
      <c r="X727">
        <v>4812.6883200000002</v>
      </c>
      <c r="Y727">
        <v>4813.4826499999999</v>
      </c>
      <c r="Z727">
        <f t="shared" si="125"/>
        <v>4838.5095016666664</v>
      </c>
      <c r="AA727">
        <f t="shared" si="126"/>
        <v>4816.7054699999999</v>
      </c>
      <c r="AB727">
        <f t="shared" si="127"/>
        <v>4807.2251891666665</v>
      </c>
      <c r="AC727">
        <f t="shared" si="128"/>
        <v>4810.8546399999996</v>
      </c>
      <c r="AF727">
        <f t="shared" si="129"/>
        <v>4812.6883200000002</v>
      </c>
      <c r="AG727">
        <f t="shared" si="130"/>
        <v>4838.5095016666664</v>
      </c>
      <c r="AH727">
        <f t="shared" si="131"/>
        <v>4807.2251891666665</v>
      </c>
    </row>
    <row r="728" spans="1:34" x14ac:dyDescent="0.55000000000000004">
      <c r="A728">
        <f>ALGLIB_SSA_XAUUSD!J728</f>
        <v>1775615400</v>
      </c>
      <c r="B728" t="str">
        <f>_xlfn.XLOOKUP($A728,ALGLIB_SSA_XAUUSD!$A$2:$A$1000,ALGLIB_SSA_XAUUSD!$B$2:$B$1000,"",0)</f>
        <v/>
      </c>
      <c r="C728" t="str">
        <f>_xlfn.XLOOKUP($A728,ALGLIB_SSA_XAUUSD!$A$2:$A$1000,ALGLIB_SSA_XAUUSD!$C$2:$C$1000,"",0)</f>
        <v/>
      </c>
      <c r="D728" s="1">
        <f>D722+(D734-D722)*6/12</f>
        <v>4801</v>
      </c>
      <c r="E728" s="1">
        <f>E722+(E734-E722)*6/12</f>
        <v>4823.0478399999993</v>
      </c>
      <c r="F728" s="1">
        <f>F722+(F734-F722)*6/12</f>
        <v>4816.35916</v>
      </c>
      <c r="G728" s="1">
        <f>G722+(G734-G722)*6/12</f>
        <v>4838.3148799999999</v>
      </c>
      <c r="H728" s="1">
        <f>H722+(H734-H722)*6/12</f>
        <v>4807.5607450000007</v>
      </c>
      <c r="I728" t="str">
        <f>_xlfn.XLOOKUP($A728,ALGLIB_SSA_XAUUSD!$J$2:$J$1000,ALGLIB_SSA_XAUUSD!$K$2:$K$1000,"",0)</f>
        <v>XAUUSD</v>
      </c>
      <c r="J728" t="str">
        <f>_xlfn.XLOOKUP($A728,ALGLIB_SSA_XAUUSD!$J$2:$J$1000,ALGLIB_SSA_XAUUSD!$L$2:$L$1000,"",0)</f>
        <v>M5</v>
      </c>
      <c r="K728">
        <f>_xlfn.XLOOKUP($A728,ALGLIB_SSA_XAUUSD!$J$2:$J$1000,ALGLIB_SSA_XAUUSD!$M$2:$M$1000,"",0)</f>
        <v>4814.7700000000004</v>
      </c>
      <c r="L728">
        <f>_xlfn.XLOOKUP($A728,ALGLIB_SSA_XAUUSD!$J$2:$J$1000,ALGLIB_SSA_XAUUSD!$N$2:$N$1000,"",0)</f>
        <v>4811.2784000000001</v>
      </c>
      <c r="M728">
        <f>_xlfn.XLOOKUP($A728,ALGLIB_SSA_XAUUSD!$J$2:$J$1000,ALGLIB_SSA_XAUUSD!$O$2:$O$1000,"",0)</f>
        <v>4812.3805199999997</v>
      </c>
      <c r="N728">
        <f>_xlfn.XLOOKUP($A728,ALGLIB_SSA_XAUUSD!$J$2:$J$1000,ALGLIB_SSA_XAUUSD!$P$2:$P$1000,"",0)</f>
        <v>4815.3827600000004</v>
      </c>
      <c r="O728">
        <f>_xlfn.XLOOKUP($A728,ALGLIB_SSA_XAUUSD!$J$2:$J$1000,ALGLIB_SSA_XAUUSD!$Q$2:$Q$1000,"",0)</f>
        <v>4809.3818899999997</v>
      </c>
      <c r="R728">
        <f t="shared" si="121"/>
        <v>1775615400</v>
      </c>
      <c r="S728" t="str">
        <f t="shared" si="122"/>
        <v>XAUUSD</v>
      </c>
      <c r="T728" t="str">
        <f t="shared" si="123"/>
        <v>M5</v>
      </c>
      <c r="U728">
        <f t="shared" si="124"/>
        <v>4814.7700000000004</v>
      </c>
      <c r="V728">
        <v>4823.0478400000002</v>
      </c>
      <c r="W728">
        <v>4816.35916</v>
      </c>
      <c r="X728">
        <v>4811.2784000000001</v>
      </c>
      <c r="Y728">
        <v>4812.3805199999997</v>
      </c>
      <c r="Z728">
        <f t="shared" si="125"/>
        <v>4838.3148799999999</v>
      </c>
      <c r="AA728">
        <f t="shared" si="126"/>
        <v>4815.3827600000004</v>
      </c>
      <c r="AB728">
        <f t="shared" si="127"/>
        <v>4807.5607450000007</v>
      </c>
      <c r="AC728">
        <f t="shared" si="128"/>
        <v>4809.3818899999997</v>
      </c>
      <c r="AF728">
        <f t="shared" si="129"/>
        <v>4811.2784000000001</v>
      </c>
      <c r="AG728">
        <f t="shared" si="130"/>
        <v>4838.3148799999999</v>
      </c>
      <c r="AH728">
        <f t="shared" si="131"/>
        <v>4807.5607450000007</v>
      </c>
    </row>
    <row r="729" spans="1:34" x14ac:dyDescent="0.55000000000000004">
      <c r="A729">
        <f>ALGLIB_SSA_XAUUSD!J729</f>
        <v>1775615700</v>
      </c>
      <c r="B729" t="str">
        <f>_xlfn.XLOOKUP($A729,ALGLIB_SSA_XAUUSD!$A$2:$A$1000,ALGLIB_SSA_XAUUSD!$B$2:$B$1000,"",0)</f>
        <v/>
      </c>
      <c r="C729" t="str">
        <f>_xlfn.XLOOKUP($A729,ALGLIB_SSA_XAUUSD!$A$2:$A$1000,ALGLIB_SSA_XAUUSD!$C$2:$C$1000,"",0)</f>
        <v/>
      </c>
      <c r="D729" s="1">
        <f>D722+(D734-D722)*7/12</f>
        <v>4800.4716666666664</v>
      </c>
      <c r="E729" s="1">
        <f>E722+(E734-E722)*7/12</f>
        <v>4822.9272899999996</v>
      </c>
      <c r="F729" s="1">
        <f>F722+(F734-F722)*7/12</f>
        <v>4816.6905699999998</v>
      </c>
      <c r="G729" s="1">
        <f>G722+(G734-G722)*7/12</f>
        <v>4838.1202583333334</v>
      </c>
      <c r="H729" s="1">
        <f>H722+(H734-H722)*7/12</f>
        <v>4807.896300833334</v>
      </c>
      <c r="I729" t="str">
        <f>_xlfn.XLOOKUP($A729,ALGLIB_SSA_XAUUSD!$J$2:$J$1000,ALGLIB_SSA_XAUUSD!$K$2:$K$1000,"",0)</f>
        <v>XAUUSD</v>
      </c>
      <c r="J729" t="str">
        <f>_xlfn.XLOOKUP($A729,ALGLIB_SSA_XAUUSD!$J$2:$J$1000,ALGLIB_SSA_XAUUSD!$L$2:$L$1000,"",0)</f>
        <v>M5</v>
      </c>
      <c r="K729">
        <f>_xlfn.XLOOKUP($A729,ALGLIB_SSA_XAUUSD!$J$2:$J$1000,ALGLIB_SSA_XAUUSD!$M$2:$M$1000,"",0)</f>
        <v>4813.82</v>
      </c>
      <c r="L729">
        <f>_xlfn.XLOOKUP($A729,ALGLIB_SSA_XAUUSD!$J$2:$J$1000,ALGLIB_SSA_XAUUSD!$N$2:$N$1000,"",0)</f>
        <v>4809.7232700000004</v>
      </c>
      <c r="M729">
        <f>_xlfn.XLOOKUP($A729,ALGLIB_SSA_XAUUSD!$J$2:$J$1000,ALGLIB_SSA_XAUUSD!$O$2:$O$1000,"",0)</f>
        <v>4811.0519000000004</v>
      </c>
      <c r="N729">
        <f>_xlfn.XLOOKUP($A729,ALGLIB_SSA_XAUUSD!$J$2:$J$1000,ALGLIB_SSA_XAUUSD!$P$2:$P$1000,"",0)</f>
        <v>4813.9366300000002</v>
      </c>
      <c r="O729">
        <f>_xlfn.XLOOKUP($A729,ALGLIB_SSA_XAUUSD!$J$2:$J$1000,ALGLIB_SSA_XAUUSD!$Q$2:$Q$1000,"",0)</f>
        <v>4807.8756299999995</v>
      </c>
      <c r="R729">
        <f t="shared" si="121"/>
        <v>1775615700</v>
      </c>
      <c r="S729" t="str">
        <f t="shared" si="122"/>
        <v>XAUUSD</v>
      </c>
      <c r="T729" t="str">
        <f t="shared" si="123"/>
        <v>M5</v>
      </c>
      <c r="U729">
        <f t="shared" si="124"/>
        <v>4813.82</v>
      </c>
      <c r="V729">
        <v>4822.9272899999996</v>
      </c>
      <c r="W729">
        <v>4816.6905699999998</v>
      </c>
      <c r="X729">
        <v>4809.7232700000004</v>
      </c>
      <c r="Y729">
        <v>4811.0519000000004</v>
      </c>
      <c r="Z729">
        <f t="shared" si="125"/>
        <v>4838.1202583333334</v>
      </c>
      <c r="AA729">
        <f t="shared" si="126"/>
        <v>4813.9366300000002</v>
      </c>
      <c r="AB729">
        <f t="shared" si="127"/>
        <v>4807.896300833334</v>
      </c>
      <c r="AC729">
        <f t="shared" si="128"/>
        <v>4807.8756299999995</v>
      </c>
      <c r="AF729">
        <f t="shared" si="129"/>
        <v>4809.7232700000004</v>
      </c>
      <c r="AG729">
        <f t="shared" si="130"/>
        <v>4838.1202583333334</v>
      </c>
      <c r="AH729">
        <f t="shared" si="131"/>
        <v>4807.896300833334</v>
      </c>
    </row>
    <row r="730" spans="1:34" x14ac:dyDescent="0.55000000000000004">
      <c r="A730">
        <f>ALGLIB_SSA_XAUUSD!J730</f>
        <v>1775616000</v>
      </c>
      <c r="B730" t="str">
        <f>_xlfn.XLOOKUP($A730,ALGLIB_SSA_XAUUSD!$A$2:$A$1000,ALGLIB_SSA_XAUUSD!$B$2:$B$1000,"",0)</f>
        <v/>
      </c>
      <c r="C730" t="str">
        <f>_xlfn.XLOOKUP($A730,ALGLIB_SSA_XAUUSD!$A$2:$A$1000,ALGLIB_SSA_XAUUSD!$C$2:$C$1000,"",0)</f>
        <v/>
      </c>
      <c r="D730" s="1">
        <f>D722+(D734-D722)*8/12</f>
        <v>4799.9433333333336</v>
      </c>
      <c r="E730" s="1">
        <f>E722+(E734-E722)*8/12</f>
        <v>4822.80674</v>
      </c>
      <c r="F730" s="1">
        <f>F722+(F734-F722)*8/12</f>
        <v>4817.0219799999995</v>
      </c>
      <c r="G730" s="1">
        <f>G722+(G734-G722)*8/12</f>
        <v>4837.9256366666668</v>
      </c>
      <c r="H730" s="1">
        <f>H722+(H734-H722)*8/12</f>
        <v>4808.2318566666672</v>
      </c>
      <c r="I730" t="str">
        <f>_xlfn.XLOOKUP($A730,ALGLIB_SSA_XAUUSD!$J$2:$J$1000,ALGLIB_SSA_XAUUSD!$K$2:$K$1000,"",0)</f>
        <v>XAUUSD</v>
      </c>
      <c r="J730" t="str">
        <f>_xlfn.XLOOKUP($A730,ALGLIB_SSA_XAUUSD!$J$2:$J$1000,ALGLIB_SSA_XAUUSD!$L$2:$L$1000,"",0)</f>
        <v>M5</v>
      </c>
      <c r="K730">
        <f>_xlfn.XLOOKUP($A730,ALGLIB_SSA_XAUUSD!$J$2:$J$1000,ALGLIB_SSA_XAUUSD!$M$2:$M$1000,"",0)</f>
        <v>4806.53</v>
      </c>
      <c r="L730">
        <f>_xlfn.XLOOKUP($A730,ALGLIB_SSA_XAUUSD!$J$2:$J$1000,ALGLIB_SSA_XAUUSD!$N$2:$N$1000,"",0)</f>
        <v>4808.0833499999999</v>
      </c>
      <c r="M730">
        <f>_xlfn.XLOOKUP($A730,ALGLIB_SSA_XAUUSD!$J$2:$J$1000,ALGLIB_SSA_XAUUSD!$O$2:$O$1000,"",0)</f>
        <v>4809.5676299999996</v>
      </c>
      <c r="N730">
        <f>_xlfn.XLOOKUP($A730,ALGLIB_SSA_XAUUSD!$J$2:$J$1000,ALGLIB_SSA_XAUUSD!$P$2:$P$1000,"",0)</f>
        <v>4812.22811</v>
      </c>
      <c r="O730">
        <f>_xlfn.XLOOKUP($A730,ALGLIB_SSA_XAUUSD!$J$2:$J$1000,ALGLIB_SSA_XAUUSD!$Q$2:$Q$1000,"",0)</f>
        <v>4806.3037999999997</v>
      </c>
      <c r="R730">
        <f t="shared" si="121"/>
        <v>1775616000</v>
      </c>
      <c r="S730" t="str">
        <f t="shared" si="122"/>
        <v>XAUUSD</v>
      </c>
      <c r="T730" t="str">
        <f t="shared" si="123"/>
        <v>M5</v>
      </c>
      <c r="U730">
        <f t="shared" si="124"/>
        <v>4806.53</v>
      </c>
      <c r="V730">
        <v>4822.80674</v>
      </c>
      <c r="W730">
        <v>4817.0219800000004</v>
      </c>
      <c r="X730">
        <v>4808.0833499999999</v>
      </c>
      <c r="Y730">
        <v>4809.5676299999996</v>
      </c>
      <c r="Z730">
        <f t="shared" si="125"/>
        <v>4837.9256366666668</v>
      </c>
      <c r="AA730">
        <f t="shared" si="126"/>
        <v>4812.22811</v>
      </c>
      <c r="AB730">
        <f t="shared" si="127"/>
        <v>4808.2318566666672</v>
      </c>
      <c r="AC730">
        <f t="shared" si="128"/>
        <v>4806.3037999999997</v>
      </c>
      <c r="AF730">
        <f t="shared" si="129"/>
        <v>4808.0833499999999</v>
      </c>
      <c r="AG730">
        <f t="shared" si="130"/>
        <v>4837.9256366666668</v>
      </c>
      <c r="AH730">
        <f t="shared" si="131"/>
        <v>4808.2318566666672</v>
      </c>
    </row>
    <row r="731" spans="1:34" x14ac:dyDescent="0.55000000000000004">
      <c r="A731">
        <f>ALGLIB_SSA_XAUUSD!J731</f>
        <v>1775616300</v>
      </c>
      <c r="B731" t="str">
        <f>_xlfn.XLOOKUP($A731,ALGLIB_SSA_XAUUSD!$A$2:$A$1000,ALGLIB_SSA_XAUUSD!$B$2:$B$1000,"",0)</f>
        <v/>
      </c>
      <c r="C731" t="str">
        <f>_xlfn.XLOOKUP($A731,ALGLIB_SSA_XAUUSD!$A$2:$A$1000,ALGLIB_SSA_XAUUSD!$C$2:$C$1000,"",0)</f>
        <v/>
      </c>
      <c r="D731" s="1">
        <f>D722+(D734-D722)*9/12</f>
        <v>4799.415</v>
      </c>
      <c r="E731" s="1">
        <f>E722+(E734-E722)*9/12</f>
        <v>4822.6861899999994</v>
      </c>
      <c r="F731" s="1">
        <f>F722+(F734-F722)*9/12</f>
        <v>4817.3533900000002</v>
      </c>
      <c r="G731" s="1">
        <f>G722+(G734-G722)*9/12</f>
        <v>4837.7310149999994</v>
      </c>
      <c r="H731" s="1">
        <f>H722+(H734-H722)*9/12</f>
        <v>4808.5674125000005</v>
      </c>
      <c r="I731" t="str">
        <f>_xlfn.XLOOKUP($A731,ALGLIB_SSA_XAUUSD!$J$2:$J$1000,ALGLIB_SSA_XAUUSD!$K$2:$K$1000,"",0)</f>
        <v>XAUUSD</v>
      </c>
      <c r="J731" t="str">
        <f>_xlfn.XLOOKUP($A731,ALGLIB_SSA_XAUUSD!$J$2:$J$1000,ALGLIB_SSA_XAUUSD!$L$2:$L$1000,"",0)</f>
        <v>M5</v>
      </c>
      <c r="K731">
        <f>_xlfn.XLOOKUP($A731,ALGLIB_SSA_XAUUSD!$J$2:$J$1000,ALGLIB_SSA_XAUUSD!$M$2:$M$1000,"",0)</f>
        <v>4806.28</v>
      </c>
      <c r="L731">
        <f>_xlfn.XLOOKUP($A731,ALGLIB_SSA_XAUUSD!$J$2:$J$1000,ALGLIB_SSA_XAUUSD!$N$2:$N$1000,"",0)</f>
        <v>4806.5458799999997</v>
      </c>
      <c r="M731">
        <f>_xlfn.XLOOKUP($A731,ALGLIB_SSA_XAUUSD!$J$2:$J$1000,ALGLIB_SSA_XAUUSD!$O$2:$O$1000,"",0)</f>
        <v>4808.0567499999997</v>
      </c>
      <c r="N731">
        <f>_xlfn.XLOOKUP($A731,ALGLIB_SSA_XAUUSD!$J$2:$J$1000,ALGLIB_SSA_XAUUSD!$P$2:$P$1000,"",0)</f>
        <v>4810.4120599999997</v>
      </c>
      <c r="O731">
        <f>_xlfn.XLOOKUP($A731,ALGLIB_SSA_XAUUSD!$J$2:$J$1000,ALGLIB_SSA_XAUUSD!$Q$2:$Q$1000,"",0)</f>
        <v>4804.7987199999998</v>
      </c>
      <c r="R731">
        <f t="shared" si="121"/>
        <v>1775616300</v>
      </c>
      <c r="S731" t="str">
        <f t="shared" si="122"/>
        <v>XAUUSD</v>
      </c>
      <c r="T731" t="str">
        <f t="shared" si="123"/>
        <v>M5</v>
      </c>
      <c r="U731">
        <f t="shared" si="124"/>
        <v>4806.28</v>
      </c>
      <c r="V731">
        <v>4822.6861900000004</v>
      </c>
      <c r="W731">
        <v>4817.3533900000002</v>
      </c>
      <c r="X731">
        <v>4806.5458799999997</v>
      </c>
      <c r="Y731">
        <v>4808.0567499999997</v>
      </c>
      <c r="Z731">
        <f t="shared" si="125"/>
        <v>4837.7310149999994</v>
      </c>
      <c r="AA731">
        <f t="shared" si="126"/>
        <v>4810.4120599999997</v>
      </c>
      <c r="AB731">
        <f t="shared" si="127"/>
        <v>4808.5674125000005</v>
      </c>
      <c r="AC731">
        <f t="shared" si="128"/>
        <v>4804.7987199999998</v>
      </c>
      <c r="AF731">
        <f t="shared" si="129"/>
        <v>4806.5458799999997</v>
      </c>
      <c r="AG731">
        <f t="shared" si="130"/>
        <v>4837.7310149999994</v>
      </c>
      <c r="AH731">
        <f t="shared" si="131"/>
        <v>4808.5674125000005</v>
      </c>
    </row>
    <row r="732" spans="1:34" x14ac:dyDescent="0.55000000000000004">
      <c r="A732">
        <f>ALGLIB_SSA_XAUUSD!J732</f>
        <v>1775616600</v>
      </c>
      <c r="B732" t="str">
        <f>_xlfn.XLOOKUP($A732,ALGLIB_SSA_XAUUSD!$A$2:$A$1000,ALGLIB_SSA_XAUUSD!$B$2:$B$1000,"",0)</f>
        <v/>
      </c>
      <c r="C732" t="str">
        <f>_xlfn.XLOOKUP($A732,ALGLIB_SSA_XAUUSD!$A$2:$A$1000,ALGLIB_SSA_XAUUSD!$C$2:$C$1000,"",0)</f>
        <v/>
      </c>
      <c r="D732" s="1">
        <f>D722+(D734-D722)*10/12</f>
        <v>4798.8866666666663</v>
      </c>
      <c r="E732" s="1">
        <f>E722+(E734-E722)*10/12</f>
        <v>4822.5656399999998</v>
      </c>
      <c r="F732" s="1">
        <f>F722+(F734-F722)*10/12</f>
        <v>4817.6848</v>
      </c>
      <c r="G732" s="1">
        <f>G722+(G734-G722)*10/12</f>
        <v>4837.5363933333329</v>
      </c>
      <c r="H732" s="1">
        <f>H722+(H734-H722)*10/12</f>
        <v>4808.9029683333338</v>
      </c>
      <c r="I732" t="str">
        <f>_xlfn.XLOOKUP($A732,ALGLIB_SSA_XAUUSD!$J$2:$J$1000,ALGLIB_SSA_XAUUSD!$K$2:$K$1000,"",0)</f>
        <v>XAUUSD</v>
      </c>
      <c r="J732" t="str">
        <f>_xlfn.XLOOKUP($A732,ALGLIB_SSA_XAUUSD!$J$2:$J$1000,ALGLIB_SSA_XAUUSD!$L$2:$L$1000,"",0)</f>
        <v>M5</v>
      </c>
      <c r="K732">
        <f>_xlfn.XLOOKUP($A732,ALGLIB_SSA_XAUUSD!$J$2:$J$1000,ALGLIB_SSA_XAUUSD!$M$2:$M$1000,"",0)</f>
        <v>4803.8</v>
      </c>
      <c r="L732">
        <f>_xlfn.XLOOKUP($A732,ALGLIB_SSA_XAUUSD!$J$2:$J$1000,ALGLIB_SSA_XAUUSD!$N$2:$N$1000,"",0)</f>
        <v>4805.10005</v>
      </c>
      <c r="M732">
        <f>_xlfn.XLOOKUP($A732,ALGLIB_SSA_XAUUSD!$J$2:$J$1000,ALGLIB_SSA_XAUUSD!$O$2:$O$1000,"",0)</f>
        <v>4806.5784000000003</v>
      </c>
      <c r="N732">
        <f>_xlfn.XLOOKUP($A732,ALGLIB_SSA_XAUUSD!$J$2:$J$1000,ALGLIB_SSA_XAUUSD!$P$2:$P$1000,"",0)</f>
        <v>4808.6187300000001</v>
      </c>
      <c r="O732">
        <f>_xlfn.XLOOKUP($A732,ALGLIB_SSA_XAUUSD!$J$2:$J$1000,ALGLIB_SSA_XAUUSD!$Q$2:$Q$1000,"",0)</f>
        <v>4803.3512899999996</v>
      </c>
      <c r="R732">
        <f t="shared" si="121"/>
        <v>1775616600</v>
      </c>
      <c r="S732" t="str">
        <f t="shared" si="122"/>
        <v>XAUUSD</v>
      </c>
      <c r="T732" t="str">
        <f t="shared" si="123"/>
        <v>M5</v>
      </c>
      <c r="U732">
        <f t="shared" si="124"/>
        <v>4803.8</v>
      </c>
      <c r="V732">
        <v>4822.5656399999998</v>
      </c>
      <c r="W732">
        <v>4817.6848</v>
      </c>
      <c r="X732">
        <v>4805.10005</v>
      </c>
      <c r="Y732">
        <v>4806.5784000000003</v>
      </c>
      <c r="Z732">
        <f t="shared" si="125"/>
        <v>4837.5363933333329</v>
      </c>
      <c r="AA732">
        <f t="shared" si="126"/>
        <v>4808.6187300000001</v>
      </c>
      <c r="AB732">
        <f t="shared" si="127"/>
        <v>4808.9029683333338</v>
      </c>
      <c r="AC732">
        <f t="shared" si="128"/>
        <v>4803.3512899999996</v>
      </c>
      <c r="AF732">
        <f t="shared" si="129"/>
        <v>4805.10005</v>
      </c>
      <c r="AG732">
        <f t="shared" si="130"/>
        <v>4837.5363933333329</v>
      </c>
      <c r="AH732">
        <f t="shared" si="131"/>
        <v>4808.9029683333338</v>
      </c>
    </row>
    <row r="733" spans="1:34" x14ac:dyDescent="0.55000000000000004">
      <c r="A733">
        <f>ALGLIB_SSA_XAUUSD!J733</f>
        <v>1775616900</v>
      </c>
      <c r="B733" t="str">
        <f>_xlfn.XLOOKUP($A733,ALGLIB_SSA_XAUUSD!$A$2:$A$1000,ALGLIB_SSA_XAUUSD!$B$2:$B$1000,"",0)</f>
        <v/>
      </c>
      <c r="C733" t="str">
        <f>_xlfn.XLOOKUP($A733,ALGLIB_SSA_XAUUSD!$A$2:$A$1000,ALGLIB_SSA_XAUUSD!$C$2:$C$1000,"",0)</f>
        <v/>
      </c>
      <c r="D733" s="1">
        <f>D722+(D734-D722)*11/12</f>
        <v>4798.3583333333336</v>
      </c>
      <c r="E733" s="1">
        <f>E722+(E734-E722)*11/12</f>
        <v>4822.4450899999993</v>
      </c>
      <c r="F733" s="1">
        <f>F722+(F734-F722)*11/12</f>
        <v>4818.0162099999998</v>
      </c>
      <c r="G733" s="1">
        <f>G722+(G734-G722)*11/12</f>
        <v>4837.3417716666663</v>
      </c>
      <c r="H733" s="1">
        <f>H722+(H734-H722)*11/12</f>
        <v>4809.238524166667</v>
      </c>
      <c r="I733" t="str">
        <f>_xlfn.XLOOKUP($A733,ALGLIB_SSA_XAUUSD!$J$2:$J$1000,ALGLIB_SSA_XAUUSD!$K$2:$K$1000,"",0)</f>
        <v>XAUUSD</v>
      </c>
      <c r="J733" t="str">
        <f>_xlfn.XLOOKUP($A733,ALGLIB_SSA_XAUUSD!$J$2:$J$1000,ALGLIB_SSA_XAUUSD!$L$2:$L$1000,"",0)</f>
        <v>M5</v>
      </c>
      <c r="K733">
        <f>_xlfn.XLOOKUP($A733,ALGLIB_SSA_XAUUSD!$J$2:$J$1000,ALGLIB_SSA_XAUUSD!$M$2:$M$1000,"",0)</f>
        <v>4804.17</v>
      </c>
      <c r="L733">
        <f>_xlfn.XLOOKUP($A733,ALGLIB_SSA_XAUUSD!$J$2:$J$1000,ALGLIB_SSA_XAUUSD!$N$2:$N$1000,"",0)</f>
        <v>4803.7942599999997</v>
      </c>
      <c r="M733">
        <f>_xlfn.XLOOKUP($A733,ALGLIB_SSA_XAUUSD!$J$2:$J$1000,ALGLIB_SSA_XAUUSD!$O$2:$O$1000,"",0)</f>
        <v>4805.1863300000005</v>
      </c>
      <c r="N733">
        <f>_xlfn.XLOOKUP($A733,ALGLIB_SSA_XAUUSD!$J$2:$J$1000,ALGLIB_SSA_XAUUSD!$P$2:$P$1000,"",0)</f>
        <v>4806.8571300000003</v>
      </c>
      <c r="O733">
        <f>_xlfn.XLOOKUP($A733,ALGLIB_SSA_XAUUSD!$J$2:$J$1000,ALGLIB_SSA_XAUUSD!$Q$2:$Q$1000,"",0)</f>
        <v>4801.9556499999999</v>
      </c>
      <c r="R733">
        <f t="shared" si="121"/>
        <v>1775616900</v>
      </c>
      <c r="S733" t="str">
        <f t="shared" si="122"/>
        <v>XAUUSD</v>
      </c>
      <c r="T733" t="str">
        <f t="shared" si="123"/>
        <v>M5</v>
      </c>
      <c r="U733">
        <f t="shared" si="124"/>
        <v>4804.17</v>
      </c>
      <c r="V733">
        <v>4822.4450900000002</v>
      </c>
      <c r="W733">
        <v>4818.0162099999998</v>
      </c>
      <c r="X733">
        <v>4803.7942599999997</v>
      </c>
      <c r="Y733">
        <v>4805.1863300000005</v>
      </c>
      <c r="Z733">
        <f t="shared" si="125"/>
        <v>4837.3417716666663</v>
      </c>
      <c r="AA733">
        <f t="shared" si="126"/>
        <v>4806.8571300000003</v>
      </c>
      <c r="AB733">
        <f t="shared" si="127"/>
        <v>4809.238524166667</v>
      </c>
      <c r="AC733">
        <f t="shared" si="128"/>
        <v>4801.9556499999999</v>
      </c>
      <c r="AF733">
        <f t="shared" si="129"/>
        <v>4803.7942599999997</v>
      </c>
      <c r="AG733">
        <f t="shared" si="130"/>
        <v>4837.3417716666663</v>
      </c>
      <c r="AH733">
        <f t="shared" si="131"/>
        <v>4809.238524166667</v>
      </c>
    </row>
    <row r="734" spans="1:34" x14ac:dyDescent="0.55000000000000004">
      <c r="A734">
        <f>ALGLIB_SSA_XAUUSD!J734</f>
        <v>1775617200</v>
      </c>
      <c r="B734" t="str">
        <f>_xlfn.XLOOKUP($A734,ALGLIB_SSA_XAUUSD!$A$2:$A$1000,ALGLIB_SSA_XAUUSD!$B$2:$B$1000,"",0)</f>
        <v>XAUUSD</v>
      </c>
      <c r="C734" t="str">
        <f>_xlfn.XLOOKUP($A734,ALGLIB_SSA_XAUUSD!$A$2:$A$1000,ALGLIB_SSA_XAUUSD!$C$2:$C$1000,"",0)</f>
        <v>H1</v>
      </c>
      <c r="D734" s="2">
        <f>_xlfn.XLOOKUP($A734,ALGLIB_SSA_XAUUSD!$A$2:$A$1000,ALGLIB_SSA_XAUUSD!$D$2:$D$1000,"",0)</f>
        <v>4797.83</v>
      </c>
      <c r="E734" s="2">
        <f>_xlfn.XLOOKUP($A734,ALGLIB_SSA_XAUUSD!$A$2:$A$1000,ALGLIB_SSA_XAUUSD!$E$2:$E$1000,"",0)</f>
        <v>4822.3245399999996</v>
      </c>
      <c r="F734" s="2">
        <f>_xlfn.XLOOKUP($A734,ALGLIB_SSA_XAUUSD!$A$2:$A$1000,ALGLIB_SSA_XAUUSD!$F$2:$F$1000,"",0)</f>
        <v>4818.3476199999996</v>
      </c>
      <c r="G734" s="2">
        <f>_xlfn.XLOOKUP($A734,ALGLIB_SSA_XAUUSD!$A$2:$A$1000,ALGLIB_SSA_XAUUSD!$G$2:$G$1000,"",0)</f>
        <v>4837.1471499999998</v>
      </c>
      <c r="H734" s="2">
        <f>_xlfn.XLOOKUP($A734,ALGLIB_SSA_XAUUSD!$A$2:$A$1000,ALGLIB_SSA_XAUUSD!$H$2:$H$1000,"",0)</f>
        <v>4809.5740800000003</v>
      </c>
      <c r="I734" t="str">
        <f>_xlfn.XLOOKUP($A734,ALGLIB_SSA_XAUUSD!$J$2:$J$1000,ALGLIB_SSA_XAUUSD!$K$2:$K$1000,"",0)</f>
        <v>XAUUSD</v>
      </c>
      <c r="J734" t="str">
        <f>_xlfn.XLOOKUP($A734,ALGLIB_SSA_XAUUSD!$J$2:$J$1000,ALGLIB_SSA_XAUUSD!$L$2:$L$1000,"",0)</f>
        <v>M5</v>
      </c>
      <c r="K734">
        <f>_xlfn.XLOOKUP($A734,ALGLIB_SSA_XAUUSD!$J$2:$J$1000,ALGLIB_SSA_XAUUSD!$M$2:$M$1000,"",0)</f>
        <v>4803.83</v>
      </c>
      <c r="L734">
        <f>_xlfn.XLOOKUP($A734,ALGLIB_SSA_XAUUSD!$J$2:$J$1000,ALGLIB_SSA_XAUUSD!$N$2:$N$1000,"",0)</f>
        <v>4802.62392</v>
      </c>
      <c r="M734">
        <f>_xlfn.XLOOKUP($A734,ALGLIB_SSA_XAUUSD!$J$2:$J$1000,ALGLIB_SSA_XAUUSD!$O$2:$O$1000,"",0)</f>
        <v>4803.9051200000004</v>
      </c>
      <c r="N734">
        <f>_xlfn.XLOOKUP($A734,ALGLIB_SSA_XAUUSD!$J$2:$J$1000,ALGLIB_SSA_XAUUSD!$P$2:$P$1000,"",0)</f>
        <v>4805.2979599999999</v>
      </c>
      <c r="O734">
        <f>_xlfn.XLOOKUP($A734,ALGLIB_SSA_XAUUSD!$J$2:$J$1000,ALGLIB_SSA_XAUUSD!$Q$2:$Q$1000,"",0)</f>
        <v>4800.7058699999998</v>
      </c>
      <c r="R734">
        <f t="shared" si="121"/>
        <v>1775617200</v>
      </c>
      <c r="S734" t="str">
        <f t="shared" si="122"/>
        <v>XAUUSD</v>
      </c>
      <c r="T734" t="str">
        <f t="shared" si="123"/>
        <v>M5</v>
      </c>
      <c r="U734">
        <f t="shared" si="124"/>
        <v>4803.83</v>
      </c>
      <c r="V734">
        <v>4822.3245399999996</v>
      </c>
      <c r="W734">
        <v>4818.3476199999996</v>
      </c>
      <c r="X734">
        <v>4802.62392</v>
      </c>
      <c r="Y734">
        <v>4803.9051200000004</v>
      </c>
      <c r="Z734">
        <f t="shared" si="125"/>
        <v>4837.1471499999998</v>
      </c>
      <c r="AA734">
        <f t="shared" si="126"/>
        <v>4805.2979599999999</v>
      </c>
      <c r="AB734">
        <f t="shared" si="127"/>
        <v>4809.5740800000003</v>
      </c>
      <c r="AC734">
        <f t="shared" si="128"/>
        <v>4800.7058699999998</v>
      </c>
      <c r="AF734">
        <f t="shared" si="129"/>
        <v>4802.62392</v>
      </c>
      <c r="AG734">
        <f t="shared" si="130"/>
        <v>4837.1471499999998</v>
      </c>
      <c r="AH734">
        <f t="shared" si="131"/>
        <v>4809.5740800000003</v>
      </c>
    </row>
    <row r="735" spans="1:34" x14ac:dyDescent="0.55000000000000004">
      <c r="A735">
        <f>ALGLIB_SSA_XAUUSD!J735</f>
        <v>1775617500</v>
      </c>
      <c r="B735" t="str">
        <f>_xlfn.XLOOKUP($A735,ALGLIB_SSA_XAUUSD!$A$2:$A$1000,ALGLIB_SSA_XAUUSD!$B$2:$B$1000,"",0)</f>
        <v/>
      </c>
      <c r="C735" t="str">
        <f>_xlfn.XLOOKUP($A735,ALGLIB_SSA_XAUUSD!$A$2:$A$1000,ALGLIB_SSA_XAUUSD!$C$2:$C$1000,"",0)</f>
        <v/>
      </c>
      <c r="D735" s="1">
        <f>D734+(D746-D734)*1/12</f>
        <v>4798.3450000000003</v>
      </c>
      <c r="E735" s="1">
        <f>E734+(E746-E734)*1/12</f>
        <v>4821.9518099999996</v>
      </c>
      <c r="F735" s="1">
        <f>F734+(F746-F734)*1/12</f>
        <v>4818.3269599999994</v>
      </c>
      <c r="G735" s="1">
        <f>G734+(G746-G734)*1/12</f>
        <v>4836.6922541666663</v>
      </c>
      <c r="H735" s="1">
        <f>H734+(H746-H734)*1/12</f>
        <v>4809.5449724999999</v>
      </c>
      <c r="I735" t="str">
        <f>_xlfn.XLOOKUP($A735,ALGLIB_SSA_XAUUSD!$J$2:$J$1000,ALGLIB_SSA_XAUUSD!$K$2:$K$1000,"",0)</f>
        <v>XAUUSD</v>
      </c>
      <c r="J735" t="str">
        <f>_xlfn.XLOOKUP($A735,ALGLIB_SSA_XAUUSD!$J$2:$J$1000,ALGLIB_SSA_XAUUSD!$L$2:$L$1000,"",0)</f>
        <v>M5</v>
      </c>
      <c r="K735">
        <f>_xlfn.XLOOKUP($A735,ALGLIB_SSA_XAUUSD!$J$2:$J$1000,ALGLIB_SSA_XAUUSD!$M$2:$M$1000,"",0)</f>
        <v>4802.6099999999997</v>
      </c>
      <c r="L735">
        <f>_xlfn.XLOOKUP($A735,ALGLIB_SSA_XAUUSD!$J$2:$J$1000,ALGLIB_SSA_XAUUSD!$N$2:$N$1000,"",0)</f>
        <v>4801.6266100000003</v>
      </c>
      <c r="M735">
        <f>_xlfn.XLOOKUP($A735,ALGLIB_SSA_XAUUSD!$J$2:$J$1000,ALGLIB_SSA_XAUUSD!$O$2:$O$1000,"",0)</f>
        <v>4802.7658700000002</v>
      </c>
      <c r="N735">
        <f>_xlfn.XLOOKUP($A735,ALGLIB_SSA_XAUUSD!$J$2:$J$1000,ALGLIB_SSA_XAUUSD!$P$2:$P$1000,"",0)</f>
        <v>4803.9804199999999</v>
      </c>
      <c r="O735">
        <f>_xlfn.XLOOKUP($A735,ALGLIB_SSA_XAUUSD!$J$2:$J$1000,ALGLIB_SSA_XAUUSD!$Q$2:$Q$1000,"",0)</f>
        <v>4799.5220200000003</v>
      </c>
      <c r="R735">
        <f t="shared" si="121"/>
        <v>1775617500</v>
      </c>
      <c r="S735" t="str">
        <f t="shared" si="122"/>
        <v>XAUUSD</v>
      </c>
      <c r="T735" t="str">
        <f t="shared" si="123"/>
        <v>M5</v>
      </c>
      <c r="U735">
        <f t="shared" si="124"/>
        <v>4802.6099999999997</v>
      </c>
      <c r="V735">
        <v>4821.9518099999996</v>
      </c>
      <c r="W735">
        <v>4818.3269600000003</v>
      </c>
      <c r="X735">
        <v>4801.6266100000003</v>
      </c>
      <c r="Y735">
        <v>4802.7658700000002</v>
      </c>
      <c r="Z735">
        <f t="shared" si="125"/>
        <v>4836.6922541666663</v>
      </c>
      <c r="AA735">
        <f t="shared" si="126"/>
        <v>4803.9804199999999</v>
      </c>
      <c r="AB735">
        <f t="shared" si="127"/>
        <v>4809.5449724999999</v>
      </c>
      <c r="AC735">
        <f t="shared" si="128"/>
        <v>4799.5220200000003</v>
      </c>
      <c r="AF735">
        <f t="shared" si="129"/>
        <v>4801.6266100000003</v>
      </c>
      <c r="AG735">
        <f t="shared" si="130"/>
        <v>4836.6922541666663</v>
      </c>
      <c r="AH735">
        <f t="shared" si="131"/>
        <v>4809.5449724999999</v>
      </c>
    </row>
    <row r="736" spans="1:34" x14ac:dyDescent="0.55000000000000004">
      <c r="A736">
        <f>ALGLIB_SSA_XAUUSD!J736</f>
        <v>1775617800</v>
      </c>
      <c r="B736" t="str">
        <f>_xlfn.XLOOKUP($A736,ALGLIB_SSA_XAUUSD!$A$2:$A$1000,ALGLIB_SSA_XAUUSD!$B$2:$B$1000,"",0)</f>
        <v/>
      </c>
      <c r="C736" t="str">
        <f>_xlfn.XLOOKUP($A736,ALGLIB_SSA_XAUUSD!$A$2:$A$1000,ALGLIB_SSA_XAUUSD!$C$2:$C$1000,"",0)</f>
        <v/>
      </c>
      <c r="D736" s="1">
        <f>D734+(D746-D734)*2/12</f>
        <v>4798.8599999999997</v>
      </c>
      <c r="E736" s="1">
        <f>E734+(E746-E734)*2/12</f>
        <v>4821.5790799999995</v>
      </c>
      <c r="F736" s="1">
        <f>F734+(F746-F734)*2/12</f>
        <v>4818.3062999999993</v>
      </c>
      <c r="G736" s="1">
        <f>G734+(G746-G734)*2/12</f>
        <v>4836.2373583333328</v>
      </c>
      <c r="H736" s="1">
        <f>H734+(H746-H734)*2/12</f>
        <v>4809.5158650000003</v>
      </c>
      <c r="I736" t="str">
        <f>_xlfn.XLOOKUP($A736,ALGLIB_SSA_XAUUSD!$J$2:$J$1000,ALGLIB_SSA_XAUUSD!$K$2:$K$1000,"",0)</f>
        <v>XAUUSD</v>
      </c>
      <c r="J736" t="str">
        <f>_xlfn.XLOOKUP($A736,ALGLIB_SSA_XAUUSD!$J$2:$J$1000,ALGLIB_SSA_XAUUSD!$L$2:$L$1000,"",0)</f>
        <v>M5</v>
      </c>
      <c r="K736">
        <f>_xlfn.XLOOKUP($A736,ALGLIB_SSA_XAUUSD!$J$2:$J$1000,ALGLIB_SSA_XAUUSD!$M$2:$M$1000,"",0)</f>
        <v>4799.1099999999997</v>
      </c>
      <c r="L736">
        <f>_xlfn.XLOOKUP($A736,ALGLIB_SSA_XAUUSD!$J$2:$J$1000,ALGLIB_SSA_XAUUSD!$N$2:$N$1000,"",0)</f>
        <v>4800.8669</v>
      </c>
      <c r="M736">
        <f>_xlfn.XLOOKUP($A736,ALGLIB_SSA_XAUUSD!$J$2:$J$1000,ALGLIB_SSA_XAUUSD!$O$2:$O$1000,"",0)</f>
        <v>4801.8163800000002</v>
      </c>
      <c r="N736">
        <f>_xlfn.XLOOKUP($A736,ALGLIB_SSA_XAUUSD!$J$2:$J$1000,ALGLIB_SSA_XAUUSD!$P$2:$P$1000,"",0)</f>
        <v>4803.0499</v>
      </c>
      <c r="O736">
        <f>_xlfn.XLOOKUP($A736,ALGLIB_SSA_XAUUSD!$J$2:$J$1000,ALGLIB_SSA_XAUUSD!$Q$2:$Q$1000,"",0)</f>
        <v>4798.5248600000004</v>
      </c>
      <c r="R736">
        <f t="shared" si="121"/>
        <v>1775617800</v>
      </c>
      <c r="S736" t="str">
        <f t="shared" si="122"/>
        <v>XAUUSD</v>
      </c>
      <c r="T736" t="str">
        <f t="shared" si="123"/>
        <v>M5</v>
      </c>
      <c r="U736">
        <f t="shared" si="124"/>
        <v>4799.1099999999997</v>
      </c>
      <c r="V736">
        <v>4821.5790800000004</v>
      </c>
      <c r="W736">
        <v>4818.3063000000002</v>
      </c>
      <c r="X736">
        <v>4800.8669</v>
      </c>
      <c r="Y736">
        <v>4801.8163800000002</v>
      </c>
      <c r="Z736">
        <f t="shared" si="125"/>
        <v>4836.2373583333328</v>
      </c>
      <c r="AA736">
        <f t="shared" si="126"/>
        <v>4803.0499</v>
      </c>
      <c r="AB736">
        <f t="shared" si="127"/>
        <v>4809.5158650000003</v>
      </c>
      <c r="AC736">
        <f t="shared" si="128"/>
        <v>4798.5248600000004</v>
      </c>
      <c r="AF736">
        <f t="shared" si="129"/>
        <v>4800.8669</v>
      </c>
      <c r="AG736">
        <f t="shared" si="130"/>
        <v>4836.2373583333328</v>
      </c>
      <c r="AH736">
        <f t="shared" si="131"/>
        <v>4809.5158650000003</v>
      </c>
    </row>
    <row r="737" spans="1:34" x14ac:dyDescent="0.55000000000000004">
      <c r="A737">
        <f>ALGLIB_SSA_XAUUSD!J737</f>
        <v>1775618100</v>
      </c>
      <c r="B737" t="str">
        <f>_xlfn.XLOOKUP($A737,ALGLIB_SSA_XAUUSD!$A$2:$A$1000,ALGLIB_SSA_XAUUSD!$B$2:$B$1000,"",0)</f>
        <v/>
      </c>
      <c r="C737" t="str">
        <f>_xlfn.XLOOKUP($A737,ALGLIB_SSA_XAUUSD!$A$2:$A$1000,ALGLIB_SSA_XAUUSD!$C$2:$C$1000,"",0)</f>
        <v/>
      </c>
      <c r="D737" s="1">
        <f>D734+(D746-D734)*3/12</f>
        <v>4799.375</v>
      </c>
      <c r="E737" s="1">
        <f>E734+(E746-E734)*3/12</f>
        <v>4821.2063499999995</v>
      </c>
      <c r="F737" s="1">
        <f>F734+(F746-F734)*3/12</f>
        <v>4818.2856400000001</v>
      </c>
      <c r="G737" s="1">
        <f>G734+(G746-G734)*3/12</f>
        <v>4835.7824624999994</v>
      </c>
      <c r="H737" s="1">
        <f>H734+(H746-H734)*3/12</f>
        <v>4809.4867575000007</v>
      </c>
      <c r="I737" t="str">
        <f>_xlfn.XLOOKUP($A737,ALGLIB_SSA_XAUUSD!$J$2:$J$1000,ALGLIB_SSA_XAUUSD!$K$2:$K$1000,"",0)</f>
        <v>XAUUSD</v>
      </c>
      <c r="J737" t="str">
        <f>_xlfn.XLOOKUP($A737,ALGLIB_SSA_XAUUSD!$J$2:$J$1000,ALGLIB_SSA_XAUUSD!$L$2:$L$1000,"",0)</f>
        <v>M5</v>
      </c>
      <c r="K737">
        <f>_xlfn.XLOOKUP($A737,ALGLIB_SSA_XAUUSD!$J$2:$J$1000,ALGLIB_SSA_XAUUSD!$M$2:$M$1000,"",0)</f>
        <v>4798.12</v>
      </c>
      <c r="L737">
        <f>_xlfn.XLOOKUP($A737,ALGLIB_SSA_XAUUSD!$J$2:$J$1000,ALGLIB_SSA_XAUUSD!$N$2:$N$1000,"",0)</f>
        <v>4800.4547000000002</v>
      </c>
      <c r="M737">
        <f>_xlfn.XLOOKUP($A737,ALGLIB_SSA_XAUUSD!$J$2:$J$1000,ALGLIB_SSA_XAUUSD!$O$2:$O$1000,"",0)</f>
        <v>4801.1355400000002</v>
      </c>
      <c r="N737">
        <f>_xlfn.XLOOKUP($A737,ALGLIB_SSA_XAUUSD!$J$2:$J$1000,ALGLIB_SSA_XAUUSD!$P$2:$P$1000,"",0)</f>
        <v>4802.5784899999999</v>
      </c>
      <c r="O737">
        <f>_xlfn.XLOOKUP($A737,ALGLIB_SSA_XAUUSD!$J$2:$J$1000,ALGLIB_SSA_XAUUSD!$Q$2:$Q$1000,"",0)</f>
        <v>4797.8382000000001</v>
      </c>
      <c r="R737">
        <f t="shared" si="121"/>
        <v>1775618100</v>
      </c>
      <c r="S737" t="str">
        <f t="shared" si="122"/>
        <v>XAUUSD</v>
      </c>
      <c r="T737" t="str">
        <f t="shared" si="123"/>
        <v>M5</v>
      </c>
      <c r="U737">
        <f t="shared" si="124"/>
        <v>4798.12</v>
      </c>
      <c r="V737">
        <v>4821.2063500000004</v>
      </c>
      <c r="W737">
        <v>4818.2856400000001</v>
      </c>
      <c r="X737">
        <v>4800.4547000000002</v>
      </c>
      <c r="Y737">
        <v>4801.1355400000002</v>
      </c>
      <c r="Z737">
        <f t="shared" si="125"/>
        <v>4835.7824624999994</v>
      </c>
      <c r="AA737">
        <f t="shared" si="126"/>
        <v>4802.5784899999999</v>
      </c>
      <c r="AB737">
        <f t="shared" si="127"/>
        <v>4809.4867575000007</v>
      </c>
      <c r="AC737">
        <f t="shared" si="128"/>
        <v>4797.8382000000001</v>
      </c>
      <c r="AF737">
        <f t="shared" si="129"/>
        <v>4800.4547000000002</v>
      </c>
      <c r="AG737">
        <f t="shared" si="130"/>
        <v>4835.7824624999994</v>
      </c>
      <c r="AH737">
        <f t="shared" si="131"/>
        <v>4809.4867575000007</v>
      </c>
    </row>
    <row r="738" spans="1:34" x14ac:dyDescent="0.55000000000000004">
      <c r="A738">
        <f>ALGLIB_SSA_XAUUSD!J738</f>
        <v>1775618400</v>
      </c>
      <c r="B738" t="str">
        <f>_xlfn.XLOOKUP($A738,ALGLIB_SSA_XAUUSD!$A$2:$A$1000,ALGLIB_SSA_XAUUSD!$B$2:$B$1000,"",0)</f>
        <v/>
      </c>
      <c r="C738" t="str">
        <f>_xlfn.XLOOKUP($A738,ALGLIB_SSA_XAUUSD!$A$2:$A$1000,ALGLIB_SSA_XAUUSD!$C$2:$C$1000,"",0)</f>
        <v/>
      </c>
      <c r="D738" s="1">
        <f>D734+(D746-D734)*4/12</f>
        <v>4799.8900000000003</v>
      </c>
      <c r="E738" s="1">
        <f>E734+(E746-E734)*4/12</f>
        <v>4820.8336199999994</v>
      </c>
      <c r="F738" s="1">
        <f>F734+(F746-F734)*4/12</f>
        <v>4818.2649799999999</v>
      </c>
      <c r="G738" s="1">
        <f>G734+(G746-G734)*4/12</f>
        <v>4835.3275666666668</v>
      </c>
      <c r="H738" s="1">
        <f>H734+(H746-H734)*4/12</f>
        <v>4809.4576500000003</v>
      </c>
      <c r="I738" t="str">
        <f>_xlfn.XLOOKUP($A738,ALGLIB_SSA_XAUUSD!$J$2:$J$1000,ALGLIB_SSA_XAUUSD!$K$2:$K$1000,"",0)</f>
        <v>XAUUSD</v>
      </c>
      <c r="J738" t="str">
        <f>_xlfn.XLOOKUP($A738,ALGLIB_SSA_XAUUSD!$J$2:$J$1000,ALGLIB_SSA_XAUUSD!$L$2:$L$1000,"",0)</f>
        <v>M5</v>
      </c>
      <c r="K738">
        <f>_xlfn.XLOOKUP($A738,ALGLIB_SSA_XAUUSD!$J$2:$J$1000,ALGLIB_SSA_XAUUSD!$M$2:$M$1000,"",0)</f>
        <v>4800.5600000000004</v>
      </c>
      <c r="L738">
        <f>_xlfn.XLOOKUP($A738,ALGLIB_SSA_XAUUSD!$J$2:$J$1000,ALGLIB_SSA_XAUUSD!$N$2:$N$1000,"",0)</f>
        <v>4800.35646</v>
      </c>
      <c r="M738">
        <f>_xlfn.XLOOKUP($A738,ALGLIB_SSA_XAUUSD!$J$2:$J$1000,ALGLIB_SSA_XAUUSD!$O$2:$O$1000,"",0)</f>
        <v>4800.7460000000001</v>
      </c>
      <c r="N738">
        <f>_xlfn.XLOOKUP($A738,ALGLIB_SSA_XAUUSD!$J$2:$J$1000,ALGLIB_SSA_XAUUSD!$P$2:$P$1000,"",0)</f>
        <v>4802.6260000000002</v>
      </c>
      <c r="O738">
        <f>_xlfn.XLOOKUP($A738,ALGLIB_SSA_XAUUSD!$J$2:$J$1000,ALGLIB_SSA_XAUUSD!$Q$2:$Q$1000,"",0)</f>
        <v>4797.5228299999999</v>
      </c>
      <c r="R738">
        <f t="shared" si="121"/>
        <v>1775618400</v>
      </c>
      <c r="S738" t="str">
        <f t="shared" si="122"/>
        <v>XAUUSD</v>
      </c>
      <c r="T738" t="str">
        <f t="shared" si="123"/>
        <v>M5</v>
      </c>
      <c r="U738">
        <f t="shared" si="124"/>
        <v>4800.5600000000004</v>
      </c>
      <c r="V738">
        <v>4820.8336200000003</v>
      </c>
      <c r="W738">
        <v>4818.2649799999999</v>
      </c>
      <c r="X738">
        <v>4800.35646</v>
      </c>
      <c r="Y738">
        <v>4800.7460000000001</v>
      </c>
      <c r="Z738">
        <f t="shared" si="125"/>
        <v>4835.3275666666668</v>
      </c>
      <c r="AA738">
        <f t="shared" si="126"/>
        <v>4802.6260000000002</v>
      </c>
      <c r="AB738">
        <f t="shared" si="127"/>
        <v>4809.4576500000003</v>
      </c>
      <c r="AC738">
        <f t="shared" si="128"/>
        <v>4797.5228299999999</v>
      </c>
      <c r="AF738">
        <f t="shared" si="129"/>
        <v>4800.35646</v>
      </c>
      <c r="AG738">
        <f t="shared" si="130"/>
        <v>4835.3275666666668</v>
      </c>
      <c r="AH738">
        <f t="shared" si="131"/>
        <v>4809.4576500000003</v>
      </c>
    </row>
    <row r="739" spans="1:34" x14ac:dyDescent="0.55000000000000004">
      <c r="A739">
        <f>ALGLIB_SSA_XAUUSD!J739</f>
        <v>1775618700</v>
      </c>
      <c r="B739" t="str">
        <f>_xlfn.XLOOKUP($A739,ALGLIB_SSA_XAUUSD!$A$2:$A$1000,ALGLIB_SSA_XAUUSD!$B$2:$B$1000,"",0)</f>
        <v/>
      </c>
      <c r="C739" t="str">
        <f>_xlfn.XLOOKUP($A739,ALGLIB_SSA_XAUUSD!$A$2:$A$1000,ALGLIB_SSA_XAUUSD!$C$2:$C$1000,"",0)</f>
        <v/>
      </c>
      <c r="D739" s="1">
        <f>D734+(D746-D734)*5/12</f>
        <v>4800.4049999999997</v>
      </c>
      <c r="E739" s="1">
        <f>E734+(E746-E734)*5/12</f>
        <v>4820.4608899999994</v>
      </c>
      <c r="F739" s="1">
        <f>F734+(F746-F734)*5/12</f>
        <v>4818.2443199999998</v>
      </c>
      <c r="G739" s="1">
        <f>G734+(G746-G734)*5/12</f>
        <v>4834.8726708333334</v>
      </c>
      <c r="H739" s="1">
        <f>H734+(H746-H734)*5/12</f>
        <v>4809.4285424999998</v>
      </c>
      <c r="I739" t="str">
        <f>_xlfn.XLOOKUP($A739,ALGLIB_SSA_XAUUSD!$J$2:$J$1000,ALGLIB_SSA_XAUUSD!$K$2:$K$1000,"",0)</f>
        <v>XAUUSD</v>
      </c>
      <c r="J739" t="str">
        <f>_xlfn.XLOOKUP($A739,ALGLIB_SSA_XAUUSD!$J$2:$J$1000,ALGLIB_SSA_XAUUSD!$L$2:$L$1000,"",0)</f>
        <v>M5</v>
      </c>
      <c r="K739">
        <f>_xlfn.XLOOKUP($A739,ALGLIB_SSA_XAUUSD!$J$2:$J$1000,ALGLIB_SSA_XAUUSD!$M$2:$M$1000,"",0)</f>
        <v>4803.29</v>
      </c>
      <c r="L739">
        <f>_xlfn.XLOOKUP($A739,ALGLIB_SSA_XAUUSD!$J$2:$J$1000,ALGLIB_SSA_XAUUSD!$N$2:$N$1000,"",0)</f>
        <v>4800.38879</v>
      </c>
      <c r="M739">
        <f>_xlfn.XLOOKUP($A739,ALGLIB_SSA_XAUUSD!$J$2:$J$1000,ALGLIB_SSA_XAUUSD!$O$2:$O$1000,"",0)</f>
        <v>4800.5673900000002</v>
      </c>
      <c r="N739">
        <f>_xlfn.XLOOKUP($A739,ALGLIB_SSA_XAUUSD!$J$2:$J$1000,ALGLIB_SSA_XAUUSD!$P$2:$P$1000,"",0)</f>
        <v>4802.9863100000002</v>
      </c>
      <c r="O739">
        <f>_xlfn.XLOOKUP($A739,ALGLIB_SSA_XAUUSD!$J$2:$J$1000,ALGLIB_SSA_XAUUSD!$Q$2:$Q$1000,"",0)</f>
        <v>4797.5093900000002</v>
      </c>
      <c r="R739">
        <f t="shared" si="121"/>
        <v>1775618700</v>
      </c>
      <c r="S739" t="str">
        <f t="shared" si="122"/>
        <v>XAUUSD</v>
      </c>
      <c r="T739" t="str">
        <f t="shared" si="123"/>
        <v>M5</v>
      </c>
      <c r="U739">
        <f t="shared" si="124"/>
        <v>4803.29</v>
      </c>
      <c r="V739">
        <v>4820.4608900000003</v>
      </c>
      <c r="W739">
        <v>4818.2443199999998</v>
      </c>
      <c r="X739">
        <v>4800.38879</v>
      </c>
      <c r="Y739">
        <v>4800.5673900000002</v>
      </c>
      <c r="Z739">
        <f t="shared" si="125"/>
        <v>4834.8726708333334</v>
      </c>
      <c r="AA739">
        <f t="shared" si="126"/>
        <v>4802.9863100000002</v>
      </c>
      <c r="AB739">
        <f t="shared" si="127"/>
        <v>4809.4285424999998</v>
      </c>
      <c r="AC739">
        <f t="shared" si="128"/>
        <v>4797.5093900000002</v>
      </c>
      <c r="AF739">
        <f t="shared" si="129"/>
        <v>4800.38879</v>
      </c>
      <c r="AG739">
        <f t="shared" si="130"/>
        <v>4834.8726708333334</v>
      </c>
      <c r="AH739">
        <f t="shared" si="131"/>
        <v>4809.4285424999998</v>
      </c>
    </row>
    <row r="740" spans="1:34" x14ac:dyDescent="0.55000000000000004">
      <c r="A740">
        <f>ALGLIB_SSA_XAUUSD!J740</f>
        <v>1775619000</v>
      </c>
      <c r="B740" t="str">
        <f>_xlfn.XLOOKUP($A740,ALGLIB_SSA_XAUUSD!$A$2:$A$1000,ALGLIB_SSA_XAUUSD!$B$2:$B$1000,"",0)</f>
        <v/>
      </c>
      <c r="C740" t="str">
        <f>_xlfn.XLOOKUP($A740,ALGLIB_SSA_XAUUSD!$A$2:$A$1000,ALGLIB_SSA_XAUUSD!$C$2:$C$1000,"",0)</f>
        <v/>
      </c>
      <c r="D740" s="1">
        <f>D734+(D746-D734)*6/12</f>
        <v>4800.92</v>
      </c>
      <c r="E740" s="1">
        <f>E734+(E746-E734)*6/12</f>
        <v>4820.0881599999993</v>
      </c>
      <c r="F740" s="1">
        <f>F734+(F746-F734)*6/12</f>
        <v>4818.2236599999997</v>
      </c>
      <c r="G740" s="1">
        <f>G734+(G746-G734)*6/12</f>
        <v>4834.4177749999999</v>
      </c>
      <c r="H740" s="1">
        <f>H734+(H746-H734)*6/12</f>
        <v>4809.3994350000003</v>
      </c>
      <c r="I740" t="str">
        <f>_xlfn.XLOOKUP($A740,ALGLIB_SSA_XAUUSD!$J$2:$J$1000,ALGLIB_SSA_XAUUSD!$K$2:$K$1000,"",0)</f>
        <v>XAUUSD</v>
      </c>
      <c r="J740" t="str">
        <f>_xlfn.XLOOKUP($A740,ALGLIB_SSA_XAUUSD!$J$2:$J$1000,ALGLIB_SSA_XAUUSD!$L$2:$L$1000,"",0)</f>
        <v>M5</v>
      </c>
      <c r="K740">
        <f>_xlfn.XLOOKUP($A740,ALGLIB_SSA_XAUUSD!$J$2:$J$1000,ALGLIB_SSA_XAUUSD!$M$2:$M$1000,"",0)</f>
        <v>4800.37</v>
      </c>
      <c r="L740">
        <f>_xlfn.XLOOKUP($A740,ALGLIB_SSA_XAUUSD!$J$2:$J$1000,ALGLIB_SSA_XAUUSD!$N$2:$N$1000,"",0)</f>
        <v>4800.3683700000001</v>
      </c>
      <c r="M740">
        <f>_xlfn.XLOOKUP($A740,ALGLIB_SSA_XAUUSD!$J$2:$J$1000,ALGLIB_SSA_XAUUSD!$O$2:$O$1000,"",0)</f>
        <v>4800.4678800000002</v>
      </c>
      <c r="N740">
        <f>_xlfn.XLOOKUP($A740,ALGLIB_SSA_XAUUSD!$J$2:$J$1000,ALGLIB_SSA_XAUUSD!$P$2:$P$1000,"",0)</f>
        <v>4803.4107199999999</v>
      </c>
      <c r="O740">
        <f>_xlfn.XLOOKUP($A740,ALGLIB_SSA_XAUUSD!$J$2:$J$1000,ALGLIB_SSA_XAUUSD!$Q$2:$Q$1000,"",0)</f>
        <v>4797.6435499999998</v>
      </c>
      <c r="R740">
        <f t="shared" si="121"/>
        <v>1775619000</v>
      </c>
      <c r="S740" t="str">
        <f t="shared" si="122"/>
        <v>XAUUSD</v>
      </c>
      <c r="T740" t="str">
        <f t="shared" si="123"/>
        <v>M5</v>
      </c>
      <c r="U740">
        <f t="shared" si="124"/>
        <v>4800.37</v>
      </c>
      <c r="V740">
        <v>4820.0881600000002</v>
      </c>
      <c r="W740">
        <v>4818.2236599999997</v>
      </c>
      <c r="X740">
        <v>4800.3683700000001</v>
      </c>
      <c r="Y740">
        <v>4800.4678800000002</v>
      </c>
      <c r="Z740">
        <f t="shared" si="125"/>
        <v>4834.4177749999999</v>
      </c>
      <c r="AA740">
        <f t="shared" si="126"/>
        <v>4803.4107199999999</v>
      </c>
      <c r="AB740">
        <f t="shared" si="127"/>
        <v>4809.3994350000003</v>
      </c>
      <c r="AC740">
        <f t="shared" si="128"/>
        <v>4797.6435499999998</v>
      </c>
      <c r="AF740">
        <f t="shared" si="129"/>
        <v>4800.3683700000001</v>
      </c>
      <c r="AG740">
        <f t="shared" si="130"/>
        <v>4834.4177749999999</v>
      </c>
      <c r="AH740">
        <f t="shared" si="131"/>
        <v>4809.3994350000003</v>
      </c>
    </row>
    <row r="741" spans="1:34" x14ac:dyDescent="0.55000000000000004">
      <c r="A741">
        <f>ALGLIB_SSA_XAUUSD!J741</f>
        <v>1775619300</v>
      </c>
      <c r="B741" t="str">
        <f>_xlfn.XLOOKUP($A741,ALGLIB_SSA_XAUUSD!$A$2:$A$1000,ALGLIB_SSA_XAUUSD!$B$2:$B$1000,"",0)</f>
        <v/>
      </c>
      <c r="C741" t="str">
        <f>_xlfn.XLOOKUP($A741,ALGLIB_SSA_XAUUSD!$A$2:$A$1000,ALGLIB_SSA_XAUUSD!$C$2:$C$1000,"",0)</f>
        <v/>
      </c>
      <c r="D741" s="1">
        <f>D734+(D746-D734)*7/12</f>
        <v>4801.4350000000004</v>
      </c>
      <c r="E741" s="1">
        <f>E734+(E746-E734)*7/12</f>
        <v>4819.7154300000002</v>
      </c>
      <c r="F741" s="1">
        <f>F734+(F746-F734)*7/12</f>
        <v>4818.2029999999995</v>
      </c>
      <c r="G741" s="1">
        <f>G734+(G746-G734)*7/12</f>
        <v>4833.9628791666664</v>
      </c>
      <c r="H741" s="1">
        <f>H734+(H746-H734)*7/12</f>
        <v>4809.3703275000007</v>
      </c>
      <c r="I741" t="str">
        <f>_xlfn.XLOOKUP($A741,ALGLIB_SSA_XAUUSD!$J$2:$J$1000,ALGLIB_SSA_XAUUSD!$K$2:$K$1000,"",0)</f>
        <v>XAUUSD</v>
      </c>
      <c r="J741" t="str">
        <f>_xlfn.XLOOKUP($A741,ALGLIB_SSA_XAUUSD!$J$2:$J$1000,ALGLIB_SSA_XAUUSD!$L$2:$L$1000,"",0)</f>
        <v>M5</v>
      </c>
      <c r="K741">
        <f>_xlfn.XLOOKUP($A741,ALGLIB_SSA_XAUUSD!$J$2:$J$1000,ALGLIB_SSA_XAUUSD!$M$2:$M$1000,"",0)</f>
        <v>4797.6499999999996</v>
      </c>
      <c r="L741">
        <f>_xlfn.XLOOKUP($A741,ALGLIB_SSA_XAUUSD!$J$2:$J$1000,ALGLIB_SSA_XAUUSD!$N$2:$N$1000,"",0)</f>
        <v>4800.2489999999998</v>
      </c>
      <c r="M741">
        <f>_xlfn.XLOOKUP($A741,ALGLIB_SSA_XAUUSD!$J$2:$J$1000,ALGLIB_SSA_XAUUSD!$O$2:$O$1000,"",0)</f>
        <v>4800.35844</v>
      </c>
      <c r="N741">
        <f>_xlfn.XLOOKUP($A741,ALGLIB_SSA_XAUUSD!$J$2:$J$1000,ALGLIB_SSA_XAUUSD!$P$2:$P$1000,"",0)</f>
        <v>4803.7358700000004</v>
      </c>
      <c r="O741">
        <f>_xlfn.XLOOKUP($A741,ALGLIB_SSA_XAUUSD!$J$2:$J$1000,ALGLIB_SSA_XAUUSD!$Q$2:$Q$1000,"",0)</f>
        <v>4797.8687799999998</v>
      </c>
      <c r="R741">
        <f t="shared" si="121"/>
        <v>1775619300</v>
      </c>
      <c r="S741" t="str">
        <f t="shared" si="122"/>
        <v>XAUUSD</v>
      </c>
      <c r="T741" t="str">
        <f t="shared" si="123"/>
        <v>M5</v>
      </c>
      <c r="U741">
        <f t="shared" si="124"/>
        <v>4797.6499999999996</v>
      </c>
      <c r="V741">
        <v>4819.7154300000002</v>
      </c>
      <c r="W741">
        <v>4818.2030000000004</v>
      </c>
      <c r="X741">
        <v>4800.2489999999998</v>
      </c>
      <c r="Y741">
        <v>4800.35844</v>
      </c>
      <c r="Z741">
        <f t="shared" si="125"/>
        <v>4833.9628791666664</v>
      </c>
      <c r="AA741">
        <f t="shared" si="126"/>
        <v>4803.7358700000004</v>
      </c>
      <c r="AB741">
        <f t="shared" si="127"/>
        <v>4809.3703275000007</v>
      </c>
      <c r="AC741">
        <f t="shared" si="128"/>
        <v>4797.8687799999998</v>
      </c>
      <c r="AF741">
        <f t="shared" si="129"/>
        <v>4800.2489999999998</v>
      </c>
      <c r="AG741">
        <f t="shared" si="130"/>
        <v>4833.9628791666664</v>
      </c>
      <c r="AH741">
        <f t="shared" si="131"/>
        <v>4809.3703275000007</v>
      </c>
    </row>
    <row r="742" spans="1:34" x14ac:dyDescent="0.55000000000000004">
      <c r="A742">
        <f>ALGLIB_SSA_XAUUSD!J742</f>
        <v>1775619600</v>
      </c>
      <c r="B742" t="str">
        <f>_xlfn.XLOOKUP($A742,ALGLIB_SSA_XAUUSD!$A$2:$A$1000,ALGLIB_SSA_XAUUSD!$B$2:$B$1000,"",0)</f>
        <v/>
      </c>
      <c r="C742" t="str">
        <f>_xlfn.XLOOKUP($A742,ALGLIB_SSA_XAUUSD!$A$2:$A$1000,ALGLIB_SSA_XAUUSD!$C$2:$C$1000,"",0)</f>
        <v/>
      </c>
      <c r="D742" s="1">
        <f>D734+(D746-D734)*8/12</f>
        <v>4801.95</v>
      </c>
      <c r="E742" s="1">
        <f>E734+(E746-E734)*8/12</f>
        <v>4819.3427000000001</v>
      </c>
      <c r="F742" s="1">
        <f>F734+(F746-F734)*8/12</f>
        <v>4818.1823399999994</v>
      </c>
      <c r="G742" s="1">
        <f>G734+(G746-G734)*8/12</f>
        <v>4833.507983333333</v>
      </c>
      <c r="H742" s="1">
        <f>H734+(H746-H734)*8/12</f>
        <v>4809.3412200000002</v>
      </c>
      <c r="I742" t="str">
        <f>_xlfn.XLOOKUP($A742,ALGLIB_SSA_XAUUSD!$J$2:$J$1000,ALGLIB_SSA_XAUUSD!$K$2:$K$1000,"",0)</f>
        <v>XAUUSD</v>
      </c>
      <c r="J742" t="str">
        <f>_xlfn.XLOOKUP($A742,ALGLIB_SSA_XAUUSD!$J$2:$J$1000,ALGLIB_SSA_XAUUSD!$L$2:$L$1000,"",0)</f>
        <v>M5</v>
      </c>
      <c r="K742">
        <f>_xlfn.XLOOKUP($A742,ALGLIB_SSA_XAUUSD!$J$2:$J$1000,ALGLIB_SSA_XAUUSD!$M$2:$M$1000,"",0)</f>
        <v>4800.7</v>
      </c>
      <c r="L742">
        <f>_xlfn.XLOOKUP($A742,ALGLIB_SSA_XAUUSD!$J$2:$J$1000,ALGLIB_SSA_XAUUSD!$N$2:$N$1000,"",0)</f>
        <v>4799.9806900000003</v>
      </c>
      <c r="M742">
        <f>_xlfn.XLOOKUP($A742,ALGLIB_SSA_XAUUSD!$J$2:$J$1000,ALGLIB_SSA_XAUUSD!$O$2:$O$1000,"",0)</f>
        <v>4800.16957</v>
      </c>
      <c r="N742">
        <f>_xlfn.XLOOKUP($A742,ALGLIB_SSA_XAUUSD!$J$2:$J$1000,ALGLIB_SSA_XAUUSD!$P$2:$P$1000,"",0)</f>
        <v>4803.83457</v>
      </c>
      <c r="O742">
        <f>_xlfn.XLOOKUP($A742,ALGLIB_SSA_XAUUSD!$J$2:$J$1000,ALGLIB_SSA_XAUUSD!$Q$2:$Q$1000,"",0)</f>
        <v>4797.9710400000004</v>
      </c>
      <c r="R742">
        <f t="shared" si="121"/>
        <v>1775619600</v>
      </c>
      <c r="S742" t="str">
        <f t="shared" si="122"/>
        <v>XAUUSD</v>
      </c>
      <c r="T742" t="str">
        <f t="shared" si="123"/>
        <v>M5</v>
      </c>
      <c r="U742">
        <f t="shared" si="124"/>
        <v>4800.7</v>
      </c>
      <c r="V742">
        <v>4819.3427000000001</v>
      </c>
      <c r="W742">
        <v>4818.1823400000003</v>
      </c>
      <c r="X742">
        <v>4799.9806900000003</v>
      </c>
      <c r="Y742">
        <v>4800.16957</v>
      </c>
      <c r="Z742">
        <f t="shared" si="125"/>
        <v>4833.507983333333</v>
      </c>
      <c r="AA742">
        <f t="shared" si="126"/>
        <v>4803.83457</v>
      </c>
      <c r="AB742">
        <f t="shared" si="127"/>
        <v>4809.3412200000002</v>
      </c>
      <c r="AC742">
        <f t="shared" si="128"/>
        <v>4797.9710400000004</v>
      </c>
      <c r="AF742">
        <f t="shared" si="129"/>
        <v>4799.9806900000003</v>
      </c>
      <c r="AG742">
        <f t="shared" si="130"/>
        <v>4833.507983333333</v>
      </c>
      <c r="AH742">
        <f t="shared" si="131"/>
        <v>4809.3412200000002</v>
      </c>
    </row>
    <row r="743" spans="1:34" x14ac:dyDescent="0.55000000000000004">
      <c r="A743">
        <f>ALGLIB_SSA_XAUUSD!J743</f>
        <v>1775619900</v>
      </c>
      <c r="B743" t="str">
        <f>_xlfn.XLOOKUP($A743,ALGLIB_SSA_XAUUSD!$A$2:$A$1000,ALGLIB_SSA_XAUUSD!$B$2:$B$1000,"",0)</f>
        <v/>
      </c>
      <c r="C743" t="str">
        <f>_xlfn.XLOOKUP($A743,ALGLIB_SSA_XAUUSD!$A$2:$A$1000,ALGLIB_SSA_XAUUSD!$C$2:$C$1000,"",0)</f>
        <v/>
      </c>
      <c r="D743" s="1">
        <f>D734+(D746-D734)*9/12</f>
        <v>4802.4650000000001</v>
      </c>
      <c r="E743" s="1">
        <f>E734+(E746-E734)*9/12</f>
        <v>4818.9699700000001</v>
      </c>
      <c r="F743" s="1">
        <f>F734+(F746-F734)*9/12</f>
        <v>4818.1616799999993</v>
      </c>
      <c r="G743" s="1">
        <f>G734+(G746-G734)*9/12</f>
        <v>4833.0530875000004</v>
      </c>
      <c r="H743" s="1">
        <f>H734+(H746-H734)*9/12</f>
        <v>4809.3121124999998</v>
      </c>
      <c r="I743" t="str">
        <f>_xlfn.XLOOKUP($A743,ALGLIB_SSA_XAUUSD!$J$2:$J$1000,ALGLIB_SSA_XAUUSD!$K$2:$K$1000,"",0)</f>
        <v>XAUUSD</v>
      </c>
      <c r="J743" t="str">
        <f>_xlfn.XLOOKUP($A743,ALGLIB_SSA_XAUUSD!$J$2:$J$1000,ALGLIB_SSA_XAUUSD!$L$2:$L$1000,"",0)</f>
        <v>M5</v>
      </c>
      <c r="K743">
        <f>_xlfn.XLOOKUP($A743,ALGLIB_SSA_XAUUSD!$J$2:$J$1000,ALGLIB_SSA_XAUUSD!$M$2:$M$1000,"",0)</f>
        <v>4799.1099999999997</v>
      </c>
      <c r="L743">
        <f>_xlfn.XLOOKUP($A743,ALGLIB_SSA_XAUUSD!$J$2:$J$1000,ALGLIB_SSA_XAUUSD!$N$2:$N$1000,"",0)</f>
        <v>4799.4230399999997</v>
      </c>
      <c r="M743">
        <f>_xlfn.XLOOKUP($A743,ALGLIB_SSA_XAUUSD!$J$2:$J$1000,ALGLIB_SSA_XAUUSD!$O$2:$O$1000,"",0)</f>
        <v>4799.7963</v>
      </c>
      <c r="N743">
        <f>_xlfn.XLOOKUP($A743,ALGLIB_SSA_XAUUSD!$J$2:$J$1000,ALGLIB_SSA_XAUUSD!$P$2:$P$1000,"",0)</f>
        <v>4803.4909799999996</v>
      </c>
      <c r="O743">
        <f>_xlfn.XLOOKUP($A743,ALGLIB_SSA_XAUUSD!$J$2:$J$1000,ALGLIB_SSA_XAUUSD!$Q$2:$Q$1000,"",0)</f>
        <v>4797.7879999999996</v>
      </c>
      <c r="R743">
        <f t="shared" si="121"/>
        <v>1775619900</v>
      </c>
      <c r="S743" t="str">
        <f t="shared" si="122"/>
        <v>XAUUSD</v>
      </c>
      <c r="T743" t="str">
        <f t="shared" si="123"/>
        <v>M5</v>
      </c>
      <c r="U743">
        <f t="shared" si="124"/>
        <v>4799.1099999999997</v>
      </c>
      <c r="V743">
        <v>4818.9699700000001</v>
      </c>
      <c r="W743">
        <v>4818.1616800000002</v>
      </c>
      <c r="X743">
        <v>4799.4230399999997</v>
      </c>
      <c r="Y743">
        <v>4799.7963</v>
      </c>
      <c r="Z743">
        <f t="shared" si="125"/>
        <v>4833.0530875000004</v>
      </c>
      <c r="AA743">
        <f t="shared" si="126"/>
        <v>4803.4909799999996</v>
      </c>
      <c r="AB743">
        <f t="shared" si="127"/>
        <v>4809.3121124999998</v>
      </c>
      <c r="AC743">
        <f t="shared" si="128"/>
        <v>4797.7879999999996</v>
      </c>
      <c r="AF743">
        <f t="shared" si="129"/>
        <v>4799.4230399999997</v>
      </c>
      <c r="AG743">
        <f t="shared" si="130"/>
        <v>4833.0530875000004</v>
      </c>
      <c r="AH743">
        <f t="shared" si="131"/>
        <v>4809.3121124999998</v>
      </c>
    </row>
    <row r="744" spans="1:34" x14ac:dyDescent="0.55000000000000004">
      <c r="A744">
        <f>ALGLIB_SSA_XAUUSD!J744</f>
        <v>1775620200</v>
      </c>
      <c r="B744" t="str">
        <f>_xlfn.XLOOKUP($A744,ALGLIB_SSA_XAUUSD!$A$2:$A$1000,ALGLIB_SSA_XAUUSD!$B$2:$B$1000,"",0)</f>
        <v/>
      </c>
      <c r="C744" t="str">
        <f>_xlfn.XLOOKUP($A744,ALGLIB_SSA_XAUUSD!$A$2:$A$1000,ALGLIB_SSA_XAUUSD!$C$2:$C$1000,"",0)</f>
        <v/>
      </c>
      <c r="D744" s="1">
        <f>D734+(D746-D734)*10/12</f>
        <v>4802.9800000000005</v>
      </c>
      <c r="E744" s="1">
        <f>E734+(E746-E734)*10/12</f>
        <v>4818.5972400000001</v>
      </c>
      <c r="F744" s="1">
        <f>F734+(F746-F734)*10/12</f>
        <v>4818.14102</v>
      </c>
      <c r="G744" s="1">
        <f>G734+(G746-G734)*10/12</f>
        <v>4832.5981916666669</v>
      </c>
      <c r="H744" s="1">
        <f>H734+(H746-H734)*10/12</f>
        <v>4809.2830050000002</v>
      </c>
      <c r="I744" t="str">
        <f>_xlfn.XLOOKUP($A744,ALGLIB_SSA_XAUUSD!$J$2:$J$1000,ALGLIB_SSA_XAUUSD!$K$2:$K$1000,"",0)</f>
        <v>XAUUSD</v>
      </c>
      <c r="J744" t="str">
        <f>_xlfn.XLOOKUP($A744,ALGLIB_SSA_XAUUSD!$J$2:$J$1000,ALGLIB_SSA_XAUUSD!$L$2:$L$1000,"",0)</f>
        <v>M5</v>
      </c>
      <c r="K744">
        <f>_xlfn.XLOOKUP($A744,ALGLIB_SSA_XAUUSD!$J$2:$J$1000,ALGLIB_SSA_XAUUSD!$M$2:$M$1000,"",0)</f>
        <v>4800.5600000000004</v>
      </c>
      <c r="L744">
        <f>_xlfn.XLOOKUP($A744,ALGLIB_SSA_XAUUSD!$J$2:$J$1000,ALGLIB_SSA_XAUUSD!$N$2:$N$1000,"",0)</f>
        <v>4798.64959</v>
      </c>
      <c r="M744">
        <f>_xlfn.XLOOKUP($A744,ALGLIB_SSA_XAUUSD!$J$2:$J$1000,ALGLIB_SSA_XAUUSD!$O$2:$O$1000,"",0)</f>
        <v>4799.2229500000003</v>
      </c>
      <c r="N744">
        <f>_xlfn.XLOOKUP($A744,ALGLIB_SSA_XAUUSD!$J$2:$J$1000,ALGLIB_SSA_XAUUSD!$P$2:$P$1000,"",0)</f>
        <v>4802.7616900000003</v>
      </c>
      <c r="O744">
        <f>_xlfn.XLOOKUP($A744,ALGLIB_SSA_XAUUSD!$J$2:$J$1000,ALGLIB_SSA_XAUUSD!$Q$2:$Q$1000,"",0)</f>
        <v>4797.2380599999997</v>
      </c>
      <c r="R744">
        <f t="shared" si="121"/>
        <v>1775620200</v>
      </c>
      <c r="S744" t="str">
        <f t="shared" si="122"/>
        <v>XAUUSD</v>
      </c>
      <c r="T744" t="str">
        <f t="shared" si="123"/>
        <v>M5</v>
      </c>
      <c r="U744">
        <f t="shared" si="124"/>
        <v>4800.5600000000004</v>
      </c>
      <c r="V744">
        <v>4818.5972400000001</v>
      </c>
      <c r="W744">
        <v>4818.14102</v>
      </c>
      <c r="X744">
        <v>4798.64959</v>
      </c>
      <c r="Y744">
        <v>4799.2229500000003</v>
      </c>
      <c r="Z744">
        <f t="shared" si="125"/>
        <v>4832.5981916666669</v>
      </c>
      <c r="AA744">
        <f t="shared" si="126"/>
        <v>4802.7616900000003</v>
      </c>
      <c r="AB744">
        <f t="shared" si="127"/>
        <v>4809.2830050000002</v>
      </c>
      <c r="AC744">
        <f t="shared" si="128"/>
        <v>4797.2380599999997</v>
      </c>
      <c r="AF744">
        <f t="shared" si="129"/>
        <v>4798.64959</v>
      </c>
      <c r="AG744">
        <f t="shared" si="130"/>
        <v>4832.5981916666669</v>
      </c>
      <c r="AH744">
        <f t="shared" si="131"/>
        <v>4809.2830050000002</v>
      </c>
    </row>
    <row r="745" spans="1:34" x14ac:dyDescent="0.55000000000000004">
      <c r="A745">
        <f>ALGLIB_SSA_XAUUSD!J745</f>
        <v>1775620500</v>
      </c>
      <c r="B745" t="str">
        <f>_xlfn.XLOOKUP($A745,ALGLIB_SSA_XAUUSD!$A$2:$A$1000,ALGLIB_SSA_XAUUSD!$B$2:$B$1000,"",0)</f>
        <v/>
      </c>
      <c r="C745" t="str">
        <f>_xlfn.XLOOKUP($A745,ALGLIB_SSA_XAUUSD!$A$2:$A$1000,ALGLIB_SSA_XAUUSD!$C$2:$C$1000,"",0)</f>
        <v/>
      </c>
      <c r="D745" s="1">
        <f>D734+(D746-D734)*11/12</f>
        <v>4803.4949999999999</v>
      </c>
      <c r="E745" s="1">
        <f>E734+(E746-E734)*11/12</f>
        <v>4818.22451</v>
      </c>
      <c r="F745" s="1">
        <f>F734+(F746-F734)*11/12</f>
        <v>4818.1203599999999</v>
      </c>
      <c r="G745" s="1">
        <f>G734+(G746-G734)*11/12</f>
        <v>4832.1432958333335</v>
      </c>
      <c r="H745" s="1">
        <f>H734+(H746-H734)*11/12</f>
        <v>4809.2538975000007</v>
      </c>
      <c r="I745" t="str">
        <f>_xlfn.XLOOKUP($A745,ALGLIB_SSA_XAUUSD!$J$2:$J$1000,ALGLIB_SSA_XAUUSD!$K$2:$K$1000,"",0)</f>
        <v>XAUUSD</v>
      </c>
      <c r="J745" t="str">
        <f>_xlfn.XLOOKUP($A745,ALGLIB_SSA_XAUUSD!$J$2:$J$1000,ALGLIB_SSA_XAUUSD!$L$2:$L$1000,"",0)</f>
        <v>M5</v>
      </c>
      <c r="K745">
        <f>_xlfn.XLOOKUP($A745,ALGLIB_SSA_XAUUSD!$J$2:$J$1000,ALGLIB_SSA_XAUUSD!$M$2:$M$1000,"",0)</f>
        <v>4797.83</v>
      </c>
      <c r="L745">
        <f>_xlfn.XLOOKUP($A745,ALGLIB_SSA_XAUUSD!$J$2:$J$1000,ALGLIB_SSA_XAUUSD!$N$2:$N$1000,"",0)</f>
        <v>4797.7255699999996</v>
      </c>
      <c r="M745">
        <f>_xlfn.XLOOKUP($A745,ALGLIB_SSA_XAUUSD!$J$2:$J$1000,ALGLIB_SSA_XAUUSD!$O$2:$O$1000,"",0)</f>
        <v>4798.47426</v>
      </c>
      <c r="N745">
        <f>_xlfn.XLOOKUP($A745,ALGLIB_SSA_XAUUSD!$J$2:$J$1000,ALGLIB_SSA_XAUUSD!$P$2:$P$1000,"",0)</f>
        <v>4801.6730799999996</v>
      </c>
      <c r="O745">
        <f>_xlfn.XLOOKUP($A745,ALGLIB_SSA_XAUUSD!$J$2:$J$1000,ALGLIB_SSA_XAUUSD!$Q$2:$Q$1000,"",0)</f>
        <v>4796.3601900000003</v>
      </c>
      <c r="R745">
        <f t="shared" si="121"/>
        <v>1775620500</v>
      </c>
      <c r="S745" t="str">
        <f t="shared" si="122"/>
        <v>XAUUSD</v>
      </c>
      <c r="T745" t="str">
        <f t="shared" si="123"/>
        <v>M5</v>
      </c>
      <c r="U745">
        <f t="shared" si="124"/>
        <v>4797.83</v>
      </c>
      <c r="V745">
        <v>4818.22451</v>
      </c>
      <c r="W745">
        <v>4818.1203599999999</v>
      </c>
      <c r="X745">
        <v>4797.7255699999996</v>
      </c>
      <c r="Y745">
        <v>4798.47426</v>
      </c>
      <c r="Z745">
        <f t="shared" si="125"/>
        <v>4832.1432958333335</v>
      </c>
      <c r="AA745">
        <f t="shared" si="126"/>
        <v>4801.6730799999996</v>
      </c>
      <c r="AB745">
        <f t="shared" si="127"/>
        <v>4809.2538975000007</v>
      </c>
      <c r="AC745">
        <f t="shared" si="128"/>
        <v>4796.3601900000003</v>
      </c>
      <c r="AF745">
        <f t="shared" si="129"/>
        <v>4797.7255699999996</v>
      </c>
      <c r="AG745">
        <f t="shared" si="130"/>
        <v>4832.1432958333335</v>
      </c>
      <c r="AH745">
        <f t="shared" si="131"/>
        <v>4809.2538975000007</v>
      </c>
    </row>
    <row r="746" spans="1:34" x14ac:dyDescent="0.55000000000000004">
      <c r="A746">
        <f>ALGLIB_SSA_XAUUSD!J746</f>
        <v>1775620800</v>
      </c>
      <c r="B746" t="str">
        <f>_xlfn.XLOOKUP($A746,ALGLIB_SSA_XAUUSD!$A$2:$A$1000,ALGLIB_SSA_XAUUSD!$B$2:$B$1000,"",0)</f>
        <v>XAUUSD</v>
      </c>
      <c r="C746" t="str">
        <f>_xlfn.XLOOKUP($A746,ALGLIB_SSA_XAUUSD!$A$2:$A$1000,ALGLIB_SSA_XAUUSD!$C$2:$C$1000,"",0)</f>
        <v>H1</v>
      </c>
      <c r="D746" s="2">
        <f>_xlfn.XLOOKUP($A746,ALGLIB_SSA_XAUUSD!$A$2:$A$1000,ALGLIB_SSA_XAUUSD!$D$2:$D$1000,"",0)</f>
        <v>4804.01</v>
      </c>
      <c r="E746" s="2">
        <f>_xlfn.XLOOKUP($A746,ALGLIB_SSA_XAUUSD!$A$2:$A$1000,ALGLIB_SSA_XAUUSD!$E$2:$E$1000,"",0)</f>
        <v>4817.85178</v>
      </c>
      <c r="F746" s="2">
        <f>_xlfn.XLOOKUP($A746,ALGLIB_SSA_XAUUSD!$A$2:$A$1000,ALGLIB_SSA_XAUUSD!$F$2:$F$1000,"",0)</f>
        <v>4818.0996999999998</v>
      </c>
      <c r="G746" s="2">
        <f>_xlfn.XLOOKUP($A746,ALGLIB_SSA_XAUUSD!$A$2:$A$1000,ALGLIB_SSA_XAUUSD!$G$2:$G$1000,"",0)</f>
        <v>4831.6884</v>
      </c>
      <c r="H746" s="2">
        <f>_xlfn.XLOOKUP($A746,ALGLIB_SSA_XAUUSD!$A$2:$A$1000,ALGLIB_SSA_XAUUSD!$H$2:$H$1000,"",0)</f>
        <v>4809.2247900000002</v>
      </c>
      <c r="I746" t="str">
        <f>_xlfn.XLOOKUP($A746,ALGLIB_SSA_XAUUSD!$J$2:$J$1000,ALGLIB_SSA_XAUUSD!$K$2:$K$1000,"",0)</f>
        <v>XAUUSD</v>
      </c>
      <c r="J746" t="str">
        <f>_xlfn.XLOOKUP($A746,ALGLIB_SSA_XAUUSD!$J$2:$J$1000,ALGLIB_SSA_XAUUSD!$L$2:$L$1000,"",0)</f>
        <v>M5</v>
      </c>
      <c r="K746">
        <f>_xlfn.XLOOKUP($A746,ALGLIB_SSA_XAUUSD!$J$2:$J$1000,ALGLIB_SSA_XAUUSD!$M$2:$M$1000,"",0)</f>
        <v>4797.88</v>
      </c>
      <c r="L746">
        <f>_xlfn.XLOOKUP($A746,ALGLIB_SSA_XAUUSD!$J$2:$J$1000,ALGLIB_SSA_XAUUSD!$N$2:$N$1000,"",0)</f>
        <v>4796.8847800000003</v>
      </c>
      <c r="M746">
        <f>_xlfn.XLOOKUP($A746,ALGLIB_SSA_XAUUSD!$J$2:$J$1000,ALGLIB_SSA_XAUUSD!$O$2:$O$1000,"",0)</f>
        <v>4797.6795199999997</v>
      </c>
      <c r="N746">
        <f>_xlfn.XLOOKUP($A746,ALGLIB_SSA_XAUUSD!$J$2:$J$1000,ALGLIB_SSA_XAUUSD!$P$2:$P$1000,"",0)</f>
        <v>4800.4951899999996</v>
      </c>
      <c r="O746">
        <f>_xlfn.XLOOKUP($A746,ALGLIB_SSA_XAUUSD!$J$2:$J$1000,ALGLIB_SSA_XAUUSD!$Q$2:$Q$1000,"",0)</f>
        <v>4795.3432700000003</v>
      </c>
      <c r="R746">
        <f t="shared" si="121"/>
        <v>1775620800</v>
      </c>
      <c r="S746" t="str">
        <f t="shared" si="122"/>
        <v>XAUUSD</v>
      </c>
      <c r="T746" t="str">
        <f t="shared" si="123"/>
        <v>M5</v>
      </c>
      <c r="U746">
        <f t="shared" si="124"/>
        <v>4797.88</v>
      </c>
      <c r="V746">
        <v>4817.85178</v>
      </c>
      <c r="W746">
        <v>4818.0996999999998</v>
      </c>
      <c r="X746">
        <v>4796.8847800000003</v>
      </c>
      <c r="Y746">
        <v>4797.6795199999997</v>
      </c>
      <c r="Z746">
        <f t="shared" si="125"/>
        <v>4831.6884</v>
      </c>
      <c r="AA746">
        <f t="shared" si="126"/>
        <v>4800.4951899999996</v>
      </c>
      <c r="AB746">
        <f t="shared" si="127"/>
        <v>4809.2247900000002</v>
      </c>
      <c r="AC746">
        <f t="shared" si="128"/>
        <v>4795.3432700000003</v>
      </c>
      <c r="AF746">
        <f t="shared" si="129"/>
        <v>4796.8847800000003</v>
      </c>
      <c r="AG746">
        <f t="shared" si="130"/>
        <v>4831.6884</v>
      </c>
      <c r="AH746">
        <f t="shared" si="131"/>
        <v>4809.2247900000002</v>
      </c>
    </row>
    <row r="747" spans="1:34" x14ac:dyDescent="0.55000000000000004">
      <c r="A747">
        <f>ALGLIB_SSA_XAUUSD!J747</f>
        <v>1775621100</v>
      </c>
      <c r="B747" t="str">
        <f>_xlfn.XLOOKUP($A747,ALGLIB_SSA_XAUUSD!$A$2:$A$1000,ALGLIB_SSA_XAUUSD!$B$2:$B$1000,"",0)</f>
        <v/>
      </c>
      <c r="C747" t="str">
        <f>_xlfn.XLOOKUP($A747,ALGLIB_SSA_XAUUSD!$A$2:$A$1000,ALGLIB_SSA_XAUUSD!$C$2:$C$1000,"",0)</f>
        <v/>
      </c>
      <c r="D747" s="1">
        <f>D746+(D758-D746)*1/12</f>
        <v>4805.9916666666668</v>
      </c>
      <c r="E747" s="1">
        <f>E746+(E758-E746)*1/12</f>
        <v>4817.3721533333337</v>
      </c>
      <c r="F747" s="1">
        <f>F746+(F758-F746)*1/12</f>
        <v>4817.8495566666661</v>
      </c>
      <c r="G747" s="1">
        <f>G746+(G758-G746)*1/12</f>
        <v>4831.1549166666664</v>
      </c>
      <c r="H747" s="1">
        <f>H746+(H758-H746)*1/12</f>
        <v>4808.9549258333336</v>
      </c>
      <c r="I747" t="str">
        <f>_xlfn.XLOOKUP($A747,ALGLIB_SSA_XAUUSD!$J$2:$J$1000,ALGLIB_SSA_XAUUSD!$K$2:$K$1000,"",0)</f>
        <v>XAUUSD</v>
      </c>
      <c r="J747" t="str">
        <f>_xlfn.XLOOKUP($A747,ALGLIB_SSA_XAUUSD!$J$2:$J$1000,ALGLIB_SSA_XAUUSD!$L$2:$L$1000,"",0)</f>
        <v>M5</v>
      </c>
      <c r="K747">
        <f>_xlfn.XLOOKUP($A747,ALGLIB_SSA_XAUUSD!$J$2:$J$1000,ALGLIB_SSA_XAUUSD!$M$2:$M$1000,"",0)</f>
        <v>4794.71</v>
      </c>
      <c r="L747">
        <f>_xlfn.XLOOKUP($A747,ALGLIB_SSA_XAUUSD!$J$2:$J$1000,ALGLIB_SSA_XAUUSD!$N$2:$N$1000,"",0)</f>
        <v>4796.2961100000002</v>
      </c>
      <c r="M747">
        <f>_xlfn.XLOOKUP($A747,ALGLIB_SSA_XAUUSD!$J$2:$J$1000,ALGLIB_SSA_XAUUSD!$O$2:$O$1000,"",0)</f>
        <v>4796.9878200000003</v>
      </c>
      <c r="N747">
        <f>_xlfn.XLOOKUP($A747,ALGLIB_SSA_XAUUSD!$J$2:$J$1000,ALGLIB_SSA_XAUUSD!$P$2:$P$1000,"",0)</f>
        <v>4799.5060899999999</v>
      </c>
      <c r="O747">
        <f>_xlfn.XLOOKUP($A747,ALGLIB_SSA_XAUUSD!$J$2:$J$1000,ALGLIB_SSA_XAUUSD!$Q$2:$Q$1000,"",0)</f>
        <v>4794.3731200000002</v>
      </c>
      <c r="R747">
        <f t="shared" si="121"/>
        <v>1775621100</v>
      </c>
      <c r="S747" t="str">
        <f t="shared" si="122"/>
        <v>XAUUSD</v>
      </c>
      <c r="T747" t="str">
        <f t="shared" si="123"/>
        <v>M5</v>
      </c>
      <c r="U747">
        <f t="shared" si="124"/>
        <v>4794.71</v>
      </c>
      <c r="V747">
        <v>4817.3721500000001</v>
      </c>
      <c r="W747">
        <v>4817.8495599999997</v>
      </c>
      <c r="X747">
        <v>4796.2961100000002</v>
      </c>
      <c r="Y747">
        <v>4796.9878200000003</v>
      </c>
      <c r="Z747">
        <f t="shared" si="125"/>
        <v>4831.1549166666664</v>
      </c>
      <c r="AA747">
        <f t="shared" si="126"/>
        <v>4799.5060899999999</v>
      </c>
      <c r="AB747">
        <f t="shared" si="127"/>
        <v>4808.9549258333336</v>
      </c>
      <c r="AC747">
        <f t="shared" si="128"/>
        <v>4794.3731200000002</v>
      </c>
      <c r="AF747">
        <f t="shared" si="129"/>
        <v>4796.2961100000002</v>
      </c>
      <c r="AG747">
        <f t="shared" si="130"/>
        <v>4831.1549166666664</v>
      </c>
      <c r="AH747">
        <f t="shared" si="131"/>
        <v>4808.9549258333336</v>
      </c>
    </row>
    <row r="748" spans="1:34" x14ac:dyDescent="0.55000000000000004">
      <c r="A748">
        <f>ALGLIB_SSA_XAUUSD!J748</f>
        <v>1775621400</v>
      </c>
      <c r="B748" t="str">
        <f>_xlfn.XLOOKUP($A748,ALGLIB_SSA_XAUUSD!$A$2:$A$1000,ALGLIB_SSA_XAUUSD!$B$2:$B$1000,"",0)</f>
        <v/>
      </c>
      <c r="C748" t="str">
        <f>_xlfn.XLOOKUP($A748,ALGLIB_SSA_XAUUSD!$A$2:$A$1000,ALGLIB_SSA_XAUUSD!$C$2:$C$1000,"",0)</f>
        <v/>
      </c>
      <c r="D748" s="1">
        <f>D746+(D758-D746)*2/12</f>
        <v>4807.9733333333334</v>
      </c>
      <c r="E748" s="1">
        <f>E746+(E758-E746)*2/12</f>
        <v>4816.8925266666665</v>
      </c>
      <c r="F748" s="1">
        <f>F746+(F758-F746)*2/12</f>
        <v>4817.5994133333334</v>
      </c>
      <c r="G748" s="1">
        <f>G746+(G758-G746)*2/12</f>
        <v>4830.6214333333337</v>
      </c>
      <c r="H748" s="1">
        <f>H746+(H758-H746)*2/12</f>
        <v>4808.685061666667</v>
      </c>
      <c r="I748" t="str">
        <f>_xlfn.XLOOKUP($A748,ALGLIB_SSA_XAUUSD!$J$2:$J$1000,ALGLIB_SSA_XAUUSD!$K$2:$K$1000,"",0)</f>
        <v>XAUUSD</v>
      </c>
      <c r="J748" t="str">
        <f>_xlfn.XLOOKUP($A748,ALGLIB_SSA_XAUUSD!$J$2:$J$1000,ALGLIB_SSA_XAUUSD!$L$2:$L$1000,"",0)</f>
        <v>M5</v>
      </c>
      <c r="K748">
        <f>_xlfn.XLOOKUP($A748,ALGLIB_SSA_XAUUSD!$J$2:$J$1000,ALGLIB_SSA_XAUUSD!$M$2:$M$1000,"",0)</f>
        <v>4797.6899999999996</v>
      </c>
      <c r="L748">
        <f>_xlfn.XLOOKUP($A748,ALGLIB_SSA_XAUUSD!$J$2:$J$1000,ALGLIB_SSA_XAUUSD!$N$2:$N$1000,"",0)</f>
        <v>4796.1778899999999</v>
      </c>
      <c r="M748">
        <f>_xlfn.XLOOKUP($A748,ALGLIB_SSA_XAUUSD!$J$2:$J$1000,ALGLIB_SSA_XAUUSD!$O$2:$O$1000,"",0)</f>
        <v>4796.5828499999998</v>
      </c>
      <c r="N748">
        <f>_xlfn.XLOOKUP($A748,ALGLIB_SSA_XAUUSD!$J$2:$J$1000,ALGLIB_SSA_XAUUSD!$P$2:$P$1000,"",0)</f>
        <v>4798.9882900000002</v>
      </c>
      <c r="O748">
        <f>_xlfn.XLOOKUP($A748,ALGLIB_SSA_XAUUSD!$J$2:$J$1000,ALGLIB_SSA_XAUUSD!$Q$2:$Q$1000,"",0)</f>
        <v>4793.73236</v>
      </c>
      <c r="R748">
        <f t="shared" si="121"/>
        <v>1775621400</v>
      </c>
      <c r="S748" t="str">
        <f t="shared" si="122"/>
        <v>XAUUSD</v>
      </c>
      <c r="T748" t="str">
        <f t="shared" si="123"/>
        <v>M5</v>
      </c>
      <c r="U748">
        <f t="shared" si="124"/>
        <v>4797.6899999999996</v>
      </c>
      <c r="V748">
        <v>4816.8925300000001</v>
      </c>
      <c r="W748">
        <v>4817.5994099999998</v>
      </c>
      <c r="X748">
        <v>4796.1778899999999</v>
      </c>
      <c r="Y748">
        <v>4796.5828499999998</v>
      </c>
      <c r="Z748">
        <f t="shared" si="125"/>
        <v>4830.6214333333337</v>
      </c>
      <c r="AA748">
        <f t="shared" si="126"/>
        <v>4798.9882900000002</v>
      </c>
      <c r="AB748">
        <f t="shared" si="127"/>
        <v>4808.685061666667</v>
      </c>
      <c r="AC748">
        <f t="shared" si="128"/>
        <v>4793.73236</v>
      </c>
      <c r="AF748">
        <f t="shared" si="129"/>
        <v>4796.1778899999999</v>
      </c>
      <c r="AG748">
        <f t="shared" si="130"/>
        <v>4830.6214333333337</v>
      </c>
      <c r="AH748">
        <f t="shared" si="131"/>
        <v>4808.685061666667</v>
      </c>
    </row>
    <row r="749" spans="1:34" x14ac:dyDescent="0.55000000000000004">
      <c r="A749">
        <f>ALGLIB_SSA_XAUUSD!J749</f>
        <v>1775621700</v>
      </c>
      <c r="B749" t="str">
        <f>_xlfn.XLOOKUP($A749,ALGLIB_SSA_XAUUSD!$A$2:$A$1000,ALGLIB_SSA_XAUUSD!$B$2:$B$1000,"",0)</f>
        <v/>
      </c>
      <c r="C749" t="str">
        <f>_xlfn.XLOOKUP($A749,ALGLIB_SSA_XAUUSD!$A$2:$A$1000,ALGLIB_SSA_XAUUSD!$C$2:$C$1000,"",0)</f>
        <v/>
      </c>
      <c r="D749" s="1">
        <f>D746+(D758-D746)*3/12</f>
        <v>4809.9549999999999</v>
      </c>
      <c r="E749" s="1">
        <f>E746+(E758-E746)*3/12</f>
        <v>4816.4129000000003</v>
      </c>
      <c r="F749" s="1">
        <f>F746+(F758-F746)*3/12</f>
        <v>4817.3492699999997</v>
      </c>
      <c r="G749" s="1">
        <f>G746+(G758-G746)*3/12</f>
        <v>4830.0879500000001</v>
      </c>
      <c r="H749" s="1">
        <f>H746+(H758-H746)*3/12</f>
        <v>4808.4151975000004</v>
      </c>
      <c r="I749" t="str">
        <f>_xlfn.XLOOKUP($A749,ALGLIB_SSA_XAUUSD!$J$2:$J$1000,ALGLIB_SSA_XAUUSD!$K$2:$K$1000,"",0)</f>
        <v>XAUUSD</v>
      </c>
      <c r="J749" t="str">
        <f>_xlfn.XLOOKUP($A749,ALGLIB_SSA_XAUUSD!$J$2:$J$1000,ALGLIB_SSA_XAUUSD!$L$2:$L$1000,"",0)</f>
        <v>M5</v>
      </c>
      <c r="K749">
        <f>_xlfn.XLOOKUP($A749,ALGLIB_SSA_XAUUSD!$J$2:$J$1000,ALGLIB_SSA_XAUUSD!$M$2:$M$1000,"",0)</f>
        <v>4794.96</v>
      </c>
      <c r="L749">
        <f>_xlfn.XLOOKUP($A749,ALGLIB_SSA_XAUUSD!$J$2:$J$1000,ALGLIB_SSA_XAUUSD!$N$2:$N$1000,"",0)</f>
        <v>4796.5104099999999</v>
      </c>
      <c r="M749">
        <f>_xlfn.XLOOKUP($A749,ALGLIB_SSA_XAUUSD!$J$2:$J$1000,ALGLIB_SSA_XAUUSD!$O$2:$O$1000,"",0)</f>
        <v>4796.5466299999998</v>
      </c>
      <c r="N749">
        <f>_xlfn.XLOOKUP($A749,ALGLIB_SSA_XAUUSD!$J$2:$J$1000,ALGLIB_SSA_XAUUSD!$P$2:$P$1000,"",0)</f>
        <v>4799.1114500000003</v>
      </c>
      <c r="O749">
        <f>_xlfn.XLOOKUP($A749,ALGLIB_SSA_XAUUSD!$J$2:$J$1000,ALGLIB_SSA_XAUUSD!$Q$2:$Q$1000,"",0)</f>
        <v>4793.5667199999998</v>
      </c>
      <c r="R749">
        <f t="shared" si="121"/>
        <v>1775621700</v>
      </c>
      <c r="S749" t="str">
        <f t="shared" si="122"/>
        <v>XAUUSD</v>
      </c>
      <c r="T749" t="str">
        <f t="shared" si="123"/>
        <v>M5</v>
      </c>
      <c r="U749">
        <f t="shared" si="124"/>
        <v>4794.96</v>
      </c>
      <c r="V749">
        <v>4816.4129000000003</v>
      </c>
      <c r="W749">
        <v>4817.3492699999997</v>
      </c>
      <c r="X749">
        <v>4796.5104099999999</v>
      </c>
      <c r="Y749">
        <v>4796.5466299999998</v>
      </c>
      <c r="Z749">
        <f t="shared" si="125"/>
        <v>4830.0879500000001</v>
      </c>
      <c r="AA749">
        <f t="shared" si="126"/>
        <v>4799.1114500000003</v>
      </c>
      <c r="AB749">
        <f t="shared" si="127"/>
        <v>4808.4151975000004</v>
      </c>
      <c r="AC749">
        <f t="shared" si="128"/>
        <v>4793.5667199999998</v>
      </c>
      <c r="AF749">
        <f t="shared" si="129"/>
        <v>4796.5104099999999</v>
      </c>
      <c r="AG749">
        <f t="shared" si="130"/>
        <v>4830.0879500000001</v>
      </c>
      <c r="AH749">
        <f t="shared" si="131"/>
        <v>4808.4151975000004</v>
      </c>
    </row>
    <row r="750" spans="1:34" x14ac:dyDescent="0.55000000000000004">
      <c r="A750">
        <f>ALGLIB_SSA_XAUUSD!J750</f>
        <v>1775622000</v>
      </c>
      <c r="B750" t="str">
        <f>_xlfn.XLOOKUP($A750,ALGLIB_SSA_XAUUSD!$A$2:$A$1000,ALGLIB_SSA_XAUUSD!$B$2:$B$1000,"",0)</f>
        <v/>
      </c>
      <c r="C750" t="str">
        <f>_xlfn.XLOOKUP($A750,ALGLIB_SSA_XAUUSD!$A$2:$A$1000,ALGLIB_SSA_XAUUSD!$C$2:$C$1000,"",0)</f>
        <v/>
      </c>
      <c r="D750" s="1">
        <f>D746+(D758-D746)*4/12</f>
        <v>4811.9366666666665</v>
      </c>
      <c r="E750" s="1">
        <f>E746+(E758-E746)*4/12</f>
        <v>4815.9332733333331</v>
      </c>
      <c r="F750" s="1">
        <f>F746+(F758-F746)*4/12</f>
        <v>4817.0991266666661</v>
      </c>
      <c r="G750" s="1">
        <f>G746+(G758-G746)*4/12</f>
        <v>4829.5544666666665</v>
      </c>
      <c r="H750" s="1">
        <f>H746+(H758-H746)*4/12</f>
        <v>4808.1453333333338</v>
      </c>
      <c r="I750" t="str">
        <f>_xlfn.XLOOKUP($A750,ALGLIB_SSA_XAUUSD!$J$2:$J$1000,ALGLIB_SSA_XAUUSD!$K$2:$K$1000,"",0)</f>
        <v>XAUUSD</v>
      </c>
      <c r="J750" t="str">
        <f>_xlfn.XLOOKUP($A750,ALGLIB_SSA_XAUUSD!$J$2:$J$1000,ALGLIB_SSA_XAUUSD!$L$2:$L$1000,"",0)</f>
        <v>M5</v>
      </c>
      <c r="K750">
        <f>_xlfn.XLOOKUP($A750,ALGLIB_SSA_XAUUSD!$J$2:$J$1000,ALGLIB_SSA_XAUUSD!$M$2:$M$1000,"",0)</f>
        <v>4791.2700000000004</v>
      </c>
      <c r="L750">
        <f>_xlfn.XLOOKUP($A750,ALGLIB_SSA_XAUUSD!$J$2:$J$1000,ALGLIB_SSA_XAUUSD!$N$2:$N$1000,"",0)</f>
        <v>4797.33248</v>
      </c>
      <c r="M750">
        <f>_xlfn.XLOOKUP($A750,ALGLIB_SSA_XAUUSD!$J$2:$J$1000,ALGLIB_SSA_XAUUSD!$O$2:$O$1000,"",0)</f>
        <v>4796.9395500000001</v>
      </c>
      <c r="N750">
        <f>_xlfn.XLOOKUP($A750,ALGLIB_SSA_XAUUSD!$J$2:$J$1000,ALGLIB_SSA_XAUUSD!$P$2:$P$1000,"",0)</f>
        <v>4799.88141</v>
      </c>
      <c r="O750">
        <f>_xlfn.XLOOKUP($A750,ALGLIB_SSA_XAUUSD!$J$2:$J$1000,ALGLIB_SSA_XAUUSD!$Q$2:$Q$1000,"",0)</f>
        <v>4794.0034400000004</v>
      </c>
      <c r="R750">
        <f t="shared" si="121"/>
        <v>1775622000</v>
      </c>
      <c r="S750" t="str">
        <f t="shared" si="122"/>
        <v>XAUUSD</v>
      </c>
      <c r="T750" t="str">
        <f t="shared" si="123"/>
        <v>M5</v>
      </c>
      <c r="U750">
        <f t="shared" si="124"/>
        <v>4791.2700000000004</v>
      </c>
      <c r="V750">
        <v>4815.9332700000004</v>
      </c>
      <c r="W750">
        <v>4817.0991299999996</v>
      </c>
      <c r="X750">
        <v>4797.33248</v>
      </c>
      <c r="Y750">
        <v>4796.9395500000001</v>
      </c>
      <c r="Z750">
        <f t="shared" si="125"/>
        <v>4829.5544666666665</v>
      </c>
      <c r="AA750">
        <f t="shared" si="126"/>
        <v>4799.88141</v>
      </c>
      <c r="AB750">
        <f t="shared" si="127"/>
        <v>4808.1453333333338</v>
      </c>
      <c r="AC750">
        <f t="shared" si="128"/>
        <v>4794.0034400000004</v>
      </c>
      <c r="AF750">
        <f t="shared" si="129"/>
        <v>4797.33248</v>
      </c>
      <c r="AG750">
        <f t="shared" si="130"/>
        <v>4829.5544666666665</v>
      </c>
      <c r="AH750">
        <f t="shared" si="131"/>
        <v>4808.1453333333338</v>
      </c>
    </row>
    <row r="751" spans="1:34" x14ac:dyDescent="0.55000000000000004">
      <c r="A751">
        <f>ALGLIB_SSA_XAUUSD!J751</f>
        <v>1775622300</v>
      </c>
      <c r="B751" t="str">
        <f>_xlfn.XLOOKUP($A751,ALGLIB_SSA_XAUUSD!$A$2:$A$1000,ALGLIB_SSA_XAUUSD!$B$2:$B$1000,"",0)</f>
        <v/>
      </c>
      <c r="C751" t="str">
        <f>_xlfn.XLOOKUP($A751,ALGLIB_SSA_XAUUSD!$A$2:$A$1000,ALGLIB_SSA_XAUUSD!$C$2:$C$1000,"",0)</f>
        <v/>
      </c>
      <c r="D751" s="1">
        <f>D746+(D758-D746)*5/12</f>
        <v>4813.9183333333331</v>
      </c>
      <c r="E751" s="1">
        <f>E746+(E758-E746)*5/12</f>
        <v>4815.4536466666668</v>
      </c>
      <c r="F751" s="1">
        <f>F746+(F758-F746)*5/12</f>
        <v>4816.8489833333333</v>
      </c>
      <c r="G751" s="1">
        <f>G746+(G758-G746)*5/12</f>
        <v>4829.0209833333338</v>
      </c>
      <c r="H751" s="1">
        <f>H746+(H758-H746)*5/12</f>
        <v>4807.8754691666672</v>
      </c>
      <c r="I751" t="str">
        <f>_xlfn.XLOOKUP($A751,ALGLIB_SSA_XAUUSD!$J$2:$J$1000,ALGLIB_SSA_XAUUSD!$K$2:$K$1000,"",0)</f>
        <v>XAUUSD</v>
      </c>
      <c r="J751" t="str">
        <f>_xlfn.XLOOKUP($A751,ALGLIB_SSA_XAUUSD!$J$2:$J$1000,ALGLIB_SSA_XAUUSD!$L$2:$L$1000,"",0)</f>
        <v>M5</v>
      </c>
      <c r="K751">
        <f>_xlfn.XLOOKUP($A751,ALGLIB_SSA_XAUUSD!$J$2:$J$1000,ALGLIB_SSA_XAUUSD!$M$2:$M$1000,"",0)</f>
        <v>4802.54</v>
      </c>
      <c r="L751">
        <f>_xlfn.XLOOKUP($A751,ALGLIB_SSA_XAUUSD!$J$2:$J$1000,ALGLIB_SSA_XAUUSD!$N$2:$N$1000,"",0)</f>
        <v>4798.63375</v>
      </c>
      <c r="M751">
        <f>_xlfn.XLOOKUP($A751,ALGLIB_SSA_XAUUSD!$J$2:$J$1000,ALGLIB_SSA_XAUUSD!$O$2:$O$1000,"",0)</f>
        <v>4797.78665</v>
      </c>
      <c r="N751">
        <f>_xlfn.XLOOKUP($A751,ALGLIB_SSA_XAUUSD!$J$2:$J$1000,ALGLIB_SSA_XAUUSD!$P$2:$P$1000,"",0)</f>
        <v>4801.2449500000002</v>
      </c>
      <c r="O751">
        <f>_xlfn.XLOOKUP($A751,ALGLIB_SSA_XAUUSD!$J$2:$J$1000,ALGLIB_SSA_XAUUSD!$Q$2:$Q$1000,"",0)</f>
        <v>4795.0368799999997</v>
      </c>
      <c r="R751">
        <f t="shared" si="121"/>
        <v>1775622300</v>
      </c>
      <c r="S751" t="str">
        <f t="shared" si="122"/>
        <v>XAUUSD</v>
      </c>
      <c r="T751" t="str">
        <f t="shared" si="123"/>
        <v>M5</v>
      </c>
      <c r="U751">
        <f t="shared" si="124"/>
        <v>4802.54</v>
      </c>
      <c r="V751">
        <v>4815.4536500000004</v>
      </c>
      <c r="W751">
        <v>4816.8489799999998</v>
      </c>
      <c r="X751">
        <v>4798.63375</v>
      </c>
      <c r="Y751">
        <v>4797.78665</v>
      </c>
      <c r="Z751">
        <f t="shared" si="125"/>
        <v>4829.0209833333338</v>
      </c>
      <c r="AA751">
        <f t="shared" si="126"/>
        <v>4801.2449500000002</v>
      </c>
      <c r="AB751">
        <f t="shared" si="127"/>
        <v>4807.8754691666672</v>
      </c>
      <c r="AC751">
        <f t="shared" si="128"/>
        <v>4795.0368799999997</v>
      </c>
      <c r="AF751">
        <f t="shared" si="129"/>
        <v>4798.63375</v>
      </c>
      <c r="AG751">
        <f t="shared" si="130"/>
        <v>4829.0209833333338</v>
      </c>
      <c r="AH751">
        <f t="shared" si="131"/>
        <v>4807.8754691666672</v>
      </c>
    </row>
    <row r="752" spans="1:34" x14ac:dyDescent="0.55000000000000004">
      <c r="A752">
        <f>ALGLIB_SSA_XAUUSD!J752</f>
        <v>1775622600</v>
      </c>
      <c r="B752" t="str">
        <f>_xlfn.XLOOKUP($A752,ALGLIB_SSA_XAUUSD!$A$2:$A$1000,ALGLIB_SSA_XAUUSD!$B$2:$B$1000,"",0)</f>
        <v/>
      </c>
      <c r="C752" t="str">
        <f>_xlfn.XLOOKUP($A752,ALGLIB_SSA_XAUUSD!$A$2:$A$1000,ALGLIB_SSA_XAUUSD!$C$2:$C$1000,"",0)</f>
        <v/>
      </c>
      <c r="D752" s="1">
        <f>D746+(D758-D746)*6/12</f>
        <v>4815.8999999999996</v>
      </c>
      <c r="E752" s="1">
        <f>E746+(E758-E746)*6/12</f>
        <v>4814.9740199999997</v>
      </c>
      <c r="F752" s="1">
        <f>F746+(F758-F746)*6/12</f>
        <v>4816.5988399999997</v>
      </c>
      <c r="G752" s="1">
        <f>G746+(G758-G746)*6/12</f>
        <v>4828.4875000000002</v>
      </c>
      <c r="H752" s="1">
        <f>H746+(H758-H746)*6/12</f>
        <v>4807.6056050000007</v>
      </c>
      <c r="I752" t="str">
        <f>_xlfn.XLOOKUP($A752,ALGLIB_SSA_XAUUSD!$J$2:$J$1000,ALGLIB_SSA_XAUUSD!$K$2:$K$1000,"",0)</f>
        <v>XAUUSD</v>
      </c>
      <c r="J752" t="str">
        <f>_xlfn.XLOOKUP($A752,ALGLIB_SSA_XAUUSD!$J$2:$J$1000,ALGLIB_SSA_XAUUSD!$L$2:$L$1000,"",0)</f>
        <v>M5</v>
      </c>
      <c r="K752">
        <f>_xlfn.XLOOKUP($A752,ALGLIB_SSA_XAUUSD!$J$2:$J$1000,ALGLIB_SSA_XAUUSD!$M$2:$M$1000,"",0)</f>
        <v>4801.37</v>
      </c>
      <c r="L752">
        <f>_xlfn.XLOOKUP($A752,ALGLIB_SSA_XAUUSD!$J$2:$J$1000,ALGLIB_SSA_XAUUSD!$N$2:$N$1000,"",0)</f>
        <v>4799.9516899999999</v>
      </c>
      <c r="M752">
        <f>_xlfn.XLOOKUP($A752,ALGLIB_SSA_XAUUSD!$J$2:$J$1000,ALGLIB_SSA_XAUUSD!$O$2:$O$1000,"",0)</f>
        <v>4798.8691699999999</v>
      </c>
      <c r="N752">
        <f>_xlfn.XLOOKUP($A752,ALGLIB_SSA_XAUUSD!$J$2:$J$1000,ALGLIB_SSA_XAUUSD!$P$2:$P$1000,"",0)</f>
        <v>4802.7599399999999</v>
      </c>
      <c r="O752">
        <f>_xlfn.XLOOKUP($A752,ALGLIB_SSA_XAUUSD!$J$2:$J$1000,ALGLIB_SSA_XAUUSD!$Q$2:$Q$1000,"",0)</f>
        <v>4796.4968799999997</v>
      </c>
      <c r="R752">
        <f t="shared" si="121"/>
        <v>1775622600</v>
      </c>
      <c r="S752" t="str">
        <f t="shared" si="122"/>
        <v>XAUUSD</v>
      </c>
      <c r="T752" t="str">
        <f t="shared" si="123"/>
        <v>M5</v>
      </c>
      <c r="U752">
        <f t="shared" si="124"/>
        <v>4801.37</v>
      </c>
      <c r="V752">
        <v>4814.9740199999997</v>
      </c>
      <c r="W752">
        <v>4816.5988399999997</v>
      </c>
      <c r="X752">
        <v>4799.9516899999999</v>
      </c>
      <c r="Y752">
        <v>4798.8691699999999</v>
      </c>
      <c r="Z752">
        <f t="shared" si="125"/>
        <v>4828.4875000000002</v>
      </c>
      <c r="AA752">
        <f t="shared" si="126"/>
        <v>4802.7599399999999</v>
      </c>
      <c r="AB752">
        <f t="shared" si="127"/>
        <v>4807.6056050000007</v>
      </c>
      <c r="AC752">
        <f t="shared" si="128"/>
        <v>4796.4968799999997</v>
      </c>
      <c r="AF752">
        <f t="shared" si="129"/>
        <v>4799.9516899999999</v>
      </c>
      <c r="AG752">
        <f t="shared" si="130"/>
        <v>4828.4875000000002</v>
      </c>
      <c r="AH752">
        <f t="shared" si="131"/>
        <v>4807.6056050000007</v>
      </c>
    </row>
    <row r="753" spans="1:34" x14ac:dyDescent="0.55000000000000004">
      <c r="A753">
        <f>ALGLIB_SSA_XAUUSD!J753</f>
        <v>1775622900</v>
      </c>
      <c r="B753" t="str">
        <f>_xlfn.XLOOKUP($A753,ALGLIB_SSA_XAUUSD!$A$2:$A$1000,ALGLIB_SSA_XAUUSD!$B$2:$B$1000,"",0)</f>
        <v/>
      </c>
      <c r="C753" t="str">
        <f>_xlfn.XLOOKUP($A753,ALGLIB_SSA_XAUUSD!$A$2:$A$1000,ALGLIB_SSA_XAUUSD!$C$2:$C$1000,"",0)</f>
        <v/>
      </c>
      <c r="D753" s="1">
        <f>D746+(D758-D746)*7/12</f>
        <v>4817.8816666666671</v>
      </c>
      <c r="E753" s="1">
        <f>E746+(E758-E746)*7/12</f>
        <v>4814.4943933333334</v>
      </c>
      <c r="F753" s="1">
        <f>F746+(F758-F746)*7/12</f>
        <v>4816.348696666666</v>
      </c>
      <c r="G753" s="1">
        <f>G746+(G758-G746)*7/12</f>
        <v>4827.9540166666666</v>
      </c>
      <c r="H753" s="1">
        <f>H746+(H758-H746)*7/12</f>
        <v>4807.3357408333331</v>
      </c>
      <c r="I753" t="str">
        <f>_xlfn.XLOOKUP($A753,ALGLIB_SSA_XAUUSD!$J$2:$J$1000,ALGLIB_SSA_XAUUSD!$K$2:$K$1000,"",0)</f>
        <v>XAUUSD</v>
      </c>
      <c r="J753" t="str">
        <f>_xlfn.XLOOKUP($A753,ALGLIB_SSA_XAUUSD!$J$2:$J$1000,ALGLIB_SSA_XAUUSD!$L$2:$L$1000,"",0)</f>
        <v>M5</v>
      </c>
      <c r="K753">
        <f>_xlfn.XLOOKUP($A753,ALGLIB_SSA_XAUUSD!$J$2:$J$1000,ALGLIB_SSA_XAUUSD!$M$2:$M$1000,"",0)</f>
        <v>4804.46</v>
      </c>
      <c r="L753">
        <f>_xlfn.XLOOKUP($A753,ALGLIB_SSA_XAUUSD!$J$2:$J$1000,ALGLIB_SSA_XAUUSD!$N$2:$N$1000,"",0)</f>
        <v>4801.1401400000004</v>
      </c>
      <c r="M753">
        <f>_xlfn.XLOOKUP($A753,ALGLIB_SSA_XAUUSD!$J$2:$J$1000,ALGLIB_SSA_XAUUSD!$O$2:$O$1000,"",0)</f>
        <v>4800.0046499999999</v>
      </c>
      <c r="N753">
        <f>_xlfn.XLOOKUP($A753,ALGLIB_SSA_XAUUSD!$J$2:$J$1000,ALGLIB_SSA_XAUUSD!$P$2:$P$1000,"",0)</f>
        <v>4804.1235999999999</v>
      </c>
      <c r="O753">
        <f>_xlfn.XLOOKUP($A753,ALGLIB_SSA_XAUUSD!$J$2:$J$1000,ALGLIB_SSA_XAUUSD!$Q$2:$Q$1000,"",0)</f>
        <v>4797.9263099999998</v>
      </c>
      <c r="R753">
        <f t="shared" si="121"/>
        <v>1775622900</v>
      </c>
      <c r="S753" t="str">
        <f t="shared" si="122"/>
        <v>XAUUSD</v>
      </c>
      <c r="T753" t="str">
        <f t="shared" si="123"/>
        <v>M5</v>
      </c>
      <c r="U753">
        <f t="shared" si="124"/>
        <v>4804.46</v>
      </c>
      <c r="V753">
        <v>4814.4943899999998</v>
      </c>
      <c r="W753">
        <v>4816.3486999999996</v>
      </c>
      <c r="X753">
        <v>4801.1401400000004</v>
      </c>
      <c r="Y753">
        <v>4800.0046499999999</v>
      </c>
      <c r="Z753">
        <f t="shared" si="125"/>
        <v>4827.9540166666666</v>
      </c>
      <c r="AA753">
        <f t="shared" si="126"/>
        <v>4804.1235999999999</v>
      </c>
      <c r="AB753">
        <f t="shared" si="127"/>
        <v>4807.3357408333331</v>
      </c>
      <c r="AC753">
        <f t="shared" si="128"/>
        <v>4797.9263099999998</v>
      </c>
      <c r="AF753">
        <f t="shared" si="129"/>
        <v>4801.1401400000004</v>
      </c>
      <c r="AG753">
        <f t="shared" si="130"/>
        <v>4827.9540166666666</v>
      </c>
      <c r="AH753">
        <f t="shared" si="131"/>
        <v>4807.3357408333331</v>
      </c>
    </row>
    <row r="754" spans="1:34" x14ac:dyDescent="0.55000000000000004">
      <c r="A754">
        <f>ALGLIB_SSA_XAUUSD!J754</f>
        <v>1775623200</v>
      </c>
      <c r="B754" t="str">
        <f>_xlfn.XLOOKUP($A754,ALGLIB_SSA_XAUUSD!$A$2:$A$1000,ALGLIB_SSA_XAUUSD!$B$2:$B$1000,"",0)</f>
        <v/>
      </c>
      <c r="C754" t="str">
        <f>_xlfn.XLOOKUP($A754,ALGLIB_SSA_XAUUSD!$A$2:$A$1000,ALGLIB_SSA_XAUUSD!$C$2:$C$1000,"",0)</f>
        <v/>
      </c>
      <c r="D754" s="1">
        <f>D746+(D758-D746)*8/12</f>
        <v>4819.8633333333337</v>
      </c>
      <c r="E754" s="1">
        <f>E746+(E758-E746)*8/12</f>
        <v>4814.0147666666671</v>
      </c>
      <c r="F754" s="1">
        <f>F746+(F758-F746)*8/12</f>
        <v>4816.0985533333333</v>
      </c>
      <c r="G754" s="1">
        <f>G746+(G758-G746)*8/12</f>
        <v>4827.4205333333339</v>
      </c>
      <c r="H754" s="1">
        <f>H746+(H758-H746)*8/12</f>
        <v>4807.0658766666666</v>
      </c>
      <c r="I754" t="str">
        <f>_xlfn.XLOOKUP($A754,ALGLIB_SSA_XAUUSD!$J$2:$J$1000,ALGLIB_SSA_XAUUSD!$K$2:$K$1000,"",0)</f>
        <v>XAUUSD</v>
      </c>
      <c r="J754" t="str">
        <f>_xlfn.XLOOKUP($A754,ALGLIB_SSA_XAUUSD!$J$2:$J$1000,ALGLIB_SSA_XAUUSD!$L$2:$L$1000,"",0)</f>
        <v>M5</v>
      </c>
      <c r="K754">
        <f>_xlfn.XLOOKUP($A754,ALGLIB_SSA_XAUUSD!$J$2:$J$1000,ALGLIB_SSA_XAUUSD!$M$2:$M$1000,"",0)</f>
        <v>4803.01</v>
      </c>
      <c r="L754">
        <f>_xlfn.XLOOKUP($A754,ALGLIB_SSA_XAUUSD!$J$2:$J$1000,ALGLIB_SSA_XAUUSD!$N$2:$N$1000,"",0)</f>
        <v>4802.0152699999999</v>
      </c>
      <c r="M754">
        <f>_xlfn.XLOOKUP($A754,ALGLIB_SSA_XAUUSD!$J$2:$J$1000,ALGLIB_SSA_XAUUSD!$O$2:$O$1000,"",0)</f>
        <v>4801.0099600000003</v>
      </c>
      <c r="N754">
        <f>_xlfn.XLOOKUP($A754,ALGLIB_SSA_XAUUSD!$J$2:$J$1000,ALGLIB_SSA_XAUUSD!$P$2:$P$1000,"",0)</f>
        <v>4805.1241300000002</v>
      </c>
      <c r="O754">
        <f>_xlfn.XLOOKUP($A754,ALGLIB_SSA_XAUUSD!$J$2:$J$1000,ALGLIB_SSA_XAUUSD!$Q$2:$Q$1000,"",0)</f>
        <v>4799.1356100000003</v>
      </c>
      <c r="R754">
        <f t="shared" si="121"/>
        <v>1775623200</v>
      </c>
      <c r="S754" t="str">
        <f t="shared" si="122"/>
        <v>XAUUSD</v>
      </c>
      <c r="T754" t="str">
        <f t="shared" si="123"/>
        <v>M5</v>
      </c>
      <c r="U754">
        <f t="shared" si="124"/>
        <v>4803.01</v>
      </c>
      <c r="V754">
        <v>4814.0147699999998</v>
      </c>
      <c r="W754">
        <v>4816.0985499999997</v>
      </c>
      <c r="X754">
        <v>4802.0152699999999</v>
      </c>
      <c r="Y754">
        <v>4801.0099600000003</v>
      </c>
      <c r="Z754">
        <f t="shared" si="125"/>
        <v>4827.4205333333339</v>
      </c>
      <c r="AA754">
        <f t="shared" si="126"/>
        <v>4805.1241300000002</v>
      </c>
      <c r="AB754">
        <f t="shared" si="127"/>
        <v>4807.0658766666666</v>
      </c>
      <c r="AC754">
        <f t="shared" si="128"/>
        <v>4799.1356100000003</v>
      </c>
      <c r="AF754">
        <f t="shared" si="129"/>
        <v>4802.0152699999999</v>
      </c>
      <c r="AG754">
        <f t="shared" si="130"/>
        <v>4827.4205333333339</v>
      </c>
      <c r="AH754">
        <f t="shared" si="131"/>
        <v>4807.0658766666666</v>
      </c>
    </row>
    <row r="755" spans="1:34" x14ac:dyDescent="0.55000000000000004">
      <c r="A755">
        <f>ALGLIB_SSA_XAUUSD!J755</f>
        <v>1775623500</v>
      </c>
      <c r="B755" t="str">
        <f>_xlfn.XLOOKUP($A755,ALGLIB_SSA_XAUUSD!$A$2:$A$1000,ALGLIB_SSA_XAUUSD!$B$2:$B$1000,"",0)</f>
        <v/>
      </c>
      <c r="C755" t="str">
        <f>_xlfn.XLOOKUP($A755,ALGLIB_SSA_XAUUSD!$A$2:$A$1000,ALGLIB_SSA_XAUUSD!$C$2:$C$1000,"",0)</f>
        <v/>
      </c>
      <c r="D755" s="1">
        <f>D746+(D758-D746)*9/12</f>
        <v>4821.8450000000003</v>
      </c>
      <c r="E755" s="1">
        <f>E746+(E758-E746)*9/12</f>
        <v>4813.53514</v>
      </c>
      <c r="F755" s="1">
        <f>F746+(F758-F746)*9/12</f>
        <v>4815.8484099999996</v>
      </c>
      <c r="G755" s="1">
        <f>G746+(G758-G746)*9/12</f>
        <v>4826.8870500000003</v>
      </c>
      <c r="H755" s="1">
        <f>H746+(H758-H746)*9/12</f>
        <v>4806.7960125</v>
      </c>
      <c r="I755" t="str">
        <f>_xlfn.XLOOKUP($A755,ALGLIB_SSA_XAUUSD!$J$2:$J$1000,ALGLIB_SSA_XAUUSD!$K$2:$K$1000,"",0)</f>
        <v>XAUUSD</v>
      </c>
      <c r="J755" t="str">
        <f>_xlfn.XLOOKUP($A755,ALGLIB_SSA_XAUUSD!$J$2:$J$1000,ALGLIB_SSA_XAUUSD!$L$2:$L$1000,"",0)</f>
        <v>M5</v>
      </c>
      <c r="K755">
        <f>_xlfn.XLOOKUP($A755,ALGLIB_SSA_XAUUSD!$J$2:$J$1000,ALGLIB_SSA_XAUUSD!$M$2:$M$1000,"",0)</f>
        <v>4798.9799999999996</v>
      </c>
      <c r="L755">
        <f>_xlfn.XLOOKUP($A755,ALGLIB_SSA_XAUUSD!$J$2:$J$1000,ALGLIB_SSA_XAUUSD!$N$2:$N$1000,"",0)</f>
        <v>4802.6245900000004</v>
      </c>
      <c r="M755">
        <f>_xlfn.XLOOKUP($A755,ALGLIB_SSA_XAUUSD!$J$2:$J$1000,ALGLIB_SSA_XAUUSD!$O$2:$O$1000,"",0)</f>
        <v>4801.8172800000002</v>
      </c>
      <c r="N755">
        <f>_xlfn.XLOOKUP($A755,ALGLIB_SSA_XAUUSD!$J$2:$J$1000,ALGLIB_SSA_XAUUSD!$P$2:$P$1000,"",0)</f>
        <v>4805.6485700000003</v>
      </c>
      <c r="O755">
        <f>_xlfn.XLOOKUP($A755,ALGLIB_SSA_XAUUSD!$J$2:$J$1000,ALGLIB_SSA_XAUUSD!$Q$2:$Q$1000,"",0)</f>
        <v>4799.9932600000002</v>
      </c>
      <c r="R755">
        <f t="shared" si="121"/>
        <v>1775623500</v>
      </c>
      <c r="S755" t="str">
        <f t="shared" si="122"/>
        <v>XAUUSD</v>
      </c>
      <c r="T755" t="str">
        <f t="shared" si="123"/>
        <v>M5</v>
      </c>
      <c r="U755">
        <f t="shared" si="124"/>
        <v>4798.9799999999996</v>
      </c>
      <c r="V755">
        <v>4813.53514</v>
      </c>
      <c r="W755">
        <v>4815.8484099999996</v>
      </c>
      <c r="X755">
        <v>4802.6245900000004</v>
      </c>
      <c r="Y755">
        <v>4801.8172800000002</v>
      </c>
      <c r="Z755">
        <f t="shared" si="125"/>
        <v>4826.8870500000003</v>
      </c>
      <c r="AA755">
        <f t="shared" si="126"/>
        <v>4805.6485700000003</v>
      </c>
      <c r="AB755">
        <f t="shared" si="127"/>
        <v>4806.7960125</v>
      </c>
      <c r="AC755">
        <f t="shared" si="128"/>
        <v>4799.9932600000002</v>
      </c>
      <c r="AF755">
        <f t="shared" si="129"/>
        <v>4802.6245900000004</v>
      </c>
      <c r="AG755">
        <f t="shared" si="130"/>
        <v>4826.8870500000003</v>
      </c>
      <c r="AH755">
        <f t="shared" si="131"/>
        <v>4806.7960125</v>
      </c>
    </row>
    <row r="756" spans="1:34" x14ac:dyDescent="0.55000000000000004">
      <c r="A756">
        <f>ALGLIB_SSA_XAUUSD!J756</f>
        <v>1775623800</v>
      </c>
      <c r="B756" t="str">
        <f>_xlfn.XLOOKUP($A756,ALGLIB_SSA_XAUUSD!$A$2:$A$1000,ALGLIB_SSA_XAUUSD!$B$2:$B$1000,"",0)</f>
        <v/>
      </c>
      <c r="C756" t="str">
        <f>_xlfn.XLOOKUP($A756,ALGLIB_SSA_XAUUSD!$A$2:$A$1000,ALGLIB_SSA_XAUUSD!$C$2:$C$1000,"",0)</f>
        <v/>
      </c>
      <c r="D756" s="1">
        <f>D746+(D758-D746)*10/12</f>
        <v>4823.8266666666668</v>
      </c>
      <c r="E756" s="1">
        <f>E746+(E758-E746)*10/12</f>
        <v>4813.0555133333337</v>
      </c>
      <c r="F756" s="1">
        <f>F746+(F758-F746)*10/12</f>
        <v>4815.5982666666659</v>
      </c>
      <c r="G756" s="1">
        <f>G746+(G758-G746)*10/12</f>
        <v>4826.3535666666667</v>
      </c>
      <c r="H756" s="1">
        <f>H746+(H758-H746)*10/12</f>
        <v>4806.5261483333334</v>
      </c>
      <c r="I756" t="str">
        <f>_xlfn.XLOOKUP($A756,ALGLIB_SSA_XAUUSD!$J$2:$J$1000,ALGLIB_SSA_XAUUSD!$K$2:$K$1000,"",0)</f>
        <v>XAUUSD</v>
      </c>
      <c r="J756" t="str">
        <f>_xlfn.XLOOKUP($A756,ALGLIB_SSA_XAUUSD!$J$2:$J$1000,ALGLIB_SSA_XAUUSD!$L$2:$L$1000,"",0)</f>
        <v>M5</v>
      </c>
      <c r="K756">
        <f>_xlfn.XLOOKUP($A756,ALGLIB_SSA_XAUUSD!$J$2:$J$1000,ALGLIB_SSA_XAUUSD!$M$2:$M$1000,"",0)</f>
        <v>4800.3599999999997</v>
      </c>
      <c r="L756">
        <f>_xlfn.XLOOKUP($A756,ALGLIB_SSA_XAUUSD!$J$2:$J$1000,ALGLIB_SSA_XAUUSD!$N$2:$N$1000,"",0)</f>
        <v>4803.1890800000001</v>
      </c>
      <c r="M756">
        <f>_xlfn.XLOOKUP($A756,ALGLIB_SSA_XAUUSD!$J$2:$J$1000,ALGLIB_SSA_XAUUSD!$O$2:$O$1000,"",0)</f>
        <v>4802.5031799999997</v>
      </c>
      <c r="N756">
        <f>_xlfn.XLOOKUP($A756,ALGLIB_SSA_XAUUSD!$J$2:$J$1000,ALGLIB_SSA_XAUUSD!$P$2:$P$1000,"",0)</f>
        <v>4805.84429</v>
      </c>
      <c r="O756">
        <f>_xlfn.XLOOKUP($A756,ALGLIB_SSA_XAUUSD!$J$2:$J$1000,ALGLIB_SSA_XAUUSD!$Q$2:$Q$1000,"",0)</f>
        <v>4800.6378699999996</v>
      </c>
      <c r="R756">
        <f t="shared" si="121"/>
        <v>1775623800</v>
      </c>
      <c r="S756" t="str">
        <f t="shared" si="122"/>
        <v>XAUUSD</v>
      </c>
      <c r="T756" t="str">
        <f t="shared" si="123"/>
        <v>M5</v>
      </c>
      <c r="U756">
        <f t="shared" si="124"/>
        <v>4800.3599999999997</v>
      </c>
      <c r="V756">
        <v>4813.0555100000001</v>
      </c>
      <c r="W756">
        <v>4815.5982700000004</v>
      </c>
      <c r="X756">
        <v>4803.1890800000001</v>
      </c>
      <c r="Y756">
        <v>4802.5031799999997</v>
      </c>
      <c r="Z756">
        <f t="shared" si="125"/>
        <v>4826.3535666666667</v>
      </c>
      <c r="AA756">
        <f t="shared" si="126"/>
        <v>4805.84429</v>
      </c>
      <c r="AB756">
        <f t="shared" si="127"/>
        <v>4806.5261483333334</v>
      </c>
      <c r="AC756">
        <f t="shared" si="128"/>
        <v>4800.6378699999996</v>
      </c>
      <c r="AF756">
        <f t="shared" si="129"/>
        <v>4803.1890800000001</v>
      </c>
      <c r="AG756">
        <f t="shared" si="130"/>
        <v>4826.3535666666667</v>
      </c>
      <c r="AH756">
        <f t="shared" si="131"/>
        <v>4806.5261483333334</v>
      </c>
    </row>
    <row r="757" spans="1:34" x14ac:dyDescent="0.55000000000000004">
      <c r="A757">
        <f>ALGLIB_SSA_XAUUSD!J757</f>
        <v>1775624100</v>
      </c>
      <c r="B757" t="str">
        <f>_xlfn.XLOOKUP($A757,ALGLIB_SSA_XAUUSD!$A$2:$A$1000,ALGLIB_SSA_XAUUSD!$B$2:$B$1000,"",0)</f>
        <v/>
      </c>
      <c r="C757" t="str">
        <f>_xlfn.XLOOKUP($A757,ALGLIB_SSA_XAUUSD!$A$2:$A$1000,ALGLIB_SSA_XAUUSD!$C$2:$C$1000,"",0)</f>
        <v/>
      </c>
      <c r="D757" s="1">
        <f>D746+(D758-D746)*11/12</f>
        <v>4825.8083333333334</v>
      </c>
      <c r="E757" s="1">
        <f>E746+(E758-E746)*11/12</f>
        <v>4812.5758866666665</v>
      </c>
      <c r="F757" s="1">
        <f>F746+(F758-F746)*11/12</f>
        <v>4815.3481233333332</v>
      </c>
      <c r="G757" s="1">
        <f>G746+(G758-G746)*11/12</f>
        <v>4825.820083333334</v>
      </c>
      <c r="H757" s="1">
        <f>H746+(H758-H746)*11/12</f>
        <v>4806.2562841666668</v>
      </c>
      <c r="I757" t="str">
        <f>_xlfn.XLOOKUP($A757,ALGLIB_SSA_XAUUSD!$J$2:$J$1000,ALGLIB_SSA_XAUUSD!$K$2:$K$1000,"",0)</f>
        <v>XAUUSD</v>
      </c>
      <c r="J757" t="str">
        <f>_xlfn.XLOOKUP($A757,ALGLIB_SSA_XAUUSD!$J$2:$J$1000,ALGLIB_SSA_XAUUSD!$L$2:$L$1000,"",0)</f>
        <v>M5</v>
      </c>
      <c r="K757">
        <f>_xlfn.XLOOKUP($A757,ALGLIB_SSA_XAUUSD!$J$2:$J$1000,ALGLIB_SSA_XAUUSD!$M$2:$M$1000,"",0)</f>
        <v>4804.01</v>
      </c>
      <c r="L757">
        <f>_xlfn.XLOOKUP($A757,ALGLIB_SSA_XAUUSD!$J$2:$J$1000,ALGLIB_SSA_XAUUSD!$N$2:$N$1000,"",0)</f>
        <v>4803.8664699999999</v>
      </c>
      <c r="M757">
        <f>_xlfn.XLOOKUP($A757,ALGLIB_SSA_XAUUSD!$J$2:$J$1000,ALGLIB_SSA_XAUUSD!$O$2:$O$1000,"",0)</f>
        <v>4803.1848200000004</v>
      </c>
      <c r="N757">
        <f>_xlfn.XLOOKUP($A757,ALGLIB_SSA_XAUUSD!$J$2:$J$1000,ALGLIB_SSA_XAUUSD!$P$2:$P$1000,"",0)</f>
        <v>4805.9688999999998</v>
      </c>
      <c r="O757">
        <f>_xlfn.XLOOKUP($A757,ALGLIB_SSA_XAUUSD!$J$2:$J$1000,ALGLIB_SSA_XAUUSD!$Q$2:$Q$1000,"",0)</f>
        <v>4801.2099699999999</v>
      </c>
      <c r="R757">
        <f t="shared" si="121"/>
        <v>1775624100</v>
      </c>
      <c r="S757" t="str">
        <f t="shared" si="122"/>
        <v>XAUUSD</v>
      </c>
      <c r="T757" t="str">
        <f t="shared" si="123"/>
        <v>M5</v>
      </c>
      <c r="U757">
        <f t="shared" si="124"/>
        <v>4804.01</v>
      </c>
      <c r="V757">
        <v>4812.5758900000001</v>
      </c>
      <c r="W757">
        <v>4815.3481199999997</v>
      </c>
      <c r="X757">
        <v>4803.8664699999999</v>
      </c>
      <c r="Y757">
        <v>4803.1848200000004</v>
      </c>
      <c r="Z757">
        <f t="shared" si="125"/>
        <v>4825.820083333334</v>
      </c>
      <c r="AA757">
        <f t="shared" si="126"/>
        <v>4805.9688999999998</v>
      </c>
      <c r="AB757">
        <f t="shared" si="127"/>
        <v>4806.2562841666668</v>
      </c>
      <c r="AC757">
        <f t="shared" si="128"/>
        <v>4801.2099699999999</v>
      </c>
      <c r="AF757">
        <f t="shared" si="129"/>
        <v>4803.8664699999999</v>
      </c>
      <c r="AG757">
        <f t="shared" si="130"/>
        <v>4825.820083333334</v>
      </c>
      <c r="AH757">
        <f t="shared" si="131"/>
        <v>4806.2562841666668</v>
      </c>
    </row>
    <row r="758" spans="1:34" x14ac:dyDescent="0.55000000000000004">
      <c r="A758">
        <f>ALGLIB_SSA_XAUUSD!J758</f>
        <v>1775624400</v>
      </c>
      <c r="B758" t="str">
        <f>_xlfn.XLOOKUP($A758,ALGLIB_SSA_XAUUSD!$A$2:$A$1000,ALGLIB_SSA_XAUUSD!$B$2:$B$1000,"",0)</f>
        <v>XAUUSD</v>
      </c>
      <c r="C758" t="str">
        <f>_xlfn.XLOOKUP($A758,ALGLIB_SSA_XAUUSD!$A$2:$A$1000,ALGLIB_SSA_XAUUSD!$C$2:$C$1000,"",0)</f>
        <v>H1</v>
      </c>
      <c r="D758" s="2">
        <f>_xlfn.XLOOKUP($A758,ALGLIB_SSA_XAUUSD!$A$2:$A$1000,ALGLIB_SSA_XAUUSD!$D$2:$D$1000,"",0)</f>
        <v>4827.79</v>
      </c>
      <c r="E758" s="2">
        <f>_xlfn.XLOOKUP($A758,ALGLIB_SSA_XAUUSD!$A$2:$A$1000,ALGLIB_SSA_XAUUSD!$E$2:$E$1000,"",0)</f>
        <v>4812.0962600000003</v>
      </c>
      <c r="F758" s="2">
        <f>_xlfn.XLOOKUP($A758,ALGLIB_SSA_XAUUSD!$A$2:$A$1000,ALGLIB_SSA_XAUUSD!$F$2:$F$1000,"",0)</f>
        <v>4815.0979799999996</v>
      </c>
      <c r="G758" s="2">
        <f>_xlfn.XLOOKUP($A758,ALGLIB_SSA_XAUUSD!$A$2:$A$1000,ALGLIB_SSA_XAUUSD!$G$2:$G$1000,"",0)</f>
        <v>4825.2866000000004</v>
      </c>
      <c r="H758" s="2">
        <f>_xlfn.XLOOKUP($A758,ALGLIB_SSA_XAUUSD!$A$2:$A$1000,ALGLIB_SSA_XAUUSD!$H$2:$H$1000,"",0)</f>
        <v>4805.9864200000002</v>
      </c>
      <c r="I758" t="str">
        <f>_xlfn.XLOOKUP($A758,ALGLIB_SSA_XAUUSD!$J$2:$J$1000,ALGLIB_SSA_XAUUSD!$K$2:$K$1000,"",0)</f>
        <v>XAUUSD</v>
      </c>
      <c r="J758" t="str">
        <f>_xlfn.XLOOKUP($A758,ALGLIB_SSA_XAUUSD!$J$2:$J$1000,ALGLIB_SSA_XAUUSD!$L$2:$L$1000,"",0)</f>
        <v>M5</v>
      </c>
      <c r="K758">
        <f>_xlfn.XLOOKUP($A758,ALGLIB_SSA_XAUUSD!$J$2:$J$1000,ALGLIB_SSA_XAUUSD!$M$2:$M$1000,"",0)</f>
        <v>4806.03</v>
      </c>
      <c r="L758">
        <f>_xlfn.XLOOKUP($A758,ALGLIB_SSA_XAUUSD!$J$2:$J$1000,ALGLIB_SSA_XAUUSD!$N$2:$N$1000,"",0)</f>
        <v>4804.78899</v>
      </c>
      <c r="M758">
        <f>_xlfn.XLOOKUP($A758,ALGLIB_SSA_XAUUSD!$J$2:$J$1000,ALGLIB_SSA_XAUUSD!$O$2:$O$1000,"",0)</f>
        <v>4803.9869099999996</v>
      </c>
      <c r="N758">
        <f>_xlfn.XLOOKUP($A758,ALGLIB_SSA_XAUUSD!$J$2:$J$1000,ALGLIB_SSA_XAUUSD!$P$2:$P$1000,"",0)</f>
        <v>4806.2830100000001</v>
      </c>
      <c r="O758">
        <f>_xlfn.XLOOKUP($A758,ALGLIB_SSA_XAUUSD!$J$2:$J$1000,ALGLIB_SSA_XAUUSD!$Q$2:$Q$1000,"",0)</f>
        <v>4801.8994400000001</v>
      </c>
      <c r="R758">
        <f t="shared" si="121"/>
        <v>1775624400</v>
      </c>
      <c r="S758" t="str">
        <f t="shared" si="122"/>
        <v>XAUUSD</v>
      </c>
      <c r="T758" t="str">
        <f t="shared" si="123"/>
        <v>M5</v>
      </c>
      <c r="U758">
        <f t="shared" si="124"/>
        <v>4806.03</v>
      </c>
      <c r="V758">
        <v>4812.0962600000003</v>
      </c>
      <c r="W758">
        <v>4815.0979799999996</v>
      </c>
      <c r="X758">
        <v>4804.78899</v>
      </c>
      <c r="Y758">
        <v>4803.9869099999996</v>
      </c>
      <c r="Z758">
        <f t="shared" si="125"/>
        <v>4825.2866000000004</v>
      </c>
      <c r="AA758">
        <f t="shared" si="126"/>
        <v>4806.2830100000001</v>
      </c>
      <c r="AB758">
        <f t="shared" si="127"/>
        <v>4805.9864200000002</v>
      </c>
      <c r="AC758">
        <f t="shared" si="128"/>
        <v>4801.8994400000001</v>
      </c>
      <c r="AF758">
        <f t="shared" si="129"/>
        <v>4804.78899</v>
      </c>
      <c r="AG758">
        <f t="shared" si="130"/>
        <v>4825.2866000000004</v>
      </c>
      <c r="AH758">
        <f t="shared" si="131"/>
        <v>4805.9864200000002</v>
      </c>
    </row>
    <row r="759" spans="1:34" x14ac:dyDescent="0.55000000000000004">
      <c r="A759">
        <f>ALGLIB_SSA_XAUUSD!J759</f>
        <v>1775624700</v>
      </c>
      <c r="B759" t="str">
        <f>_xlfn.XLOOKUP($A759,ALGLIB_SSA_XAUUSD!$A$2:$A$1000,ALGLIB_SSA_XAUUSD!$B$2:$B$1000,"",0)</f>
        <v/>
      </c>
      <c r="C759" t="str">
        <f>_xlfn.XLOOKUP($A759,ALGLIB_SSA_XAUUSD!$A$2:$A$1000,ALGLIB_SSA_XAUUSD!$C$2:$C$1000,"",0)</f>
        <v/>
      </c>
      <c r="D759" s="1">
        <f>D758+(D770-D758)*1/12</f>
        <v>4827.1783333333333</v>
      </c>
      <c r="E759" s="1">
        <f>E758+(E770-E758)*1/12</f>
        <v>4811.5882016666674</v>
      </c>
      <c r="F759" s="1">
        <f>F758+(F770-F758)*1/12</f>
        <v>4814.7188791666667</v>
      </c>
      <c r="G759" s="1">
        <f>G758+(G770-G758)*1/12</f>
        <v>4824.7647825000004</v>
      </c>
      <c r="H759" s="1">
        <f>H758+(H770-H758)*1/12</f>
        <v>4805.5694283333332</v>
      </c>
      <c r="I759" t="str">
        <f>_xlfn.XLOOKUP($A759,ALGLIB_SSA_XAUUSD!$J$2:$J$1000,ALGLIB_SSA_XAUUSD!$K$2:$K$1000,"",0)</f>
        <v>XAUUSD</v>
      </c>
      <c r="J759" t="str">
        <f>_xlfn.XLOOKUP($A759,ALGLIB_SSA_XAUUSD!$J$2:$J$1000,ALGLIB_SSA_XAUUSD!$L$2:$L$1000,"",0)</f>
        <v>M5</v>
      </c>
      <c r="K759">
        <f>_xlfn.XLOOKUP($A759,ALGLIB_SSA_XAUUSD!$J$2:$J$1000,ALGLIB_SSA_XAUUSD!$M$2:$M$1000,"",0)</f>
        <v>4808.38</v>
      </c>
      <c r="L759">
        <f>_xlfn.XLOOKUP($A759,ALGLIB_SSA_XAUUSD!$J$2:$J$1000,ALGLIB_SSA_XAUUSD!$N$2:$N$1000,"",0)</f>
        <v>4806.1404400000001</v>
      </c>
      <c r="M759">
        <f>_xlfn.XLOOKUP($A759,ALGLIB_SSA_XAUUSD!$J$2:$J$1000,ALGLIB_SSA_XAUUSD!$O$2:$O$1000,"",0)</f>
        <v>4805.0636699999995</v>
      </c>
      <c r="N759">
        <f>_xlfn.XLOOKUP($A759,ALGLIB_SSA_XAUUSD!$J$2:$J$1000,ALGLIB_SSA_XAUUSD!$P$2:$P$1000,"",0)</f>
        <v>4807.0510299999996</v>
      </c>
      <c r="O759">
        <f>_xlfn.XLOOKUP($A759,ALGLIB_SSA_XAUUSD!$J$2:$J$1000,ALGLIB_SSA_XAUUSD!$Q$2:$Q$1000,"",0)</f>
        <v>4802.9194900000002</v>
      </c>
      <c r="R759">
        <f t="shared" si="121"/>
        <v>1775624700</v>
      </c>
      <c r="S759" t="str">
        <f t="shared" si="122"/>
        <v>XAUUSD</v>
      </c>
      <c r="T759" t="str">
        <f t="shared" si="123"/>
        <v>M5</v>
      </c>
      <c r="U759">
        <f t="shared" si="124"/>
        <v>4808.38</v>
      </c>
      <c r="V759">
        <v>4811.5882000000001</v>
      </c>
      <c r="W759">
        <v>4814.7188800000004</v>
      </c>
      <c r="X759">
        <v>4806.1404400000001</v>
      </c>
      <c r="Y759">
        <v>4805.0636699999995</v>
      </c>
      <c r="Z759">
        <f t="shared" si="125"/>
        <v>4824.7647825000004</v>
      </c>
      <c r="AA759">
        <f t="shared" si="126"/>
        <v>4807.0510299999996</v>
      </c>
      <c r="AB759">
        <f t="shared" si="127"/>
        <v>4805.5694283333332</v>
      </c>
      <c r="AC759">
        <f t="shared" si="128"/>
        <v>4802.9194900000002</v>
      </c>
      <c r="AF759">
        <f t="shared" si="129"/>
        <v>4806.1404400000001</v>
      </c>
      <c r="AG759">
        <f t="shared" si="130"/>
        <v>4824.7647825000004</v>
      </c>
      <c r="AH759">
        <f t="shared" si="131"/>
        <v>4805.5694283333332</v>
      </c>
    </row>
    <row r="760" spans="1:34" x14ac:dyDescent="0.55000000000000004">
      <c r="A760">
        <f>ALGLIB_SSA_XAUUSD!J760</f>
        <v>1775625000</v>
      </c>
      <c r="B760" t="str">
        <f>_xlfn.XLOOKUP($A760,ALGLIB_SSA_XAUUSD!$A$2:$A$1000,ALGLIB_SSA_XAUUSD!$B$2:$B$1000,"",0)</f>
        <v/>
      </c>
      <c r="C760" t="str">
        <f>_xlfn.XLOOKUP($A760,ALGLIB_SSA_XAUUSD!$A$2:$A$1000,ALGLIB_SSA_XAUUSD!$C$2:$C$1000,"",0)</f>
        <v/>
      </c>
      <c r="D760" s="1">
        <f>D758+(D770-D758)*2/12</f>
        <v>4826.5666666666666</v>
      </c>
      <c r="E760" s="1">
        <f>E758+(E770-E758)*2/12</f>
        <v>4811.0801433333336</v>
      </c>
      <c r="F760" s="1">
        <f>F758+(F770-F758)*2/12</f>
        <v>4814.339778333333</v>
      </c>
      <c r="G760" s="1">
        <f>G758+(G770-G758)*2/12</f>
        <v>4824.2429650000004</v>
      </c>
      <c r="H760" s="1">
        <f>H758+(H770-H758)*2/12</f>
        <v>4805.1524366666672</v>
      </c>
      <c r="I760" t="str">
        <f>_xlfn.XLOOKUP($A760,ALGLIB_SSA_XAUUSD!$J$2:$J$1000,ALGLIB_SSA_XAUUSD!$K$2:$K$1000,"",0)</f>
        <v>XAUUSD</v>
      </c>
      <c r="J760" t="str">
        <f>_xlfn.XLOOKUP($A760,ALGLIB_SSA_XAUUSD!$J$2:$J$1000,ALGLIB_SSA_XAUUSD!$L$2:$L$1000,"",0)</f>
        <v>M5</v>
      </c>
      <c r="K760">
        <f>_xlfn.XLOOKUP($A760,ALGLIB_SSA_XAUUSD!$J$2:$J$1000,ALGLIB_SSA_XAUUSD!$M$2:$M$1000,"",0)</f>
        <v>4809.58</v>
      </c>
      <c r="L760">
        <f>_xlfn.XLOOKUP($A760,ALGLIB_SSA_XAUUSD!$J$2:$J$1000,ALGLIB_SSA_XAUUSD!$N$2:$N$1000,"",0)</f>
        <v>4808.0367699999997</v>
      </c>
      <c r="M760">
        <f>_xlfn.XLOOKUP($A760,ALGLIB_SSA_XAUUSD!$J$2:$J$1000,ALGLIB_SSA_XAUUSD!$O$2:$O$1000,"",0)</f>
        <v>4806.5502200000001</v>
      </c>
      <c r="N760">
        <f>_xlfn.XLOOKUP($A760,ALGLIB_SSA_XAUUSD!$J$2:$J$1000,ALGLIB_SSA_XAUUSD!$P$2:$P$1000,"",0)</f>
        <v>4808.4831700000004</v>
      </c>
      <c r="O760">
        <f>_xlfn.XLOOKUP($A760,ALGLIB_SSA_XAUUSD!$J$2:$J$1000,ALGLIB_SSA_XAUUSD!$Q$2:$Q$1000,"",0)</f>
        <v>4804.3602600000004</v>
      </c>
      <c r="R760">
        <f t="shared" si="121"/>
        <v>1775625000</v>
      </c>
      <c r="S760" t="str">
        <f t="shared" si="122"/>
        <v>XAUUSD</v>
      </c>
      <c r="T760" t="str">
        <f t="shared" si="123"/>
        <v>M5</v>
      </c>
      <c r="U760">
        <f t="shared" si="124"/>
        <v>4809.58</v>
      </c>
      <c r="V760">
        <v>4811.08014</v>
      </c>
      <c r="W760">
        <v>4814.3397800000002</v>
      </c>
      <c r="X760">
        <v>4808.0367699999997</v>
      </c>
      <c r="Y760">
        <v>4806.5502200000001</v>
      </c>
      <c r="Z760">
        <f t="shared" si="125"/>
        <v>4824.2429650000004</v>
      </c>
      <c r="AA760">
        <f t="shared" si="126"/>
        <v>4808.4831700000004</v>
      </c>
      <c r="AB760">
        <f t="shared" si="127"/>
        <v>4805.1524366666672</v>
      </c>
      <c r="AC760">
        <f t="shared" si="128"/>
        <v>4804.3602600000004</v>
      </c>
      <c r="AF760">
        <f t="shared" si="129"/>
        <v>4808.0367699999997</v>
      </c>
      <c r="AG760">
        <f t="shared" si="130"/>
        <v>4824.2429650000004</v>
      </c>
      <c r="AH760">
        <f t="shared" si="131"/>
        <v>4805.1524366666672</v>
      </c>
    </row>
    <row r="761" spans="1:34" x14ac:dyDescent="0.55000000000000004">
      <c r="A761">
        <f>ALGLIB_SSA_XAUUSD!J761</f>
        <v>1775625300</v>
      </c>
      <c r="B761" t="str">
        <f>_xlfn.XLOOKUP($A761,ALGLIB_SSA_XAUUSD!$A$2:$A$1000,ALGLIB_SSA_XAUUSD!$B$2:$B$1000,"",0)</f>
        <v/>
      </c>
      <c r="C761" t="str">
        <f>_xlfn.XLOOKUP($A761,ALGLIB_SSA_XAUUSD!$A$2:$A$1000,ALGLIB_SSA_XAUUSD!$C$2:$C$1000,"",0)</f>
        <v/>
      </c>
      <c r="D761" s="1">
        <f>D758+(D770-D758)*3/12</f>
        <v>4825.9549999999999</v>
      </c>
      <c r="E761" s="1">
        <f>E758+(E770-E758)*3/12</f>
        <v>4810.5720849999998</v>
      </c>
      <c r="F761" s="1">
        <f>F758+(F770-F758)*3/12</f>
        <v>4813.9606774999993</v>
      </c>
      <c r="G761" s="1">
        <f>G758+(G770-G758)*3/12</f>
        <v>4823.7211475000004</v>
      </c>
      <c r="H761" s="1">
        <f>H758+(H770-H758)*3/12</f>
        <v>4804.7354450000003</v>
      </c>
      <c r="I761" t="str">
        <f>_xlfn.XLOOKUP($A761,ALGLIB_SSA_XAUUSD!$J$2:$J$1000,ALGLIB_SSA_XAUUSD!$K$2:$K$1000,"",0)</f>
        <v>XAUUSD</v>
      </c>
      <c r="J761" t="str">
        <f>_xlfn.XLOOKUP($A761,ALGLIB_SSA_XAUUSD!$J$2:$J$1000,ALGLIB_SSA_XAUUSD!$L$2:$L$1000,"",0)</f>
        <v>M5</v>
      </c>
      <c r="K761">
        <f>_xlfn.XLOOKUP($A761,ALGLIB_SSA_XAUUSD!$J$2:$J$1000,ALGLIB_SSA_XAUUSD!$M$2:$M$1000,"",0)</f>
        <v>4809.79</v>
      </c>
      <c r="L761">
        <f>_xlfn.XLOOKUP($A761,ALGLIB_SSA_XAUUSD!$J$2:$J$1000,ALGLIB_SSA_XAUUSD!$N$2:$N$1000,"",0)</f>
        <v>4810.5339599999998</v>
      </c>
      <c r="M761">
        <f>_xlfn.XLOOKUP($A761,ALGLIB_SSA_XAUUSD!$J$2:$J$1000,ALGLIB_SSA_XAUUSD!$O$2:$O$1000,"",0)</f>
        <v>4808.5420899999999</v>
      </c>
      <c r="N761">
        <f>_xlfn.XLOOKUP($A761,ALGLIB_SSA_XAUUSD!$J$2:$J$1000,ALGLIB_SSA_XAUUSD!$P$2:$P$1000,"",0)</f>
        <v>4810.7796900000003</v>
      </c>
      <c r="O761">
        <f>_xlfn.XLOOKUP($A761,ALGLIB_SSA_XAUUSD!$J$2:$J$1000,ALGLIB_SSA_XAUUSD!$Q$2:$Q$1000,"",0)</f>
        <v>4806.36085</v>
      </c>
      <c r="R761">
        <f t="shared" si="121"/>
        <v>1775625300</v>
      </c>
      <c r="S761" t="str">
        <f t="shared" si="122"/>
        <v>XAUUSD</v>
      </c>
      <c r="T761" t="str">
        <f t="shared" si="123"/>
        <v>M5</v>
      </c>
      <c r="U761">
        <f t="shared" si="124"/>
        <v>4809.79</v>
      </c>
      <c r="V761">
        <v>4810.5720899999997</v>
      </c>
      <c r="W761">
        <v>4813.9606800000001</v>
      </c>
      <c r="X761">
        <v>4810.5339599999998</v>
      </c>
      <c r="Y761">
        <v>4808.5420899999999</v>
      </c>
      <c r="Z761">
        <f t="shared" si="125"/>
        <v>4823.7211475000004</v>
      </c>
      <c r="AA761">
        <f t="shared" si="126"/>
        <v>4810.7796900000003</v>
      </c>
      <c r="AB761">
        <f t="shared" si="127"/>
        <v>4804.7354450000003</v>
      </c>
      <c r="AC761">
        <f t="shared" si="128"/>
        <v>4806.36085</v>
      </c>
      <c r="AF761">
        <f t="shared" si="129"/>
        <v>4810.5339599999998</v>
      </c>
      <c r="AG761">
        <f t="shared" si="130"/>
        <v>4823.7211475000004</v>
      </c>
      <c r="AH761">
        <f t="shared" si="131"/>
        <v>4804.7354450000003</v>
      </c>
    </row>
    <row r="762" spans="1:34" x14ac:dyDescent="0.55000000000000004">
      <c r="A762">
        <f>ALGLIB_SSA_XAUUSD!J762</f>
        <v>1775625600</v>
      </c>
      <c r="B762" t="str">
        <f>_xlfn.XLOOKUP($A762,ALGLIB_SSA_XAUUSD!$A$2:$A$1000,ALGLIB_SSA_XAUUSD!$B$2:$B$1000,"",0)</f>
        <v/>
      </c>
      <c r="C762" t="str">
        <f>_xlfn.XLOOKUP($A762,ALGLIB_SSA_XAUUSD!$A$2:$A$1000,ALGLIB_SSA_XAUUSD!$C$2:$C$1000,"",0)</f>
        <v/>
      </c>
      <c r="D762" s="1">
        <f>D758+(D770-D758)*4/12</f>
        <v>4825.3433333333332</v>
      </c>
      <c r="E762" s="1">
        <f>E758+(E770-E758)*4/12</f>
        <v>4810.0640266666669</v>
      </c>
      <c r="F762" s="1">
        <f>F758+(F770-F758)*4/12</f>
        <v>4813.5815766666665</v>
      </c>
      <c r="G762" s="1">
        <f>G758+(G770-G758)*4/12</f>
        <v>4823.1993300000004</v>
      </c>
      <c r="H762" s="1">
        <f>H758+(H770-H758)*4/12</f>
        <v>4804.3184533333333</v>
      </c>
      <c r="I762" t="str">
        <f>_xlfn.XLOOKUP($A762,ALGLIB_SSA_XAUUSD!$J$2:$J$1000,ALGLIB_SSA_XAUUSD!$K$2:$K$1000,"",0)</f>
        <v>XAUUSD</v>
      </c>
      <c r="J762" t="str">
        <f>_xlfn.XLOOKUP($A762,ALGLIB_SSA_XAUUSD!$J$2:$J$1000,ALGLIB_SSA_XAUUSD!$L$2:$L$1000,"",0)</f>
        <v>M5</v>
      </c>
      <c r="K762">
        <f>_xlfn.XLOOKUP($A762,ALGLIB_SSA_XAUUSD!$J$2:$J$1000,ALGLIB_SSA_XAUUSD!$M$2:$M$1000,"",0)</f>
        <v>4811.3</v>
      </c>
      <c r="L762">
        <f>_xlfn.XLOOKUP($A762,ALGLIB_SSA_XAUUSD!$J$2:$J$1000,ALGLIB_SSA_XAUUSD!$N$2:$N$1000,"",0)</f>
        <v>4813.5767299999998</v>
      </c>
      <c r="M762">
        <f>_xlfn.XLOOKUP($A762,ALGLIB_SSA_XAUUSD!$J$2:$J$1000,ALGLIB_SSA_XAUUSD!$O$2:$O$1000,"",0)</f>
        <v>4811.0594099999998</v>
      </c>
      <c r="N762">
        <f>_xlfn.XLOOKUP($A762,ALGLIB_SSA_XAUUSD!$J$2:$J$1000,ALGLIB_SSA_XAUUSD!$P$2:$P$1000,"",0)</f>
        <v>4813.9819699999998</v>
      </c>
      <c r="O762">
        <f>_xlfn.XLOOKUP($A762,ALGLIB_SSA_XAUUSD!$J$2:$J$1000,ALGLIB_SSA_XAUUSD!$Q$2:$Q$1000,"",0)</f>
        <v>4808.9193699999996</v>
      </c>
      <c r="R762">
        <f t="shared" si="121"/>
        <v>1775625600</v>
      </c>
      <c r="S762" t="str">
        <f t="shared" si="122"/>
        <v>XAUUSD</v>
      </c>
      <c r="T762" t="str">
        <f t="shared" si="123"/>
        <v>M5</v>
      </c>
      <c r="U762">
        <f t="shared" si="124"/>
        <v>4811.3</v>
      </c>
      <c r="V762">
        <v>4810.0640299999995</v>
      </c>
      <c r="W762">
        <v>4813.58158</v>
      </c>
      <c r="X762">
        <v>4813.5767299999998</v>
      </c>
      <c r="Y762">
        <v>4811.0594099999998</v>
      </c>
      <c r="Z762">
        <f t="shared" si="125"/>
        <v>4823.1993300000004</v>
      </c>
      <c r="AA762">
        <f t="shared" si="126"/>
        <v>4813.9819699999998</v>
      </c>
      <c r="AB762">
        <f t="shared" si="127"/>
        <v>4804.3184533333333</v>
      </c>
      <c r="AC762">
        <f t="shared" si="128"/>
        <v>4808.9193699999996</v>
      </c>
      <c r="AF762">
        <f t="shared" si="129"/>
        <v>4813.5767299999998</v>
      </c>
      <c r="AG762">
        <f t="shared" si="130"/>
        <v>4823.1993300000004</v>
      </c>
      <c r="AH762">
        <f t="shared" si="131"/>
        <v>4804.3184533333333</v>
      </c>
    </row>
    <row r="763" spans="1:34" x14ac:dyDescent="0.55000000000000004">
      <c r="A763">
        <f>ALGLIB_SSA_XAUUSD!J763</f>
        <v>1775625900</v>
      </c>
      <c r="B763" t="str">
        <f>_xlfn.XLOOKUP($A763,ALGLIB_SSA_XAUUSD!$A$2:$A$1000,ALGLIB_SSA_XAUUSD!$B$2:$B$1000,"",0)</f>
        <v/>
      </c>
      <c r="C763" t="str">
        <f>_xlfn.XLOOKUP($A763,ALGLIB_SSA_XAUUSD!$A$2:$A$1000,ALGLIB_SSA_XAUUSD!$C$2:$C$1000,"",0)</f>
        <v/>
      </c>
      <c r="D763" s="1">
        <f>D758+(D770-D758)*5/12</f>
        <v>4824.7316666666666</v>
      </c>
      <c r="E763" s="1">
        <f>E758+(E770-E758)*5/12</f>
        <v>4809.555968333334</v>
      </c>
      <c r="F763" s="1">
        <f>F758+(F770-F758)*5/12</f>
        <v>4813.2024758333337</v>
      </c>
      <c r="G763" s="1">
        <f>G758+(G770-G758)*5/12</f>
        <v>4822.6775125000004</v>
      </c>
      <c r="H763" s="1">
        <f>H758+(H770-H758)*5/12</f>
        <v>4803.9014616666664</v>
      </c>
      <c r="I763" t="str">
        <f>_xlfn.XLOOKUP($A763,ALGLIB_SSA_XAUUSD!$J$2:$J$1000,ALGLIB_SSA_XAUUSD!$K$2:$K$1000,"",0)</f>
        <v>XAUUSD</v>
      </c>
      <c r="J763" t="str">
        <f>_xlfn.XLOOKUP($A763,ALGLIB_SSA_XAUUSD!$J$2:$J$1000,ALGLIB_SSA_XAUUSD!$L$2:$L$1000,"",0)</f>
        <v>M5</v>
      </c>
      <c r="K763">
        <f>_xlfn.XLOOKUP($A763,ALGLIB_SSA_XAUUSD!$J$2:$J$1000,ALGLIB_SSA_XAUUSD!$M$2:$M$1000,"",0)</f>
        <v>4815.91</v>
      </c>
      <c r="L763">
        <f>_xlfn.XLOOKUP($A763,ALGLIB_SSA_XAUUSD!$J$2:$J$1000,ALGLIB_SSA_XAUUSD!$N$2:$N$1000,"",0)</f>
        <v>4816.9647500000001</v>
      </c>
      <c r="M763">
        <f>_xlfn.XLOOKUP($A763,ALGLIB_SSA_XAUUSD!$J$2:$J$1000,ALGLIB_SSA_XAUUSD!$O$2:$O$1000,"",0)</f>
        <v>4814.0120800000004</v>
      </c>
      <c r="N763">
        <f>_xlfn.XLOOKUP($A763,ALGLIB_SSA_XAUUSD!$J$2:$J$1000,ALGLIB_SSA_XAUUSD!$P$2:$P$1000,"",0)</f>
        <v>4817.8777700000001</v>
      </c>
      <c r="O763">
        <f>_xlfn.XLOOKUP($A763,ALGLIB_SSA_XAUUSD!$J$2:$J$1000,ALGLIB_SSA_XAUUSD!$Q$2:$Q$1000,"",0)</f>
        <v>4811.8928800000003</v>
      </c>
      <c r="R763">
        <f t="shared" si="121"/>
        <v>1775625900</v>
      </c>
      <c r="S763" t="str">
        <f t="shared" si="122"/>
        <v>XAUUSD</v>
      </c>
      <c r="T763" t="str">
        <f t="shared" si="123"/>
        <v>M5</v>
      </c>
      <c r="U763">
        <f t="shared" si="124"/>
        <v>4815.91</v>
      </c>
      <c r="V763">
        <v>4809.5559700000003</v>
      </c>
      <c r="W763">
        <v>4813.2024799999999</v>
      </c>
      <c r="X763">
        <v>4816.9647500000001</v>
      </c>
      <c r="Y763">
        <v>4814.0120800000004</v>
      </c>
      <c r="Z763">
        <f t="shared" si="125"/>
        <v>4822.6775125000004</v>
      </c>
      <c r="AA763">
        <f t="shared" si="126"/>
        <v>4817.8777700000001</v>
      </c>
      <c r="AB763">
        <f t="shared" si="127"/>
        <v>4803.9014616666664</v>
      </c>
      <c r="AC763">
        <f t="shared" si="128"/>
        <v>4811.8928800000003</v>
      </c>
      <c r="AF763">
        <f t="shared" si="129"/>
        <v>4816.9647500000001</v>
      </c>
      <c r="AG763">
        <f t="shared" si="130"/>
        <v>4822.6775125000004</v>
      </c>
      <c r="AH763">
        <f t="shared" si="131"/>
        <v>4803.9014616666664</v>
      </c>
    </row>
    <row r="764" spans="1:34" x14ac:dyDescent="0.55000000000000004">
      <c r="A764">
        <f>ALGLIB_SSA_XAUUSD!J764</f>
        <v>1775626200</v>
      </c>
      <c r="B764" t="str">
        <f>_xlfn.XLOOKUP($A764,ALGLIB_SSA_XAUUSD!$A$2:$A$1000,ALGLIB_SSA_XAUUSD!$B$2:$B$1000,"",0)</f>
        <v/>
      </c>
      <c r="C764" t="str">
        <f>_xlfn.XLOOKUP($A764,ALGLIB_SSA_XAUUSD!$A$2:$A$1000,ALGLIB_SSA_XAUUSD!$C$2:$C$1000,"",0)</f>
        <v/>
      </c>
      <c r="D764" s="1">
        <f>D758+(D770-D758)*6/12</f>
        <v>4824.12</v>
      </c>
      <c r="E764" s="1">
        <f>E758+(E770-E758)*6/12</f>
        <v>4809.0479100000002</v>
      </c>
      <c r="F764" s="1">
        <f>F758+(F770-F758)*6/12</f>
        <v>4812.8233749999999</v>
      </c>
      <c r="G764" s="1">
        <f>G758+(G770-G758)*6/12</f>
        <v>4822.1556950000004</v>
      </c>
      <c r="H764" s="1">
        <f>H758+(H770-H758)*6/12</f>
        <v>4803.4844699999994</v>
      </c>
      <c r="I764" t="str">
        <f>_xlfn.XLOOKUP($A764,ALGLIB_SSA_XAUUSD!$J$2:$J$1000,ALGLIB_SSA_XAUUSD!$K$2:$K$1000,"",0)</f>
        <v>XAUUSD</v>
      </c>
      <c r="J764" t="str">
        <f>_xlfn.XLOOKUP($A764,ALGLIB_SSA_XAUUSD!$J$2:$J$1000,ALGLIB_SSA_XAUUSD!$L$2:$L$1000,"",0)</f>
        <v>M5</v>
      </c>
      <c r="K764">
        <f>_xlfn.XLOOKUP($A764,ALGLIB_SSA_XAUUSD!$J$2:$J$1000,ALGLIB_SSA_XAUUSD!$M$2:$M$1000,"",0)</f>
        <v>4822.24</v>
      </c>
      <c r="L764">
        <f>_xlfn.XLOOKUP($A764,ALGLIB_SSA_XAUUSD!$J$2:$J$1000,ALGLIB_SSA_XAUUSD!$N$2:$N$1000,"",0)</f>
        <v>4820.3513800000001</v>
      </c>
      <c r="M764">
        <f>_xlfn.XLOOKUP($A764,ALGLIB_SSA_XAUUSD!$J$2:$J$1000,ALGLIB_SSA_XAUUSD!$O$2:$O$1000,"",0)</f>
        <v>4817.1817300000002</v>
      </c>
      <c r="N764">
        <f>_xlfn.XLOOKUP($A764,ALGLIB_SSA_XAUUSD!$J$2:$J$1000,ALGLIB_SSA_XAUUSD!$P$2:$P$1000,"",0)</f>
        <v>4822.0753000000004</v>
      </c>
      <c r="O764">
        <f>_xlfn.XLOOKUP($A764,ALGLIB_SSA_XAUUSD!$J$2:$J$1000,ALGLIB_SSA_XAUUSD!$Q$2:$Q$1000,"",0)</f>
        <v>4815.0339700000004</v>
      </c>
      <c r="R764">
        <f t="shared" si="121"/>
        <v>1775626200</v>
      </c>
      <c r="S764" t="str">
        <f t="shared" si="122"/>
        <v>XAUUSD</v>
      </c>
      <c r="T764" t="str">
        <f t="shared" si="123"/>
        <v>M5</v>
      </c>
      <c r="U764">
        <f t="shared" si="124"/>
        <v>4822.24</v>
      </c>
      <c r="V764">
        <v>4809.0479100000002</v>
      </c>
      <c r="W764">
        <v>4812.8233799999998</v>
      </c>
      <c r="X764">
        <v>4820.3513800000001</v>
      </c>
      <c r="Y764">
        <v>4817.1817300000002</v>
      </c>
      <c r="Z764">
        <f t="shared" si="125"/>
        <v>4822.1556950000004</v>
      </c>
      <c r="AA764">
        <f t="shared" si="126"/>
        <v>4822.0753000000004</v>
      </c>
      <c r="AB764">
        <f t="shared" si="127"/>
        <v>4803.4844699999994</v>
      </c>
      <c r="AC764">
        <f t="shared" si="128"/>
        <v>4815.0339700000004</v>
      </c>
      <c r="AF764">
        <f t="shared" si="129"/>
        <v>4820.3513800000001</v>
      </c>
      <c r="AG764">
        <f t="shared" si="130"/>
        <v>4822.1556950000004</v>
      </c>
      <c r="AH764">
        <f t="shared" si="131"/>
        <v>4803.4844699999994</v>
      </c>
    </row>
    <row r="765" spans="1:34" x14ac:dyDescent="0.55000000000000004">
      <c r="A765">
        <f>ALGLIB_SSA_XAUUSD!J765</f>
        <v>1775626500</v>
      </c>
      <c r="B765" t="str">
        <f>_xlfn.XLOOKUP($A765,ALGLIB_SSA_XAUUSD!$A$2:$A$1000,ALGLIB_SSA_XAUUSD!$B$2:$B$1000,"",0)</f>
        <v/>
      </c>
      <c r="C765" t="str">
        <f>_xlfn.XLOOKUP($A765,ALGLIB_SSA_XAUUSD!$A$2:$A$1000,ALGLIB_SSA_XAUUSD!$C$2:$C$1000,"",0)</f>
        <v/>
      </c>
      <c r="D765" s="1">
        <f>D758+(D770-D758)*7/12</f>
        <v>4823.5083333333332</v>
      </c>
      <c r="E765" s="1">
        <f>E758+(E770-E758)*7/12</f>
        <v>4808.5398516666664</v>
      </c>
      <c r="F765" s="1">
        <f>F758+(F770-F758)*7/12</f>
        <v>4812.4442741666662</v>
      </c>
      <c r="G765" s="1">
        <f>G758+(G770-G758)*7/12</f>
        <v>4821.6338775000004</v>
      </c>
      <c r="H765" s="1">
        <f>H758+(H770-H758)*7/12</f>
        <v>4803.0674783333334</v>
      </c>
      <c r="I765" t="str">
        <f>_xlfn.XLOOKUP($A765,ALGLIB_SSA_XAUUSD!$J$2:$J$1000,ALGLIB_SSA_XAUUSD!$K$2:$K$1000,"",0)</f>
        <v>XAUUSD</v>
      </c>
      <c r="J765" t="str">
        <f>_xlfn.XLOOKUP($A765,ALGLIB_SSA_XAUUSD!$J$2:$J$1000,ALGLIB_SSA_XAUUSD!$L$2:$L$1000,"",0)</f>
        <v>M5</v>
      </c>
      <c r="K765">
        <f>_xlfn.XLOOKUP($A765,ALGLIB_SSA_XAUUSD!$J$2:$J$1000,ALGLIB_SSA_XAUUSD!$M$2:$M$1000,"",0)</f>
        <v>4820.1499999999996</v>
      </c>
      <c r="L765">
        <f>_xlfn.XLOOKUP($A765,ALGLIB_SSA_XAUUSD!$J$2:$J$1000,ALGLIB_SSA_XAUUSD!$N$2:$N$1000,"",0)</f>
        <v>4823.3327399999998</v>
      </c>
      <c r="M765">
        <f>_xlfn.XLOOKUP($A765,ALGLIB_SSA_XAUUSD!$J$2:$J$1000,ALGLIB_SSA_XAUUSD!$O$2:$O$1000,"",0)</f>
        <v>4820.2572399999999</v>
      </c>
      <c r="N765">
        <f>_xlfn.XLOOKUP($A765,ALGLIB_SSA_XAUUSD!$J$2:$J$1000,ALGLIB_SSA_XAUUSD!$P$2:$P$1000,"",0)</f>
        <v>4826.0529200000001</v>
      </c>
      <c r="O765">
        <f>_xlfn.XLOOKUP($A765,ALGLIB_SSA_XAUUSD!$J$2:$J$1000,ALGLIB_SSA_XAUUSD!$Q$2:$Q$1000,"",0)</f>
        <v>4818.0300100000004</v>
      </c>
      <c r="R765">
        <f t="shared" si="121"/>
        <v>1775626500</v>
      </c>
      <c r="S765" t="str">
        <f t="shared" si="122"/>
        <v>XAUUSD</v>
      </c>
      <c r="T765" t="str">
        <f t="shared" si="123"/>
        <v>M5</v>
      </c>
      <c r="U765">
        <f t="shared" si="124"/>
        <v>4820.1499999999996</v>
      </c>
      <c r="V765">
        <v>4808.5398500000001</v>
      </c>
      <c r="W765">
        <v>4812.44427</v>
      </c>
      <c r="X765">
        <v>4823.3327399999998</v>
      </c>
      <c r="Y765">
        <v>4820.2572399999999</v>
      </c>
      <c r="Z765">
        <f t="shared" si="125"/>
        <v>4821.6338775000004</v>
      </c>
      <c r="AA765">
        <f t="shared" si="126"/>
        <v>4826.0529200000001</v>
      </c>
      <c r="AB765">
        <f t="shared" si="127"/>
        <v>4803.0674783333334</v>
      </c>
      <c r="AC765">
        <f t="shared" si="128"/>
        <v>4818.0300100000004</v>
      </c>
      <c r="AF765">
        <f t="shared" si="129"/>
        <v>4823.3327399999998</v>
      </c>
      <c r="AG765">
        <f t="shared" si="130"/>
        <v>4821.6338775000004</v>
      </c>
      <c r="AH765">
        <f t="shared" si="131"/>
        <v>4803.0674783333334</v>
      </c>
    </row>
    <row r="766" spans="1:34" x14ac:dyDescent="0.55000000000000004">
      <c r="A766">
        <f>ALGLIB_SSA_XAUUSD!J766</f>
        <v>1775626800</v>
      </c>
      <c r="B766" t="str">
        <f>_xlfn.XLOOKUP($A766,ALGLIB_SSA_XAUUSD!$A$2:$A$1000,ALGLIB_SSA_XAUUSD!$B$2:$B$1000,"",0)</f>
        <v/>
      </c>
      <c r="C766" t="str">
        <f>_xlfn.XLOOKUP($A766,ALGLIB_SSA_XAUUSD!$A$2:$A$1000,ALGLIB_SSA_XAUUSD!$C$2:$C$1000,"",0)</f>
        <v/>
      </c>
      <c r="D766" s="1">
        <f>D758+(D770-D758)*8/12</f>
        <v>4822.8966666666665</v>
      </c>
      <c r="E766" s="1">
        <f>E758+(E770-E758)*8/12</f>
        <v>4808.0317933333336</v>
      </c>
      <c r="F766" s="1">
        <f>F758+(F770-F758)*8/12</f>
        <v>4812.0651733333334</v>
      </c>
      <c r="G766" s="1">
        <f>G758+(G770-G758)*8/12</f>
        <v>4821.1120600000004</v>
      </c>
      <c r="H766" s="1">
        <f>H758+(H770-H758)*8/12</f>
        <v>4802.6504866666664</v>
      </c>
      <c r="I766" t="str">
        <f>_xlfn.XLOOKUP($A766,ALGLIB_SSA_XAUUSD!$J$2:$J$1000,ALGLIB_SSA_XAUUSD!$K$2:$K$1000,"",0)</f>
        <v>XAUUSD</v>
      </c>
      <c r="J766" t="str">
        <f>_xlfn.XLOOKUP($A766,ALGLIB_SSA_XAUUSD!$J$2:$J$1000,ALGLIB_SSA_XAUUSD!$L$2:$L$1000,"",0)</f>
        <v>M5</v>
      </c>
      <c r="K766">
        <f>_xlfn.XLOOKUP($A766,ALGLIB_SSA_XAUUSD!$J$2:$J$1000,ALGLIB_SSA_XAUUSD!$M$2:$M$1000,"",0)</f>
        <v>4822.54</v>
      </c>
      <c r="L766">
        <f>_xlfn.XLOOKUP($A766,ALGLIB_SSA_XAUUSD!$J$2:$J$1000,ALGLIB_SSA_XAUUSD!$N$2:$N$1000,"",0)</f>
        <v>4825.7961400000004</v>
      </c>
      <c r="M766">
        <f>_xlfn.XLOOKUP($A766,ALGLIB_SSA_XAUUSD!$J$2:$J$1000,ALGLIB_SSA_XAUUSD!$O$2:$O$1000,"",0)</f>
        <v>4823.0266899999997</v>
      </c>
      <c r="N766">
        <f>_xlfn.XLOOKUP($A766,ALGLIB_SSA_XAUUSD!$J$2:$J$1000,ALGLIB_SSA_XAUUSD!$P$2:$P$1000,"",0)</f>
        <v>4829.4880199999998</v>
      </c>
      <c r="O766">
        <f>_xlfn.XLOOKUP($A766,ALGLIB_SSA_XAUUSD!$J$2:$J$1000,ALGLIB_SSA_XAUUSD!$Q$2:$Q$1000,"",0)</f>
        <v>4820.5961600000001</v>
      </c>
      <c r="R766">
        <f t="shared" si="121"/>
        <v>1775626800</v>
      </c>
      <c r="S766" t="str">
        <f t="shared" si="122"/>
        <v>XAUUSD</v>
      </c>
      <c r="T766" t="str">
        <f t="shared" si="123"/>
        <v>M5</v>
      </c>
      <c r="U766">
        <f t="shared" si="124"/>
        <v>4822.54</v>
      </c>
      <c r="V766">
        <v>4808.03179</v>
      </c>
      <c r="W766">
        <v>4812.0651699999999</v>
      </c>
      <c r="X766">
        <v>4825.7961400000004</v>
      </c>
      <c r="Y766">
        <v>4823.0266899999997</v>
      </c>
      <c r="Z766">
        <f t="shared" si="125"/>
        <v>4821.1120600000004</v>
      </c>
      <c r="AA766">
        <f t="shared" si="126"/>
        <v>4829.4880199999998</v>
      </c>
      <c r="AB766">
        <f t="shared" si="127"/>
        <v>4802.6504866666664</v>
      </c>
      <c r="AC766">
        <f t="shared" si="128"/>
        <v>4820.5961600000001</v>
      </c>
      <c r="AF766">
        <f t="shared" si="129"/>
        <v>4825.7961400000004</v>
      </c>
      <c r="AG766">
        <f t="shared" si="130"/>
        <v>4821.1120600000004</v>
      </c>
      <c r="AH766">
        <f t="shared" si="131"/>
        <v>4802.6504866666664</v>
      </c>
    </row>
    <row r="767" spans="1:34" x14ac:dyDescent="0.55000000000000004">
      <c r="A767">
        <f>ALGLIB_SSA_XAUUSD!J767</f>
        <v>1775627100</v>
      </c>
      <c r="B767" t="str">
        <f>_xlfn.XLOOKUP($A767,ALGLIB_SSA_XAUUSD!$A$2:$A$1000,ALGLIB_SSA_XAUUSD!$B$2:$B$1000,"",0)</f>
        <v/>
      </c>
      <c r="C767" t="str">
        <f>_xlfn.XLOOKUP($A767,ALGLIB_SSA_XAUUSD!$A$2:$A$1000,ALGLIB_SSA_XAUUSD!$C$2:$C$1000,"",0)</f>
        <v/>
      </c>
      <c r="D767" s="1">
        <f>D758+(D770-D758)*9/12</f>
        <v>4822.2849999999999</v>
      </c>
      <c r="E767" s="1">
        <f>E758+(E770-E758)*9/12</f>
        <v>4807.5237350000007</v>
      </c>
      <c r="F767" s="1">
        <f>F758+(F770-F758)*9/12</f>
        <v>4811.6860725000006</v>
      </c>
      <c r="G767" s="1">
        <f>G758+(G770-G758)*9/12</f>
        <v>4820.5902425000004</v>
      </c>
      <c r="H767" s="1">
        <f>H758+(H770-H758)*9/12</f>
        <v>4802.2334949999995</v>
      </c>
      <c r="I767" t="str">
        <f>_xlfn.XLOOKUP($A767,ALGLIB_SSA_XAUUSD!$J$2:$J$1000,ALGLIB_SSA_XAUUSD!$K$2:$K$1000,"",0)</f>
        <v>XAUUSD</v>
      </c>
      <c r="J767" t="str">
        <f>_xlfn.XLOOKUP($A767,ALGLIB_SSA_XAUUSD!$J$2:$J$1000,ALGLIB_SSA_XAUUSD!$L$2:$L$1000,"",0)</f>
        <v>M5</v>
      </c>
      <c r="K767">
        <f>_xlfn.XLOOKUP($A767,ALGLIB_SSA_XAUUSD!$J$2:$J$1000,ALGLIB_SSA_XAUUSD!$M$2:$M$1000,"",0)</f>
        <v>4831.41</v>
      </c>
      <c r="L767">
        <f>_xlfn.XLOOKUP($A767,ALGLIB_SSA_XAUUSD!$J$2:$J$1000,ALGLIB_SSA_XAUUSD!$N$2:$N$1000,"",0)</f>
        <v>4827.6361399999996</v>
      </c>
      <c r="M767">
        <f>_xlfn.XLOOKUP($A767,ALGLIB_SSA_XAUUSD!$J$2:$J$1000,ALGLIB_SSA_XAUUSD!$O$2:$O$1000,"",0)</f>
        <v>4825.3314099999998</v>
      </c>
      <c r="N767">
        <f>_xlfn.XLOOKUP($A767,ALGLIB_SSA_XAUUSD!$J$2:$J$1000,ALGLIB_SSA_XAUUSD!$P$2:$P$1000,"",0)</f>
        <v>4832.1133200000004</v>
      </c>
      <c r="O767">
        <f>_xlfn.XLOOKUP($A767,ALGLIB_SSA_XAUUSD!$J$2:$J$1000,ALGLIB_SSA_XAUUSD!$Q$2:$Q$1000,"",0)</f>
        <v>4822.5627100000002</v>
      </c>
      <c r="R767">
        <f t="shared" si="121"/>
        <v>1775627100</v>
      </c>
      <c r="S767" t="str">
        <f t="shared" si="122"/>
        <v>XAUUSD</v>
      </c>
      <c r="T767" t="str">
        <f t="shared" si="123"/>
        <v>M5</v>
      </c>
      <c r="U767">
        <f t="shared" si="124"/>
        <v>4831.41</v>
      </c>
      <c r="V767">
        <v>4807.5237399999996</v>
      </c>
      <c r="W767">
        <v>4811.6860699999997</v>
      </c>
      <c r="X767">
        <v>4827.6361399999996</v>
      </c>
      <c r="Y767">
        <v>4825.3314099999998</v>
      </c>
      <c r="Z767">
        <f t="shared" si="125"/>
        <v>4820.5902425000004</v>
      </c>
      <c r="AA767">
        <f t="shared" si="126"/>
        <v>4832.1133200000004</v>
      </c>
      <c r="AB767">
        <f t="shared" si="127"/>
        <v>4802.2334949999995</v>
      </c>
      <c r="AC767">
        <f t="shared" si="128"/>
        <v>4822.5627100000002</v>
      </c>
      <c r="AF767">
        <f t="shared" si="129"/>
        <v>4827.6361399999996</v>
      </c>
      <c r="AG767">
        <f t="shared" si="130"/>
        <v>4820.5902425000004</v>
      </c>
      <c r="AH767">
        <f t="shared" si="131"/>
        <v>4802.2334949999995</v>
      </c>
    </row>
    <row r="768" spans="1:34" x14ac:dyDescent="0.55000000000000004">
      <c r="A768">
        <f>ALGLIB_SSA_XAUUSD!J768</f>
        <v>1775627400</v>
      </c>
      <c r="B768" t="str">
        <f>_xlfn.XLOOKUP($A768,ALGLIB_SSA_XAUUSD!$A$2:$A$1000,ALGLIB_SSA_XAUUSD!$B$2:$B$1000,"",0)</f>
        <v/>
      </c>
      <c r="C768" t="str">
        <f>_xlfn.XLOOKUP($A768,ALGLIB_SSA_XAUUSD!$A$2:$A$1000,ALGLIB_SSA_XAUUSD!$C$2:$C$1000,"",0)</f>
        <v/>
      </c>
      <c r="D768" s="1">
        <f>D758+(D770-D758)*10/12</f>
        <v>4821.6733333333332</v>
      </c>
      <c r="E768" s="1">
        <f>E758+(E770-E758)*10/12</f>
        <v>4807.0156766666669</v>
      </c>
      <c r="F768" s="1">
        <f>F758+(F770-F758)*10/12</f>
        <v>4811.3069716666669</v>
      </c>
      <c r="G768" s="1">
        <f>G758+(G770-G758)*10/12</f>
        <v>4820.0684250000004</v>
      </c>
      <c r="H768" s="1">
        <f>H758+(H770-H758)*10/12</f>
        <v>4801.8165033333335</v>
      </c>
      <c r="I768" t="str">
        <f>_xlfn.XLOOKUP($A768,ALGLIB_SSA_XAUUSD!$J$2:$J$1000,ALGLIB_SSA_XAUUSD!$K$2:$K$1000,"",0)</f>
        <v>XAUUSD</v>
      </c>
      <c r="J768" t="str">
        <f>_xlfn.XLOOKUP($A768,ALGLIB_SSA_XAUUSD!$J$2:$J$1000,ALGLIB_SSA_XAUUSD!$L$2:$L$1000,"",0)</f>
        <v>M5</v>
      </c>
      <c r="K768">
        <f>_xlfn.XLOOKUP($A768,ALGLIB_SSA_XAUUSD!$J$2:$J$1000,ALGLIB_SSA_XAUUSD!$M$2:$M$1000,"",0)</f>
        <v>4836.4799999999996</v>
      </c>
      <c r="L768">
        <f>_xlfn.XLOOKUP($A768,ALGLIB_SSA_XAUUSD!$J$2:$J$1000,ALGLIB_SSA_XAUUSD!$N$2:$N$1000,"",0)</f>
        <v>4828.7056400000001</v>
      </c>
      <c r="M768">
        <f>_xlfn.XLOOKUP($A768,ALGLIB_SSA_XAUUSD!$J$2:$J$1000,ALGLIB_SSA_XAUUSD!$O$2:$O$1000,"",0)</f>
        <v>4827.0185300000003</v>
      </c>
      <c r="N768">
        <f>_xlfn.XLOOKUP($A768,ALGLIB_SSA_XAUUSD!$J$2:$J$1000,ALGLIB_SSA_XAUUSD!$P$2:$P$1000,"",0)</f>
        <v>4833.7185799999997</v>
      </c>
      <c r="O768">
        <f>_xlfn.XLOOKUP($A768,ALGLIB_SSA_XAUUSD!$J$2:$J$1000,ALGLIB_SSA_XAUUSD!$Q$2:$Q$1000,"",0)</f>
        <v>4823.9353499999997</v>
      </c>
      <c r="R768">
        <f t="shared" si="121"/>
        <v>1775627400</v>
      </c>
      <c r="S768" t="str">
        <f t="shared" si="122"/>
        <v>XAUUSD</v>
      </c>
      <c r="T768" t="str">
        <f t="shared" si="123"/>
        <v>M5</v>
      </c>
      <c r="U768">
        <f t="shared" si="124"/>
        <v>4836.4799999999996</v>
      </c>
      <c r="V768">
        <v>4807.0156800000004</v>
      </c>
      <c r="W768">
        <v>4811.3069699999996</v>
      </c>
      <c r="X768">
        <v>4828.7056400000001</v>
      </c>
      <c r="Y768">
        <v>4827.0185300000003</v>
      </c>
      <c r="Z768">
        <f t="shared" si="125"/>
        <v>4820.0684250000004</v>
      </c>
      <c r="AA768">
        <f t="shared" si="126"/>
        <v>4833.7185799999997</v>
      </c>
      <c r="AB768">
        <f t="shared" si="127"/>
        <v>4801.8165033333335</v>
      </c>
      <c r="AC768">
        <f t="shared" si="128"/>
        <v>4823.9353499999997</v>
      </c>
      <c r="AF768">
        <f t="shared" si="129"/>
        <v>4828.7056400000001</v>
      </c>
      <c r="AG768">
        <f t="shared" si="130"/>
        <v>4820.0684250000004</v>
      </c>
      <c r="AH768">
        <f t="shared" si="131"/>
        <v>4801.8165033333335</v>
      </c>
    </row>
    <row r="769" spans="1:34" x14ac:dyDescent="0.55000000000000004">
      <c r="A769">
        <f>ALGLIB_SSA_XAUUSD!J769</f>
        <v>1775627700</v>
      </c>
      <c r="B769" t="str">
        <f>_xlfn.XLOOKUP($A769,ALGLIB_SSA_XAUUSD!$A$2:$A$1000,ALGLIB_SSA_XAUUSD!$B$2:$B$1000,"",0)</f>
        <v/>
      </c>
      <c r="C769" t="str">
        <f>_xlfn.XLOOKUP($A769,ALGLIB_SSA_XAUUSD!$A$2:$A$1000,ALGLIB_SSA_XAUUSD!$C$2:$C$1000,"",0)</f>
        <v/>
      </c>
      <c r="D769" s="1">
        <f>D758+(D770-D758)*11/12</f>
        <v>4821.0616666666665</v>
      </c>
      <c r="E769" s="1">
        <f>E758+(E770-E758)*11/12</f>
        <v>4806.5076183333331</v>
      </c>
      <c r="F769" s="1">
        <f>F758+(F770-F758)*11/12</f>
        <v>4810.9278708333331</v>
      </c>
      <c r="G769" s="1">
        <f>G758+(G770-G758)*11/12</f>
        <v>4819.5466075000004</v>
      </c>
      <c r="H769" s="1">
        <f>H758+(H770-H758)*11/12</f>
        <v>4801.3995116666665</v>
      </c>
      <c r="I769" t="str">
        <f>_xlfn.XLOOKUP($A769,ALGLIB_SSA_XAUUSD!$J$2:$J$1000,ALGLIB_SSA_XAUUSD!$K$2:$K$1000,"",0)</f>
        <v>XAUUSD</v>
      </c>
      <c r="J769" t="str">
        <f>_xlfn.XLOOKUP($A769,ALGLIB_SSA_XAUUSD!$J$2:$J$1000,ALGLIB_SSA_XAUUSD!$L$2:$L$1000,"",0)</f>
        <v>M5</v>
      </c>
      <c r="K769">
        <f>_xlfn.XLOOKUP($A769,ALGLIB_SSA_XAUUSD!$J$2:$J$1000,ALGLIB_SSA_XAUUSD!$M$2:$M$1000,"",0)</f>
        <v>4827.79</v>
      </c>
      <c r="L769">
        <f>_xlfn.XLOOKUP($A769,ALGLIB_SSA_XAUUSD!$J$2:$J$1000,ALGLIB_SSA_XAUUSD!$N$2:$N$1000,"",0)</f>
        <v>4829.1012899999996</v>
      </c>
      <c r="M769">
        <f>_xlfn.XLOOKUP($A769,ALGLIB_SSA_XAUUSD!$J$2:$J$1000,ALGLIB_SSA_XAUUSD!$O$2:$O$1000,"",0)</f>
        <v>4828.0599099999999</v>
      </c>
      <c r="N769">
        <f>_xlfn.XLOOKUP($A769,ALGLIB_SSA_XAUUSD!$J$2:$J$1000,ALGLIB_SSA_XAUUSD!$P$2:$P$1000,"",0)</f>
        <v>4834.1528600000001</v>
      </c>
      <c r="O769">
        <f>_xlfn.XLOOKUP($A769,ALGLIB_SSA_XAUUSD!$J$2:$J$1000,ALGLIB_SSA_XAUUSD!$Q$2:$Q$1000,"",0)</f>
        <v>4824.6415999999999</v>
      </c>
      <c r="R769">
        <f t="shared" si="121"/>
        <v>1775627700</v>
      </c>
      <c r="S769" t="str">
        <f t="shared" si="122"/>
        <v>XAUUSD</v>
      </c>
      <c r="T769" t="str">
        <f t="shared" si="123"/>
        <v>M5</v>
      </c>
      <c r="U769">
        <f t="shared" si="124"/>
        <v>4827.79</v>
      </c>
      <c r="V769">
        <v>4806.5076200000003</v>
      </c>
      <c r="W769">
        <v>4810.9278700000004</v>
      </c>
      <c r="X769">
        <v>4829.1012899999996</v>
      </c>
      <c r="Y769">
        <v>4828.0599099999999</v>
      </c>
      <c r="Z769">
        <f t="shared" si="125"/>
        <v>4819.5466075000004</v>
      </c>
      <c r="AA769">
        <f t="shared" si="126"/>
        <v>4834.1528600000001</v>
      </c>
      <c r="AB769">
        <f t="shared" si="127"/>
        <v>4801.3995116666665</v>
      </c>
      <c r="AC769">
        <f t="shared" si="128"/>
        <v>4824.6415999999999</v>
      </c>
      <c r="AF769">
        <f t="shared" si="129"/>
        <v>4829.1012899999996</v>
      </c>
      <c r="AG769">
        <f t="shared" si="130"/>
        <v>4819.5466075000004</v>
      </c>
      <c r="AH769">
        <f t="shared" si="131"/>
        <v>4801.3995116666665</v>
      </c>
    </row>
    <row r="770" spans="1:34" x14ac:dyDescent="0.55000000000000004">
      <c r="A770">
        <f>ALGLIB_SSA_XAUUSD!J770</f>
        <v>1775628000</v>
      </c>
      <c r="B770" t="str">
        <f>_xlfn.XLOOKUP($A770,ALGLIB_SSA_XAUUSD!$A$2:$A$1000,ALGLIB_SSA_XAUUSD!$B$2:$B$1000,"",0)</f>
        <v>XAUUSD</v>
      </c>
      <c r="C770" t="str">
        <f>_xlfn.XLOOKUP($A770,ALGLIB_SSA_XAUUSD!$A$2:$A$1000,ALGLIB_SSA_XAUUSD!$C$2:$C$1000,"",0)</f>
        <v>H1</v>
      </c>
      <c r="D770" s="2">
        <f>_xlfn.XLOOKUP($A770,ALGLIB_SSA_XAUUSD!$A$2:$A$1000,ALGLIB_SSA_XAUUSD!$D$2:$D$1000,"",0)</f>
        <v>4820.45</v>
      </c>
      <c r="E770" s="2">
        <f>_xlfn.XLOOKUP($A770,ALGLIB_SSA_XAUUSD!$A$2:$A$1000,ALGLIB_SSA_XAUUSD!$E$2:$E$1000,"",0)</f>
        <v>4805.9995600000002</v>
      </c>
      <c r="F770" s="2">
        <f>_xlfn.XLOOKUP($A770,ALGLIB_SSA_XAUUSD!$A$2:$A$1000,ALGLIB_SSA_XAUUSD!$F$2:$F$1000,"",0)</f>
        <v>4810.5487700000003</v>
      </c>
      <c r="G770" s="2">
        <f>_xlfn.XLOOKUP($A770,ALGLIB_SSA_XAUUSD!$A$2:$A$1000,ALGLIB_SSA_XAUUSD!$G$2:$G$1000,"",0)</f>
        <v>4819.0247900000004</v>
      </c>
      <c r="H770" s="2">
        <f>_xlfn.XLOOKUP($A770,ALGLIB_SSA_XAUUSD!$A$2:$A$1000,ALGLIB_SSA_XAUUSD!$H$2:$H$1000,"",0)</f>
        <v>4800.9825199999996</v>
      </c>
      <c r="I770" t="str">
        <f>_xlfn.XLOOKUP($A770,ALGLIB_SSA_XAUUSD!$J$2:$J$1000,ALGLIB_SSA_XAUUSD!$K$2:$K$1000,"",0)</f>
        <v>XAUUSD</v>
      </c>
      <c r="J770" t="str">
        <f>_xlfn.XLOOKUP($A770,ALGLIB_SSA_XAUUSD!$J$2:$J$1000,ALGLIB_SSA_XAUUSD!$L$2:$L$1000,"",0)</f>
        <v>M5</v>
      </c>
      <c r="K770">
        <f>_xlfn.XLOOKUP($A770,ALGLIB_SSA_XAUUSD!$J$2:$J$1000,ALGLIB_SSA_XAUUSD!$M$2:$M$1000,"",0)</f>
        <v>4830.68</v>
      </c>
      <c r="L770">
        <f>_xlfn.XLOOKUP($A770,ALGLIB_SSA_XAUUSD!$J$2:$J$1000,ALGLIB_SSA_XAUUSD!$N$2:$N$1000,"",0)</f>
        <v>4829.33968</v>
      </c>
      <c r="M770">
        <f>_xlfn.XLOOKUP($A770,ALGLIB_SSA_XAUUSD!$J$2:$J$1000,ALGLIB_SSA_XAUUSD!$O$2:$O$1000,"",0)</f>
        <v>4828.6998000000003</v>
      </c>
      <c r="N770">
        <f>_xlfn.XLOOKUP($A770,ALGLIB_SSA_XAUUSD!$J$2:$J$1000,ALGLIB_SSA_XAUUSD!$P$2:$P$1000,"",0)</f>
        <v>4833.9431100000002</v>
      </c>
      <c r="O770">
        <f>_xlfn.XLOOKUP($A770,ALGLIB_SSA_XAUUSD!$J$2:$J$1000,ALGLIB_SSA_XAUUSD!$Q$2:$Q$1000,"",0)</f>
        <v>4825.0868200000004</v>
      </c>
      <c r="R770">
        <f t="shared" si="121"/>
        <v>1775628000</v>
      </c>
      <c r="S770" t="str">
        <f t="shared" si="122"/>
        <v>XAUUSD</v>
      </c>
      <c r="T770" t="str">
        <f t="shared" si="123"/>
        <v>M5</v>
      </c>
      <c r="U770">
        <f t="shared" si="124"/>
        <v>4830.68</v>
      </c>
      <c r="V770">
        <v>4805.9995600000002</v>
      </c>
      <c r="W770">
        <v>4810.5487700000003</v>
      </c>
      <c r="X770">
        <v>4829.33968</v>
      </c>
      <c r="Y770">
        <v>4828.6998000000003</v>
      </c>
      <c r="Z770">
        <f t="shared" si="125"/>
        <v>4819.0247900000004</v>
      </c>
      <c r="AA770">
        <f t="shared" si="126"/>
        <v>4833.9431100000002</v>
      </c>
      <c r="AB770">
        <f t="shared" si="127"/>
        <v>4800.9825199999996</v>
      </c>
      <c r="AC770">
        <f t="shared" si="128"/>
        <v>4825.0868200000004</v>
      </c>
      <c r="AF770">
        <f t="shared" si="129"/>
        <v>4829.33968</v>
      </c>
      <c r="AG770">
        <f t="shared" si="130"/>
        <v>4819.0247900000004</v>
      </c>
      <c r="AH770">
        <f t="shared" si="131"/>
        <v>4800.9825199999996</v>
      </c>
    </row>
    <row r="771" spans="1:34" x14ac:dyDescent="0.55000000000000004">
      <c r="A771">
        <f>ALGLIB_SSA_XAUUSD!J771</f>
        <v>1775628300</v>
      </c>
      <c r="B771" t="str">
        <f>_xlfn.XLOOKUP($A771,ALGLIB_SSA_XAUUSD!$A$2:$A$1000,ALGLIB_SSA_XAUUSD!$B$2:$B$1000,"",0)</f>
        <v/>
      </c>
      <c r="C771" t="str">
        <f>_xlfn.XLOOKUP($A771,ALGLIB_SSA_XAUUSD!$A$2:$A$1000,ALGLIB_SSA_XAUUSD!$C$2:$C$1000,"",0)</f>
        <v/>
      </c>
      <c r="D771" s="1">
        <f>D770+(D782-D770)*1/12</f>
        <v>4819.873333333333</v>
      </c>
      <c r="E771" s="1">
        <f>E770+(E782-E770)*1/12</f>
        <v>4805.5446358333338</v>
      </c>
      <c r="F771" s="1">
        <f>F770+(F782-F770)*1/12</f>
        <v>4810.1317575000003</v>
      </c>
      <c r="G771" s="1">
        <f>G770+(G782-G770)*1/12</f>
        <v>4818.6102908333341</v>
      </c>
      <c r="H771" s="1">
        <f>H770+(H782-H770)*1/12</f>
        <v>4800.467864166666</v>
      </c>
      <c r="I771" t="str">
        <f>_xlfn.XLOOKUP($A771,ALGLIB_SSA_XAUUSD!$J$2:$J$1000,ALGLIB_SSA_XAUUSD!$K$2:$K$1000,"",0)</f>
        <v>XAUUSD</v>
      </c>
      <c r="J771" t="str">
        <f>_xlfn.XLOOKUP($A771,ALGLIB_SSA_XAUUSD!$J$2:$J$1000,ALGLIB_SSA_XAUUSD!$L$2:$L$1000,"",0)</f>
        <v>M5</v>
      </c>
      <c r="K771">
        <f>_xlfn.XLOOKUP($A771,ALGLIB_SSA_XAUUSD!$J$2:$J$1000,ALGLIB_SSA_XAUUSD!$M$2:$M$1000,"",0)</f>
        <v>4824.4799999999996</v>
      </c>
      <c r="L771">
        <f>_xlfn.XLOOKUP($A771,ALGLIB_SSA_XAUUSD!$J$2:$J$1000,ALGLIB_SSA_XAUUSD!$N$2:$N$1000,"",0)</f>
        <v>4829.6446599999999</v>
      </c>
      <c r="M771">
        <f>_xlfn.XLOOKUP($A771,ALGLIB_SSA_XAUUSD!$J$2:$J$1000,ALGLIB_SSA_XAUUSD!$O$2:$O$1000,"",0)</f>
        <v>4829.1722300000001</v>
      </c>
      <c r="N771">
        <f>_xlfn.XLOOKUP($A771,ALGLIB_SSA_XAUUSD!$J$2:$J$1000,ALGLIB_SSA_XAUUSD!$P$2:$P$1000,"",0)</f>
        <v>4833.5598399999999</v>
      </c>
      <c r="O771">
        <f>_xlfn.XLOOKUP($A771,ALGLIB_SSA_XAUUSD!$J$2:$J$1000,ALGLIB_SSA_XAUUSD!$Q$2:$Q$1000,"",0)</f>
        <v>4825.5028599999996</v>
      </c>
      <c r="R771">
        <f t="shared" ref="R771:R834" si="132">A771</f>
        <v>1775628300</v>
      </c>
      <c r="S771" t="str">
        <f t="shared" ref="S771:S834" si="133">I771</f>
        <v>XAUUSD</v>
      </c>
      <c r="T771" t="str">
        <f t="shared" ref="T771:T834" si="134">J771</f>
        <v>M5</v>
      </c>
      <c r="U771">
        <f t="shared" ref="U771:U834" si="135">K771</f>
        <v>4824.4799999999996</v>
      </c>
      <c r="V771">
        <v>4805.5446400000001</v>
      </c>
      <c r="W771">
        <v>4810.1317600000002</v>
      </c>
      <c r="X771">
        <v>4829.6446599999999</v>
      </c>
      <c r="Y771">
        <v>4829.1722300000001</v>
      </c>
      <c r="Z771">
        <f t="shared" ref="Z771:Z834" si="136">G771</f>
        <v>4818.6102908333341</v>
      </c>
      <c r="AA771">
        <f t="shared" ref="AA771:AA834" si="137">N771</f>
        <v>4833.5598399999999</v>
      </c>
      <c r="AB771">
        <f t="shared" ref="AB771:AB834" si="138">H771</f>
        <v>4800.467864166666</v>
      </c>
      <c r="AC771">
        <f t="shared" ref="AC771:AC834" si="139">O771</f>
        <v>4825.5028599999996</v>
      </c>
      <c r="AF771">
        <f t="shared" ref="AF771:AF834" si="140">X771</f>
        <v>4829.6446599999999</v>
      </c>
      <c r="AG771">
        <f t="shared" ref="AG771:AG834" si="141">Z771</f>
        <v>4818.6102908333341</v>
      </c>
      <c r="AH771">
        <f t="shared" ref="AH771:AH834" si="142">AB771</f>
        <v>4800.467864166666</v>
      </c>
    </row>
    <row r="772" spans="1:34" x14ac:dyDescent="0.55000000000000004">
      <c r="A772">
        <f>ALGLIB_SSA_XAUUSD!J772</f>
        <v>1775628600</v>
      </c>
      <c r="B772" t="str">
        <f>_xlfn.XLOOKUP($A772,ALGLIB_SSA_XAUUSD!$A$2:$A$1000,ALGLIB_SSA_XAUUSD!$B$2:$B$1000,"",0)</f>
        <v/>
      </c>
      <c r="C772" t="str">
        <f>_xlfn.XLOOKUP($A772,ALGLIB_SSA_XAUUSD!$A$2:$A$1000,ALGLIB_SSA_XAUUSD!$C$2:$C$1000,"",0)</f>
        <v/>
      </c>
      <c r="D772" s="1">
        <f>D770+(D782-D770)*2/12</f>
        <v>4819.2966666666662</v>
      </c>
      <c r="E772" s="1">
        <f>E770+(E782-E770)*2/12</f>
        <v>4805.0897116666665</v>
      </c>
      <c r="F772" s="1">
        <f>F770+(F782-F770)*2/12</f>
        <v>4809.7147450000002</v>
      </c>
      <c r="G772" s="1">
        <f>G770+(G782-G770)*2/12</f>
        <v>4818.195791666667</v>
      </c>
      <c r="H772" s="1">
        <f>H770+(H782-H770)*2/12</f>
        <v>4799.9532083333334</v>
      </c>
      <c r="I772" t="str">
        <f>_xlfn.XLOOKUP($A772,ALGLIB_SSA_XAUUSD!$J$2:$J$1000,ALGLIB_SSA_XAUUSD!$K$2:$K$1000,"",0)</f>
        <v>XAUUSD</v>
      </c>
      <c r="J772" t="str">
        <f>_xlfn.XLOOKUP($A772,ALGLIB_SSA_XAUUSD!$J$2:$J$1000,ALGLIB_SSA_XAUUSD!$L$2:$L$1000,"",0)</f>
        <v>M5</v>
      </c>
      <c r="K772">
        <f>_xlfn.XLOOKUP($A772,ALGLIB_SSA_XAUUSD!$J$2:$J$1000,ALGLIB_SSA_XAUUSD!$M$2:$M$1000,"",0)</f>
        <v>4826.4399999999996</v>
      </c>
      <c r="L772">
        <f>_xlfn.XLOOKUP($A772,ALGLIB_SSA_XAUUSD!$J$2:$J$1000,ALGLIB_SSA_XAUUSD!$N$2:$N$1000,"",0)</f>
        <v>4830.3548799999999</v>
      </c>
      <c r="M772">
        <f>_xlfn.XLOOKUP($A772,ALGLIB_SSA_XAUUSD!$J$2:$J$1000,ALGLIB_SSA_XAUUSD!$O$2:$O$1000,"",0)</f>
        <v>4829.7635499999997</v>
      </c>
      <c r="N772">
        <f>_xlfn.XLOOKUP($A772,ALGLIB_SSA_XAUUSD!$J$2:$J$1000,ALGLIB_SSA_XAUUSD!$P$2:$P$1000,"",0)</f>
        <v>4833.4672</v>
      </c>
      <c r="O772">
        <f>_xlfn.XLOOKUP($A772,ALGLIB_SSA_XAUUSD!$J$2:$J$1000,ALGLIB_SSA_XAUUSD!$Q$2:$Q$1000,"",0)</f>
        <v>4826.2445500000003</v>
      </c>
      <c r="R772">
        <f t="shared" si="132"/>
        <v>1775628600</v>
      </c>
      <c r="S772" t="str">
        <f t="shared" si="133"/>
        <v>XAUUSD</v>
      </c>
      <c r="T772" t="str">
        <f t="shared" si="134"/>
        <v>M5</v>
      </c>
      <c r="U772">
        <f t="shared" si="135"/>
        <v>4826.4399999999996</v>
      </c>
      <c r="V772">
        <v>4805.0897100000002</v>
      </c>
      <c r="W772">
        <v>4809.7147500000001</v>
      </c>
      <c r="X772">
        <v>4830.3548799999999</v>
      </c>
      <c r="Y772">
        <v>4829.7635499999997</v>
      </c>
      <c r="Z772">
        <f t="shared" si="136"/>
        <v>4818.195791666667</v>
      </c>
      <c r="AA772">
        <f t="shared" si="137"/>
        <v>4833.4672</v>
      </c>
      <c r="AB772">
        <f t="shared" si="138"/>
        <v>4799.9532083333334</v>
      </c>
      <c r="AC772">
        <f t="shared" si="139"/>
        <v>4826.2445500000003</v>
      </c>
      <c r="AF772">
        <f t="shared" si="140"/>
        <v>4830.3548799999999</v>
      </c>
      <c r="AG772">
        <f t="shared" si="141"/>
        <v>4818.195791666667</v>
      </c>
      <c r="AH772">
        <f t="shared" si="142"/>
        <v>4799.9532083333334</v>
      </c>
    </row>
    <row r="773" spans="1:34" x14ac:dyDescent="0.55000000000000004">
      <c r="A773">
        <f>ALGLIB_SSA_XAUUSD!J773</f>
        <v>1775628900</v>
      </c>
      <c r="B773" t="str">
        <f>_xlfn.XLOOKUP($A773,ALGLIB_SSA_XAUUSD!$A$2:$A$1000,ALGLIB_SSA_XAUUSD!$B$2:$B$1000,"",0)</f>
        <v/>
      </c>
      <c r="C773" t="str">
        <f>_xlfn.XLOOKUP($A773,ALGLIB_SSA_XAUUSD!$A$2:$A$1000,ALGLIB_SSA_XAUUSD!$C$2:$C$1000,"",0)</f>
        <v/>
      </c>
      <c r="D773" s="1">
        <f>D770+(D782-D770)*3/12</f>
        <v>4818.7199999999993</v>
      </c>
      <c r="E773" s="1">
        <f>E770+(E782-E770)*3/12</f>
        <v>4804.6347875000001</v>
      </c>
      <c r="F773" s="1">
        <f>F770+(F782-F770)*3/12</f>
        <v>4809.2977325000002</v>
      </c>
      <c r="G773" s="1">
        <f>G770+(G782-G770)*3/12</f>
        <v>4817.7812924999998</v>
      </c>
      <c r="H773" s="1">
        <f>H770+(H782-H770)*3/12</f>
        <v>4799.4385524999998</v>
      </c>
      <c r="I773" t="str">
        <f>_xlfn.XLOOKUP($A773,ALGLIB_SSA_XAUUSD!$J$2:$J$1000,ALGLIB_SSA_XAUUSD!$K$2:$K$1000,"",0)</f>
        <v>XAUUSD</v>
      </c>
      <c r="J773" t="str">
        <f>_xlfn.XLOOKUP($A773,ALGLIB_SSA_XAUUSD!$J$2:$J$1000,ALGLIB_SSA_XAUUSD!$L$2:$L$1000,"",0)</f>
        <v>M5</v>
      </c>
      <c r="K773">
        <f>_xlfn.XLOOKUP($A773,ALGLIB_SSA_XAUUSD!$J$2:$J$1000,ALGLIB_SSA_XAUUSD!$M$2:$M$1000,"",0)</f>
        <v>4830.6899999999996</v>
      </c>
      <c r="L773">
        <f>_xlfn.XLOOKUP($A773,ALGLIB_SSA_XAUUSD!$J$2:$J$1000,ALGLIB_SSA_XAUUSD!$N$2:$N$1000,"",0)</f>
        <v>4831.4295099999999</v>
      </c>
      <c r="M773">
        <f>_xlfn.XLOOKUP($A773,ALGLIB_SSA_XAUUSD!$J$2:$J$1000,ALGLIB_SSA_XAUUSD!$O$2:$O$1000,"",0)</f>
        <v>4830.5965299999998</v>
      </c>
      <c r="N773">
        <f>_xlfn.XLOOKUP($A773,ALGLIB_SSA_XAUUSD!$J$2:$J$1000,ALGLIB_SSA_XAUUSD!$P$2:$P$1000,"",0)</f>
        <v>4833.9708899999996</v>
      </c>
      <c r="O773">
        <f>_xlfn.XLOOKUP($A773,ALGLIB_SSA_XAUUSD!$J$2:$J$1000,ALGLIB_SSA_XAUUSD!$Q$2:$Q$1000,"",0)</f>
        <v>4827.3134899999995</v>
      </c>
      <c r="R773">
        <f t="shared" si="132"/>
        <v>1775628900</v>
      </c>
      <c r="S773" t="str">
        <f t="shared" si="133"/>
        <v>XAUUSD</v>
      </c>
      <c r="T773" t="str">
        <f t="shared" si="134"/>
        <v>M5</v>
      </c>
      <c r="U773">
        <f t="shared" si="135"/>
        <v>4830.6899999999996</v>
      </c>
      <c r="V773">
        <v>4804.6347900000001</v>
      </c>
      <c r="W773">
        <v>4809.2977300000002</v>
      </c>
      <c r="X773">
        <v>4831.4295099999999</v>
      </c>
      <c r="Y773">
        <v>4830.5965299999998</v>
      </c>
      <c r="Z773">
        <f t="shared" si="136"/>
        <v>4817.7812924999998</v>
      </c>
      <c r="AA773">
        <f t="shared" si="137"/>
        <v>4833.9708899999996</v>
      </c>
      <c r="AB773">
        <f t="shared" si="138"/>
        <v>4799.4385524999998</v>
      </c>
      <c r="AC773">
        <f t="shared" si="139"/>
        <v>4827.3134899999995</v>
      </c>
      <c r="AF773">
        <f t="shared" si="140"/>
        <v>4831.4295099999999</v>
      </c>
      <c r="AG773">
        <f t="shared" si="141"/>
        <v>4817.7812924999998</v>
      </c>
      <c r="AH773">
        <f t="shared" si="142"/>
        <v>4799.4385524999998</v>
      </c>
    </row>
    <row r="774" spans="1:34" x14ac:dyDescent="0.55000000000000004">
      <c r="A774">
        <f>ALGLIB_SSA_XAUUSD!J774</f>
        <v>1775629200</v>
      </c>
      <c r="B774" t="str">
        <f>_xlfn.XLOOKUP($A774,ALGLIB_SSA_XAUUSD!$A$2:$A$1000,ALGLIB_SSA_XAUUSD!$B$2:$B$1000,"",0)</f>
        <v/>
      </c>
      <c r="C774" t="str">
        <f>_xlfn.XLOOKUP($A774,ALGLIB_SSA_XAUUSD!$A$2:$A$1000,ALGLIB_SSA_XAUUSD!$C$2:$C$1000,"",0)</f>
        <v/>
      </c>
      <c r="D774" s="1">
        <f>D770+(D782-D770)*4/12</f>
        <v>4818.1433333333334</v>
      </c>
      <c r="E774" s="1">
        <f>E770+(E782-E770)*4/12</f>
        <v>4804.1798633333337</v>
      </c>
      <c r="F774" s="1">
        <f>F770+(F782-F770)*4/12</f>
        <v>4808.8807200000001</v>
      </c>
      <c r="G774" s="1">
        <f>G770+(G782-G770)*4/12</f>
        <v>4817.3667933333336</v>
      </c>
      <c r="H774" s="1">
        <f>H770+(H782-H770)*4/12</f>
        <v>4798.9238966666662</v>
      </c>
      <c r="I774" t="str">
        <f>_xlfn.XLOOKUP($A774,ALGLIB_SSA_XAUUSD!$J$2:$J$1000,ALGLIB_SSA_XAUUSD!$K$2:$K$1000,"",0)</f>
        <v>XAUUSD</v>
      </c>
      <c r="J774" t="str">
        <f>_xlfn.XLOOKUP($A774,ALGLIB_SSA_XAUUSD!$J$2:$J$1000,ALGLIB_SSA_XAUUSD!$L$2:$L$1000,"",0)</f>
        <v>M5</v>
      </c>
      <c r="K774">
        <f>_xlfn.XLOOKUP($A774,ALGLIB_SSA_XAUUSD!$J$2:$J$1000,ALGLIB_SSA_XAUUSD!$M$2:$M$1000,"",0)</f>
        <v>4833.68</v>
      </c>
      <c r="L774">
        <f>_xlfn.XLOOKUP($A774,ALGLIB_SSA_XAUUSD!$J$2:$J$1000,ALGLIB_SSA_XAUUSD!$N$2:$N$1000,"",0)</f>
        <v>4832.5776699999997</v>
      </c>
      <c r="M774">
        <f>_xlfn.XLOOKUP($A774,ALGLIB_SSA_XAUUSD!$J$2:$J$1000,ALGLIB_SSA_XAUUSD!$O$2:$O$1000,"",0)</f>
        <v>4831.5870999999997</v>
      </c>
      <c r="N774">
        <f>_xlfn.XLOOKUP($A774,ALGLIB_SSA_XAUUSD!$J$2:$J$1000,ALGLIB_SSA_XAUUSD!$P$2:$P$1000,"",0)</f>
        <v>4834.9796299999998</v>
      </c>
      <c r="O774">
        <f>_xlfn.XLOOKUP($A774,ALGLIB_SSA_XAUUSD!$J$2:$J$1000,ALGLIB_SSA_XAUUSD!$Q$2:$Q$1000,"",0)</f>
        <v>4828.57762</v>
      </c>
      <c r="R774">
        <f t="shared" si="132"/>
        <v>1775629200</v>
      </c>
      <c r="S774" t="str">
        <f t="shared" si="133"/>
        <v>XAUUSD</v>
      </c>
      <c r="T774" t="str">
        <f t="shared" si="134"/>
        <v>M5</v>
      </c>
      <c r="U774">
        <f t="shared" si="135"/>
        <v>4833.68</v>
      </c>
      <c r="V774">
        <v>4804.1798600000002</v>
      </c>
      <c r="W774">
        <v>4808.8807200000001</v>
      </c>
      <c r="X774">
        <v>4832.5776699999997</v>
      </c>
      <c r="Y774">
        <v>4831.5870999999997</v>
      </c>
      <c r="Z774">
        <f t="shared" si="136"/>
        <v>4817.3667933333336</v>
      </c>
      <c r="AA774">
        <f t="shared" si="137"/>
        <v>4834.9796299999998</v>
      </c>
      <c r="AB774">
        <f t="shared" si="138"/>
        <v>4798.9238966666662</v>
      </c>
      <c r="AC774">
        <f t="shared" si="139"/>
        <v>4828.57762</v>
      </c>
      <c r="AF774">
        <f t="shared" si="140"/>
        <v>4832.5776699999997</v>
      </c>
      <c r="AG774">
        <f t="shared" si="141"/>
        <v>4817.3667933333336</v>
      </c>
      <c r="AH774">
        <f t="shared" si="142"/>
        <v>4798.9238966666662</v>
      </c>
    </row>
    <row r="775" spans="1:34" x14ac:dyDescent="0.55000000000000004">
      <c r="A775">
        <f>ALGLIB_SSA_XAUUSD!J775</f>
        <v>1775629500</v>
      </c>
      <c r="B775" t="str">
        <f>_xlfn.XLOOKUP($A775,ALGLIB_SSA_XAUUSD!$A$2:$A$1000,ALGLIB_SSA_XAUUSD!$B$2:$B$1000,"",0)</f>
        <v/>
      </c>
      <c r="C775" t="str">
        <f>_xlfn.XLOOKUP($A775,ALGLIB_SSA_XAUUSD!$A$2:$A$1000,ALGLIB_SSA_XAUUSD!$C$2:$C$1000,"",0)</f>
        <v/>
      </c>
      <c r="D775" s="1">
        <f>D770+(D782-D770)*5/12</f>
        <v>4817.5666666666666</v>
      </c>
      <c r="E775" s="1">
        <f>E770+(E782-E770)*5/12</f>
        <v>4803.7249391666664</v>
      </c>
      <c r="F775" s="1">
        <f>F770+(F782-F770)*5/12</f>
        <v>4808.4637075000001</v>
      </c>
      <c r="G775" s="1">
        <f>G770+(G782-G770)*5/12</f>
        <v>4816.9522941666673</v>
      </c>
      <c r="H775" s="1">
        <f>H770+(H782-H770)*5/12</f>
        <v>4798.4092408333336</v>
      </c>
      <c r="I775" t="str">
        <f>_xlfn.XLOOKUP($A775,ALGLIB_SSA_XAUUSD!$J$2:$J$1000,ALGLIB_SSA_XAUUSD!$K$2:$K$1000,"",0)</f>
        <v>XAUUSD</v>
      </c>
      <c r="J775" t="str">
        <f>_xlfn.XLOOKUP($A775,ALGLIB_SSA_XAUUSD!$J$2:$J$1000,ALGLIB_SSA_XAUUSD!$L$2:$L$1000,"",0)</f>
        <v>M5</v>
      </c>
      <c r="K775">
        <f>_xlfn.XLOOKUP($A775,ALGLIB_SSA_XAUUSD!$J$2:$J$1000,ALGLIB_SSA_XAUUSD!$M$2:$M$1000,"",0)</f>
        <v>4836.63</v>
      </c>
      <c r="L775">
        <f>_xlfn.XLOOKUP($A775,ALGLIB_SSA_XAUUSD!$J$2:$J$1000,ALGLIB_SSA_XAUUSD!$N$2:$N$1000,"",0)</f>
        <v>4833.4215199999999</v>
      </c>
      <c r="M775">
        <f>_xlfn.XLOOKUP($A775,ALGLIB_SSA_XAUUSD!$J$2:$J$1000,ALGLIB_SSA_XAUUSD!$O$2:$O$1000,"",0)</f>
        <v>4832.5043100000003</v>
      </c>
      <c r="N775">
        <f>_xlfn.XLOOKUP($A775,ALGLIB_SSA_XAUUSD!$J$2:$J$1000,ALGLIB_SSA_XAUUSD!$P$2:$P$1000,"",0)</f>
        <v>4836.1170400000001</v>
      </c>
      <c r="O775">
        <f>_xlfn.XLOOKUP($A775,ALGLIB_SSA_XAUUSD!$J$2:$J$1000,ALGLIB_SSA_XAUUSD!$Q$2:$Q$1000,"",0)</f>
        <v>4829.6617800000004</v>
      </c>
      <c r="R775">
        <f t="shared" si="132"/>
        <v>1775629500</v>
      </c>
      <c r="S775" t="str">
        <f t="shared" si="133"/>
        <v>XAUUSD</v>
      </c>
      <c r="T775" t="str">
        <f t="shared" si="134"/>
        <v>M5</v>
      </c>
      <c r="U775">
        <f t="shared" si="135"/>
        <v>4836.63</v>
      </c>
      <c r="V775">
        <v>4803.7249400000001</v>
      </c>
      <c r="W775">
        <v>4808.46371</v>
      </c>
      <c r="X775">
        <v>4833.4215199999999</v>
      </c>
      <c r="Y775">
        <v>4832.5043100000003</v>
      </c>
      <c r="Z775">
        <f t="shared" si="136"/>
        <v>4816.9522941666673</v>
      </c>
      <c r="AA775">
        <f t="shared" si="137"/>
        <v>4836.1170400000001</v>
      </c>
      <c r="AB775">
        <f t="shared" si="138"/>
        <v>4798.4092408333336</v>
      </c>
      <c r="AC775">
        <f t="shared" si="139"/>
        <v>4829.6617800000004</v>
      </c>
      <c r="AF775">
        <f t="shared" si="140"/>
        <v>4833.4215199999999</v>
      </c>
      <c r="AG775">
        <f t="shared" si="141"/>
        <v>4816.9522941666673</v>
      </c>
      <c r="AH775">
        <f t="shared" si="142"/>
        <v>4798.4092408333336</v>
      </c>
    </row>
    <row r="776" spans="1:34" x14ac:dyDescent="0.55000000000000004">
      <c r="A776">
        <f>ALGLIB_SSA_XAUUSD!J776</f>
        <v>1775629800</v>
      </c>
      <c r="B776" t="str">
        <f>_xlfn.XLOOKUP($A776,ALGLIB_SSA_XAUUSD!$A$2:$A$1000,ALGLIB_SSA_XAUUSD!$B$2:$B$1000,"",0)</f>
        <v/>
      </c>
      <c r="C776" t="str">
        <f>_xlfn.XLOOKUP($A776,ALGLIB_SSA_XAUUSD!$A$2:$A$1000,ALGLIB_SSA_XAUUSD!$C$2:$C$1000,"",0)</f>
        <v/>
      </c>
      <c r="D776" s="1">
        <f>D770+(D782-D770)*6/12</f>
        <v>4816.99</v>
      </c>
      <c r="E776" s="1">
        <f>E770+(E782-E770)*6/12</f>
        <v>4803.2700150000001</v>
      </c>
      <c r="F776" s="1">
        <f>F770+(F782-F770)*6/12</f>
        <v>4808.046695</v>
      </c>
      <c r="G776" s="1">
        <f>G770+(G782-G770)*6/12</f>
        <v>4816.5377950000002</v>
      </c>
      <c r="H776" s="1">
        <f>H770+(H782-H770)*6/12</f>
        <v>4797.894585</v>
      </c>
      <c r="I776" t="str">
        <f>_xlfn.XLOOKUP($A776,ALGLIB_SSA_XAUUSD!$J$2:$J$1000,ALGLIB_SSA_XAUUSD!$K$2:$K$1000,"",0)</f>
        <v>XAUUSD</v>
      </c>
      <c r="J776" t="str">
        <f>_xlfn.XLOOKUP($A776,ALGLIB_SSA_XAUUSD!$J$2:$J$1000,ALGLIB_SSA_XAUUSD!$L$2:$L$1000,"",0)</f>
        <v>M5</v>
      </c>
      <c r="K776">
        <f>_xlfn.XLOOKUP($A776,ALGLIB_SSA_XAUUSD!$J$2:$J$1000,ALGLIB_SSA_XAUUSD!$M$2:$M$1000,"",0)</f>
        <v>4832.95</v>
      </c>
      <c r="L776">
        <f>_xlfn.XLOOKUP($A776,ALGLIB_SSA_XAUUSD!$J$2:$J$1000,ALGLIB_SSA_XAUUSD!$N$2:$N$1000,"",0)</f>
        <v>4833.5772800000004</v>
      </c>
      <c r="M776">
        <f>_xlfn.XLOOKUP($A776,ALGLIB_SSA_XAUUSD!$J$2:$J$1000,ALGLIB_SSA_XAUUSD!$O$2:$O$1000,"",0)</f>
        <v>4833.0407999999998</v>
      </c>
      <c r="N776">
        <f>_xlfn.XLOOKUP($A776,ALGLIB_SSA_XAUUSD!$J$2:$J$1000,ALGLIB_SSA_XAUUSD!$P$2:$P$1000,"",0)</f>
        <v>4836.9983700000003</v>
      </c>
      <c r="O776">
        <f>_xlfn.XLOOKUP($A776,ALGLIB_SSA_XAUUSD!$J$2:$J$1000,ALGLIB_SSA_XAUUSD!$Q$2:$Q$1000,"",0)</f>
        <v>4830.2076399999996</v>
      </c>
      <c r="R776">
        <f t="shared" si="132"/>
        <v>1775629800</v>
      </c>
      <c r="S776" t="str">
        <f t="shared" si="133"/>
        <v>XAUUSD</v>
      </c>
      <c r="T776" t="str">
        <f t="shared" si="134"/>
        <v>M5</v>
      </c>
      <c r="U776">
        <f t="shared" si="135"/>
        <v>4832.95</v>
      </c>
      <c r="V776">
        <v>4803.2700199999999</v>
      </c>
      <c r="W776">
        <v>4808.0466999999999</v>
      </c>
      <c r="X776">
        <v>4833.5772800000004</v>
      </c>
      <c r="Y776">
        <v>4833.0407999999998</v>
      </c>
      <c r="Z776">
        <f t="shared" si="136"/>
        <v>4816.5377950000002</v>
      </c>
      <c r="AA776">
        <f t="shared" si="137"/>
        <v>4836.9983700000003</v>
      </c>
      <c r="AB776">
        <f t="shared" si="138"/>
        <v>4797.894585</v>
      </c>
      <c r="AC776">
        <f t="shared" si="139"/>
        <v>4830.2076399999996</v>
      </c>
      <c r="AF776">
        <f t="shared" si="140"/>
        <v>4833.5772800000004</v>
      </c>
      <c r="AG776">
        <f t="shared" si="141"/>
        <v>4816.5377950000002</v>
      </c>
      <c r="AH776">
        <f t="shared" si="142"/>
        <v>4797.894585</v>
      </c>
    </row>
    <row r="777" spans="1:34" x14ac:dyDescent="0.55000000000000004">
      <c r="A777">
        <f>ALGLIB_SSA_XAUUSD!J777</f>
        <v>1775630100</v>
      </c>
      <c r="B777" t="str">
        <f>_xlfn.XLOOKUP($A777,ALGLIB_SSA_XAUUSD!$A$2:$A$1000,ALGLIB_SSA_XAUUSD!$B$2:$B$1000,"",0)</f>
        <v/>
      </c>
      <c r="C777" t="str">
        <f>_xlfn.XLOOKUP($A777,ALGLIB_SSA_XAUUSD!$A$2:$A$1000,ALGLIB_SSA_XAUUSD!$C$2:$C$1000,"",0)</f>
        <v/>
      </c>
      <c r="D777" s="1">
        <f>D770+(D782-D770)*7/12</f>
        <v>4816.413333333333</v>
      </c>
      <c r="E777" s="1">
        <f>E770+(E782-E770)*7/12</f>
        <v>4802.8150908333337</v>
      </c>
      <c r="F777" s="1">
        <f>F770+(F782-F770)*7/12</f>
        <v>4807.6296824999999</v>
      </c>
      <c r="G777" s="1">
        <f>G770+(G782-G770)*7/12</f>
        <v>4816.123295833333</v>
      </c>
      <c r="H777" s="1">
        <f>H770+(H782-H770)*7/12</f>
        <v>4797.3799291666664</v>
      </c>
      <c r="I777" t="str">
        <f>_xlfn.XLOOKUP($A777,ALGLIB_SSA_XAUUSD!$J$2:$J$1000,ALGLIB_SSA_XAUUSD!$K$2:$K$1000,"",0)</f>
        <v>XAUUSD</v>
      </c>
      <c r="J777" t="str">
        <f>_xlfn.XLOOKUP($A777,ALGLIB_SSA_XAUUSD!$J$2:$J$1000,ALGLIB_SSA_XAUUSD!$L$2:$L$1000,"",0)</f>
        <v>M5</v>
      </c>
      <c r="K777">
        <f>_xlfn.XLOOKUP($A777,ALGLIB_SSA_XAUUSD!$J$2:$J$1000,ALGLIB_SSA_XAUUSD!$M$2:$M$1000,"",0)</f>
        <v>4831.5</v>
      </c>
      <c r="L777">
        <f>_xlfn.XLOOKUP($A777,ALGLIB_SSA_XAUUSD!$J$2:$J$1000,ALGLIB_SSA_XAUUSD!$N$2:$N$1000,"",0)</f>
        <v>4832.8882299999996</v>
      </c>
      <c r="M777">
        <f>_xlfn.XLOOKUP($A777,ALGLIB_SSA_XAUUSD!$J$2:$J$1000,ALGLIB_SSA_XAUUSD!$O$2:$O$1000,"",0)</f>
        <v>4832.9645099999998</v>
      </c>
      <c r="N777">
        <f>_xlfn.XLOOKUP($A777,ALGLIB_SSA_XAUUSD!$J$2:$J$1000,ALGLIB_SSA_XAUUSD!$P$2:$P$1000,"",0)</f>
        <v>4837.2151999999996</v>
      </c>
      <c r="O777">
        <f>_xlfn.XLOOKUP($A777,ALGLIB_SSA_XAUUSD!$J$2:$J$1000,ALGLIB_SSA_XAUUSD!$Q$2:$Q$1000,"",0)</f>
        <v>4829.9800699999996</v>
      </c>
      <c r="R777">
        <f t="shared" si="132"/>
        <v>1775630100</v>
      </c>
      <c r="S777" t="str">
        <f t="shared" si="133"/>
        <v>XAUUSD</v>
      </c>
      <c r="T777" t="str">
        <f t="shared" si="134"/>
        <v>M5</v>
      </c>
      <c r="U777">
        <f t="shared" si="135"/>
        <v>4831.5</v>
      </c>
      <c r="V777">
        <v>4802.8150900000001</v>
      </c>
      <c r="W777">
        <v>4807.62968</v>
      </c>
      <c r="X777">
        <v>4832.8882299999996</v>
      </c>
      <c r="Y777">
        <v>4832.9645099999998</v>
      </c>
      <c r="Z777">
        <f t="shared" si="136"/>
        <v>4816.123295833333</v>
      </c>
      <c r="AA777">
        <f t="shared" si="137"/>
        <v>4837.2151999999996</v>
      </c>
      <c r="AB777">
        <f t="shared" si="138"/>
        <v>4797.3799291666664</v>
      </c>
      <c r="AC777">
        <f t="shared" si="139"/>
        <v>4829.9800699999996</v>
      </c>
      <c r="AF777">
        <f t="shared" si="140"/>
        <v>4832.8882299999996</v>
      </c>
      <c r="AG777">
        <f t="shared" si="141"/>
        <v>4816.123295833333</v>
      </c>
      <c r="AH777">
        <f t="shared" si="142"/>
        <v>4797.3799291666664</v>
      </c>
    </row>
    <row r="778" spans="1:34" x14ac:dyDescent="0.55000000000000004">
      <c r="A778">
        <f>ALGLIB_SSA_XAUUSD!J778</f>
        <v>1775630400</v>
      </c>
      <c r="B778" t="str">
        <f>_xlfn.XLOOKUP($A778,ALGLIB_SSA_XAUUSD!$A$2:$A$1000,ALGLIB_SSA_XAUUSD!$B$2:$B$1000,"",0)</f>
        <v/>
      </c>
      <c r="C778" t="str">
        <f>_xlfn.XLOOKUP($A778,ALGLIB_SSA_XAUUSD!$A$2:$A$1000,ALGLIB_SSA_XAUUSD!$C$2:$C$1000,"",0)</f>
        <v/>
      </c>
      <c r="D778" s="1">
        <f>D770+(D782-D770)*8/12</f>
        <v>4815.8366666666661</v>
      </c>
      <c r="E778" s="1">
        <f>E770+(E782-E770)*8/12</f>
        <v>4802.3601666666664</v>
      </c>
      <c r="F778" s="1">
        <f>F770+(F782-F770)*8/12</f>
        <v>4807.2126699999999</v>
      </c>
      <c r="G778" s="1">
        <f>G770+(G782-G770)*8/12</f>
        <v>4815.7087966666668</v>
      </c>
      <c r="H778" s="1">
        <f>H770+(H782-H770)*8/12</f>
        <v>4796.8652733333338</v>
      </c>
      <c r="I778" t="str">
        <f>_xlfn.XLOOKUP($A778,ALGLIB_SSA_XAUUSD!$J$2:$J$1000,ALGLIB_SSA_XAUUSD!$K$2:$K$1000,"",0)</f>
        <v>XAUUSD</v>
      </c>
      <c r="J778" t="str">
        <f>_xlfn.XLOOKUP($A778,ALGLIB_SSA_XAUUSD!$J$2:$J$1000,ALGLIB_SSA_XAUUSD!$L$2:$L$1000,"",0)</f>
        <v>M5</v>
      </c>
      <c r="K778">
        <f>_xlfn.XLOOKUP($A778,ALGLIB_SSA_XAUUSD!$J$2:$J$1000,ALGLIB_SSA_XAUUSD!$M$2:$M$1000,"",0)</f>
        <v>4835.71</v>
      </c>
      <c r="L778">
        <f>_xlfn.XLOOKUP($A778,ALGLIB_SSA_XAUUSD!$J$2:$J$1000,ALGLIB_SSA_XAUUSD!$N$2:$N$1000,"",0)</f>
        <v>4831.2693900000004</v>
      </c>
      <c r="M778">
        <f>_xlfn.XLOOKUP($A778,ALGLIB_SSA_XAUUSD!$J$2:$J$1000,ALGLIB_SSA_XAUUSD!$O$2:$O$1000,"",0)</f>
        <v>4832.1169499999996</v>
      </c>
      <c r="N778">
        <f>_xlfn.XLOOKUP($A778,ALGLIB_SSA_XAUUSD!$J$2:$J$1000,ALGLIB_SSA_XAUUSD!$P$2:$P$1000,"",0)</f>
        <v>4836.3854700000002</v>
      </c>
      <c r="O778">
        <f>_xlfn.XLOOKUP($A778,ALGLIB_SSA_XAUUSD!$J$2:$J$1000,ALGLIB_SSA_XAUUSD!$Q$2:$Q$1000,"",0)</f>
        <v>4828.7774399999998</v>
      </c>
      <c r="R778">
        <f t="shared" si="132"/>
        <v>1775630400</v>
      </c>
      <c r="S778" t="str">
        <f t="shared" si="133"/>
        <v>XAUUSD</v>
      </c>
      <c r="T778" t="str">
        <f t="shared" si="134"/>
        <v>M5</v>
      </c>
      <c r="U778">
        <f t="shared" si="135"/>
        <v>4835.71</v>
      </c>
      <c r="V778">
        <v>4802.3601699999999</v>
      </c>
      <c r="W778">
        <v>4807.2126699999999</v>
      </c>
      <c r="X778">
        <v>4831.2693900000004</v>
      </c>
      <c r="Y778">
        <v>4832.1169499999996</v>
      </c>
      <c r="Z778">
        <f t="shared" si="136"/>
        <v>4815.7087966666668</v>
      </c>
      <c r="AA778">
        <f t="shared" si="137"/>
        <v>4836.3854700000002</v>
      </c>
      <c r="AB778">
        <f t="shared" si="138"/>
        <v>4796.8652733333338</v>
      </c>
      <c r="AC778">
        <f t="shared" si="139"/>
        <v>4828.7774399999998</v>
      </c>
      <c r="AF778">
        <f t="shared" si="140"/>
        <v>4831.2693900000004</v>
      </c>
      <c r="AG778">
        <f t="shared" si="141"/>
        <v>4815.7087966666668</v>
      </c>
      <c r="AH778">
        <f t="shared" si="142"/>
        <v>4796.8652733333338</v>
      </c>
    </row>
    <row r="779" spans="1:34" x14ac:dyDescent="0.55000000000000004">
      <c r="A779">
        <f>ALGLIB_SSA_XAUUSD!J779</f>
        <v>1775630700</v>
      </c>
      <c r="B779" t="str">
        <f>_xlfn.XLOOKUP($A779,ALGLIB_SSA_XAUUSD!$A$2:$A$1000,ALGLIB_SSA_XAUUSD!$B$2:$B$1000,"",0)</f>
        <v/>
      </c>
      <c r="C779" t="str">
        <f>_xlfn.XLOOKUP($A779,ALGLIB_SSA_XAUUSD!$A$2:$A$1000,ALGLIB_SSA_XAUUSD!$C$2:$C$1000,"",0)</f>
        <v/>
      </c>
      <c r="D779" s="1">
        <f>D770+(D782-D770)*9/12</f>
        <v>4815.26</v>
      </c>
      <c r="E779" s="1">
        <f>E770+(E782-E770)*9/12</f>
        <v>4801.9052425</v>
      </c>
      <c r="F779" s="1">
        <f>F770+(F782-F770)*9/12</f>
        <v>4806.7956574999998</v>
      </c>
      <c r="G779" s="1">
        <f>G770+(G782-G770)*9/12</f>
        <v>4815.2942975000005</v>
      </c>
      <c r="H779" s="1">
        <f>H770+(H782-H770)*9/12</f>
        <v>4796.3506175000002</v>
      </c>
      <c r="I779" t="str">
        <f>_xlfn.XLOOKUP($A779,ALGLIB_SSA_XAUUSD!$J$2:$J$1000,ALGLIB_SSA_XAUUSD!$K$2:$K$1000,"",0)</f>
        <v>XAUUSD</v>
      </c>
      <c r="J779" t="str">
        <f>_xlfn.XLOOKUP($A779,ALGLIB_SSA_XAUUSD!$J$2:$J$1000,ALGLIB_SSA_XAUUSD!$L$2:$L$1000,"",0)</f>
        <v>M5</v>
      </c>
      <c r="K779">
        <f>_xlfn.XLOOKUP($A779,ALGLIB_SSA_XAUUSD!$J$2:$J$1000,ALGLIB_SSA_XAUUSD!$M$2:$M$1000,"",0)</f>
        <v>4832.29</v>
      </c>
      <c r="L779">
        <f>_xlfn.XLOOKUP($A779,ALGLIB_SSA_XAUUSD!$J$2:$J$1000,ALGLIB_SSA_XAUUSD!$N$2:$N$1000,"",0)</f>
        <v>4828.6390199999996</v>
      </c>
      <c r="M779">
        <f>_xlfn.XLOOKUP($A779,ALGLIB_SSA_XAUUSD!$J$2:$J$1000,ALGLIB_SSA_XAUUSD!$O$2:$O$1000,"",0)</f>
        <v>4830.37799</v>
      </c>
      <c r="N779">
        <f>_xlfn.XLOOKUP($A779,ALGLIB_SSA_XAUUSD!$J$2:$J$1000,ALGLIB_SSA_XAUUSD!$P$2:$P$1000,"",0)</f>
        <v>4834.4250099999999</v>
      </c>
      <c r="O779">
        <f>_xlfn.XLOOKUP($A779,ALGLIB_SSA_XAUUSD!$J$2:$J$1000,ALGLIB_SSA_XAUUSD!$Q$2:$Q$1000,"",0)</f>
        <v>4826.55998</v>
      </c>
      <c r="R779">
        <f t="shared" si="132"/>
        <v>1775630700</v>
      </c>
      <c r="S779" t="str">
        <f t="shared" si="133"/>
        <v>XAUUSD</v>
      </c>
      <c r="T779" t="str">
        <f t="shared" si="134"/>
        <v>M5</v>
      </c>
      <c r="U779">
        <f t="shared" si="135"/>
        <v>4832.29</v>
      </c>
      <c r="V779">
        <v>4801.90524</v>
      </c>
      <c r="W779">
        <v>4806.7956599999998</v>
      </c>
      <c r="X779">
        <v>4828.6390199999996</v>
      </c>
      <c r="Y779">
        <v>4830.37799</v>
      </c>
      <c r="Z779">
        <f t="shared" si="136"/>
        <v>4815.2942975000005</v>
      </c>
      <c r="AA779">
        <f t="shared" si="137"/>
        <v>4834.4250099999999</v>
      </c>
      <c r="AB779">
        <f t="shared" si="138"/>
        <v>4796.3506175000002</v>
      </c>
      <c r="AC779">
        <f t="shared" si="139"/>
        <v>4826.55998</v>
      </c>
      <c r="AF779">
        <f t="shared" si="140"/>
        <v>4828.6390199999996</v>
      </c>
      <c r="AG779">
        <f t="shared" si="141"/>
        <v>4815.2942975000005</v>
      </c>
      <c r="AH779">
        <f t="shared" si="142"/>
        <v>4796.3506175000002</v>
      </c>
    </row>
    <row r="780" spans="1:34" x14ac:dyDescent="0.55000000000000004">
      <c r="A780">
        <f>ALGLIB_SSA_XAUUSD!J780</f>
        <v>1775631000</v>
      </c>
      <c r="B780" t="str">
        <f>_xlfn.XLOOKUP($A780,ALGLIB_SSA_XAUUSD!$A$2:$A$1000,ALGLIB_SSA_XAUUSD!$B$2:$B$1000,"",0)</f>
        <v/>
      </c>
      <c r="C780" t="str">
        <f>_xlfn.XLOOKUP($A780,ALGLIB_SSA_XAUUSD!$A$2:$A$1000,ALGLIB_SSA_XAUUSD!$C$2:$C$1000,"",0)</f>
        <v/>
      </c>
      <c r="D780" s="1">
        <f>D770+(D782-D770)*10/12</f>
        <v>4814.6833333333334</v>
      </c>
      <c r="E780" s="1">
        <f>E770+(E782-E770)*10/12</f>
        <v>4801.4503183333336</v>
      </c>
      <c r="F780" s="1">
        <f>F770+(F782-F770)*10/12</f>
        <v>4806.3786449999998</v>
      </c>
      <c r="G780" s="1">
        <f>G770+(G782-G770)*10/12</f>
        <v>4814.8797983333334</v>
      </c>
      <c r="H780" s="1">
        <f>H770+(H782-H770)*10/12</f>
        <v>4795.8359616666667</v>
      </c>
      <c r="I780" t="str">
        <f>_xlfn.XLOOKUP($A780,ALGLIB_SSA_XAUUSD!$J$2:$J$1000,ALGLIB_SSA_XAUUSD!$K$2:$K$1000,"",0)</f>
        <v>XAUUSD</v>
      </c>
      <c r="J780" t="str">
        <f>_xlfn.XLOOKUP($A780,ALGLIB_SSA_XAUUSD!$J$2:$J$1000,ALGLIB_SSA_XAUUSD!$L$2:$L$1000,"",0)</f>
        <v>M5</v>
      </c>
      <c r="K780">
        <f>_xlfn.XLOOKUP($A780,ALGLIB_SSA_XAUUSD!$J$2:$J$1000,ALGLIB_SSA_XAUUSD!$M$2:$M$1000,"",0)</f>
        <v>4823.32</v>
      </c>
      <c r="L780">
        <f>_xlfn.XLOOKUP($A780,ALGLIB_SSA_XAUUSD!$J$2:$J$1000,ALGLIB_SSA_XAUUSD!$N$2:$N$1000,"",0)</f>
        <v>4825.2918300000001</v>
      </c>
      <c r="M780">
        <f>_xlfn.XLOOKUP($A780,ALGLIB_SSA_XAUUSD!$J$2:$J$1000,ALGLIB_SSA_XAUUSD!$O$2:$O$1000,"",0)</f>
        <v>4827.8349099999996</v>
      </c>
      <c r="N780">
        <f>_xlfn.XLOOKUP($A780,ALGLIB_SSA_XAUUSD!$J$2:$J$1000,ALGLIB_SSA_XAUUSD!$P$2:$P$1000,"",0)</f>
        <v>4831.3497100000004</v>
      </c>
      <c r="O780">
        <f>_xlfn.XLOOKUP($A780,ALGLIB_SSA_XAUUSD!$J$2:$J$1000,ALGLIB_SSA_XAUUSD!$Q$2:$Q$1000,"",0)</f>
        <v>4823.4419600000001</v>
      </c>
      <c r="R780">
        <f t="shared" si="132"/>
        <v>1775631000</v>
      </c>
      <c r="S780" t="str">
        <f t="shared" si="133"/>
        <v>XAUUSD</v>
      </c>
      <c r="T780" t="str">
        <f t="shared" si="134"/>
        <v>M5</v>
      </c>
      <c r="U780">
        <f t="shared" si="135"/>
        <v>4823.32</v>
      </c>
      <c r="V780">
        <v>4801.4503199999999</v>
      </c>
      <c r="W780">
        <v>4806.3786499999997</v>
      </c>
      <c r="X780">
        <v>4825.2918300000001</v>
      </c>
      <c r="Y780">
        <v>4827.8349099999996</v>
      </c>
      <c r="Z780">
        <f t="shared" si="136"/>
        <v>4814.8797983333334</v>
      </c>
      <c r="AA780">
        <f t="shared" si="137"/>
        <v>4831.3497100000004</v>
      </c>
      <c r="AB780">
        <f t="shared" si="138"/>
        <v>4795.8359616666667</v>
      </c>
      <c r="AC780">
        <f t="shared" si="139"/>
        <v>4823.4419600000001</v>
      </c>
      <c r="AF780">
        <f t="shared" si="140"/>
        <v>4825.2918300000001</v>
      </c>
      <c r="AG780">
        <f t="shared" si="141"/>
        <v>4814.8797983333334</v>
      </c>
      <c r="AH780">
        <f t="shared" si="142"/>
        <v>4795.8359616666667</v>
      </c>
    </row>
    <row r="781" spans="1:34" x14ac:dyDescent="0.55000000000000004">
      <c r="A781">
        <f>ALGLIB_SSA_XAUUSD!J781</f>
        <v>1775631300</v>
      </c>
      <c r="B781" t="str">
        <f>_xlfn.XLOOKUP($A781,ALGLIB_SSA_XAUUSD!$A$2:$A$1000,ALGLIB_SSA_XAUUSD!$B$2:$B$1000,"",0)</f>
        <v/>
      </c>
      <c r="C781" t="str">
        <f>_xlfn.XLOOKUP($A781,ALGLIB_SSA_XAUUSD!$A$2:$A$1000,ALGLIB_SSA_XAUUSD!$C$2:$C$1000,"",0)</f>
        <v/>
      </c>
      <c r="D781" s="1">
        <f>D770+(D782-D770)*11/12</f>
        <v>4814.1066666666666</v>
      </c>
      <c r="E781" s="1">
        <f>E770+(E782-E770)*11/12</f>
        <v>4800.9953941666663</v>
      </c>
      <c r="F781" s="1">
        <f>F770+(F782-F770)*11/12</f>
        <v>4805.9616324999997</v>
      </c>
      <c r="G781" s="1">
        <f>G770+(G782-G770)*11/12</f>
        <v>4814.4652991666662</v>
      </c>
      <c r="H781" s="1">
        <f>H770+(H782-H770)*11/12</f>
        <v>4795.321305833334</v>
      </c>
      <c r="I781" t="str">
        <f>_xlfn.XLOOKUP($A781,ALGLIB_SSA_XAUUSD!$J$2:$J$1000,ALGLIB_SSA_XAUUSD!$K$2:$K$1000,"",0)</f>
        <v>XAUUSD</v>
      </c>
      <c r="J781" t="str">
        <f>_xlfn.XLOOKUP($A781,ALGLIB_SSA_XAUUSD!$J$2:$J$1000,ALGLIB_SSA_XAUUSD!$L$2:$L$1000,"",0)</f>
        <v>M5</v>
      </c>
      <c r="K781">
        <f>_xlfn.XLOOKUP($A781,ALGLIB_SSA_XAUUSD!$J$2:$J$1000,ALGLIB_SSA_XAUUSD!$M$2:$M$1000,"",0)</f>
        <v>4820.45</v>
      </c>
      <c r="L781">
        <f>_xlfn.XLOOKUP($A781,ALGLIB_SSA_XAUUSD!$J$2:$J$1000,ALGLIB_SSA_XAUUSD!$N$2:$N$1000,"",0)</f>
        <v>4821.7609000000002</v>
      </c>
      <c r="M781">
        <f>_xlfn.XLOOKUP($A781,ALGLIB_SSA_XAUUSD!$J$2:$J$1000,ALGLIB_SSA_XAUUSD!$O$2:$O$1000,"",0)</f>
        <v>4824.7978999999996</v>
      </c>
      <c r="N781">
        <f>_xlfn.XLOOKUP($A781,ALGLIB_SSA_XAUUSD!$J$2:$J$1000,ALGLIB_SSA_XAUUSD!$P$2:$P$1000,"",0)</f>
        <v>4827.59267</v>
      </c>
      <c r="O781">
        <f>_xlfn.XLOOKUP($A781,ALGLIB_SSA_XAUUSD!$J$2:$J$1000,ALGLIB_SSA_XAUUSD!$Q$2:$Q$1000,"",0)</f>
        <v>4819.9661299999998</v>
      </c>
      <c r="R781">
        <f t="shared" si="132"/>
        <v>1775631300</v>
      </c>
      <c r="S781" t="str">
        <f t="shared" si="133"/>
        <v>XAUUSD</v>
      </c>
      <c r="T781" t="str">
        <f t="shared" si="134"/>
        <v>M5</v>
      </c>
      <c r="U781">
        <f t="shared" si="135"/>
        <v>4820.45</v>
      </c>
      <c r="V781">
        <v>4800.99539</v>
      </c>
      <c r="W781">
        <v>4805.9616299999998</v>
      </c>
      <c r="X781">
        <v>4821.7609000000002</v>
      </c>
      <c r="Y781">
        <v>4824.7978999999996</v>
      </c>
      <c r="Z781">
        <f t="shared" si="136"/>
        <v>4814.4652991666662</v>
      </c>
      <c r="AA781">
        <f t="shared" si="137"/>
        <v>4827.59267</v>
      </c>
      <c r="AB781">
        <f t="shared" si="138"/>
        <v>4795.321305833334</v>
      </c>
      <c r="AC781">
        <f t="shared" si="139"/>
        <v>4819.9661299999998</v>
      </c>
      <c r="AF781">
        <f t="shared" si="140"/>
        <v>4821.7609000000002</v>
      </c>
      <c r="AG781">
        <f t="shared" si="141"/>
        <v>4814.4652991666662</v>
      </c>
      <c r="AH781">
        <f t="shared" si="142"/>
        <v>4795.321305833334</v>
      </c>
    </row>
    <row r="782" spans="1:34" x14ac:dyDescent="0.55000000000000004">
      <c r="A782">
        <f>ALGLIB_SSA_XAUUSD!J782</f>
        <v>1775631600</v>
      </c>
      <c r="B782" t="str">
        <f>_xlfn.XLOOKUP($A782,ALGLIB_SSA_XAUUSD!$A$2:$A$1000,ALGLIB_SSA_XAUUSD!$B$2:$B$1000,"",0)</f>
        <v>XAUUSD</v>
      </c>
      <c r="C782" t="str">
        <f>_xlfn.XLOOKUP($A782,ALGLIB_SSA_XAUUSD!$A$2:$A$1000,ALGLIB_SSA_XAUUSD!$C$2:$C$1000,"",0)</f>
        <v>H1</v>
      </c>
      <c r="D782" s="2">
        <f>_xlfn.XLOOKUP($A782,ALGLIB_SSA_XAUUSD!$A$2:$A$1000,ALGLIB_SSA_XAUUSD!$D$2:$D$1000,"",0)</f>
        <v>4813.53</v>
      </c>
      <c r="E782" s="2">
        <f>_xlfn.XLOOKUP($A782,ALGLIB_SSA_XAUUSD!$A$2:$A$1000,ALGLIB_SSA_XAUUSD!$E$2:$E$1000,"",0)</f>
        <v>4800.5404699999999</v>
      </c>
      <c r="F782" s="2">
        <f>_xlfn.XLOOKUP($A782,ALGLIB_SSA_XAUUSD!$A$2:$A$1000,ALGLIB_SSA_XAUUSD!$F$2:$F$1000,"",0)</f>
        <v>4805.5446199999997</v>
      </c>
      <c r="G782" s="2">
        <f>_xlfn.XLOOKUP($A782,ALGLIB_SSA_XAUUSD!$A$2:$A$1000,ALGLIB_SSA_XAUUSD!$G$2:$G$1000,"",0)</f>
        <v>4814.0508</v>
      </c>
      <c r="H782" s="2">
        <f>_xlfn.XLOOKUP($A782,ALGLIB_SSA_XAUUSD!$A$2:$A$1000,ALGLIB_SSA_XAUUSD!$H$2:$H$1000,"",0)</f>
        <v>4794.8066500000004</v>
      </c>
      <c r="I782" t="str">
        <f>_xlfn.XLOOKUP($A782,ALGLIB_SSA_XAUUSD!$J$2:$J$1000,ALGLIB_SSA_XAUUSD!$K$2:$K$1000,"",0)</f>
        <v>XAUUSD</v>
      </c>
      <c r="J782" t="str">
        <f>_xlfn.XLOOKUP($A782,ALGLIB_SSA_XAUUSD!$J$2:$J$1000,ALGLIB_SSA_XAUUSD!$L$2:$L$1000,"",0)</f>
        <v>M5</v>
      </c>
      <c r="K782">
        <f>_xlfn.XLOOKUP($A782,ALGLIB_SSA_XAUUSD!$J$2:$J$1000,ALGLIB_SSA_XAUUSD!$M$2:$M$1000,"",0)</f>
        <v>4812.68</v>
      </c>
      <c r="L782">
        <f>_xlfn.XLOOKUP($A782,ALGLIB_SSA_XAUUSD!$J$2:$J$1000,ALGLIB_SSA_XAUUSD!$N$2:$N$1000,"",0)</f>
        <v>4818.4298399999998</v>
      </c>
      <c r="M782">
        <f>_xlfn.XLOOKUP($A782,ALGLIB_SSA_XAUUSD!$J$2:$J$1000,ALGLIB_SSA_XAUUSD!$O$2:$O$1000,"",0)</f>
        <v>4821.6138700000001</v>
      </c>
      <c r="N782">
        <f>_xlfn.XLOOKUP($A782,ALGLIB_SSA_XAUUSD!$J$2:$J$1000,ALGLIB_SSA_XAUUSD!$P$2:$P$1000,"",0)</f>
        <v>4823.7435999999998</v>
      </c>
      <c r="O782">
        <f>_xlfn.XLOOKUP($A782,ALGLIB_SSA_XAUUSD!$J$2:$J$1000,ALGLIB_SSA_XAUUSD!$Q$2:$Q$1000,"",0)</f>
        <v>4816.4853000000003</v>
      </c>
      <c r="R782">
        <f t="shared" si="132"/>
        <v>1775631600</v>
      </c>
      <c r="S782" t="str">
        <f t="shared" si="133"/>
        <v>XAUUSD</v>
      </c>
      <c r="T782" t="str">
        <f t="shared" si="134"/>
        <v>M5</v>
      </c>
      <c r="U782">
        <f t="shared" si="135"/>
        <v>4812.68</v>
      </c>
      <c r="V782">
        <v>4800.5404699999999</v>
      </c>
      <c r="W782">
        <v>4805.5446199999997</v>
      </c>
      <c r="X782">
        <v>4818.4298399999998</v>
      </c>
      <c r="Y782">
        <v>4821.6138700000001</v>
      </c>
      <c r="Z782">
        <f t="shared" si="136"/>
        <v>4814.0508</v>
      </c>
      <c r="AA782">
        <f t="shared" si="137"/>
        <v>4823.7435999999998</v>
      </c>
      <c r="AB782">
        <f t="shared" si="138"/>
        <v>4794.8066500000004</v>
      </c>
      <c r="AC782">
        <f t="shared" si="139"/>
        <v>4816.4853000000003</v>
      </c>
      <c r="AF782">
        <f t="shared" si="140"/>
        <v>4818.4298399999998</v>
      </c>
      <c r="AG782">
        <f t="shared" si="141"/>
        <v>4814.0508</v>
      </c>
      <c r="AH782">
        <f t="shared" si="142"/>
        <v>4794.8066500000004</v>
      </c>
    </row>
    <row r="783" spans="1:34" x14ac:dyDescent="0.55000000000000004">
      <c r="A783">
        <f>ALGLIB_SSA_XAUUSD!J783</f>
        <v>1775631900</v>
      </c>
      <c r="B783" t="str">
        <f>_xlfn.XLOOKUP($A783,ALGLIB_SSA_XAUUSD!$A$2:$A$1000,ALGLIB_SSA_XAUUSD!$B$2:$B$1000,"",0)</f>
        <v/>
      </c>
      <c r="C783" t="str">
        <f>_xlfn.XLOOKUP($A783,ALGLIB_SSA_XAUUSD!$A$2:$A$1000,ALGLIB_SSA_XAUUSD!$C$2:$C$1000,"",0)</f>
        <v/>
      </c>
      <c r="D783" s="1">
        <f>D782+(D794-D782)*1/12</f>
        <v>4811.9216666666662</v>
      </c>
      <c r="E783" s="1">
        <f>E782+(E794-E782)*1/12</f>
        <v>4800.1735975000001</v>
      </c>
      <c r="F783" s="1">
        <f>F782+(F794-F782)*1/12</f>
        <v>4805.1526774999993</v>
      </c>
      <c r="G783" s="1">
        <f>G782+(G794-G782)*1/12</f>
        <v>4813.7974008333331</v>
      </c>
      <c r="H783" s="1">
        <f>H782+(H794-H782)*1/12</f>
        <v>4794.2712691666675</v>
      </c>
      <c r="I783" t="str">
        <f>_xlfn.XLOOKUP($A783,ALGLIB_SSA_XAUUSD!$J$2:$J$1000,ALGLIB_SSA_XAUUSD!$K$2:$K$1000,"",0)</f>
        <v>XAUUSD</v>
      </c>
      <c r="J783" t="str">
        <f>_xlfn.XLOOKUP($A783,ALGLIB_SSA_XAUUSD!$J$2:$J$1000,ALGLIB_SSA_XAUUSD!$L$2:$L$1000,"",0)</f>
        <v>M5</v>
      </c>
      <c r="K783">
        <f>_xlfn.XLOOKUP($A783,ALGLIB_SSA_XAUUSD!$J$2:$J$1000,ALGLIB_SSA_XAUUSD!$M$2:$M$1000,"",0)</f>
        <v>4815.3500000000004</v>
      </c>
      <c r="L783">
        <f>_xlfn.XLOOKUP($A783,ALGLIB_SSA_XAUUSD!$J$2:$J$1000,ALGLIB_SSA_XAUUSD!$N$2:$N$1000,"",0)</f>
        <v>4815.7449100000003</v>
      </c>
      <c r="M783">
        <f>_xlfn.XLOOKUP($A783,ALGLIB_SSA_XAUUSD!$J$2:$J$1000,ALGLIB_SSA_XAUUSD!$O$2:$O$1000,"",0)</f>
        <v>4818.6793900000002</v>
      </c>
      <c r="N783">
        <f>_xlfn.XLOOKUP($A783,ALGLIB_SSA_XAUUSD!$J$2:$J$1000,ALGLIB_SSA_XAUUSD!$P$2:$P$1000,"",0)</f>
        <v>4820.2729200000003</v>
      </c>
      <c r="O783">
        <f>_xlfn.XLOOKUP($A783,ALGLIB_SSA_XAUUSD!$J$2:$J$1000,ALGLIB_SSA_XAUUSD!$Q$2:$Q$1000,"",0)</f>
        <v>4813.5034400000004</v>
      </c>
      <c r="R783">
        <f t="shared" si="132"/>
        <v>1775631900</v>
      </c>
      <c r="S783" t="str">
        <f t="shared" si="133"/>
        <v>XAUUSD</v>
      </c>
      <c r="T783" t="str">
        <f t="shared" si="134"/>
        <v>M5</v>
      </c>
      <c r="U783">
        <f t="shared" si="135"/>
        <v>4815.3500000000004</v>
      </c>
      <c r="V783">
        <v>4800.1736000000001</v>
      </c>
      <c r="W783">
        <v>4805.1526800000001</v>
      </c>
      <c r="X783">
        <v>4815.7449100000003</v>
      </c>
      <c r="Y783">
        <v>4818.6793900000002</v>
      </c>
      <c r="Z783">
        <f t="shared" si="136"/>
        <v>4813.7974008333331</v>
      </c>
      <c r="AA783">
        <f t="shared" si="137"/>
        <v>4820.2729200000003</v>
      </c>
      <c r="AB783">
        <f t="shared" si="138"/>
        <v>4794.2712691666675</v>
      </c>
      <c r="AC783">
        <f t="shared" si="139"/>
        <v>4813.5034400000004</v>
      </c>
      <c r="AF783">
        <f t="shared" si="140"/>
        <v>4815.7449100000003</v>
      </c>
      <c r="AG783">
        <f t="shared" si="141"/>
        <v>4813.7974008333331</v>
      </c>
      <c r="AH783">
        <f t="shared" si="142"/>
        <v>4794.2712691666675</v>
      </c>
    </row>
    <row r="784" spans="1:34" x14ac:dyDescent="0.55000000000000004">
      <c r="A784">
        <f>ALGLIB_SSA_XAUUSD!J784</f>
        <v>1775632200</v>
      </c>
      <c r="B784" t="str">
        <f>_xlfn.XLOOKUP($A784,ALGLIB_SSA_XAUUSD!$A$2:$A$1000,ALGLIB_SSA_XAUUSD!$B$2:$B$1000,"",0)</f>
        <v/>
      </c>
      <c r="C784" t="str">
        <f>_xlfn.XLOOKUP($A784,ALGLIB_SSA_XAUUSD!$A$2:$A$1000,ALGLIB_SSA_XAUUSD!$C$2:$C$1000,"",0)</f>
        <v/>
      </c>
      <c r="D784" s="1">
        <f>D782+(D794-D782)*2/12</f>
        <v>4810.3133333333335</v>
      </c>
      <c r="E784" s="1">
        <f>E782+(E794-E782)*2/12</f>
        <v>4799.8067250000004</v>
      </c>
      <c r="F784" s="1">
        <f>F782+(F794-F782)*2/12</f>
        <v>4804.7607349999998</v>
      </c>
      <c r="G784" s="1">
        <f>G782+(G794-G782)*2/12</f>
        <v>4813.5440016666671</v>
      </c>
      <c r="H784" s="1">
        <f>H782+(H794-H782)*2/12</f>
        <v>4793.7358883333336</v>
      </c>
      <c r="I784" t="str">
        <f>_xlfn.XLOOKUP($A784,ALGLIB_SSA_XAUUSD!$J$2:$J$1000,ALGLIB_SSA_XAUUSD!$K$2:$K$1000,"",0)</f>
        <v>XAUUSD</v>
      </c>
      <c r="J784" t="str">
        <f>_xlfn.XLOOKUP($A784,ALGLIB_SSA_XAUUSD!$J$2:$J$1000,ALGLIB_SSA_XAUUSD!$L$2:$L$1000,"",0)</f>
        <v>M5</v>
      </c>
      <c r="K784">
        <f>_xlfn.XLOOKUP($A784,ALGLIB_SSA_XAUUSD!$J$2:$J$1000,ALGLIB_SSA_XAUUSD!$M$2:$M$1000,"",0)</f>
        <v>4812.59</v>
      </c>
      <c r="L784">
        <f>_xlfn.XLOOKUP($A784,ALGLIB_SSA_XAUUSD!$J$2:$J$1000,ALGLIB_SSA_XAUUSD!$N$2:$N$1000,"",0)</f>
        <v>4813.7617300000002</v>
      </c>
      <c r="M784">
        <f>_xlfn.XLOOKUP($A784,ALGLIB_SSA_XAUUSD!$J$2:$J$1000,ALGLIB_SSA_XAUUSD!$O$2:$O$1000,"",0)</f>
        <v>4816.2205599999998</v>
      </c>
      <c r="N784">
        <f>_xlfn.XLOOKUP($A784,ALGLIB_SSA_XAUUSD!$J$2:$J$1000,ALGLIB_SSA_XAUUSD!$P$2:$P$1000,"",0)</f>
        <v>4817.55807</v>
      </c>
      <c r="O784">
        <f>_xlfn.XLOOKUP($A784,ALGLIB_SSA_XAUUSD!$J$2:$J$1000,ALGLIB_SSA_XAUUSD!$Q$2:$Q$1000,"",0)</f>
        <v>4811.1469200000001</v>
      </c>
      <c r="R784">
        <f t="shared" si="132"/>
        <v>1775632200</v>
      </c>
      <c r="S784" t="str">
        <f t="shared" si="133"/>
        <v>XAUUSD</v>
      </c>
      <c r="T784" t="str">
        <f t="shared" si="134"/>
        <v>M5</v>
      </c>
      <c r="U784">
        <f t="shared" si="135"/>
        <v>4812.59</v>
      </c>
      <c r="V784">
        <v>4799.8067300000002</v>
      </c>
      <c r="W784">
        <v>4804.7607399999997</v>
      </c>
      <c r="X784">
        <v>4813.7617300000002</v>
      </c>
      <c r="Y784">
        <v>4816.2205599999998</v>
      </c>
      <c r="Z784">
        <f t="shared" si="136"/>
        <v>4813.5440016666671</v>
      </c>
      <c r="AA784">
        <f t="shared" si="137"/>
        <v>4817.55807</v>
      </c>
      <c r="AB784">
        <f t="shared" si="138"/>
        <v>4793.7358883333336</v>
      </c>
      <c r="AC784">
        <f t="shared" si="139"/>
        <v>4811.1469200000001</v>
      </c>
      <c r="AF784">
        <f t="shared" si="140"/>
        <v>4813.7617300000002</v>
      </c>
      <c r="AG784">
        <f t="shared" si="141"/>
        <v>4813.5440016666671</v>
      </c>
      <c r="AH784">
        <f t="shared" si="142"/>
        <v>4793.7358883333336</v>
      </c>
    </row>
    <row r="785" spans="1:34" x14ac:dyDescent="0.55000000000000004">
      <c r="A785">
        <f>ALGLIB_SSA_XAUUSD!J785</f>
        <v>1775632500</v>
      </c>
      <c r="B785" t="str">
        <f>_xlfn.XLOOKUP($A785,ALGLIB_SSA_XAUUSD!$A$2:$A$1000,ALGLIB_SSA_XAUUSD!$B$2:$B$1000,"",0)</f>
        <v/>
      </c>
      <c r="C785" t="str">
        <f>_xlfn.XLOOKUP($A785,ALGLIB_SSA_XAUUSD!$A$2:$A$1000,ALGLIB_SSA_XAUUSD!$C$2:$C$1000,"",0)</f>
        <v/>
      </c>
      <c r="D785" s="1">
        <f>D782+(D794-D782)*3/12</f>
        <v>4808.7049999999999</v>
      </c>
      <c r="E785" s="1">
        <f>E782+(E794-E782)*3/12</f>
        <v>4799.4398524999997</v>
      </c>
      <c r="F785" s="1">
        <f>F782+(F794-F782)*3/12</f>
        <v>4804.3687924999995</v>
      </c>
      <c r="G785" s="1">
        <f>G782+(G794-G782)*3/12</f>
        <v>4813.2906025000002</v>
      </c>
      <c r="H785" s="1">
        <f>H782+(H794-H782)*3/12</f>
        <v>4793.2005075000006</v>
      </c>
      <c r="I785" t="str">
        <f>_xlfn.XLOOKUP($A785,ALGLIB_SSA_XAUUSD!$J$2:$J$1000,ALGLIB_SSA_XAUUSD!$K$2:$K$1000,"",0)</f>
        <v>XAUUSD</v>
      </c>
      <c r="J785" t="str">
        <f>_xlfn.XLOOKUP($A785,ALGLIB_SSA_XAUUSD!$J$2:$J$1000,ALGLIB_SSA_XAUUSD!$L$2:$L$1000,"",0)</f>
        <v>M5</v>
      </c>
      <c r="K785">
        <f>_xlfn.XLOOKUP($A785,ALGLIB_SSA_XAUUSD!$J$2:$J$1000,ALGLIB_SSA_XAUUSD!$M$2:$M$1000,"",0)</f>
        <v>4812.5600000000004</v>
      </c>
      <c r="L785">
        <f>_xlfn.XLOOKUP($A785,ALGLIB_SSA_XAUUSD!$J$2:$J$1000,ALGLIB_SSA_XAUUSD!$N$2:$N$1000,"",0)</f>
        <v>4812.5634399999999</v>
      </c>
      <c r="M785">
        <f>_xlfn.XLOOKUP($A785,ALGLIB_SSA_XAUUSD!$J$2:$J$1000,ALGLIB_SSA_XAUUSD!$O$2:$O$1000,"",0)</f>
        <v>4814.3919999999998</v>
      </c>
      <c r="N785">
        <f>_xlfn.XLOOKUP($A785,ALGLIB_SSA_XAUUSD!$J$2:$J$1000,ALGLIB_SSA_XAUUSD!$P$2:$P$1000,"",0)</f>
        <v>4815.7882600000003</v>
      </c>
      <c r="O785">
        <f>_xlfn.XLOOKUP($A785,ALGLIB_SSA_XAUUSD!$J$2:$J$1000,ALGLIB_SSA_XAUUSD!$Q$2:$Q$1000,"",0)</f>
        <v>4809.5433899999998</v>
      </c>
      <c r="R785">
        <f t="shared" si="132"/>
        <v>1775632500</v>
      </c>
      <c r="S785" t="str">
        <f t="shared" si="133"/>
        <v>XAUUSD</v>
      </c>
      <c r="T785" t="str">
        <f t="shared" si="134"/>
        <v>M5</v>
      </c>
      <c r="U785">
        <f t="shared" si="135"/>
        <v>4812.5600000000004</v>
      </c>
      <c r="V785">
        <v>4799.4398499999998</v>
      </c>
      <c r="W785">
        <v>4804.3687900000004</v>
      </c>
      <c r="X785">
        <v>4812.5634399999999</v>
      </c>
      <c r="Y785">
        <v>4814.3919999999998</v>
      </c>
      <c r="Z785">
        <f t="shared" si="136"/>
        <v>4813.2906025000002</v>
      </c>
      <c r="AA785">
        <f t="shared" si="137"/>
        <v>4815.7882600000003</v>
      </c>
      <c r="AB785">
        <f t="shared" si="138"/>
        <v>4793.2005075000006</v>
      </c>
      <c r="AC785">
        <f t="shared" si="139"/>
        <v>4809.5433899999998</v>
      </c>
      <c r="AF785">
        <f t="shared" si="140"/>
        <v>4812.5634399999999</v>
      </c>
      <c r="AG785">
        <f t="shared" si="141"/>
        <v>4813.2906025000002</v>
      </c>
      <c r="AH785">
        <f t="shared" si="142"/>
        <v>4793.2005075000006</v>
      </c>
    </row>
    <row r="786" spans="1:34" x14ac:dyDescent="0.55000000000000004">
      <c r="A786">
        <f>ALGLIB_SSA_XAUUSD!J786</f>
        <v>1775632800</v>
      </c>
      <c r="B786" t="str">
        <f>_xlfn.XLOOKUP($A786,ALGLIB_SSA_XAUUSD!$A$2:$A$1000,ALGLIB_SSA_XAUUSD!$B$2:$B$1000,"",0)</f>
        <v/>
      </c>
      <c r="C786" t="str">
        <f>_xlfn.XLOOKUP($A786,ALGLIB_SSA_XAUUSD!$A$2:$A$1000,ALGLIB_SSA_XAUUSD!$C$2:$C$1000,"",0)</f>
        <v/>
      </c>
      <c r="D786" s="1">
        <f>D782+(D794-D782)*4/12</f>
        <v>4807.0966666666664</v>
      </c>
      <c r="E786" s="1">
        <f>E782+(E794-E782)*4/12</f>
        <v>4799.0729799999999</v>
      </c>
      <c r="F786" s="1">
        <f>F782+(F794-F782)*4/12</f>
        <v>4803.97685</v>
      </c>
      <c r="G786" s="1">
        <f>G782+(G794-G782)*4/12</f>
        <v>4813.0372033333333</v>
      </c>
      <c r="H786" s="1">
        <f>H782+(H794-H782)*4/12</f>
        <v>4792.6651266666668</v>
      </c>
      <c r="I786" t="str">
        <f>_xlfn.XLOOKUP($A786,ALGLIB_SSA_XAUUSD!$J$2:$J$1000,ALGLIB_SSA_XAUUSD!$K$2:$K$1000,"",0)</f>
        <v>XAUUSD</v>
      </c>
      <c r="J786" t="str">
        <f>_xlfn.XLOOKUP($A786,ALGLIB_SSA_XAUUSD!$J$2:$J$1000,ALGLIB_SSA_XAUUSD!$L$2:$L$1000,"",0)</f>
        <v>M5</v>
      </c>
      <c r="K786">
        <f>_xlfn.XLOOKUP($A786,ALGLIB_SSA_XAUUSD!$J$2:$J$1000,ALGLIB_SSA_XAUUSD!$M$2:$M$1000,"",0)</f>
        <v>4816.03</v>
      </c>
      <c r="L786">
        <f>_xlfn.XLOOKUP($A786,ALGLIB_SSA_XAUUSD!$J$2:$J$1000,ALGLIB_SSA_XAUUSD!$N$2:$N$1000,"",0)</f>
        <v>4812.0464199999997</v>
      </c>
      <c r="M786">
        <f>_xlfn.XLOOKUP($A786,ALGLIB_SSA_XAUUSD!$J$2:$J$1000,ALGLIB_SSA_XAUUSD!$O$2:$O$1000,"",0)</f>
        <v>4813.2192100000002</v>
      </c>
      <c r="N786">
        <f>_xlfn.XLOOKUP($A786,ALGLIB_SSA_XAUUSD!$J$2:$J$1000,ALGLIB_SSA_XAUUSD!$P$2:$P$1000,"",0)</f>
        <v>4814.9600300000002</v>
      </c>
      <c r="O786">
        <f>_xlfn.XLOOKUP($A786,ALGLIB_SSA_XAUUSD!$J$2:$J$1000,ALGLIB_SSA_XAUUSD!$Q$2:$Q$1000,"",0)</f>
        <v>4808.6154900000001</v>
      </c>
      <c r="R786">
        <f t="shared" si="132"/>
        <v>1775632800</v>
      </c>
      <c r="S786" t="str">
        <f t="shared" si="133"/>
        <v>XAUUSD</v>
      </c>
      <c r="T786" t="str">
        <f t="shared" si="134"/>
        <v>M5</v>
      </c>
      <c r="U786">
        <f t="shared" si="135"/>
        <v>4816.03</v>
      </c>
      <c r="V786">
        <v>4799.0729799999999</v>
      </c>
      <c r="W786">
        <v>4803.97685</v>
      </c>
      <c r="X786">
        <v>4812.0464199999997</v>
      </c>
      <c r="Y786">
        <v>4813.2192100000002</v>
      </c>
      <c r="Z786">
        <f t="shared" si="136"/>
        <v>4813.0372033333333</v>
      </c>
      <c r="AA786">
        <f t="shared" si="137"/>
        <v>4814.9600300000002</v>
      </c>
      <c r="AB786">
        <f t="shared" si="138"/>
        <v>4792.6651266666668</v>
      </c>
      <c r="AC786">
        <f t="shared" si="139"/>
        <v>4808.6154900000001</v>
      </c>
      <c r="AF786">
        <f t="shared" si="140"/>
        <v>4812.0464199999997</v>
      </c>
      <c r="AG786">
        <f t="shared" si="141"/>
        <v>4813.0372033333333</v>
      </c>
      <c r="AH786">
        <f t="shared" si="142"/>
        <v>4792.6651266666668</v>
      </c>
    </row>
    <row r="787" spans="1:34" x14ac:dyDescent="0.55000000000000004">
      <c r="A787">
        <f>ALGLIB_SSA_XAUUSD!J787</f>
        <v>1775633100</v>
      </c>
      <c r="B787" t="str">
        <f>_xlfn.XLOOKUP($A787,ALGLIB_SSA_XAUUSD!$A$2:$A$1000,ALGLIB_SSA_XAUUSD!$B$2:$B$1000,"",0)</f>
        <v/>
      </c>
      <c r="C787" t="str">
        <f>_xlfn.XLOOKUP($A787,ALGLIB_SSA_XAUUSD!$A$2:$A$1000,ALGLIB_SSA_XAUUSD!$C$2:$C$1000,"",0)</f>
        <v/>
      </c>
      <c r="D787" s="1">
        <f>D782+(D794-D782)*5/12</f>
        <v>4805.4883333333328</v>
      </c>
      <c r="E787" s="1">
        <f>E782+(E794-E782)*5/12</f>
        <v>4798.7061075000001</v>
      </c>
      <c r="F787" s="1">
        <f>F782+(F794-F782)*5/12</f>
        <v>4803.5849074999996</v>
      </c>
      <c r="G787" s="1">
        <f>G782+(G794-G782)*5/12</f>
        <v>4812.7838041666664</v>
      </c>
      <c r="H787" s="1">
        <f>H782+(H794-H782)*5/12</f>
        <v>4792.1297458333338</v>
      </c>
      <c r="I787" t="str">
        <f>_xlfn.XLOOKUP($A787,ALGLIB_SSA_XAUUSD!$J$2:$J$1000,ALGLIB_SSA_XAUUSD!$K$2:$K$1000,"",0)</f>
        <v>XAUUSD</v>
      </c>
      <c r="J787" t="str">
        <f>_xlfn.XLOOKUP($A787,ALGLIB_SSA_XAUUSD!$J$2:$J$1000,ALGLIB_SSA_XAUUSD!$L$2:$L$1000,"",0)</f>
        <v>M5</v>
      </c>
      <c r="K787">
        <f>_xlfn.XLOOKUP($A787,ALGLIB_SSA_XAUUSD!$J$2:$J$1000,ALGLIB_SSA_XAUUSD!$M$2:$M$1000,"",0)</f>
        <v>4818.6499999999996</v>
      </c>
      <c r="L787">
        <f>_xlfn.XLOOKUP($A787,ALGLIB_SSA_XAUUSD!$J$2:$J$1000,ALGLIB_SSA_XAUUSD!$N$2:$N$1000,"",0)</f>
        <v>4811.9641199999996</v>
      </c>
      <c r="M787">
        <f>_xlfn.XLOOKUP($A787,ALGLIB_SSA_XAUUSD!$J$2:$J$1000,ALGLIB_SSA_XAUUSD!$O$2:$O$1000,"",0)</f>
        <v>4812.5916699999998</v>
      </c>
      <c r="N787">
        <f>_xlfn.XLOOKUP($A787,ALGLIB_SSA_XAUUSD!$J$2:$J$1000,ALGLIB_SSA_XAUUSD!$P$2:$P$1000,"",0)</f>
        <v>4814.8709500000004</v>
      </c>
      <c r="O787">
        <f>_xlfn.XLOOKUP($A787,ALGLIB_SSA_XAUUSD!$J$2:$J$1000,ALGLIB_SSA_XAUUSD!$Q$2:$Q$1000,"",0)</f>
        <v>4808.2697399999997</v>
      </c>
      <c r="R787">
        <f t="shared" si="132"/>
        <v>1775633100</v>
      </c>
      <c r="S787" t="str">
        <f t="shared" si="133"/>
        <v>XAUUSD</v>
      </c>
      <c r="T787" t="str">
        <f t="shared" si="134"/>
        <v>M5</v>
      </c>
      <c r="U787">
        <f t="shared" si="135"/>
        <v>4818.6499999999996</v>
      </c>
      <c r="V787">
        <v>4798.7061100000001</v>
      </c>
      <c r="W787">
        <v>4803.5849099999996</v>
      </c>
      <c r="X787">
        <v>4811.9641199999996</v>
      </c>
      <c r="Y787">
        <v>4812.5916699999998</v>
      </c>
      <c r="Z787">
        <f t="shared" si="136"/>
        <v>4812.7838041666664</v>
      </c>
      <c r="AA787">
        <f t="shared" si="137"/>
        <v>4814.8709500000004</v>
      </c>
      <c r="AB787">
        <f t="shared" si="138"/>
        <v>4792.1297458333338</v>
      </c>
      <c r="AC787">
        <f t="shared" si="139"/>
        <v>4808.2697399999997</v>
      </c>
      <c r="AF787">
        <f t="shared" si="140"/>
        <v>4811.9641199999996</v>
      </c>
      <c r="AG787">
        <f t="shared" si="141"/>
        <v>4812.7838041666664</v>
      </c>
      <c r="AH787">
        <f t="shared" si="142"/>
        <v>4792.1297458333338</v>
      </c>
    </row>
    <row r="788" spans="1:34" x14ac:dyDescent="0.55000000000000004">
      <c r="A788">
        <f>ALGLIB_SSA_XAUUSD!J788</f>
        <v>1775633400</v>
      </c>
      <c r="B788" t="str">
        <f>_xlfn.XLOOKUP($A788,ALGLIB_SSA_XAUUSD!$A$2:$A$1000,ALGLIB_SSA_XAUUSD!$B$2:$B$1000,"",0)</f>
        <v/>
      </c>
      <c r="C788" t="str">
        <f>_xlfn.XLOOKUP($A788,ALGLIB_SSA_XAUUSD!$A$2:$A$1000,ALGLIB_SSA_XAUUSD!$C$2:$C$1000,"",0)</f>
        <v/>
      </c>
      <c r="D788" s="1">
        <f>D782+(D794-D782)*6/12</f>
        <v>4803.8799999999992</v>
      </c>
      <c r="E788" s="1">
        <f>E782+(E794-E782)*6/12</f>
        <v>4798.3392349999995</v>
      </c>
      <c r="F788" s="1">
        <f>F782+(F794-F782)*6/12</f>
        <v>4803.1929650000002</v>
      </c>
      <c r="G788" s="1">
        <f>G782+(G794-G782)*6/12</f>
        <v>4812.5304049999995</v>
      </c>
      <c r="H788" s="1">
        <f>H782+(H794-H782)*6/12</f>
        <v>4791.5943650000008</v>
      </c>
      <c r="I788" t="str">
        <f>_xlfn.XLOOKUP($A788,ALGLIB_SSA_XAUUSD!$J$2:$J$1000,ALGLIB_SSA_XAUUSD!$K$2:$K$1000,"",0)</f>
        <v>XAUUSD</v>
      </c>
      <c r="J788" t="str">
        <f>_xlfn.XLOOKUP($A788,ALGLIB_SSA_XAUUSD!$J$2:$J$1000,ALGLIB_SSA_XAUUSD!$L$2:$L$1000,"",0)</f>
        <v>M5</v>
      </c>
      <c r="K788">
        <f>_xlfn.XLOOKUP($A788,ALGLIB_SSA_XAUUSD!$J$2:$J$1000,ALGLIB_SSA_XAUUSD!$M$2:$M$1000,"",0)</f>
        <v>4810.08</v>
      </c>
      <c r="L788">
        <f>_xlfn.XLOOKUP($A788,ALGLIB_SSA_XAUUSD!$J$2:$J$1000,ALGLIB_SSA_XAUUSD!$N$2:$N$1000,"",0)</f>
        <v>4812.1102499999997</v>
      </c>
      <c r="M788">
        <f>_xlfn.XLOOKUP($A788,ALGLIB_SSA_XAUUSD!$J$2:$J$1000,ALGLIB_SSA_XAUUSD!$O$2:$O$1000,"",0)</f>
        <v>4812.3509599999998</v>
      </c>
      <c r="N788">
        <f>_xlfn.XLOOKUP($A788,ALGLIB_SSA_XAUUSD!$J$2:$J$1000,ALGLIB_SSA_XAUUSD!$P$2:$P$1000,"",0)</f>
        <v>4815.1642400000001</v>
      </c>
      <c r="O788">
        <f>_xlfn.XLOOKUP($A788,ALGLIB_SSA_XAUUSD!$J$2:$J$1000,ALGLIB_SSA_XAUUSD!$Q$2:$Q$1000,"",0)</f>
        <v>4808.2227800000001</v>
      </c>
      <c r="R788">
        <f t="shared" si="132"/>
        <v>1775633400</v>
      </c>
      <c r="S788" t="str">
        <f t="shared" si="133"/>
        <v>XAUUSD</v>
      </c>
      <c r="T788" t="str">
        <f t="shared" si="134"/>
        <v>M5</v>
      </c>
      <c r="U788">
        <f t="shared" si="135"/>
        <v>4810.08</v>
      </c>
      <c r="V788">
        <v>4798.3392299999996</v>
      </c>
      <c r="W788">
        <v>4803.1929700000001</v>
      </c>
      <c r="X788">
        <v>4812.1102499999997</v>
      </c>
      <c r="Y788">
        <v>4812.3509599999998</v>
      </c>
      <c r="Z788">
        <f t="shared" si="136"/>
        <v>4812.5304049999995</v>
      </c>
      <c r="AA788">
        <f t="shared" si="137"/>
        <v>4815.1642400000001</v>
      </c>
      <c r="AB788">
        <f t="shared" si="138"/>
        <v>4791.5943650000008</v>
      </c>
      <c r="AC788">
        <f t="shared" si="139"/>
        <v>4808.2227800000001</v>
      </c>
      <c r="AF788">
        <f t="shared" si="140"/>
        <v>4812.1102499999997</v>
      </c>
      <c r="AG788">
        <f t="shared" si="141"/>
        <v>4812.5304049999995</v>
      </c>
      <c r="AH788">
        <f t="shared" si="142"/>
        <v>4791.5943650000008</v>
      </c>
    </row>
    <row r="789" spans="1:34" x14ac:dyDescent="0.55000000000000004">
      <c r="A789">
        <f>ALGLIB_SSA_XAUUSD!J789</f>
        <v>1775633700</v>
      </c>
      <c r="B789" t="str">
        <f>_xlfn.XLOOKUP($A789,ALGLIB_SSA_XAUUSD!$A$2:$A$1000,ALGLIB_SSA_XAUUSD!$B$2:$B$1000,"",0)</f>
        <v/>
      </c>
      <c r="C789" t="str">
        <f>_xlfn.XLOOKUP($A789,ALGLIB_SSA_XAUUSD!$A$2:$A$1000,ALGLIB_SSA_XAUUSD!$C$2:$C$1000,"",0)</f>
        <v/>
      </c>
      <c r="D789" s="1">
        <f>D782+(D794-D782)*7/12</f>
        <v>4802.2716666666665</v>
      </c>
      <c r="E789" s="1">
        <f>E782+(E794-E782)*7/12</f>
        <v>4797.9723624999997</v>
      </c>
      <c r="F789" s="1">
        <f>F782+(F794-F782)*7/12</f>
        <v>4802.8010224999998</v>
      </c>
      <c r="G789" s="1">
        <f>G782+(G794-G782)*7/12</f>
        <v>4812.2770058333335</v>
      </c>
      <c r="H789" s="1">
        <f>H782+(H794-H782)*7/12</f>
        <v>4791.058984166667</v>
      </c>
      <c r="I789" t="str">
        <f>_xlfn.XLOOKUP($A789,ALGLIB_SSA_XAUUSD!$J$2:$J$1000,ALGLIB_SSA_XAUUSD!$K$2:$K$1000,"",0)</f>
        <v>XAUUSD</v>
      </c>
      <c r="J789" t="str">
        <f>_xlfn.XLOOKUP($A789,ALGLIB_SSA_XAUUSD!$J$2:$J$1000,ALGLIB_SSA_XAUUSD!$L$2:$L$1000,"",0)</f>
        <v>M5</v>
      </c>
      <c r="K789">
        <f>_xlfn.XLOOKUP($A789,ALGLIB_SSA_XAUUSD!$J$2:$J$1000,ALGLIB_SSA_XAUUSD!$M$2:$M$1000,"",0)</f>
        <v>4810.5</v>
      </c>
      <c r="L789">
        <f>_xlfn.XLOOKUP($A789,ALGLIB_SSA_XAUUSD!$J$2:$J$1000,ALGLIB_SSA_XAUUSD!$N$2:$N$1000,"",0)</f>
        <v>4812.6038600000002</v>
      </c>
      <c r="M789">
        <f>_xlfn.XLOOKUP($A789,ALGLIB_SSA_XAUUSD!$J$2:$J$1000,ALGLIB_SSA_XAUUSD!$O$2:$O$1000,"",0)</f>
        <v>4812.4774100000004</v>
      </c>
      <c r="N789">
        <f>_xlfn.XLOOKUP($A789,ALGLIB_SSA_XAUUSD!$J$2:$J$1000,ALGLIB_SSA_XAUUSD!$P$2:$P$1000,"",0)</f>
        <v>4815.67094</v>
      </c>
      <c r="O789">
        <f>_xlfn.XLOOKUP($A789,ALGLIB_SSA_XAUUSD!$J$2:$J$1000,ALGLIB_SSA_XAUUSD!$Q$2:$Q$1000,"",0)</f>
        <v>4808.5628900000002</v>
      </c>
      <c r="R789">
        <f t="shared" si="132"/>
        <v>1775633700</v>
      </c>
      <c r="S789" t="str">
        <f t="shared" si="133"/>
        <v>XAUUSD</v>
      </c>
      <c r="T789" t="str">
        <f t="shared" si="134"/>
        <v>M5</v>
      </c>
      <c r="U789">
        <f t="shared" si="135"/>
        <v>4810.5</v>
      </c>
      <c r="V789">
        <v>4797.9723599999998</v>
      </c>
      <c r="W789">
        <v>4802.8010199999999</v>
      </c>
      <c r="X789">
        <v>4812.6038600000002</v>
      </c>
      <c r="Y789">
        <v>4812.4774100000004</v>
      </c>
      <c r="Z789">
        <f t="shared" si="136"/>
        <v>4812.2770058333335</v>
      </c>
      <c r="AA789">
        <f t="shared" si="137"/>
        <v>4815.67094</v>
      </c>
      <c r="AB789">
        <f t="shared" si="138"/>
        <v>4791.058984166667</v>
      </c>
      <c r="AC789">
        <f t="shared" si="139"/>
        <v>4808.5628900000002</v>
      </c>
      <c r="AF789">
        <f t="shared" si="140"/>
        <v>4812.6038600000002</v>
      </c>
      <c r="AG789">
        <f t="shared" si="141"/>
        <v>4812.2770058333335</v>
      </c>
      <c r="AH789">
        <f t="shared" si="142"/>
        <v>4791.058984166667</v>
      </c>
    </row>
    <row r="790" spans="1:34" x14ac:dyDescent="0.55000000000000004">
      <c r="A790">
        <f>ALGLIB_SSA_XAUUSD!J790</f>
        <v>1775634000</v>
      </c>
      <c r="B790" t="str">
        <f>_xlfn.XLOOKUP($A790,ALGLIB_SSA_XAUUSD!$A$2:$A$1000,ALGLIB_SSA_XAUUSD!$B$2:$B$1000,"",0)</f>
        <v/>
      </c>
      <c r="C790" t="str">
        <f>_xlfn.XLOOKUP($A790,ALGLIB_SSA_XAUUSD!$A$2:$A$1000,ALGLIB_SSA_XAUUSD!$C$2:$C$1000,"",0)</f>
        <v/>
      </c>
      <c r="D790" s="1">
        <f>D782+(D794-D782)*8/12</f>
        <v>4800.663333333333</v>
      </c>
      <c r="E790" s="1">
        <f>E782+(E794-E782)*8/12</f>
        <v>4797.6054899999999</v>
      </c>
      <c r="F790" s="1">
        <f>F782+(F794-F782)*8/12</f>
        <v>4802.4090799999994</v>
      </c>
      <c r="G790" s="1">
        <f>G782+(G794-G782)*8/12</f>
        <v>4812.0236066666666</v>
      </c>
      <c r="H790" s="1">
        <f>H782+(H794-H782)*8/12</f>
        <v>4790.523603333334</v>
      </c>
      <c r="I790" t="str">
        <f>_xlfn.XLOOKUP($A790,ALGLIB_SSA_XAUUSD!$J$2:$J$1000,ALGLIB_SSA_XAUUSD!$K$2:$K$1000,"",0)</f>
        <v>XAUUSD</v>
      </c>
      <c r="J790" t="str">
        <f>_xlfn.XLOOKUP($A790,ALGLIB_SSA_XAUUSD!$J$2:$J$1000,ALGLIB_SSA_XAUUSD!$L$2:$L$1000,"",0)</f>
        <v>M5</v>
      </c>
      <c r="K790">
        <f>_xlfn.XLOOKUP($A790,ALGLIB_SSA_XAUUSD!$J$2:$J$1000,ALGLIB_SSA_XAUUSD!$M$2:$M$1000,"",0)</f>
        <v>4809.03</v>
      </c>
      <c r="L790">
        <f>_xlfn.XLOOKUP($A790,ALGLIB_SSA_XAUUSD!$J$2:$J$1000,ALGLIB_SSA_XAUUSD!$N$2:$N$1000,"",0)</f>
        <v>4813.3757400000004</v>
      </c>
      <c r="M790">
        <f>_xlfn.XLOOKUP($A790,ALGLIB_SSA_XAUUSD!$J$2:$J$1000,ALGLIB_SSA_XAUUSD!$O$2:$O$1000,"",0)</f>
        <v>4812.9265699999996</v>
      </c>
      <c r="N790">
        <f>_xlfn.XLOOKUP($A790,ALGLIB_SSA_XAUUSD!$J$2:$J$1000,ALGLIB_SSA_XAUUSD!$P$2:$P$1000,"",0)</f>
        <v>4816.33914</v>
      </c>
      <c r="O790">
        <f>_xlfn.XLOOKUP($A790,ALGLIB_SSA_XAUUSD!$J$2:$J$1000,ALGLIB_SSA_XAUUSD!$Q$2:$Q$1000,"",0)</f>
        <v>4809.2457400000003</v>
      </c>
      <c r="R790">
        <f t="shared" si="132"/>
        <v>1775634000</v>
      </c>
      <c r="S790" t="str">
        <f t="shared" si="133"/>
        <v>XAUUSD</v>
      </c>
      <c r="T790" t="str">
        <f t="shared" si="134"/>
        <v>M5</v>
      </c>
      <c r="U790">
        <f t="shared" si="135"/>
        <v>4809.03</v>
      </c>
      <c r="V790">
        <v>4797.6054899999999</v>
      </c>
      <c r="W790">
        <v>4802.4090800000004</v>
      </c>
      <c r="X790">
        <v>4813.3757400000004</v>
      </c>
      <c r="Y790">
        <v>4812.9265699999996</v>
      </c>
      <c r="Z790">
        <f t="shared" si="136"/>
        <v>4812.0236066666666</v>
      </c>
      <c r="AA790">
        <f t="shared" si="137"/>
        <v>4816.33914</v>
      </c>
      <c r="AB790">
        <f t="shared" si="138"/>
        <v>4790.523603333334</v>
      </c>
      <c r="AC790">
        <f t="shared" si="139"/>
        <v>4809.2457400000003</v>
      </c>
      <c r="AF790">
        <f t="shared" si="140"/>
        <v>4813.3757400000004</v>
      </c>
      <c r="AG790">
        <f t="shared" si="141"/>
        <v>4812.0236066666666</v>
      </c>
      <c r="AH790">
        <f t="shared" si="142"/>
        <v>4790.523603333334</v>
      </c>
    </row>
    <row r="791" spans="1:34" x14ac:dyDescent="0.55000000000000004">
      <c r="A791">
        <f>ALGLIB_SSA_XAUUSD!J791</f>
        <v>1775634300</v>
      </c>
      <c r="B791" t="str">
        <f>_xlfn.XLOOKUP($A791,ALGLIB_SSA_XAUUSD!$A$2:$A$1000,ALGLIB_SSA_XAUUSD!$B$2:$B$1000,"",0)</f>
        <v/>
      </c>
      <c r="C791" t="str">
        <f>_xlfn.XLOOKUP($A791,ALGLIB_SSA_XAUUSD!$A$2:$A$1000,ALGLIB_SSA_XAUUSD!$C$2:$C$1000,"",0)</f>
        <v/>
      </c>
      <c r="D791" s="1">
        <f>D782+(D794-D782)*9/12</f>
        <v>4799.0549999999994</v>
      </c>
      <c r="E791" s="1">
        <f>E782+(E794-E782)*9/12</f>
        <v>4797.2386175000001</v>
      </c>
      <c r="F791" s="1">
        <f>F782+(F794-F782)*9/12</f>
        <v>4802.0171375</v>
      </c>
      <c r="G791" s="1">
        <f>G782+(G794-G782)*9/12</f>
        <v>4811.7702074999997</v>
      </c>
      <c r="H791" s="1">
        <f>H782+(H794-H782)*9/12</f>
        <v>4789.9882225000001</v>
      </c>
      <c r="I791" t="str">
        <f>_xlfn.XLOOKUP($A791,ALGLIB_SSA_XAUUSD!$J$2:$J$1000,ALGLIB_SSA_XAUUSD!$K$2:$K$1000,"",0)</f>
        <v>XAUUSD</v>
      </c>
      <c r="J791" t="str">
        <f>_xlfn.XLOOKUP($A791,ALGLIB_SSA_XAUUSD!$J$2:$J$1000,ALGLIB_SSA_XAUUSD!$L$2:$L$1000,"",0)</f>
        <v>M5</v>
      </c>
      <c r="K791">
        <f>_xlfn.XLOOKUP($A791,ALGLIB_SSA_XAUUSD!$J$2:$J$1000,ALGLIB_SSA_XAUUSD!$M$2:$M$1000,"",0)</f>
        <v>4814.67</v>
      </c>
      <c r="L791">
        <f>_xlfn.XLOOKUP($A791,ALGLIB_SSA_XAUUSD!$J$2:$J$1000,ALGLIB_SSA_XAUUSD!$N$2:$N$1000,"",0)</f>
        <v>4814.4063900000001</v>
      </c>
      <c r="M791">
        <f>_xlfn.XLOOKUP($A791,ALGLIB_SSA_XAUUSD!$J$2:$J$1000,ALGLIB_SSA_XAUUSD!$O$2:$O$1000,"",0)</f>
        <v>4813.6664799999999</v>
      </c>
      <c r="N791">
        <f>_xlfn.XLOOKUP($A791,ALGLIB_SSA_XAUUSD!$J$2:$J$1000,ALGLIB_SSA_XAUUSD!$P$2:$P$1000,"",0)</f>
        <v>4817.1468400000003</v>
      </c>
      <c r="O791">
        <f>_xlfn.XLOOKUP($A791,ALGLIB_SSA_XAUUSD!$J$2:$J$1000,ALGLIB_SSA_XAUUSD!$Q$2:$Q$1000,"",0)</f>
        <v>4810.2316199999996</v>
      </c>
      <c r="R791">
        <f t="shared" si="132"/>
        <v>1775634300</v>
      </c>
      <c r="S791" t="str">
        <f t="shared" si="133"/>
        <v>XAUUSD</v>
      </c>
      <c r="T791" t="str">
        <f t="shared" si="134"/>
        <v>M5</v>
      </c>
      <c r="U791">
        <f t="shared" si="135"/>
        <v>4814.67</v>
      </c>
      <c r="V791">
        <v>4797.2386200000001</v>
      </c>
      <c r="W791">
        <v>4802.0171399999999</v>
      </c>
      <c r="X791">
        <v>4814.4063900000001</v>
      </c>
      <c r="Y791">
        <v>4813.6664799999999</v>
      </c>
      <c r="Z791">
        <f t="shared" si="136"/>
        <v>4811.7702074999997</v>
      </c>
      <c r="AA791">
        <f t="shared" si="137"/>
        <v>4817.1468400000003</v>
      </c>
      <c r="AB791">
        <f t="shared" si="138"/>
        <v>4789.9882225000001</v>
      </c>
      <c r="AC791">
        <f t="shared" si="139"/>
        <v>4810.2316199999996</v>
      </c>
      <c r="AF791">
        <f t="shared" si="140"/>
        <v>4814.4063900000001</v>
      </c>
      <c r="AG791">
        <f t="shared" si="141"/>
        <v>4811.7702074999997</v>
      </c>
      <c r="AH791">
        <f t="shared" si="142"/>
        <v>4789.9882225000001</v>
      </c>
    </row>
    <row r="792" spans="1:34" x14ac:dyDescent="0.55000000000000004">
      <c r="A792">
        <f>ALGLIB_SSA_XAUUSD!J792</f>
        <v>1775634600</v>
      </c>
      <c r="B792" t="str">
        <f>_xlfn.XLOOKUP($A792,ALGLIB_SSA_XAUUSD!$A$2:$A$1000,ALGLIB_SSA_XAUUSD!$B$2:$B$1000,"",0)</f>
        <v/>
      </c>
      <c r="C792" t="str">
        <f>_xlfn.XLOOKUP($A792,ALGLIB_SSA_XAUUSD!$A$2:$A$1000,ALGLIB_SSA_XAUUSD!$C$2:$C$1000,"",0)</f>
        <v/>
      </c>
      <c r="D792" s="1">
        <f>D782+(D794-D782)*10/12</f>
        <v>4797.4466666666667</v>
      </c>
      <c r="E792" s="1">
        <f>E782+(E794-E782)*10/12</f>
        <v>4796.8717450000004</v>
      </c>
      <c r="F792" s="1">
        <f>F782+(F794-F782)*10/12</f>
        <v>4801.6251949999996</v>
      </c>
      <c r="G792" s="1">
        <f>G782+(G794-G782)*10/12</f>
        <v>4811.5168083333338</v>
      </c>
      <c r="H792" s="1">
        <f>H782+(H794-H782)*10/12</f>
        <v>4789.4528416666672</v>
      </c>
      <c r="I792" t="str">
        <f>_xlfn.XLOOKUP($A792,ALGLIB_SSA_XAUUSD!$J$2:$J$1000,ALGLIB_SSA_XAUUSD!$K$2:$K$1000,"",0)</f>
        <v>XAUUSD</v>
      </c>
      <c r="J792" t="str">
        <f>_xlfn.XLOOKUP($A792,ALGLIB_SSA_XAUUSD!$J$2:$J$1000,ALGLIB_SSA_XAUUSD!$L$2:$L$1000,"",0)</f>
        <v>M5</v>
      </c>
      <c r="K792">
        <f>_xlfn.XLOOKUP($A792,ALGLIB_SSA_XAUUSD!$J$2:$J$1000,ALGLIB_SSA_XAUUSD!$M$2:$M$1000,"",0)</f>
        <v>4819.22</v>
      </c>
      <c r="L792">
        <f>_xlfn.XLOOKUP($A792,ALGLIB_SSA_XAUUSD!$J$2:$J$1000,ALGLIB_SSA_XAUUSD!$N$2:$N$1000,"",0)</f>
        <v>4815.4571999999998</v>
      </c>
      <c r="M792">
        <f>_xlfn.XLOOKUP($A792,ALGLIB_SSA_XAUUSD!$J$2:$J$1000,ALGLIB_SSA_XAUUSD!$O$2:$O$1000,"",0)</f>
        <v>4814.5618400000003</v>
      </c>
      <c r="N792">
        <f>_xlfn.XLOOKUP($A792,ALGLIB_SSA_XAUUSD!$J$2:$J$1000,ALGLIB_SSA_XAUUSD!$P$2:$P$1000,"",0)</f>
        <v>4817.9489400000002</v>
      </c>
      <c r="O792">
        <f>_xlfn.XLOOKUP($A792,ALGLIB_SSA_XAUUSD!$J$2:$J$1000,ALGLIB_SSA_XAUUSD!$Q$2:$Q$1000,"",0)</f>
        <v>4811.3359200000004</v>
      </c>
      <c r="R792">
        <f t="shared" si="132"/>
        <v>1775634600</v>
      </c>
      <c r="S792" t="str">
        <f t="shared" si="133"/>
        <v>XAUUSD</v>
      </c>
      <c r="T792" t="str">
        <f t="shared" si="134"/>
        <v>M5</v>
      </c>
      <c r="U792">
        <f t="shared" si="135"/>
        <v>4819.22</v>
      </c>
      <c r="V792">
        <v>4796.8717500000002</v>
      </c>
      <c r="W792">
        <v>4801.6251899999997</v>
      </c>
      <c r="X792">
        <v>4815.4571999999998</v>
      </c>
      <c r="Y792">
        <v>4814.5618400000003</v>
      </c>
      <c r="Z792">
        <f t="shared" si="136"/>
        <v>4811.5168083333338</v>
      </c>
      <c r="AA792">
        <f t="shared" si="137"/>
        <v>4817.9489400000002</v>
      </c>
      <c r="AB792">
        <f t="shared" si="138"/>
        <v>4789.4528416666672</v>
      </c>
      <c r="AC792">
        <f t="shared" si="139"/>
        <v>4811.3359200000004</v>
      </c>
      <c r="AF792">
        <f t="shared" si="140"/>
        <v>4815.4571999999998</v>
      </c>
      <c r="AG792">
        <f t="shared" si="141"/>
        <v>4811.5168083333338</v>
      </c>
      <c r="AH792">
        <f t="shared" si="142"/>
        <v>4789.4528416666672</v>
      </c>
    </row>
    <row r="793" spans="1:34" x14ac:dyDescent="0.55000000000000004">
      <c r="A793">
        <f>ALGLIB_SSA_XAUUSD!J793</f>
        <v>1775634900</v>
      </c>
      <c r="B793" t="str">
        <f>_xlfn.XLOOKUP($A793,ALGLIB_SSA_XAUUSD!$A$2:$A$1000,ALGLIB_SSA_XAUUSD!$B$2:$B$1000,"",0)</f>
        <v/>
      </c>
      <c r="C793" t="str">
        <f>_xlfn.XLOOKUP($A793,ALGLIB_SSA_XAUUSD!$A$2:$A$1000,ALGLIB_SSA_XAUUSD!$C$2:$C$1000,"",0)</f>
        <v/>
      </c>
      <c r="D793" s="1">
        <f>D782+(D794-D782)*11/12</f>
        <v>4795.8383333333331</v>
      </c>
      <c r="E793" s="1">
        <f>E782+(E794-E782)*11/12</f>
        <v>4796.5048724999997</v>
      </c>
      <c r="F793" s="1">
        <f>F782+(F794-F782)*11/12</f>
        <v>4801.2332525000002</v>
      </c>
      <c r="G793" s="1">
        <f>G782+(G794-G782)*11/12</f>
        <v>4811.2634091666669</v>
      </c>
      <c r="H793" s="1">
        <f>H782+(H794-H782)*11/12</f>
        <v>4788.9174608333333</v>
      </c>
      <c r="I793" t="str">
        <f>_xlfn.XLOOKUP($A793,ALGLIB_SSA_XAUUSD!$J$2:$J$1000,ALGLIB_SSA_XAUUSD!$K$2:$K$1000,"",0)</f>
        <v>XAUUSD</v>
      </c>
      <c r="J793" t="str">
        <f>_xlfn.XLOOKUP($A793,ALGLIB_SSA_XAUUSD!$J$2:$J$1000,ALGLIB_SSA_XAUUSD!$L$2:$L$1000,"",0)</f>
        <v>M5</v>
      </c>
      <c r="K793">
        <f>_xlfn.XLOOKUP($A793,ALGLIB_SSA_XAUUSD!$J$2:$J$1000,ALGLIB_SSA_XAUUSD!$M$2:$M$1000,"",0)</f>
        <v>4813.53</v>
      </c>
      <c r="L793">
        <f>_xlfn.XLOOKUP($A793,ALGLIB_SSA_XAUUSD!$J$2:$J$1000,ALGLIB_SSA_XAUUSD!$N$2:$N$1000,"",0)</f>
        <v>4816.2579599999999</v>
      </c>
      <c r="M793">
        <f>_xlfn.XLOOKUP($A793,ALGLIB_SSA_XAUUSD!$J$2:$J$1000,ALGLIB_SSA_XAUUSD!$O$2:$O$1000,"",0)</f>
        <v>4815.4098999999997</v>
      </c>
      <c r="N793">
        <f>_xlfn.XLOOKUP($A793,ALGLIB_SSA_XAUUSD!$J$2:$J$1000,ALGLIB_SSA_XAUUSD!$P$2:$P$1000,"",0)</f>
        <v>4818.55447</v>
      </c>
      <c r="O793">
        <f>_xlfn.XLOOKUP($A793,ALGLIB_SSA_XAUUSD!$J$2:$J$1000,ALGLIB_SSA_XAUUSD!$Q$2:$Q$1000,"",0)</f>
        <v>4812.2618000000002</v>
      </c>
      <c r="R793">
        <f t="shared" si="132"/>
        <v>1775634900</v>
      </c>
      <c r="S793" t="str">
        <f t="shared" si="133"/>
        <v>XAUUSD</v>
      </c>
      <c r="T793" t="str">
        <f t="shared" si="134"/>
        <v>M5</v>
      </c>
      <c r="U793">
        <f t="shared" si="135"/>
        <v>4813.53</v>
      </c>
      <c r="V793">
        <v>4796.5048699999998</v>
      </c>
      <c r="W793">
        <v>4801.2332500000002</v>
      </c>
      <c r="X793">
        <v>4816.2579599999999</v>
      </c>
      <c r="Y793">
        <v>4815.4098999999997</v>
      </c>
      <c r="Z793">
        <f t="shared" si="136"/>
        <v>4811.2634091666669</v>
      </c>
      <c r="AA793">
        <f t="shared" si="137"/>
        <v>4818.55447</v>
      </c>
      <c r="AB793">
        <f t="shared" si="138"/>
        <v>4788.9174608333333</v>
      </c>
      <c r="AC793">
        <f t="shared" si="139"/>
        <v>4812.2618000000002</v>
      </c>
      <c r="AF793">
        <f t="shared" si="140"/>
        <v>4816.2579599999999</v>
      </c>
      <c r="AG793">
        <f t="shared" si="141"/>
        <v>4811.2634091666669</v>
      </c>
      <c r="AH793">
        <f t="shared" si="142"/>
        <v>4788.9174608333333</v>
      </c>
    </row>
    <row r="794" spans="1:34" x14ac:dyDescent="0.55000000000000004">
      <c r="A794">
        <f>ALGLIB_SSA_XAUUSD!J794</f>
        <v>1775635200</v>
      </c>
      <c r="B794" t="str">
        <f>_xlfn.XLOOKUP($A794,ALGLIB_SSA_XAUUSD!$A$2:$A$1000,ALGLIB_SSA_XAUUSD!$B$2:$B$1000,"",0)</f>
        <v>XAUUSD</v>
      </c>
      <c r="C794" t="str">
        <f>_xlfn.XLOOKUP($A794,ALGLIB_SSA_XAUUSD!$A$2:$A$1000,ALGLIB_SSA_XAUUSD!$C$2:$C$1000,"",0)</f>
        <v>H1</v>
      </c>
      <c r="D794" s="2">
        <f>_xlfn.XLOOKUP($A794,ALGLIB_SSA_XAUUSD!$A$2:$A$1000,ALGLIB_SSA_XAUUSD!$D$2:$D$1000,"",0)</f>
        <v>4794.2299999999996</v>
      </c>
      <c r="E794" s="2">
        <f>_xlfn.XLOOKUP($A794,ALGLIB_SSA_XAUUSD!$A$2:$A$1000,ALGLIB_SSA_XAUUSD!$E$2:$E$1000,"",0)</f>
        <v>4796.1379999999999</v>
      </c>
      <c r="F794" s="2">
        <f>_xlfn.XLOOKUP($A794,ALGLIB_SSA_XAUUSD!$A$2:$A$1000,ALGLIB_SSA_XAUUSD!$F$2:$F$1000,"",0)</f>
        <v>4800.8413099999998</v>
      </c>
      <c r="G794" s="2">
        <f>_xlfn.XLOOKUP($A794,ALGLIB_SSA_XAUUSD!$A$2:$A$1000,ALGLIB_SSA_XAUUSD!$G$2:$G$1000,"",0)</f>
        <v>4811.01001</v>
      </c>
      <c r="H794" s="2">
        <f>_xlfn.XLOOKUP($A794,ALGLIB_SSA_XAUUSD!$A$2:$A$1000,ALGLIB_SSA_XAUUSD!$H$2:$H$1000,"",0)</f>
        <v>4788.3820800000003</v>
      </c>
      <c r="I794" t="str">
        <f>_xlfn.XLOOKUP($A794,ALGLIB_SSA_XAUUSD!$J$2:$J$1000,ALGLIB_SSA_XAUUSD!$K$2:$K$1000,"",0)</f>
        <v>XAUUSD</v>
      </c>
      <c r="J794" t="str">
        <f>_xlfn.XLOOKUP($A794,ALGLIB_SSA_XAUUSD!$J$2:$J$1000,ALGLIB_SSA_XAUUSD!$L$2:$L$1000,"",0)</f>
        <v>M5</v>
      </c>
      <c r="K794">
        <f>_xlfn.XLOOKUP($A794,ALGLIB_SSA_XAUUSD!$J$2:$J$1000,ALGLIB_SSA_XAUUSD!$M$2:$M$1000,"",0)</f>
        <v>4816.4799999999996</v>
      </c>
      <c r="L794">
        <f>_xlfn.XLOOKUP($A794,ALGLIB_SSA_XAUUSD!$J$2:$J$1000,ALGLIB_SSA_XAUUSD!$N$2:$N$1000,"",0)</f>
        <v>4816.7461700000003</v>
      </c>
      <c r="M794">
        <f>_xlfn.XLOOKUP($A794,ALGLIB_SSA_XAUUSD!$J$2:$J$1000,ALGLIB_SSA_XAUUSD!$O$2:$O$1000,"",0)</f>
        <v>4816.0780400000003</v>
      </c>
      <c r="N794">
        <f>_xlfn.XLOOKUP($A794,ALGLIB_SSA_XAUUSD!$J$2:$J$1000,ALGLIB_SSA_XAUUSD!$P$2:$P$1000,"",0)</f>
        <v>4818.8726999999999</v>
      </c>
      <c r="O794">
        <f>_xlfn.XLOOKUP($A794,ALGLIB_SSA_XAUUSD!$J$2:$J$1000,ALGLIB_SSA_XAUUSD!$Q$2:$Q$1000,"",0)</f>
        <v>4812.8053900000004</v>
      </c>
      <c r="R794">
        <f t="shared" si="132"/>
        <v>1775635200</v>
      </c>
      <c r="S794" t="str">
        <f t="shared" si="133"/>
        <v>XAUUSD</v>
      </c>
      <c r="T794" t="str">
        <f t="shared" si="134"/>
        <v>M5</v>
      </c>
      <c r="U794">
        <f t="shared" si="135"/>
        <v>4816.4799999999996</v>
      </c>
      <c r="V794">
        <v>4796.1379999999999</v>
      </c>
      <c r="W794">
        <v>4800.8413099999998</v>
      </c>
      <c r="X794">
        <v>4816.7461700000003</v>
      </c>
      <c r="Y794">
        <v>4816.0780400000003</v>
      </c>
      <c r="Z794">
        <f t="shared" si="136"/>
        <v>4811.01001</v>
      </c>
      <c r="AA794">
        <f t="shared" si="137"/>
        <v>4818.8726999999999</v>
      </c>
      <c r="AB794">
        <f t="shared" si="138"/>
        <v>4788.3820800000003</v>
      </c>
      <c r="AC794">
        <f t="shared" si="139"/>
        <v>4812.8053900000004</v>
      </c>
      <c r="AF794">
        <f t="shared" si="140"/>
        <v>4816.7461700000003</v>
      </c>
      <c r="AG794">
        <f t="shared" si="141"/>
        <v>4811.01001</v>
      </c>
      <c r="AH794">
        <f t="shared" si="142"/>
        <v>4788.3820800000003</v>
      </c>
    </row>
    <row r="795" spans="1:34" x14ac:dyDescent="0.55000000000000004">
      <c r="A795">
        <f>ALGLIB_SSA_XAUUSD!J795</f>
        <v>1775635500</v>
      </c>
      <c r="B795" t="str">
        <f>_xlfn.XLOOKUP($A795,ALGLIB_SSA_XAUUSD!$A$2:$A$1000,ALGLIB_SSA_XAUUSD!$B$2:$B$1000,"",0)</f>
        <v/>
      </c>
      <c r="C795" t="str">
        <f>_xlfn.XLOOKUP($A795,ALGLIB_SSA_XAUUSD!$A$2:$A$1000,ALGLIB_SSA_XAUUSD!$C$2:$C$1000,"",0)</f>
        <v/>
      </c>
      <c r="D795" s="1">
        <f>D794+(D806-D794)*1/12</f>
        <v>4793.2991666666667</v>
      </c>
      <c r="E795" s="1">
        <f>E794+(E806-E794)*1/12</f>
        <v>4795.8844200000003</v>
      </c>
      <c r="F795" s="1">
        <f>F794+(F806-F794)*1/12</f>
        <v>4800.5185483333335</v>
      </c>
      <c r="G795" s="1">
        <f>G794+(G806-G794)*1/12</f>
        <v>4810.8809708333338</v>
      </c>
      <c r="H795" s="1">
        <f>H794+(H806-H794)*1/12</f>
        <v>4787.8825575000001</v>
      </c>
      <c r="I795" t="str">
        <f>_xlfn.XLOOKUP($A795,ALGLIB_SSA_XAUUSD!$J$2:$J$1000,ALGLIB_SSA_XAUUSD!$K$2:$K$1000,"",0)</f>
        <v>XAUUSD</v>
      </c>
      <c r="J795" t="str">
        <f>_xlfn.XLOOKUP($A795,ALGLIB_SSA_XAUUSD!$J$2:$J$1000,ALGLIB_SSA_XAUUSD!$L$2:$L$1000,"",0)</f>
        <v>M5</v>
      </c>
      <c r="K795">
        <f>_xlfn.XLOOKUP($A795,ALGLIB_SSA_XAUUSD!$J$2:$J$1000,ALGLIB_SSA_XAUUSD!$M$2:$M$1000,"",0)</f>
        <v>4816.2700000000004</v>
      </c>
      <c r="L795">
        <f>_xlfn.XLOOKUP($A795,ALGLIB_SSA_XAUUSD!$J$2:$J$1000,ALGLIB_SSA_XAUUSD!$N$2:$N$1000,"",0)</f>
        <v>4816.6120899999996</v>
      </c>
      <c r="M795">
        <f>_xlfn.XLOOKUP($A795,ALGLIB_SSA_XAUUSD!$J$2:$J$1000,ALGLIB_SSA_XAUUSD!$O$2:$O$1000,"",0)</f>
        <v>4816.3450599999996</v>
      </c>
      <c r="N795">
        <f>_xlfn.XLOOKUP($A795,ALGLIB_SSA_XAUUSD!$J$2:$J$1000,ALGLIB_SSA_XAUUSD!$P$2:$P$1000,"",0)</f>
        <v>4818.8919400000004</v>
      </c>
      <c r="O795">
        <f>_xlfn.XLOOKUP($A795,ALGLIB_SSA_XAUUSD!$J$2:$J$1000,ALGLIB_SSA_XAUUSD!$Q$2:$Q$1000,"",0)</f>
        <v>4812.8499899999997</v>
      </c>
      <c r="R795">
        <f t="shared" si="132"/>
        <v>1775635500</v>
      </c>
      <c r="S795" t="str">
        <f t="shared" si="133"/>
        <v>XAUUSD</v>
      </c>
      <c r="T795" t="str">
        <f t="shared" si="134"/>
        <v>M5</v>
      </c>
      <c r="U795">
        <f t="shared" si="135"/>
        <v>4816.2700000000004</v>
      </c>
      <c r="V795">
        <v>4795.8844200000003</v>
      </c>
      <c r="W795">
        <v>4800.5185499999998</v>
      </c>
      <c r="X795">
        <v>4816.6120899999996</v>
      </c>
      <c r="Y795">
        <v>4816.3450599999996</v>
      </c>
      <c r="Z795">
        <f t="shared" si="136"/>
        <v>4810.8809708333338</v>
      </c>
      <c r="AA795">
        <f t="shared" si="137"/>
        <v>4818.8919400000004</v>
      </c>
      <c r="AB795">
        <f t="shared" si="138"/>
        <v>4787.8825575000001</v>
      </c>
      <c r="AC795">
        <f t="shared" si="139"/>
        <v>4812.8499899999997</v>
      </c>
      <c r="AF795">
        <f t="shared" si="140"/>
        <v>4816.6120899999996</v>
      </c>
      <c r="AG795">
        <f t="shared" si="141"/>
        <v>4810.8809708333338</v>
      </c>
      <c r="AH795">
        <f t="shared" si="142"/>
        <v>4787.8825575000001</v>
      </c>
    </row>
    <row r="796" spans="1:34" x14ac:dyDescent="0.55000000000000004">
      <c r="A796">
        <f>ALGLIB_SSA_XAUUSD!J796</f>
        <v>1775635800</v>
      </c>
      <c r="B796" t="str">
        <f>_xlfn.XLOOKUP($A796,ALGLIB_SSA_XAUUSD!$A$2:$A$1000,ALGLIB_SSA_XAUUSD!$B$2:$B$1000,"",0)</f>
        <v/>
      </c>
      <c r="C796" t="str">
        <f>_xlfn.XLOOKUP($A796,ALGLIB_SSA_XAUUSD!$A$2:$A$1000,ALGLIB_SSA_XAUUSD!$C$2:$C$1000,"",0)</f>
        <v/>
      </c>
      <c r="D796" s="1">
        <f>D794+(D806-D794)*2/12</f>
        <v>4792.3683333333329</v>
      </c>
      <c r="E796" s="1">
        <f>E794+(E806-E794)*2/12</f>
        <v>4795.6308399999998</v>
      </c>
      <c r="F796" s="1">
        <f>F794+(F806-F794)*2/12</f>
        <v>4800.1957866666662</v>
      </c>
      <c r="G796" s="1">
        <f>G794+(G806-G794)*2/12</f>
        <v>4810.7519316666667</v>
      </c>
      <c r="H796" s="1">
        <f>H794+(H806-H794)*2/12</f>
        <v>4787.3830350000007</v>
      </c>
      <c r="I796" t="str">
        <f>_xlfn.XLOOKUP($A796,ALGLIB_SSA_XAUUSD!$J$2:$J$1000,ALGLIB_SSA_XAUUSD!$K$2:$K$1000,"",0)</f>
        <v>XAUUSD</v>
      </c>
      <c r="J796" t="str">
        <f>_xlfn.XLOOKUP($A796,ALGLIB_SSA_XAUUSD!$J$2:$J$1000,ALGLIB_SSA_XAUUSD!$L$2:$L$1000,"",0)</f>
        <v>M5</v>
      </c>
      <c r="K796">
        <f>_xlfn.XLOOKUP($A796,ALGLIB_SSA_XAUUSD!$J$2:$J$1000,ALGLIB_SSA_XAUUSD!$M$2:$M$1000,"",0)</f>
        <v>4815.16</v>
      </c>
      <c r="L796">
        <f>_xlfn.XLOOKUP($A796,ALGLIB_SSA_XAUUSD!$J$2:$J$1000,ALGLIB_SSA_XAUUSD!$N$2:$N$1000,"",0)</f>
        <v>4815.6529899999996</v>
      </c>
      <c r="M796">
        <f>_xlfn.XLOOKUP($A796,ALGLIB_SSA_XAUUSD!$J$2:$J$1000,ALGLIB_SSA_XAUUSD!$O$2:$O$1000,"",0)</f>
        <v>4815.9990299999999</v>
      </c>
      <c r="N796">
        <f>_xlfn.XLOOKUP($A796,ALGLIB_SSA_XAUUSD!$J$2:$J$1000,ALGLIB_SSA_XAUUSD!$P$2:$P$1000,"",0)</f>
        <v>4818.40427</v>
      </c>
      <c r="O796">
        <f>_xlfn.XLOOKUP($A796,ALGLIB_SSA_XAUUSD!$J$2:$J$1000,ALGLIB_SSA_XAUUSD!$Q$2:$Q$1000,"",0)</f>
        <v>4812.0099600000003</v>
      </c>
      <c r="R796">
        <f t="shared" si="132"/>
        <v>1775635800</v>
      </c>
      <c r="S796" t="str">
        <f t="shared" si="133"/>
        <v>XAUUSD</v>
      </c>
      <c r="T796" t="str">
        <f t="shared" si="134"/>
        <v>M5</v>
      </c>
      <c r="U796">
        <f t="shared" si="135"/>
        <v>4815.16</v>
      </c>
      <c r="V796">
        <v>4795.6308399999998</v>
      </c>
      <c r="W796">
        <v>4800.1957899999998</v>
      </c>
      <c r="X796">
        <v>4815.6529899999996</v>
      </c>
      <c r="Y796">
        <v>4815.9990299999999</v>
      </c>
      <c r="Z796">
        <f t="shared" si="136"/>
        <v>4810.7519316666667</v>
      </c>
      <c r="AA796">
        <f t="shared" si="137"/>
        <v>4818.40427</v>
      </c>
      <c r="AB796">
        <f t="shared" si="138"/>
        <v>4787.3830350000007</v>
      </c>
      <c r="AC796">
        <f t="shared" si="139"/>
        <v>4812.0099600000003</v>
      </c>
      <c r="AF796">
        <f t="shared" si="140"/>
        <v>4815.6529899999996</v>
      </c>
      <c r="AG796">
        <f t="shared" si="141"/>
        <v>4810.7519316666667</v>
      </c>
      <c r="AH796">
        <f t="shared" si="142"/>
        <v>4787.3830350000007</v>
      </c>
    </row>
    <row r="797" spans="1:34" x14ac:dyDescent="0.55000000000000004">
      <c r="A797">
        <f>ALGLIB_SSA_XAUUSD!J797</f>
        <v>1775636100</v>
      </c>
      <c r="B797" t="str">
        <f>_xlfn.XLOOKUP($A797,ALGLIB_SSA_XAUUSD!$A$2:$A$1000,ALGLIB_SSA_XAUUSD!$B$2:$B$1000,"",0)</f>
        <v/>
      </c>
      <c r="C797" t="str">
        <f>_xlfn.XLOOKUP($A797,ALGLIB_SSA_XAUUSD!$A$2:$A$1000,ALGLIB_SSA_XAUUSD!$C$2:$C$1000,"",0)</f>
        <v/>
      </c>
      <c r="D797" s="1">
        <f>D794+(D806-D794)*3/12</f>
        <v>4791.4375</v>
      </c>
      <c r="E797" s="1">
        <f>E794+(E806-E794)*3/12</f>
        <v>4795.3772600000002</v>
      </c>
      <c r="F797" s="1">
        <f>F794+(F806-F794)*3/12</f>
        <v>4799.8730249999999</v>
      </c>
      <c r="G797" s="1">
        <f>G794+(G806-G794)*3/12</f>
        <v>4810.6228924999996</v>
      </c>
      <c r="H797" s="1">
        <f>H794+(H806-H794)*3/12</f>
        <v>4786.8835125000005</v>
      </c>
      <c r="I797" t="str">
        <f>_xlfn.XLOOKUP($A797,ALGLIB_SSA_XAUUSD!$J$2:$J$1000,ALGLIB_SSA_XAUUSD!$K$2:$K$1000,"",0)</f>
        <v>XAUUSD</v>
      </c>
      <c r="J797" t="str">
        <f>_xlfn.XLOOKUP($A797,ALGLIB_SSA_XAUUSD!$J$2:$J$1000,ALGLIB_SSA_XAUUSD!$L$2:$L$1000,"",0)</f>
        <v>M5</v>
      </c>
      <c r="K797">
        <f>_xlfn.XLOOKUP($A797,ALGLIB_SSA_XAUUSD!$J$2:$J$1000,ALGLIB_SSA_XAUUSD!$M$2:$M$1000,"",0)</f>
        <v>4818.87</v>
      </c>
      <c r="L797">
        <f>_xlfn.XLOOKUP($A797,ALGLIB_SSA_XAUUSD!$J$2:$J$1000,ALGLIB_SSA_XAUUSD!$N$2:$N$1000,"",0)</f>
        <v>4813.7653700000001</v>
      </c>
      <c r="M797">
        <f>_xlfn.XLOOKUP($A797,ALGLIB_SSA_XAUUSD!$J$2:$J$1000,ALGLIB_SSA_XAUUSD!$O$2:$O$1000,"",0)</f>
        <v>4814.8822</v>
      </c>
      <c r="N797">
        <f>_xlfn.XLOOKUP($A797,ALGLIB_SSA_XAUUSD!$J$2:$J$1000,ALGLIB_SSA_XAUUSD!$P$2:$P$1000,"",0)</f>
        <v>4817.3315400000001</v>
      </c>
      <c r="O797">
        <f>_xlfn.XLOOKUP($A797,ALGLIB_SSA_XAUUSD!$J$2:$J$1000,ALGLIB_SSA_XAUUSD!$Q$2:$Q$1000,"",0)</f>
        <v>4810.2379300000002</v>
      </c>
      <c r="R797">
        <f t="shared" si="132"/>
        <v>1775636100</v>
      </c>
      <c r="S797" t="str">
        <f t="shared" si="133"/>
        <v>XAUUSD</v>
      </c>
      <c r="T797" t="str">
        <f t="shared" si="134"/>
        <v>M5</v>
      </c>
      <c r="U797">
        <f t="shared" si="135"/>
        <v>4818.87</v>
      </c>
      <c r="V797">
        <v>4795.3772600000002</v>
      </c>
      <c r="W797">
        <v>4799.8730299999997</v>
      </c>
      <c r="X797">
        <v>4813.7653700000001</v>
      </c>
      <c r="Y797">
        <v>4814.8822</v>
      </c>
      <c r="Z797">
        <f t="shared" si="136"/>
        <v>4810.6228924999996</v>
      </c>
      <c r="AA797">
        <f t="shared" si="137"/>
        <v>4817.3315400000001</v>
      </c>
      <c r="AB797">
        <f t="shared" si="138"/>
        <v>4786.8835125000005</v>
      </c>
      <c r="AC797">
        <f t="shared" si="139"/>
        <v>4810.2379300000002</v>
      </c>
      <c r="AF797">
        <f t="shared" si="140"/>
        <v>4813.7653700000001</v>
      </c>
      <c r="AG797">
        <f t="shared" si="141"/>
        <v>4810.6228924999996</v>
      </c>
      <c r="AH797">
        <f t="shared" si="142"/>
        <v>4786.8835125000005</v>
      </c>
    </row>
    <row r="798" spans="1:34" x14ac:dyDescent="0.55000000000000004">
      <c r="A798">
        <f>ALGLIB_SSA_XAUUSD!J798</f>
        <v>1775636400</v>
      </c>
      <c r="B798" t="str">
        <f>_xlfn.XLOOKUP($A798,ALGLIB_SSA_XAUUSD!$A$2:$A$1000,ALGLIB_SSA_XAUUSD!$B$2:$B$1000,"",0)</f>
        <v/>
      </c>
      <c r="C798" t="str">
        <f>_xlfn.XLOOKUP($A798,ALGLIB_SSA_XAUUSD!$A$2:$A$1000,ALGLIB_SSA_XAUUSD!$C$2:$C$1000,"",0)</f>
        <v/>
      </c>
      <c r="D798" s="1">
        <f>D794+(D806-D794)*4/12</f>
        <v>4790.5066666666662</v>
      </c>
      <c r="E798" s="1">
        <f>E794+(E806-E794)*4/12</f>
        <v>4795.1236799999997</v>
      </c>
      <c r="F798" s="1">
        <f>F794+(F806-F794)*4/12</f>
        <v>4799.5502633333335</v>
      </c>
      <c r="G798" s="1">
        <f>G794+(G806-G794)*4/12</f>
        <v>4810.4938533333334</v>
      </c>
      <c r="H798" s="1">
        <f>H794+(H806-H794)*4/12</f>
        <v>4786.3839900000003</v>
      </c>
      <c r="I798" t="str">
        <f>_xlfn.XLOOKUP($A798,ALGLIB_SSA_XAUUSD!$J$2:$J$1000,ALGLIB_SSA_XAUUSD!$K$2:$K$1000,"",0)</f>
        <v>XAUUSD</v>
      </c>
      <c r="J798" t="str">
        <f>_xlfn.XLOOKUP($A798,ALGLIB_SSA_XAUUSD!$J$2:$J$1000,ALGLIB_SSA_XAUUSD!$L$2:$L$1000,"",0)</f>
        <v>M5</v>
      </c>
      <c r="K798">
        <f>_xlfn.XLOOKUP($A798,ALGLIB_SSA_XAUUSD!$J$2:$J$1000,ALGLIB_SSA_XAUUSD!$M$2:$M$1000,"",0)</f>
        <v>4808.25</v>
      </c>
      <c r="L798">
        <f>_xlfn.XLOOKUP($A798,ALGLIB_SSA_XAUUSD!$J$2:$J$1000,ALGLIB_SSA_XAUUSD!$N$2:$N$1000,"",0)</f>
        <v>4810.86276</v>
      </c>
      <c r="M798">
        <f>_xlfn.XLOOKUP($A798,ALGLIB_SSA_XAUUSD!$J$2:$J$1000,ALGLIB_SSA_XAUUSD!$O$2:$O$1000,"",0)</f>
        <v>4812.87248</v>
      </c>
      <c r="N798">
        <f>_xlfn.XLOOKUP($A798,ALGLIB_SSA_XAUUSD!$J$2:$J$1000,ALGLIB_SSA_XAUUSD!$P$2:$P$1000,"",0)</f>
        <v>4815.4921899999999</v>
      </c>
      <c r="O798">
        <f>_xlfn.XLOOKUP($A798,ALGLIB_SSA_XAUUSD!$J$2:$J$1000,ALGLIB_SSA_XAUUSD!$Q$2:$Q$1000,"",0)</f>
        <v>4807.4751800000004</v>
      </c>
      <c r="R798">
        <f t="shared" si="132"/>
        <v>1775636400</v>
      </c>
      <c r="S798" t="str">
        <f t="shared" si="133"/>
        <v>XAUUSD</v>
      </c>
      <c r="T798" t="str">
        <f t="shared" si="134"/>
        <v>M5</v>
      </c>
      <c r="U798">
        <f t="shared" si="135"/>
        <v>4808.25</v>
      </c>
      <c r="V798">
        <v>4795.1236799999997</v>
      </c>
      <c r="W798">
        <v>4799.55026</v>
      </c>
      <c r="X798">
        <v>4810.86276</v>
      </c>
      <c r="Y798">
        <v>4812.87248</v>
      </c>
      <c r="Z798">
        <f t="shared" si="136"/>
        <v>4810.4938533333334</v>
      </c>
      <c r="AA798">
        <f t="shared" si="137"/>
        <v>4815.4921899999999</v>
      </c>
      <c r="AB798">
        <f t="shared" si="138"/>
        <v>4786.3839900000003</v>
      </c>
      <c r="AC798">
        <f t="shared" si="139"/>
        <v>4807.4751800000004</v>
      </c>
      <c r="AF798">
        <f t="shared" si="140"/>
        <v>4810.86276</v>
      </c>
      <c r="AG798">
        <f t="shared" si="141"/>
        <v>4810.4938533333334</v>
      </c>
      <c r="AH798">
        <f t="shared" si="142"/>
        <v>4786.3839900000003</v>
      </c>
    </row>
    <row r="799" spans="1:34" x14ac:dyDescent="0.55000000000000004">
      <c r="A799">
        <f>ALGLIB_SSA_XAUUSD!J799</f>
        <v>1775636700</v>
      </c>
      <c r="B799" t="str">
        <f>_xlfn.XLOOKUP($A799,ALGLIB_SSA_XAUUSD!$A$2:$A$1000,ALGLIB_SSA_XAUUSD!$B$2:$B$1000,"",0)</f>
        <v/>
      </c>
      <c r="C799" t="str">
        <f>_xlfn.XLOOKUP($A799,ALGLIB_SSA_XAUUSD!$A$2:$A$1000,ALGLIB_SSA_XAUUSD!$C$2:$C$1000,"",0)</f>
        <v/>
      </c>
      <c r="D799" s="1">
        <f>D794+(D806-D794)*5/12</f>
        <v>4789.5758333333333</v>
      </c>
      <c r="E799" s="1">
        <f>E794+(E806-E794)*5/12</f>
        <v>4794.8701000000001</v>
      </c>
      <c r="F799" s="1">
        <f>F794+(F806-F794)*5/12</f>
        <v>4799.2275016666663</v>
      </c>
      <c r="G799" s="1">
        <f>G794+(G806-G794)*5/12</f>
        <v>4810.3648141666672</v>
      </c>
      <c r="H799" s="1">
        <f>H794+(H806-H794)*5/12</f>
        <v>4785.8844675</v>
      </c>
      <c r="I799" t="str">
        <f>_xlfn.XLOOKUP($A799,ALGLIB_SSA_XAUUSD!$J$2:$J$1000,ALGLIB_SSA_XAUUSD!$K$2:$K$1000,"",0)</f>
        <v>XAUUSD</v>
      </c>
      <c r="J799" t="str">
        <f>_xlfn.XLOOKUP($A799,ALGLIB_SSA_XAUUSD!$J$2:$J$1000,ALGLIB_SSA_XAUUSD!$L$2:$L$1000,"",0)</f>
        <v>M5</v>
      </c>
      <c r="K799">
        <f>_xlfn.XLOOKUP($A799,ALGLIB_SSA_XAUUSD!$J$2:$J$1000,ALGLIB_SSA_XAUUSD!$M$2:$M$1000,"",0)</f>
        <v>4808.6000000000004</v>
      </c>
      <c r="L799">
        <f>_xlfn.XLOOKUP($A799,ALGLIB_SSA_XAUUSD!$J$2:$J$1000,ALGLIB_SSA_XAUUSD!$N$2:$N$1000,"",0)</f>
        <v>4807.4014900000002</v>
      </c>
      <c r="M799">
        <f>_xlfn.XLOOKUP($A799,ALGLIB_SSA_XAUUSD!$J$2:$J$1000,ALGLIB_SSA_XAUUSD!$O$2:$O$1000,"",0)</f>
        <v>4810.1369800000002</v>
      </c>
      <c r="N799">
        <f>_xlfn.XLOOKUP($A799,ALGLIB_SSA_XAUUSD!$J$2:$J$1000,ALGLIB_SSA_XAUUSD!$P$2:$P$1000,"",0)</f>
        <v>4812.8844399999998</v>
      </c>
      <c r="O799">
        <f>_xlfn.XLOOKUP($A799,ALGLIB_SSA_XAUUSD!$J$2:$J$1000,ALGLIB_SSA_XAUUSD!$Q$2:$Q$1000,"",0)</f>
        <v>4804.0904</v>
      </c>
      <c r="R799">
        <f t="shared" si="132"/>
        <v>1775636700</v>
      </c>
      <c r="S799" t="str">
        <f t="shared" si="133"/>
        <v>XAUUSD</v>
      </c>
      <c r="T799" t="str">
        <f t="shared" si="134"/>
        <v>M5</v>
      </c>
      <c r="U799">
        <f t="shared" si="135"/>
        <v>4808.6000000000004</v>
      </c>
      <c r="V799">
        <v>4794.8701000000001</v>
      </c>
      <c r="W799">
        <v>4799.2275</v>
      </c>
      <c r="X799">
        <v>4807.4014900000002</v>
      </c>
      <c r="Y799">
        <v>4810.1369800000002</v>
      </c>
      <c r="Z799">
        <f t="shared" si="136"/>
        <v>4810.3648141666672</v>
      </c>
      <c r="AA799">
        <f t="shared" si="137"/>
        <v>4812.8844399999998</v>
      </c>
      <c r="AB799">
        <f t="shared" si="138"/>
        <v>4785.8844675</v>
      </c>
      <c r="AC799">
        <f t="shared" si="139"/>
        <v>4804.0904</v>
      </c>
      <c r="AF799">
        <f t="shared" si="140"/>
        <v>4807.4014900000002</v>
      </c>
      <c r="AG799">
        <f t="shared" si="141"/>
        <v>4810.3648141666672</v>
      </c>
      <c r="AH799">
        <f t="shared" si="142"/>
        <v>4785.8844675</v>
      </c>
    </row>
    <row r="800" spans="1:34" x14ac:dyDescent="0.55000000000000004">
      <c r="A800">
        <f>ALGLIB_SSA_XAUUSD!J800</f>
        <v>1775637000</v>
      </c>
      <c r="B800" t="str">
        <f>_xlfn.XLOOKUP($A800,ALGLIB_SSA_XAUUSD!$A$2:$A$1000,ALGLIB_SSA_XAUUSD!$B$2:$B$1000,"",0)</f>
        <v/>
      </c>
      <c r="C800" t="str">
        <f>_xlfn.XLOOKUP($A800,ALGLIB_SSA_XAUUSD!$A$2:$A$1000,ALGLIB_SSA_XAUUSD!$C$2:$C$1000,"",0)</f>
        <v/>
      </c>
      <c r="D800" s="1">
        <f>D794+(D806-D794)*6/12</f>
        <v>4788.6450000000004</v>
      </c>
      <c r="E800" s="1">
        <f>E794+(E806-E794)*6/12</f>
        <v>4794.6165199999996</v>
      </c>
      <c r="F800" s="1">
        <f>F794+(F806-F794)*6/12</f>
        <v>4798.9047399999999</v>
      </c>
      <c r="G800" s="1">
        <f>G794+(G806-G794)*6/12</f>
        <v>4810.2357750000001</v>
      </c>
      <c r="H800" s="1">
        <f>H794+(H806-H794)*6/12</f>
        <v>4785.3849449999998</v>
      </c>
      <c r="I800" t="str">
        <f>_xlfn.XLOOKUP($A800,ALGLIB_SSA_XAUUSD!$J$2:$J$1000,ALGLIB_SSA_XAUUSD!$K$2:$K$1000,"",0)</f>
        <v>XAUUSD</v>
      </c>
      <c r="J800" t="str">
        <f>_xlfn.XLOOKUP($A800,ALGLIB_SSA_XAUUSD!$J$2:$J$1000,ALGLIB_SSA_XAUUSD!$L$2:$L$1000,"",0)</f>
        <v>M5</v>
      </c>
      <c r="K800">
        <f>_xlfn.XLOOKUP($A800,ALGLIB_SSA_XAUUSD!$J$2:$J$1000,ALGLIB_SSA_XAUUSD!$M$2:$M$1000,"",0)</f>
        <v>4802.7700000000004</v>
      </c>
      <c r="L800">
        <f>_xlfn.XLOOKUP($A800,ALGLIB_SSA_XAUUSD!$J$2:$J$1000,ALGLIB_SSA_XAUUSD!$N$2:$N$1000,"",0)</f>
        <v>4803.7107299999998</v>
      </c>
      <c r="M800">
        <f>_xlfn.XLOOKUP($A800,ALGLIB_SSA_XAUUSD!$J$2:$J$1000,ALGLIB_SSA_XAUUSD!$O$2:$O$1000,"",0)</f>
        <v>4806.9238599999999</v>
      </c>
      <c r="N800">
        <f>_xlfn.XLOOKUP($A800,ALGLIB_SSA_XAUUSD!$J$2:$J$1000,ALGLIB_SSA_XAUUSD!$P$2:$P$1000,"",0)</f>
        <v>4809.8995800000002</v>
      </c>
      <c r="O800">
        <f>_xlfn.XLOOKUP($A800,ALGLIB_SSA_XAUUSD!$J$2:$J$1000,ALGLIB_SSA_XAUUSD!$Q$2:$Q$1000,"",0)</f>
        <v>4800.62914</v>
      </c>
      <c r="R800">
        <f t="shared" si="132"/>
        <v>1775637000</v>
      </c>
      <c r="S800" t="str">
        <f t="shared" si="133"/>
        <v>XAUUSD</v>
      </c>
      <c r="T800" t="str">
        <f t="shared" si="134"/>
        <v>M5</v>
      </c>
      <c r="U800">
        <f t="shared" si="135"/>
        <v>4802.7700000000004</v>
      </c>
      <c r="V800">
        <v>4794.6165199999996</v>
      </c>
      <c r="W800">
        <v>4798.9047399999999</v>
      </c>
      <c r="X800">
        <v>4803.7107299999998</v>
      </c>
      <c r="Y800">
        <v>4806.9238599999999</v>
      </c>
      <c r="Z800">
        <f t="shared" si="136"/>
        <v>4810.2357750000001</v>
      </c>
      <c r="AA800">
        <f t="shared" si="137"/>
        <v>4809.8995800000002</v>
      </c>
      <c r="AB800">
        <f t="shared" si="138"/>
        <v>4785.3849449999998</v>
      </c>
      <c r="AC800">
        <f t="shared" si="139"/>
        <v>4800.62914</v>
      </c>
      <c r="AF800">
        <f t="shared" si="140"/>
        <v>4803.7107299999998</v>
      </c>
      <c r="AG800">
        <f t="shared" si="141"/>
        <v>4810.2357750000001</v>
      </c>
      <c r="AH800">
        <f t="shared" si="142"/>
        <v>4785.3849449999998</v>
      </c>
    </row>
    <row r="801" spans="1:34" x14ac:dyDescent="0.55000000000000004">
      <c r="A801">
        <f>ALGLIB_SSA_XAUUSD!J801</f>
        <v>1775637300</v>
      </c>
      <c r="B801" t="str">
        <f>_xlfn.XLOOKUP($A801,ALGLIB_SSA_XAUUSD!$A$2:$A$1000,ALGLIB_SSA_XAUUSD!$B$2:$B$1000,"",0)</f>
        <v/>
      </c>
      <c r="C801" t="str">
        <f>_xlfn.XLOOKUP($A801,ALGLIB_SSA_XAUUSD!$A$2:$A$1000,ALGLIB_SSA_XAUUSD!$C$2:$C$1000,"",0)</f>
        <v/>
      </c>
      <c r="D801" s="1">
        <f>D794+(D806-D794)*7/12</f>
        <v>4787.7141666666666</v>
      </c>
      <c r="E801" s="1">
        <f>E794+(E806-E794)*7/12</f>
        <v>4794.36294</v>
      </c>
      <c r="F801" s="1">
        <f>F794+(F806-F794)*7/12</f>
        <v>4798.5819783333336</v>
      </c>
      <c r="G801" s="1">
        <f>G794+(G806-G794)*7/12</f>
        <v>4810.106735833333</v>
      </c>
      <c r="H801" s="1">
        <f>H794+(H806-H794)*7/12</f>
        <v>4784.8854225000005</v>
      </c>
      <c r="I801" t="str">
        <f>_xlfn.XLOOKUP($A801,ALGLIB_SSA_XAUUSD!$J$2:$J$1000,ALGLIB_SSA_XAUUSD!$K$2:$K$1000,"",0)</f>
        <v>XAUUSD</v>
      </c>
      <c r="J801" t="str">
        <f>_xlfn.XLOOKUP($A801,ALGLIB_SSA_XAUUSD!$J$2:$J$1000,ALGLIB_SSA_XAUUSD!$L$2:$L$1000,"",0)</f>
        <v>M5</v>
      </c>
      <c r="K801">
        <f>_xlfn.XLOOKUP($A801,ALGLIB_SSA_XAUUSD!$J$2:$J$1000,ALGLIB_SSA_XAUUSD!$M$2:$M$1000,"",0)</f>
        <v>4802.75</v>
      </c>
      <c r="L801">
        <f>_xlfn.XLOOKUP($A801,ALGLIB_SSA_XAUUSD!$J$2:$J$1000,ALGLIB_SSA_XAUUSD!$N$2:$N$1000,"",0)</f>
        <v>4800.3065200000001</v>
      </c>
      <c r="M801">
        <f>_xlfn.XLOOKUP($A801,ALGLIB_SSA_XAUUSD!$J$2:$J$1000,ALGLIB_SSA_XAUUSD!$O$2:$O$1000,"",0)</f>
        <v>4803.6151900000004</v>
      </c>
      <c r="N801">
        <f>_xlfn.XLOOKUP($A801,ALGLIB_SSA_XAUUSD!$J$2:$J$1000,ALGLIB_SSA_XAUUSD!$P$2:$P$1000,"",0)</f>
        <v>4806.8125499999996</v>
      </c>
      <c r="O801">
        <f>_xlfn.XLOOKUP($A801,ALGLIB_SSA_XAUUSD!$J$2:$J$1000,ALGLIB_SSA_XAUUSD!$Q$2:$Q$1000,"",0)</f>
        <v>4797.3713900000002</v>
      </c>
      <c r="R801">
        <f t="shared" si="132"/>
        <v>1775637300</v>
      </c>
      <c r="S801" t="str">
        <f t="shared" si="133"/>
        <v>XAUUSD</v>
      </c>
      <c r="T801" t="str">
        <f t="shared" si="134"/>
        <v>M5</v>
      </c>
      <c r="U801">
        <f t="shared" si="135"/>
        <v>4802.75</v>
      </c>
      <c r="V801">
        <v>4794.36294</v>
      </c>
      <c r="W801">
        <v>4798.5819799999999</v>
      </c>
      <c r="X801">
        <v>4800.3065200000001</v>
      </c>
      <c r="Y801">
        <v>4803.6151900000004</v>
      </c>
      <c r="Z801">
        <f t="shared" si="136"/>
        <v>4810.106735833333</v>
      </c>
      <c r="AA801">
        <f t="shared" si="137"/>
        <v>4806.8125499999996</v>
      </c>
      <c r="AB801">
        <f t="shared" si="138"/>
        <v>4784.8854225000005</v>
      </c>
      <c r="AC801">
        <f t="shared" si="139"/>
        <v>4797.3713900000002</v>
      </c>
      <c r="AF801">
        <f t="shared" si="140"/>
        <v>4800.3065200000001</v>
      </c>
      <c r="AG801">
        <f t="shared" si="141"/>
        <v>4810.106735833333</v>
      </c>
      <c r="AH801">
        <f t="shared" si="142"/>
        <v>4784.8854225000005</v>
      </c>
    </row>
    <row r="802" spans="1:34" x14ac:dyDescent="0.55000000000000004">
      <c r="A802">
        <f>ALGLIB_SSA_XAUUSD!J802</f>
        <v>1775637600</v>
      </c>
      <c r="B802" t="str">
        <f>_xlfn.XLOOKUP($A802,ALGLIB_SSA_XAUUSD!$A$2:$A$1000,ALGLIB_SSA_XAUUSD!$B$2:$B$1000,"",0)</f>
        <v/>
      </c>
      <c r="C802" t="str">
        <f>_xlfn.XLOOKUP($A802,ALGLIB_SSA_XAUUSD!$A$2:$A$1000,ALGLIB_SSA_XAUUSD!$C$2:$C$1000,"",0)</f>
        <v/>
      </c>
      <c r="D802" s="1">
        <f>D794+(D806-D794)*8/12</f>
        <v>4786.7833333333338</v>
      </c>
      <c r="E802" s="1">
        <f>E794+(E806-E794)*8/12</f>
        <v>4794.1093600000004</v>
      </c>
      <c r="F802" s="1">
        <f>F794+(F806-F794)*8/12</f>
        <v>4798.2592166666664</v>
      </c>
      <c r="G802" s="1">
        <f>G794+(G806-G794)*8/12</f>
        <v>4809.9776966666668</v>
      </c>
      <c r="H802" s="1">
        <f>H794+(H806-H794)*8/12</f>
        <v>4784.3859000000002</v>
      </c>
      <c r="I802" t="str">
        <f>_xlfn.XLOOKUP($A802,ALGLIB_SSA_XAUUSD!$J$2:$J$1000,ALGLIB_SSA_XAUUSD!$K$2:$K$1000,"",0)</f>
        <v>XAUUSD</v>
      </c>
      <c r="J802" t="str">
        <f>_xlfn.XLOOKUP($A802,ALGLIB_SSA_XAUUSD!$J$2:$J$1000,ALGLIB_SSA_XAUUSD!$L$2:$L$1000,"",0)</f>
        <v>M5</v>
      </c>
      <c r="K802">
        <f>_xlfn.XLOOKUP($A802,ALGLIB_SSA_XAUUSD!$J$2:$J$1000,ALGLIB_SSA_XAUUSD!$M$2:$M$1000,"",0)</f>
        <v>4793.58</v>
      </c>
      <c r="L802">
        <f>_xlfn.XLOOKUP($A802,ALGLIB_SSA_XAUUSD!$J$2:$J$1000,ALGLIB_SSA_XAUUSD!$N$2:$N$1000,"",0)</f>
        <v>4797.5393800000002</v>
      </c>
      <c r="M802">
        <f>_xlfn.XLOOKUP($A802,ALGLIB_SSA_XAUUSD!$J$2:$J$1000,ALGLIB_SSA_XAUUSD!$O$2:$O$1000,"",0)</f>
        <v>4800.5772800000004</v>
      </c>
      <c r="N802">
        <f>_xlfn.XLOOKUP($A802,ALGLIB_SSA_XAUUSD!$J$2:$J$1000,ALGLIB_SSA_XAUUSD!$P$2:$P$1000,"",0)</f>
        <v>4803.9280799999997</v>
      </c>
      <c r="O802">
        <f>_xlfn.XLOOKUP($A802,ALGLIB_SSA_XAUUSD!$J$2:$J$1000,ALGLIB_SSA_XAUUSD!$Q$2:$Q$1000,"",0)</f>
        <v>4794.6922800000002</v>
      </c>
      <c r="R802">
        <f t="shared" si="132"/>
        <v>1775637600</v>
      </c>
      <c r="S802" t="str">
        <f t="shared" si="133"/>
        <v>XAUUSD</v>
      </c>
      <c r="T802" t="str">
        <f t="shared" si="134"/>
        <v>M5</v>
      </c>
      <c r="U802">
        <f t="shared" si="135"/>
        <v>4793.58</v>
      </c>
      <c r="V802">
        <v>4794.1093600000004</v>
      </c>
      <c r="W802">
        <v>4798.2592199999999</v>
      </c>
      <c r="X802">
        <v>4797.5393800000002</v>
      </c>
      <c r="Y802">
        <v>4800.5772800000004</v>
      </c>
      <c r="Z802">
        <f t="shared" si="136"/>
        <v>4809.9776966666668</v>
      </c>
      <c r="AA802">
        <f t="shared" si="137"/>
        <v>4803.9280799999997</v>
      </c>
      <c r="AB802">
        <f t="shared" si="138"/>
        <v>4784.3859000000002</v>
      </c>
      <c r="AC802">
        <f t="shared" si="139"/>
        <v>4794.6922800000002</v>
      </c>
      <c r="AF802">
        <f t="shared" si="140"/>
        <v>4797.5393800000002</v>
      </c>
      <c r="AG802">
        <f t="shared" si="141"/>
        <v>4809.9776966666668</v>
      </c>
      <c r="AH802">
        <f t="shared" si="142"/>
        <v>4784.3859000000002</v>
      </c>
    </row>
    <row r="803" spans="1:34" x14ac:dyDescent="0.55000000000000004">
      <c r="A803">
        <f>ALGLIB_SSA_XAUUSD!J803</f>
        <v>1775637900</v>
      </c>
      <c r="B803" t="str">
        <f>_xlfn.XLOOKUP($A803,ALGLIB_SSA_XAUUSD!$A$2:$A$1000,ALGLIB_SSA_XAUUSD!$B$2:$B$1000,"",0)</f>
        <v/>
      </c>
      <c r="C803" t="str">
        <f>_xlfn.XLOOKUP($A803,ALGLIB_SSA_XAUUSD!$A$2:$A$1000,ALGLIB_SSA_XAUUSD!$C$2:$C$1000,"",0)</f>
        <v/>
      </c>
      <c r="D803" s="1">
        <f>D794+(D806-D794)*9/12</f>
        <v>4785.8525</v>
      </c>
      <c r="E803" s="1">
        <f>E794+(E806-E794)*9/12</f>
        <v>4793.8557799999999</v>
      </c>
      <c r="F803" s="1">
        <f>F794+(F806-F794)*9/12</f>
        <v>4797.936455</v>
      </c>
      <c r="G803" s="1">
        <f>G794+(G806-G794)*9/12</f>
        <v>4809.8486575000006</v>
      </c>
      <c r="H803" s="1">
        <f>H794+(H806-H794)*9/12</f>
        <v>4783.8863775</v>
      </c>
      <c r="I803" t="str">
        <f>_xlfn.XLOOKUP($A803,ALGLIB_SSA_XAUUSD!$J$2:$J$1000,ALGLIB_SSA_XAUUSD!$K$2:$K$1000,"",0)</f>
        <v>XAUUSD</v>
      </c>
      <c r="J803" t="str">
        <f>_xlfn.XLOOKUP($A803,ALGLIB_SSA_XAUUSD!$J$2:$J$1000,ALGLIB_SSA_XAUUSD!$L$2:$L$1000,"",0)</f>
        <v>M5</v>
      </c>
      <c r="K803">
        <f>_xlfn.XLOOKUP($A803,ALGLIB_SSA_XAUUSD!$J$2:$J$1000,ALGLIB_SSA_XAUUSD!$M$2:$M$1000,"",0)</f>
        <v>4795.59</v>
      </c>
      <c r="L803">
        <f>_xlfn.XLOOKUP($A803,ALGLIB_SSA_XAUUSD!$J$2:$J$1000,ALGLIB_SSA_XAUUSD!$N$2:$N$1000,"",0)</f>
        <v>4795.88454</v>
      </c>
      <c r="M803">
        <f>_xlfn.XLOOKUP($A803,ALGLIB_SSA_XAUUSD!$J$2:$J$1000,ALGLIB_SSA_XAUUSD!$O$2:$O$1000,"",0)</f>
        <v>4798.2309100000002</v>
      </c>
      <c r="N803">
        <f>_xlfn.XLOOKUP($A803,ALGLIB_SSA_XAUUSD!$J$2:$J$1000,ALGLIB_SSA_XAUUSD!$P$2:$P$1000,"",0)</f>
        <v>4801.5921399999997</v>
      </c>
      <c r="O803">
        <f>_xlfn.XLOOKUP($A803,ALGLIB_SSA_XAUUSD!$J$2:$J$1000,ALGLIB_SSA_XAUUSD!$Q$2:$Q$1000,"",0)</f>
        <v>4793.1034</v>
      </c>
      <c r="R803">
        <f t="shared" si="132"/>
        <v>1775637900</v>
      </c>
      <c r="S803" t="str">
        <f t="shared" si="133"/>
        <v>XAUUSD</v>
      </c>
      <c r="T803" t="str">
        <f t="shared" si="134"/>
        <v>M5</v>
      </c>
      <c r="U803">
        <f t="shared" si="135"/>
        <v>4795.59</v>
      </c>
      <c r="V803">
        <v>4793.8557799999999</v>
      </c>
      <c r="W803">
        <v>4797.9364599999999</v>
      </c>
      <c r="X803">
        <v>4795.88454</v>
      </c>
      <c r="Y803">
        <v>4798.2309100000002</v>
      </c>
      <c r="Z803">
        <f t="shared" si="136"/>
        <v>4809.8486575000006</v>
      </c>
      <c r="AA803">
        <f t="shared" si="137"/>
        <v>4801.5921399999997</v>
      </c>
      <c r="AB803">
        <f t="shared" si="138"/>
        <v>4783.8863775</v>
      </c>
      <c r="AC803">
        <f t="shared" si="139"/>
        <v>4793.1034</v>
      </c>
      <c r="AF803">
        <f t="shared" si="140"/>
        <v>4795.88454</v>
      </c>
      <c r="AG803">
        <f t="shared" si="141"/>
        <v>4809.8486575000006</v>
      </c>
      <c r="AH803">
        <f t="shared" si="142"/>
        <v>4783.8863775</v>
      </c>
    </row>
    <row r="804" spans="1:34" x14ac:dyDescent="0.55000000000000004">
      <c r="A804">
        <f>ALGLIB_SSA_XAUUSD!J804</f>
        <v>1775638200</v>
      </c>
      <c r="B804" t="str">
        <f>_xlfn.XLOOKUP($A804,ALGLIB_SSA_XAUUSD!$A$2:$A$1000,ALGLIB_SSA_XAUUSD!$B$2:$B$1000,"",0)</f>
        <v/>
      </c>
      <c r="C804" t="str">
        <f>_xlfn.XLOOKUP($A804,ALGLIB_SSA_XAUUSD!$A$2:$A$1000,ALGLIB_SSA_XAUUSD!$C$2:$C$1000,"",0)</f>
        <v/>
      </c>
      <c r="D804" s="1">
        <f>D794+(D806-D794)*10/12</f>
        <v>4784.9216666666671</v>
      </c>
      <c r="E804" s="1">
        <f>E794+(E806-E794)*10/12</f>
        <v>4793.6022000000003</v>
      </c>
      <c r="F804" s="1">
        <f>F794+(F806-F794)*10/12</f>
        <v>4797.6136933333337</v>
      </c>
      <c r="G804" s="1">
        <f>G794+(G806-G794)*10/12</f>
        <v>4809.7196183333335</v>
      </c>
      <c r="H804" s="1">
        <f>H794+(H806-H794)*10/12</f>
        <v>4783.3868550000007</v>
      </c>
      <c r="I804" t="str">
        <f>_xlfn.XLOOKUP($A804,ALGLIB_SSA_XAUUSD!$J$2:$J$1000,ALGLIB_SSA_XAUUSD!$K$2:$K$1000,"",0)</f>
        <v>XAUUSD</v>
      </c>
      <c r="J804" t="str">
        <f>_xlfn.XLOOKUP($A804,ALGLIB_SSA_XAUUSD!$J$2:$J$1000,ALGLIB_SSA_XAUUSD!$L$2:$L$1000,"",0)</f>
        <v>M5</v>
      </c>
      <c r="K804">
        <f>_xlfn.XLOOKUP($A804,ALGLIB_SSA_XAUUSD!$J$2:$J$1000,ALGLIB_SSA_XAUUSD!$M$2:$M$1000,"",0)</f>
        <v>4797</v>
      </c>
      <c r="L804">
        <f>_xlfn.XLOOKUP($A804,ALGLIB_SSA_XAUUSD!$J$2:$J$1000,ALGLIB_SSA_XAUUSD!$N$2:$N$1000,"",0)</f>
        <v>4795.3485600000004</v>
      </c>
      <c r="M804">
        <f>_xlfn.XLOOKUP($A804,ALGLIB_SSA_XAUUSD!$J$2:$J$1000,ALGLIB_SSA_XAUUSD!$O$2:$O$1000,"",0)</f>
        <v>4796.7897300000004</v>
      </c>
      <c r="N804">
        <f>_xlfn.XLOOKUP($A804,ALGLIB_SSA_XAUUSD!$J$2:$J$1000,ALGLIB_SSA_XAUUSD!$P$2:$P$1000,"",0)</f>
        <v>4800.1396999999997</v>
      </c>
      <c r="O804">
        <f>_xlfn.XLOOKUP($A804,ALGLIB_SSA_XAUUSD!$J$2:$J$1000,ALGLIB_SSA_XAUUSD!$Q$2:$Q$1000,"",0)</f>
        <v>4792.6475</v>
      </c>
      <c r="R804">
        <f t="shared" si="132"/>
        <v>1775638200</v>
      </c>
      <c r="S804" t="str">
        <f t="shared" si="133"/>
        <v>XAUUSD</v>
      </c>
      <c r="T804" t="str">
        <f t="shared" si="134"/>
        <v>M5</v>
      </c>
      <c r="U804">
        <f t="shared" si="135"/>
        <v>4797</v>
      </c>
      <c r="V804">
        <v>4793.6022000000003</v>
      </c>
      <c r="W804">
        <v>4797.6136900000001</v>
      </c>
      <c r="X804">
        <v>4795.3485600000004</v>
      </c>
      <c r="Y804">
        <v>4796.7897300000004</v>
      </c>
      <c r="Z804">
        <f t="shared" si="136"/>
        <v>4809.7196183333335</v>
      </c>
      <c r="AA804">
        <f t="shared" si="137"/>
        <v>4800.1396999999997</v>
      </c>
      <c r="AB804">
        <f t="shared" si="138"/>
        <v>4783.3868550000007</v>
      </c>
      <c r="AC804">
        <f t="shared" si="139"/>
        <v>4792.6475</v>
      </c>
      <c r="AF804">
        <f t="shared" si="140"/>
        <v>4795.3485600000004</v>
      </c>
      <c r="AG804">
        <f t="shared" si="141"/>
        <v>4809.7196183333335</v>
      </c>
      <c r="AH804">
        <f t="shared" si="142"/>
        <v>4783.3868550000007</v>
      </c>
    </row>
    <row r="805" spans="1:34" x14ac:dyDescent="0.55000000000000004">
      <c r="A805">
        <f>ALGLIB_SSA_XAUUSD!J805</f>
        <v>1775638500</v>
      </c>
      <c r="B805" t="str">
        <f>_xlfn.XLOOKUP($A805,ALGLIB_SSA_XAUUSD!$A$2:$A$1000,ALGLIB_SSA_XAUUSD!$B$2:$B$1000,"",0)</f>
        <v/>
      </c>
      <c r="C805" t="str">
        <f>_xlfn.XLOOKUP($A805,ALGLIB_SSA_XAUUSD!$A$2:$A$1000,ALGLIB_SSA_XAUUSD!$C$2:$C$1000,"",0)</f>
        <v/>
      </c>
      <c r="D805" s="1">
        <f>D794+(D806-D794)*11/12</f>
        <v>4783.9908333333333</v>
      </c>
      <c r="E805" s="1">
        <f>E794+(E806-E794)*11/12</f>
        <v>4793.3486199999998</v>
      </c>
      <c r="F805" s="1">
        <f>F794+(F806-F794)*11/12</f>
        <v>4797.2909316666664</v>
      </c>
      <c r="G805" s="1">
        <f>G794+(G806-G794)*11/12</f>
        <v>4809.5905791666664</v>
      </c>
      <c r="H805" s="1">
        <f>H794+(H806-H794)*11/12</f>
        <v>4782.8873325000004</v>
      </c>
      <c r="I805" t="str">
        <f>_xlfn.XLOOKUP($A805,ALGLIB_SSA_XAUUSD!$J$2:$J$1000,ALGLIB_SSA_XAUUSD!$K$2:$K$1000,"",0)</f>
        <v>XAUUSD</v>
      </c>
      <c r="J805" t="str">
        <f>_xlfn.XLOOKUP($A805,ALGLIB_SSA_XAUUSD!$J$2:$J$1000,ALGLIB_SSA_XAUUSD!$L$2:$L$1000,"",0)</f>
        <v>M5</v>
      </c>
      <c r="K805">
        <f>_xlfn.XLOOKUP($A805,ALGLIB_SSA_XAUUSD!$J$2:$J$1000,ALGLIB_SSA_XAUUSD!$M$2:$M$1000,"",0)</f>
        <v>4794.2299999999996</v>
      </c>
      <c r="L805">
        <f>_xlfn.XLOOKUP($A805,ALGLIB_SSA_XAUUSD!$J$2:$J$1000,ALGLIB_SSA_XAUUSD!$N$2:$N$1000,"",0)</f>
        <v>4795.7423399999998</v>
      </c>
      <c r="M805">
        <f>_xlfn.XLOOKUP($A805,ALGLIB_SSA_XAUUSD!$J$2:$J$1000,ALGLIB_SSA_XAUUSD!$O$2:$O$1000,"",0)</f>
        <v>4796.2660400000004</v>
      </c>
      <c r="N805">
        <f>_xlfn.XLOOKUP($A805,ALGLIB_SSA_XAUUSD!$J$2:$J$1000,ALGLIB_SSA_XAUUSD!$P$2:$P$1000,"",0)</f>
        <v>4799.5142299999998</v>
      </c>
      <c r="O805">
        <f>_xlfn.XLOOKUP($A805,ALGLIB_SSA_XAUUSD!$J$2:$J$1000,ALGLIB_SSA_XAUUSD!$Q$2:$Q$1000,"",0)</f>
        <v>4793.08151</v>
      </c>
      <c r="R805">
        <f t="shared" si="132"/>
        <v>1775638500</v>
      </c>
      <c r="S805" t="str">
        <f t="shared" si="133"/>
        <v>XAUUSD</v>
      </c>
      <c r="T805" t="str">
        <f t="shared" si="134"/>
        <v>M5</v>
      </c>
      <c r="U805">
        <f t="shared" si="135"/>
        <v>4794.2299999999996</v>
      </c>
      <c r="V805">
        <v>4793.3486199999998</v>
      </c>
      <c r="W805">
        <v>4797.2909300000001</v>
      </c>
      <c r="X805">
        <v>4795.7423399999998</v>
      </c>
      <c r="Y805">
        <v>4796.2660400000004</v>
      </c>
      <c r="Z805">
        <f t="shared" si="136"/>
        <v>4809.5905791666664</v>
      </c>
      <c r="AA805">
        <f t="shared" si="137"/>
        <v>4799.5142299999998</v>
      </c>
      <c r="AB805">
        <f t="shared" si="138"/>
        <v>4782.8873325000004</v>
      </c>
      <c r="AC805">
        <f t="shared" si="139"/>
        <v>4793.08151</v>
      </c>
      <c r="AF805">
        <f t="shared" si="140"/>
        <v>4795.7423399999998</v>
      </c>
      <c r="AG805">
        <f t="shared" si="141"/>
        <v>4809.5905791666664</v>
      </c>
      <c r="AH805">
        <f t="shared" si="142"/>
        <v>4782.8873325000004</v>
      </c>
    </row>
    <row r="806" spans="1:34" x14ac:dyDescent="0.55000000000000004">
      <c r="A806">
        <f>ALGLIB_SSA_XAUUSD!J806</f>
        <v>1775638800</v>
      </c>
      <c r="B806" t="str">
        <f>_xlfn.XLOOKUP($A806,ALGLIB_SSA_XAUUSD!$A$2:$A$1000,ALGLIB_SSA_XAUUSD!$B$2:$B$1000,"",0)</f>
        <v>XAUUSD</v>
      </c>
      <c r="C806" t="str">
        <f>_xlfn.XLOOKUP($A806,ALGLIB_SSA_XAUUSD!$A$2:$A$1000,ALGLIB_SSA_XAUUSD!$C$2:$C$1000,"",0)</f>
        <v>H1</v>
      </c>
      <c r="D806" s="2">
        <f>_xlfn.XLOOKUP($A806,ALGLIB_SSA_XAUUSD!$A$2:$A$1000,ALGLIB_SSA_XAUUSD!$D$2:$D$1000,"",0)</f>
        <v>4783.0600000000004</v>
      </c>
      <c r="E806" s="2">
        <f>_xlfn.XLOOKUP($A806,ALGLIB_SSA_XAUUSD!$A$2:$A$1000,ALGLIB_SSA_XAUUSD!$E$2:$E$1000,"",0)</f>
        <v>4793.0950400000002</v>
      </c>
      <c r="F806" s="2">
        <f>_xlfn.XLOOKUP($A806,ALGLIB_SSA_XAUUSD!$A$2:$A$1000,ALGLIB_SSA_XAUUSD!$F$2:$F$1000,"",0)</f>
        <v>4796.9681700000001</v>
      </c>
      <c r="G806" s="2">
        <f>_xlfn.XLOOKUP($A806,ALGLIB_SSA_XAUUSD!$A$2:$A$1000,ALGLIB_SSA_XAUUSD!$G$2:$G$1000,"",0)</f>
        <v>4809.4615400000002</v>
      </c>
      <c r="H806" s="2">
        <f>_xlfn.XLOOKUP($A806,ALGLIB_SSA_XAUUSD!$A$2:$A$1000,ALGLIB_SSA_XAUUSD!$H$2:$H$1000,"",0)</f>
        <v>4782.3878100000002</v>
      </c>
      <c r="I806" t="str">
        <f>_xlfn.XLOOKUP($A806,ALGLIB_SSA_XAUUSD!$J$2:$J$1000,ALGLIB_SSA_XAUUSD!$K$2:$K$1000,"",0)</f>
        <v>XAUUSD</v>
      </c>
      <c r="J806" t="str">
        <f>_xlfn.XLOOKUP($A806,ALGLIB_SSA_XAUUSD!$J$2:$J$1000,ALGLIB_SSA_XAUUSD!$L$2:$L$1000,"",0)</f>
        <v>M5</v>
      </c>
      <c r="K806">
        <f>_xlfn.XLOOKUP($A806,ALGLIB_SSA_XAUUSD!$J$2:$J$1000,ALGLIB_SSA_XAUUSD!$M$2:$M$1000,"",0)</f>
        <v>4796.84</v>
      </c>
      <c r="L806">
        <f>_xlfn.XLOOKUP($A806,ALGLIB_SSA_XAUUSD!$J$2:$J$1000,ALGLIB_SSA_XAUUSD!$N$2:$N$1000,"",0)</f>
        <v>4796.8155800000004</v>
      </c>
      <c r="M806">
        <f>_xlfn.XLOOKUP($A806,ALGLIB_SSA_XAUUSD!$J$2:$J$1000,ALGLIB_SSA_XAUUSD!$O$2:$O$1000,"",0)</f>
        <v>4796.5408100000004</v>
      </c>
      <c r="N806">
        <f>_xlfn.XLOOKUP($A806,ALGLIB_SSA_XAUUSD!$J$2:$J$1000,ALGLIB_SSA_XAUUSD!$P$2:$P$1000,"",0)</f>
        <v>4799.7451700000001</v>
      </c>
      <c r="O806">
        <f>_xlfn.XLOOKUP($A806,ALGLIB_SSA_XAUUSD!$J$2:$J$1000,ALGLIB_SSA_XAUUSD!$Q$2:$Q$1000,"",0)</f>
        <v>4794.0772800000004</v>
      </c>
      <c r="R806">
        <f t="shared" si="132"/>
        <v>1775638800</v>
      </c>
      <c r="S806" t="str">
        <f t="shared" si="133"/>
        <v>XAUUSD</v>
      </c>
      <c r="T806" t="str">
        <f t="shared" si="134"/>
        <v>M5</v>
      </c>
      <c r="U806">
        <f t="shared" si="135"/>
        <v>4796.84</v>
      </c>
      <c r="V806">
        <v>4793.0950400000002</v>
      </c>
      <c r="W806">
        <v>4796.9681700000001</v>
      </c>
      <c r="X806">
        <v>4796.8155800000004</v>
      </c>
      <c r="Y806">
        <v>4796.5408100000004</v>
      </c>
      <c r="Z806">
        <f t="shared" si="136"/>
        <v>4809.4615400000002</v>
      </c>
      <c r="AA806">
        <f t="shared" si="137"/>
        <v>4799.7451700000001</v>
      </c>
      <c r="AB806">
        <f t="shared" si="138"/>
        <v>4782.3878100000002</v>
      </c>
      <c r="AC806">
        <f t="shared" si="139"/>
        <v>4794.0772800000004</v>
      </c>
      <c r="AF806">
        <f t="shared" si="140"/>
        <v>4796.8155800000004</v>
      </c>
      <c r="AG806">
        <f t="shared" si="141"/>
        <v>4809.4615400000002</v>
      </c>
      <c r="AH806">
        <f t="shared" si="142"/>
        <v>4782.3878100000002</v>
      </c>
    </row>
    <row r="807" spans="1:34" x14ac:dyDescent="0.55000000000000004">
      <c r="A807">
        <f>ALGLIB_SSA_XAUUSD!J807</f>
        <v>1775639100</v>
      </c>
      <c r="B807" t="str">
        <f>_xlfn.XLOOKUP($A807,ALGLIB_SSA_XAUUSD!$A$2:$A$1000,ALGLIB_SSA_XAUUSD!$B$2:$B$1000,"",0)</f>
        <v/>
      </c>
      <c r="C807" t="str">
        <f>_xlfn.XLOOKUP($A807,ALGLIB_SSA_XAUUSD!$A$2:$A$1000,ALGLIB_SSA_XAUUSD!$C$2:$C$1000,"",0)</f>
        <v/>
      </c>
      <c r="D807" s="1">
        <f>D806+(D818-D806)*1/12</f>
        <v>4783.0308333333342</v>
      </c>
      <c r="E807" s="1">
        <f>E806+(E818-E806)*1/12</f>
        <v>4792.9149800000005</v>
      </c>
      <c r="F807" s="1">
        <f>F806+(F818-F806)*1/12</f>
        <v>4796.7167600000002</v>
      </c>
      <c r="G807" s="1">
        <f>G806+(G818-G806)*1/12</f>
        <v>4809.3972983333333</v>
      </c>
      <c r="H807" s="1">
        <f>H806+(H818-H806)*1/12</f>
        <v>4781.9397391666671</v>
      </c>
      <c r="I807" t="str">
        <f>_xlfn.XLOOKUP($A807,ALGLIB_SSA_XAUUSD!$J$2:$J$1000,ALGLIB_SSA_XAUUSD!$K$2:$K$1000,"",0)</f>
        <v>XAUUSD</v>
      </c>
      <c r="J807" t="str">
        <f>_xlfn.XLOOKUP($A807,ALGLIB_SSA_XAUUSD!$J$2:$J$1000,ALGLIB_SSA_XAUUSD!$L$2:$L$1000,"",0)</f>
        <v>M5</v>
      </c>
      <c r="K807">
        <f>_xlfn.XLOOKUP($A807,ALGLIB_SSA_XAUUSD!$J$2:$J$1000,ALGLIB_SSA_XAUUSD!$M$2:$M$1000,"",0)</f>
        <v>4797.38</v>
      </c>
      <c r="L807">
        <f>_xlfn.XLOOKUP($A807,ALGLIB_SSA_XAUUSD!$J$2:$J$1000,ALGLIB_SSA_XAUUSD!$N$2:$N$1000,"",0)</f>
        <v>4798.1026700000002</v>
      </c>
      <c r="M807">
        <f>_xlfn.XLOOKUP($A807,ALGLIB_SSA_XAUUSD!$J$2:$J$1000,ALGLIB_SSA_XAUUSD!$O$2:$O$1000,"",0)</f>
        <v>4797.3217400000003</v>
      </c>
      <c r="N807">
        <f>_xlfn.XLOOKUP($A807,ALGLIB_SSA_XAUUSD!$J$2:$J$1000,ALGLIB_SSA_XAUUSD!$P$2:$P$1000,"",0)</f>
        <v>4800.6156499999997</v>
      </c>
      <c r="O807">
        <f>_xlfn.XLOOKUP($A807,ALGLIB_SSA_XAUUSD!$J$2:$J$1000,ALGLIB_SSA_XAUUSD!$Q$2:$Q$1000,"",0)</f>
        <v>4795.2319100000004</v>
      </c>
      <c r="R807">
        <f t="shared" si="132"/>
        <v>1775639100</v>
      </c>
      <c r="S807" t="str">
        <f t="shared" si="133"/>
        <v>XAUUSD</v>
      </c>
      <c r="T807" t="str">
        <f t="shared" si="134"/>
        <v>M5</v>
      </c>
      <c r="U807">
        <f t="shared" si="135"/>
        <v>4797.38</v>
      </c>
      <c r="V807">
        <v>4792.9149799999996</v>
      </c>
      <c r="W807">
        <v>4796.7167600000002</v>
      </c>
      <c r="X807">
        <v>4798.1026700000002</v>
      </c>
      <c r="Y807">
        <v>4797.3217400000003</v>
      </c>
      <c r="Z807">
        <f t="shared" si="136"/>
        <v>4809.3972983333333</v>
      </c>
      <c r="AA807">
        <f t="shared" si="137"/>
        <v>4800.6156499999997</v>
      </c>
      <c r="AB807">
        <f t="shared" si="138"/>
        <v>4781.9397391666671</v>
      </c>
      <c r="AC807">
        <f t="shared" si="139"/>
        <v>4795.2319100000004</v>
      </c>
      <c r="AF807">
        <f t="shared" si="140"/>
        <v>4798.1026700000002</v>
      </c>
      <c r="AG807">
        <f t="shared" si="141"/>
        <v>4809.3972983333333</v>
      </c>
      <c r="AH807">
        <f t="shared" si="142"/>
        <v>4781.9397391666671</v>
      </c>
    </row>
    <row r="808" spans="1:34" x14ac:dyDescent="0.55000000000000004">
      <c r="A808">
        <f>ALGLIB_SSA_XAUUSD!J808</f>
        <v>1775639400</v>
      </c>
      <c r="B808" t="str">
        <f>_xlfn.XLOOKUP($A808,ALGLIB_SSA_XAUUSD!$A$2:$A$1000,ALGLIB_SSA_XAUUSD!$B$2:$B$1000,"",0)</f>
        <v/>
      </c>
      <c r="C808" t="str">
        <f>_xlfn.XLOOKUP($A808,ALGLIB_SSA_XAUUSD!$A$2:$A$1000,ALGLIB_SSA_XAUUSD!$C$2:$C$1000,"",0)</f>
        <v/>
      </c>
      <c r="D808" s="1">
        <f>D806+(D818-D806)*2/12</f>
        <v>4783.001666666667</v>
      </c>
      <c r="E808" s="1">
        <f>E806+(E818-E806)*2/12</f>
        <v>4792.7349199999999</v>
      </c>
      <c r="F808" s="1">
        <f>F806+(F818-F806)*2/12</f>
        <v>4796.4653500000004</v>
      </c>
      <c r="G808" s="1">
        <f>G806+(G818-G806)*2/12</f>
        <v>4809.3330566666664</v>
      </c>
      <c r="H808" s="1">
        <f>H806+(H818-H806)*2/12</f>
        <v>4781.4916683333331</v>
      </c>
      <c r="I808" t="str">
        <f>_xlfn.XLOOKUP($A808,ALGLIB_SSA_XAUUSD!$J$2:$J$1000,ALGLIB_SSA_XAUUSD!$K$2:$K$1000,"",0)</f>
        <v>XAUUSD</v>
      </c>
      <c r="J808" t="str">
        <f>_xlfn.XLOOKUP($A808,ALGLIB_SSA_XAUUSD!$J$2:$J$1000,ALGLIB_SSA_XAUUSD!$L$2:$L$1000,"",0)</f>
        <v>M5</v>
      </c>
      <c r="K808">
        <f>_xlfn.XLOOKUP($A808,ALGLIB_SSA_XAUUSD!$J$2:$J$1000,ALGLIB_SSA_XAUUSD!$M$2:$M$1000,"",0)</f>
        <v>4801.01</v>
      </c>
      <c r="L808">
        <f>_xlfn.XLOOKUP($A808,ALGLIB_SSA_XAUUSD!$J$2:$J$1000,ALGLIB_SSA_XAUUSD!$N$2:$N$1000,"",0)</f>
        <v>4799.1698800000004</v>
      </c>
      <c r="M808">
        <f>_xlfn.XLOOKUP($A808,ALGLIB_SSA_XAUUSD!$J$2:$J$1000,ALGLIB_SSA_XAUUSD!$O$2:$O$1000,"",0)</f>
        <v>4798.2458100000003</v>
      </c>
      <c r="N808">
        <f>_xlfn.XLOOKUP($A808,ALGLIB_SSA_XAUUSD!$J$2:$J$1000,ALGLIB_SSA_XAUUSD!$P$2:$P$1000,"",0)</f>
        <v>4801.7709500000001</v>
      </c>
      <c r="O808">
        <f>_xlfn.XLOOKUP($A808,ALGLIB_SSA_XAUUSD!$J$2:$J$1000,ALGLIB_SSA_XAUUSD!$Q$2:$Q$1000,"",0)</f>
        <v>4796.0824899999998</v>
      </c>
      <c r="R808">
        <f t="shared" si="132"/>
        <v>1775639400</v>
      </c>
      <c r="S808" t="str">
        <f t="shared" si="133"/>
        <v>XAUUSD</v>
      </c>
      <c r="T808" t="str">
        <f t="shared" si="134"/>
        <v>M5</v>
      </c>
      <c r="U808">
        <f t="shared" si="135"/>
        <v>4801.01</v>
      </c>
      <c r="V808">
        <v>4792.7349199999999</v>
      </c>
      <c r="W808">
        <v>4796.4653500000004</v>
      </c>
      <c r="X808">
        <v>4799.1698800000004</v>
      </c>
      <c r="Y808">
        <v>4798.2458100000003</v>
      </c>
      <c r="Z808">
        <f t="shared" si="136"/>
        <v>4809.3330566666664</v>
      </c>
      <c r="AA808">
        <f t="shared" si="137"/>
        <v>4801.7709500000001</v>
      </c>
      <c r="AB808">
        <f t="shared" si="138"/>
        <v>4781.4916683333331</v>
      </c>
      <c r="AC808">
        <f t="shared" si="139"/>
        <v>4796.0824899999998</v>
      </c>
      <c r="AF808">
        <f t="shared" si="140"/>
        <v>4799.1698800000004</v>
      </c>
      <c r="AG808">
        <f t="shared" si="141"/>
        <v>4809.3330566666664</v>
      </c>
      <c r="AH808">
        <f t="shared" si="142"/>
        <v>4781.4916683333331</v>
      </c>
    </row>
    <row r="809" spans="1:34" x14ac:dyDescent="0.55000000000000004">
      <c r="A809">
        <f>ALGLIB_SSA_XAUUSD!J809</f>
        <v>1775639700</v>
      </c>
      <c r="B809" t="str">
        <f>_xlfn.XLOOKUP($A809,ALGLIB_SSA_XAUUSD!$A$2:$A$1000,ALGLIB_SSA_XAUUSD!$B$2:$B$1000,"",0)</f>
        <v/>
      </c>
      <c r="C809" t="str">
        <f>_xlfn.XLOOKUP($A809,ALGLIB_SSA_XAUUSD!$A$2:$A$1000,ALGLIB_SSA_XAUUSD!$C$2:$C$1000,"",0)</f>
        <v/>
      </c>
      <c r="D809" s="1">
        <f>D806+(D818-D806)*3/12</f>
        <v>4782.9724999999999</v>
      </c>
      <c r="E809" s="1">
        <f>E806+(E818-E806)*3/12</f>
        <v>4792.5548600000002</v>
      </c>
      <c r="F809" s="1">
        <f>F806+(F818-F806)*3/12</f>
        <v>4796.2139399999996</v>
      </c>
      <c r="G809" s="1">
        <f>G806+(G818-G806)*3/12</f>
        <v>4809.2688150000004</v>
      </c>
      <c r="H809" s="1">
        <f>H806+(H818-H806)*3/12</f>
        <v>4781.0435975</v>
      </c>
      <c r="I809" t="str">
        <f>_xlfn.XLOOKUP($A809,ALGLIB_SSA_XAUUSD!$J$2:$J$1000,ALGLIB_SSA_XAUUSD!$K$2:$K$1000,"",0)</f>
        <v>XAUUSD</v>
      </c>
      <c r="J809" t="str">
        <f>_xlfn.XLOOKUP($A809,ALGLIB_SSA_XAUUSD!$J$2:$J$1000,ALGLIB_SSA_XAUUSD!$L$2:$L$1000,"",0)</f>
        <v>M5</v>
      </c>
      <c r="K809">
        <f>_xlfn.XLOOKUP($A809,ALGLIB_SSA_XAUUSD!$J$2:$J$1000,ALGLIB_SSA_XAUUSD!$M$2:$M$1000,"",0)</f>
        <v>4797.46</v>
      </c>
      <c r="L809">
        <f>_xlfn.XLOOKUP($A809,ALGLIB_SSA_XAUUSD!$J$2:$J$1000,ALGLIB_SSA_XAUUSD!$N$2:$N$1000,"",0)</f>
        <v>4799.5533599999999</v>
      </c>
      <c r="M809">
        <f>_xlfn.XLOOKUP($A809,ALGLIB_SSA_XAUUSD!$J$2:$J$1000,ALGLIB_SSA_XAUUSD!$O$2:$O$1000,"",0)</f>
        <v>4798.89959</v>
      </c>
      <c r="N809">
        <f>_xlfn.XLOOKUP($A809,ALGLIB_SSA_XAUUSD!$J$2:$J$1000,ALGLIB_SSA_XAUUSD!$P$2:$P$1000,"",0)</f>
        <v>4802.77394</v>
      </c>
      <c r="O809">
        <f>_xlfn.XLOOKUP($A809,ALGLIB_SSA_XAUUSD!$J$2:$J$1000,ALGLIB_SSA_XAUUSD!$Q$2:$Q$1000,"",0)</f>
        <v>4796.2885500000002</v>
      </c>
      <c r="R809">
        <f t="shared" si="132"/>
        <v>1775639700</v>
      </c>
      <c r="S809" t="str">
        <f t="shared" si="133"/>
        <v>XAUUSD</v>
      </c>
      <c r="T809" t="str">
        <f t="shared" si="134"/>
        <v>M5</v>
      </c>
      <c r="U809">
        <f t="shared" si="135"/>
        <v>4797.46</v>
      </c>
      <c r="V809">
        <v>4792.5548600000002</v>
      </c>
      <c r="W809">
        <v>4796.2139399999996</v>
      </c>
      <c r="X809">
        <v>4799.5533599999999</v>
      </c>
      <c r="Y809">
        <v>4798.89959</v>
      </c>
      <c r="Z809">
        <f t="shared" si="136"/>
        <v>4809.2688150000004</v>
      </c>
      <c r="AA809">
        <f t="shared" si="137"/>
        <v>4802.77394</v>
      </c>
      <c r="AB809">
        <f t="shared" si="138"/>
        <v>4781.0435975</v>
      </c>
      <c r="AC809">
        <f t="shared" si="139"/>
        <v>4796.2885500000002</v>
      </c>
      <c r="AF809">
        <f t="shared" si="140"/>
        <v>4799.5533599999999</v>
      </c>
      <c r="AG809">
        <f t="shared" si="141"/>
        <v>4809.2688150000004</v>
      </c>
      <c r="AH809">
        <f t="shared" si="142"/>
        <v>4781.0435975</v>
      </c>
    </row>
    <row r="810" spans="1:34" x14ac:dyDescent="0.55000000000000004">
      <c r="A810">
        <f>ALGLIB_SSA_XAUUSD!J810</f>
        <v>1775640000</v>
      </c>
      <c r="B810" t="str">
        <f>_xlfn.XLOOKUP($A810,ALGLIB_SSA_XAUUSD!$A$2:$A$1000,ALGLIB_SSA_XAUUSD!$B$2:$B$1000,"",0)</f>
        <v/>
      </c>
      <c r="C810" t="str">
        <f>_xlfn.XLOOKUP($A810,ALGLIB_SSA_XAUUSD!$A$2:$A$1000,ALGLIB_SSA_XAUUSD!$C$2:$C$1000,"",0)</f>
        <v/>
      </c>
      <c r="D810" s="1">
        <f>D806+(D818-D806)*4/12</f>
        <v>4782.9433333333336</v>
      </c>
      <c r="E810" s="1">
        <f>E806+(E818-E806)*4/12</f>
        <v>4792.3748000000005</v>
      </c>
      <c r="F810" s="1">
        <f>F806+(F818-F806)*4/12</f>
        <v>4795.9625299999998</v>
      </c>
      <c r="G810" s="1">
        <f>G806+(G818-G806)*4/12</f>
        <v>4809.2045733333334</v>
      </c>
      <c r="H810" s="1">
        <f>H806+(H818-H806)*4/12</f>
        <v>4780.595526666667</v>
      </c>
      <c r="I810" t="str">
        <f>_xlfn.XLOOKUP($A810,ALGLIB_SSA_XAUUSD!$J$2:$J$1000,ALGLIB_SSA_XAUUSD!$K$2:$K$1000,"",0)</f>
        <v>XAUUSD</v>
      </c>
      <c r="J810" t="str">
        <f>_xlfn.XLOOKUP($A810,ALGLIB_SSA_XAUUSD!$J$2:$J$1000,ALGLIB_SSA_XAUUSD!$L$2:$L$1000,"",0)</f>
        <v>M5</v>
      </c>
      <c r="K810">
        <f>_xlfn.XLOOKUP($A810,ALGLIB_SSA_XAUUSD!$J$2:$J$1000,ALGLIB_SSA_XAUUSD!$M$2:$M$1000,"",0)</f>
        <v>4802.26</v>
      </c>
      <c r="L810">
        <f>_xlfn.XLOOKUP($A810,ALGLIB_SSA_XAUUSD!$J$2:$J$1000,ALGLIB_SSA_XAUUSD!$N$2:$N$1000,"",0)</f>
        <v>4799.1197300000003</v>
      </c>
      <c r="M810">
        <f>_xlfn.XLOOKUP($A810,ALGLIB_SSA_XAUUSD!$J$2:$J$1000,ALGLIB_SSA_XAUUSD!$O$2:$O$1000,"",0)</f>
        <v>4799.0096599999997</v>
      </c>
      <c r="N810">
        <f>_xlfn.XLOOKUP($A810,ALGLIB_SSA_XAUUSD!$J$2:$J$1000,ALGLIB_SSA_XAUUSD!$P$2:$P$1000,"",0)</f>
        <v>4803.2606699999997</v>
      </c>
      <c r="O810">
        <f>_xlfn.XLOOKUP($A810,ALGLIB_SSA_XAUUSD!$J$2:$J$1000,ALGLIB_SSA_XAUUSD!$Q$2:$Q$1000,"",0)</f>
        <v>4795.6442800000004</v>
      </c>
      <c r="R810">
        <f t="shared" si="132"/>
        <v>1775640000</v>
      </c>
      <c r="S810" t="str">
        <f t="shared" si="133"/>
        <v>XAUUSD</v>
      </c>
      <c r="T810" t="str">
        <f t="shared" si="134"/>
        <v>M5</v>
      </c>
      <c r="U810">
        <f t="shared" si="135"/>
        <v>4802.26</v>
      </c>
      <c r="V810">
        <v>4792.3747999999996</v>
      </c>
      <c r="W810">
        <v>4795.9625299999998</v>
      </c>
      <c r="X810">
        <v>4799.1197300000003</v>
      </c>
      <c r="Y810">
        <v>4799.0096599999997</v>
      </c>
      <c r="Z810">
        <f t="shared" si="136"/>
        <v>4809.2045733333334</v>
      </c>
      <c r="AA810">
        <f t="shared" si="137"/>
        <v>4803.2606699999997</v>
      </c>
      <c r="AB810">
        <f t="shared" si="138"/>
        <v>4780.595526666667</v>
      </c>
      <c r="AC810">
        <f t="shared" si="139"/>
        <v>4795.6442800000004</v>
      </c>
      <c r="AF810">
        <f t="shared" si="140"/>
        <v>4799.1197300000003</v>
      </c>
      <c r="AG810">
        <f t="shared" si="141"/>
        <v>4809.2045733333334</v>
      </c>
      <c r="AH810">
        <f t="shared" si="142"/>
        <v>4780.595526666667</v>
      </c>
    </row>
    <row r="811" spans="1:34" x14ac:dyDescent="0.55000000000000004">
      <c r="A811">
        <f>ALGLIB_SSA_XAUUSD!J811</f>
        <v>1775640300</v>
      </c>
      <c r="B811" t="str">
        <f>_xlfn.XLOOKUP($A811,ALGLIB_SSA_XAUUSD!$A$2:$A$1000,ALGLIB_SSA_XAUUSD!$B$2:$B$1000,"",0)</f>
        <v/>
      </c>
      <c r="C811" t="str">
        <f>_xlfn.XLOOKUP($A811,ALGLIB_SSA_XAUUSD!$A$2:$A$1000,ALGLIB_SSA_XAUUSD!$C$2:$C$1000,"",0)</f>
        <v/>
      </c>
      <c r="D811" s="1">
        <f>D806+(D818-D806)*5/12</f>
        <v>4782.9141666666674</v>
      </c>
      <c r="E811" s="1">
        <f>E806+(E818-E806)*5/12</f>
        <v>4792.1947399999999</v>
      </c>
      <c r="F811" s="1">
        <f>F806+(F818-F806)*5/12</f>
        <v>4795.7111199999999</v>
      </c>
      <c r="G811" s="1">
        <f>G806+(G818-G806)*5/12</f>
        <v>4809.1403316666665</v>
      </c>
      <c r="H811" s="1">
        <f>H806+(H818-H806)*5/12</f>
        <v>4780.147455833333</v>
      </c>
      <c r="I811" t="str">
        <f>_xlfn.XLOOKUP($A811,ALGLIB_SSA_XAUUSD!$J$2:$J$1000,ALGLIB_SSA_XAUUSD!$K$2:$K$1000,"",0)</f>
        <v>XAUUSD</v>
      </c>
      <c r="J811" t="str">
        <f>_xlfn.XLOOKUP($A811,ALGLIB_SSA_XAUUSD!$J$2:$J$1000,ALGLIB_SSA_XAUUSD!$L$2:$L$1000,"",0)</f>
        <v>M5</v>
      </c>
      <c r="K811">
        <f>_xlfn.XLOOKUP($A811,ALGLIB_SSA_XAUUSD!$J$2:$J$1000,ALGLIB_SSA_XAUUSD!$M$2:$M$1000,"",0)</f>
        <v>4798.49</v>
      </c>
      <c r="L811">
        <f>_xlfn.XLOOKUP($A811,ALGLIB_SSA_XAUUSD!$J$2:$J$1000,ALGLIB_SSA_XAUUSD!$N$2:$N$1000,"",0)</f>
        <v>4797.7077399999998</v>
      </c>
      <c r="M811">
        <f>_xlfn.XLOOKUP($A811,ALGLIB_SSA_XAUUSD!$J$2:$J$1000,ALGLIB_SSA_XAUUSD!$O$2:$O$1000,"",0)</f>
        <v>4798.3586999999998</v>
      </c>
      <c r="N811">
        <f>_xlfn.XLOOKUP($A811,ALGLIB_SSA_XAUUSD!$J$2:$J$1000,ALGLIB_SSA_XAUUSD!$P$2:$P$1000,"",0)</f>
        <v>4802.9081100000003</v>
      </c>
      <c r="O811">
        <f>_xlfn.XLOOKUP($A811,ALGLIB_SSA_XAUUSD!$J$2:$J$1000,ALGLIB_SSA_XAUUSD!$Q$2:$Q$1000,"",0)</f>
        <v>4794.1305899999998</v>
      </c>
      <c r="R811">
        <f t="shared" si="132"/>
        <v>1775640300</v>
      </c>
      <c r="S811" t="str">
        <f t="shared" si="133"/>
        <v>XAUUSD</v>
      </c>
      <c r="T811" t="str">
        <f t="shared" si="134"/>
        <v>M5</v>
      </c>
      <c r="U811">
        <f t="shared" si="135"/>
        <v>4798.49</v>
      </c>
      <c r="V811">
        <v>4792.1947399999999</v>
      </c>
      <c r="W811">
        <v>4795.7111199999999</v>
      </c>
      <c r="X811">
        <v>4797.7077399999998</v>
      </c>
      <c r="Y811">
        <v>4798.3586999999998</v>
      </c>
      <c r="Z811">
        <f t="shared" si="136"/>
        <v>4809.1403316666665</v>
      </c>
      <c r="AA811">
        <f t="shared" si="137"/>
        <v>4802.9081100000003</v>
      </c>
      <c r="AB811">
        <f t="shared" si="138"/>
        <v>4780.147455833333</v>
      </c>
      <c r="AC811">
        <f t="shared" si="139"/>
        <v>4794.1305899999998</v>
      </c>
      <c r="AF811">
        <f t="shared" si="140"/>
        <v>4797.7077399999998</v>
      </c>
      <c r="AG811">
        <f t="shared" si="141"/>
        <v>4809.1403316666665</v>
      </c>
      <c r="AH811">
        <f t="shared" si="142"/>
        <v>4780.147455833333</v>
      </c>
    </row>
    <row r="812" spans="1:34" x14ac:dyDescent="0.55000000000000004">
      <c r="A812">
        <f>ALGLIB_SSA_XAUUSD!J812</f>
        <v>1775640600</v>
      </c>
      <c r="B812" t="str">
        <f>_xlfn.XLOOKUP($A812,ALGLIB_SSA_XAUUSD!$A$2:$A$1000,ALGLIB_SSA_XAUUSD!$B$2:$B$1000,"",0)</f>
        <v/>
      </c>
      <c r="C812" t="str">
        <f>_xlfn.XLOOKUP($A812,ALGLIB_SSA_XAUUSD!$A$2:$A$1000,ALGLIB_SSA_XAUUSD!$C$2:$C$1000,"",0)</f>
        <v/>
      </c>
      <c r="D812" s="1">
        <f>D806+(D818-D806)*6/12</f>
        <v>4782.8850000000002</v>
      </c>
      <c r="E812" s="1">
        <f>E806+(E818-E806)*6/12</f>
        <v>4792.0146800000002</v>
      </c>
      <c r="F812" s="1">
        <f>F806+(F818-F806)*6/12</f>
        <v>4795.4597100000001</v>
      </c>
      <c r="G812" s="1">
        <f>G806+(G818-G806)*6/12</f>
        <v>4809.0760900000005</v>
      </c>
      <c r="H812" s="1">
        <f>H806+(H818-H806)*6/12</f>
        <v>4779.6993849999999</v>
      </c>
      <c r="I812" t="str">
        <f>_xlfn.XLOOKUP($A812,ALGLIB_SSA_XAUUSD!$J$2:$J$1000,ALGLIB_SSA_XAUUSD!$K$2:$K$1000,"",0)</f>
        <v>XAUUSD</v>
      </c>
      <c r="J812" t="str">
        <f>_xlfn.XLOOKUP($A812,ALGLIB_SSA_XAUUSD!$J$2:$J$1000,ALGLIB_SSA_XAUUSD!$L$2:$L$1000,"",0)</f>
        <v>M5</v>
      </c>
      <c r="K812">
        <f>_xlfn.XLOOKUP($A812,ALGLIB_SSA_XAUUSD!$J$2:$J$1000,ALGLIB_SSA_XAUUSD!$M$2:$M$1000,"",0)</f>
        <v>4797.4799999999996</v>
      </c>
      <c r="L812">
        <f>_xlfn.XLOOKUP($A812,ALGLIB_SSA_XAUUSD!$J$2:$J$1000,ALGLIB_SSA_XAUUSD!$N$2:$N$1000,"",0)</f>
        <v>4795.5254599999998</v>
      </c>
      <c r="M812">
        <f>_xlfn.XLOOKUP($A812,ALGLIB_SSA_XAUUSD!$J$2:$J$1000,ALGLIB_SSA_XAUUSD!$O$2:$O$1000,"",0)</f>
        <v>4796.9420799999998</v>
      </c>
      <c r="N812">
        <f>_xlfn.XLOOKUP($A812,ALGLIB_SSA_XAUUSD!$J$2:$J$1000,ALGLIB_SSA_XAUUSD!$P$2:$P$1000,"",0)</f>
        <v>4801.5348899999999</v>
      </c>
      <c r="O812">
        <f>_xlfn.XLOOKUP($A812,ALGLIB_SSA_XAUUSD!$J$2:$J$1000,ALGLIB_SSA_XAUUSD!$Q$2:$Q$1000,"",0)</f>
        <v>4791.8401599999997</v>
      </c>
      <c r="R812">
        <f t="shared" si="132"/>
        <v>1775640600</v>
      </c>
      <c r="S812" t="str">
        <f t="shared" si="133"/>
        <v>XAUUSD</v>
      </c>
      <c r="T812" t="str">
        <f t="shared" si="134"/>
        <v>M5</v>
      </c>
      <c r="U812">
        <f t="shared" si="135"/>
        <v>4797.4799999999996</v>
      </c>
      <c r="V812">
        <v>4792.0146800000002</v>
      </c>
      <c r="W812">
        <v>4795.4597100000001</v>
      </c>
      <c r="X812">
        <v>4795.5254599999998</v>
      </c>
      <c r="Y812">
        <v>4796.9420799999998</v>
      </c>
      <c r="Z812">
        <f t="shared" si="136"/>
        <v>4809.0760900000005</v>
      </c>
      <c r="AA812">
        <f t="shared" si="137"/>
        <v>4801.5348899999999</v>
      </c>
      <c r="AB812">
        <f t="shared" si="138"/>
        <v>4779.6993849999999</v>
      </c>
      <c r="AC812">
        <f t="shared" si="139"/>
        <v>4791.8401599999997</v>
      </c>
      <c r="AF812">
        <f t="shared" si="140"/>
        <v>4795.5254599999998</v>
      </c>
      <c r="AG812">
        <f t="shared" si="141"/>
        <v>4809.0760900000005</v>
      </c>
      <c r="AH812">
        <f t="shared" si="142"/>
        <v>4779.6993849999999</v>
      </c>
    </row>
    <row r="813" spans="1:34" x14ac:dyDescent="0.55000000000000004">
      <c r="A813">
        <f>ALGLIB_SSA_XAUUSD!J813</f>
        <v>1775640900</v>
      </c>
      <c r="B813" t="str">
        <f>_xlfn.XLOOKUP($A813,ALGLIB_SSA_XAUUSD!$A$2:$A$1000,ALGLIB_SSA_XAUUSD!$B$2:$B$1000,"",0)</f>
        <v/>
      </c>
      <c r="C813" t="str">
        <f>_xlfn.XLOOKUP($A813,ALGLIB_SSA_XAUUSD!$A$2:$A$1000,ALGLIB_SSA_XAUUSD!$C$2:$C$1000,"",0)</f>
        <v/>
      </c>
      <c r="D813" s="1">
        <f>D806+(D818-D806)*7/12</f>
        <v>4782.8558333333331</v>
      </c>
      <c r="E813" s="1">
        <f>E806+(E818-E806)*7/12</f>
        <v>4791.8346200000005</v>
      </c>
      <c r="F813" s="1">
        <f>F806+(F818-F806)*7/12</f>
        <v>4795.2083000000002</v>
      </c>
      <c r="G813" s="1">
        <f>G806+(G818-G806)*7/12</f>
        <v>4809.0118483333335</v>
      </c>
      <c r="H813" s="1">
        <f>H806+(H818-H806)*7/12</f>
        <v>4779.2513141666668</v>
      </c>
      <c r="I813" t="str">
        <f>_xlfn.XLOOKUP($A813,ALGLIB_SSA_XAUUSD!$J$2:$J$1000,ALGLIB_SSA_XAUUSD!$K$2:$K$1000,"",0)</f>
        <v>XAUUSD</v>
      </c>
      <c r="J813" t="str">
        <f>_xlfn.XLOOKUP($A813,ALGLIB_SSA_XAUUSD!$J$2:$J$1000,ALGLIB_SSA_XAUUSD!$L$2:$L$1000,"",0)</f>
        <v>M5</v>
      </c>
      <c r="K813">
        <f>_xlfn.XLOOKUP($A813,ALGLIB_SSA_XAUUSD!$J$2:$J$1000,ALGLIB_SSA_XAUUSD!$M$2:$M$1000,"",0)</f>
        <v>4794.8599999999997</v>
      </c>
      <c r="L813">
        <f>_xlfn.XLOOKUP($A813,ALGLIB_SSA_XAUUSD!$J$2:$J$1000,ALGLIB_SSA_XAUUSD!$N$2:$N$1000,"",0)</f>
        <v>4792.8177999999998</v>
      </c>
      <c r="M813">
        <f>_xlfn.XLOOKUP($A813,ALGLIB_SSA_XAUUSD!$J$2:$J$1000,ALGLIB_SSA_XAUUSD!$O$2:$O$1000,"",0)</f>
        <v>4794.8799399999998</v>
      </c>
      <c r="N813">
        <f>_xlfn.XLOOKUP($A813,ALGLIB_SSA_XAUUSD!$J$2:$J$1000,ALGLIB_SSA_XAUUSD!$P$2:$P$1000,"",0)</f>
        <v>4799.2787500000004</v>
      </c>
      <c r="O813">
        <f>_xlfn.XLOOKUP($A813,ALGLIB_SSA_XAUUSD!$J$2:$J$1000,ALGLIB_SSA_XAUUSD!$Q$2:$Q$1000,"",0)</f>
        <v>4789.01548</v>
      </c>
      <c r="R813">
        <f t="shared" si="132"/>
        <v>1775640900</v>
      </c>
      <c r="S813" t="str">
        <f t="shared" si="133"/>
        <v>XAUUSD</v>
      </c>
      <c r="T813" t="str">
        <f t="shared" si="134"/>
        <v>M5</v>
      </c>
      <c r="U813">
        <f t="shared" si="135"/>
        <v>4794.8599999999997</v>
      </c>
      <c r="V813">
        <v>4791.8346199999996</v>
      </c>
      <c r="W813">
        <v>4795.2083000000002</v>
      </c>
      <c r="X813">
        <v>4792.8177999999998</v>
      </c>
      <c r="Y813">
        <v>4794.8799399999998</v>
      </c>
      <c r="Z813">
        <f t="shared" si="136"/>
        <v>4809.0118483333335</v>
      </c>
      <c r="AA813">
        <f t="shared" si="137"/>
        <v>4799.2787500000004</v>
      </c>
      <c r="AB813">
        <f t="shared" si="138"/>
        <v>4779.2513141666668</v>
      </c>
      <c r="AC813">
        <f t="shared" si="139"/>
        <v>4789.01548</v>
      </c>
      <c r="AF813">
        <f t="shared" si="140"/>
        <v>4792.8177999999998</v>
      </c>
      <c r="AG813">
        <f t="shared" si="141"/>
        <v>4809.0118483333335</v>
      </c>
      <c r="AH813">
        <f t="shared" si="142"/>
        <v>4779.2513141666668</v>
      </c>
    </row>
    <row r="814" spans="1:34" x14ac:dyDescent="0.55000000000000004">
      <c r="A814">
        <f>ALGLIB_SSA_XAUUSD!J814</f>
        <v>1775641200</v>
      </c>
      <c r="B814" t="str">
        <f>_xlfn.XLOOKUP($A814,ALGLIB_SSA_XAUUSD!$A$2:$A$1000,ALGLIB_SSA_XAUUSD!$B$2:$B$1000,"",0)</f>
        <v/>
      </c>
      <c r="C814" t="str">
        <f>_xlfn.XLOOKUP($A814,ALGLIB_SSA_XAUUSD!$A$2:$A$1000,ALGLIB_SSA_XAUUSD!$C$2:$C$1000,"",0)</f>
        <v/>
      </c>
      <c r="D814" s="1">
        <f>D806+(D818-D806)*8/12</f>
        <v>4782.8266666666668</v>
      </c>
      <c r="E814" s="1">
        <f>E806+(E818-E806)*8/12</f>
        <v>4791.6545599999999</v>
      </c>
      <c r="F814" s="1">
        <f>F806+(F818-F806)*8/12</f>
        <v>4794.9568900000004</v>
      </c>
      <c r="G814" s="1">
        <f>G806+(G818-G806)*8/12</f>
        <v>4808.9476066666666</v>
      </c>
      <c r="H814" s="1">
        <f>H806+(H818-H806)*8/12</f>
        <v>4778.8032433333328</v>
      </c>
      <c r="I814" t="str">
        <f>_xlfn.XLOOKUP($A814,ALGLIB_SSA_XAUUSD!$J$2:$J$1000,ALGLIB_SSA_XAUUSD!$K$2:$K$1000,"",0)</f>
        <v>XAUUSD</v>
      </c>
      <c r="J814" t="str">
        <f>_xlfn.XLOOKUP($A814,ALGLIB_SSA_XAUUSD!$J$2:$J$1000,ALGLIB_SSA_XAUUSD!$L$2:$L$1000,"",0)</f>
        <v>M5</v>
      </c>
      <c r="K814">
        <f>_xlfn.XLOOKUP($A814,ALGLIB_SSA_XAUUSD!$J$2:$J$1000,ALGLIB_SSA_XAUUSD!$M$2:$M$1000,"",0)</f>
        <v>4781.8999999999996</v>
      </c>
      <c r="L814">
        <f>_xlfn.XLOOKUP($A814,ALGLIB_SSA_XAUUSD!$J$2:$J$1000,ALGLIB_SSA_XAUUSD!$N$2:$N$1000,"",0)</f>
        <v>4789.9170199999999</v>
      </c>
      <c r="M814">
        <f>_xlfn.XLOOKUP($A814,ALGLIB_SSA_XAUUSD!$J$2:$J$1000,ALGLIB_SSA_XAUUSD!$O$2:$O$1000,"",0)</f>
        <v>4792.3984799999998</v>
      </c>
      <c r="N814">
        <f>_xlfn.XLOOKUP($A814,ALGLIB_SSA_XAUUSD!$J$2:$J$1000,ALGLIB_SSA_XAUUSD!$P$2:$P$1000,"",0)</f>
        <v>4796.3890000000001</v>
      </c>
      <c r="O814">
        <f>_xlfn.XLOOKUP($A814,ALGLIB_SSA_XAUUSD!$J$2:$J$1000,ALGLIB_SSA_XAUUSD!$Q$2:$Q$1000,"",0)</f>
        <v>4785.9866599999996</v>
      </c>
      <c r="R814">
        <f t="shared" si="132"/>
        <v>1775641200</v>
      </c>
      <c r="S814" t="str">
        <f t="shared" si="133"/>
        <v>XAUUSD</v>
      </c>
      <c r="T814" t="str">
        <f t="shared" si="134"/>
        <v>M5</v>
      </c>
      <c r="U814">
        <f t="shared" si="135"/>
        <v>4781.8999999999996</v>
      </c>
      <c r="V814">
        <v>4791.6545599999999</v>
      </c>
      <c r="W814">
        <v>4794.9568900000004</v>
      </c>
      <c r="X814">
        <v>4789.9170199999999</v>
      </c>
      <c r="Y814">
        <v>4792.3984799999998</v>
      </c>
      <c r="Z814">
        <f t="shared" si="136"/>
        <v>4808.9476066666666</v>
      </c>
      <c r="AA814">
        <f t="shared" si="137"/>
        <v>4796.3890000000001</v>
      </c>
      <c r="AB814">
        <f t="shared" si="138"/>
        <v>4778.8032433333328</v>
      </c>
      <c r="AC814">
        <f t="shared" si="139"/>
        <v>4785.9866599999996</v>
      </c>
      <c r="AF814">
        <f t="shared" si="140"/>
        <v>4789.9170199999999</v>
      </c>
      <c r="AG814">
        <f t="shared" si="141"/>
        <v>4808.9476066666666</v>
      </c>
      <c r="AH814">
        <f t="shared" si="142"/>
        <v>4778.8032433333328</v>
      </c>
    </row>
    <row r="815" spans="1:34" x14ac:dyDescent="0.55000000000000004">
      <c r="A815">
        <f>ALGLIB_SSA_XAUUSD!J815</f>
        <v>1775641500</v>
      </c>
      <c r="B815" t="str">
        <f>_xlfn.XLOOKUP($A815,ALGLIB_SSA_XAUUSD!$A$2:$A$1000,ALGLIB_SSA_XAUUSD!$B$2:$B$1000,"",0)</f>
        <v/>
      </c>
      <c r="C815" t="str">
        <f>_xlfn.XLOOKUP($A815,ALGLIB_SSA_XAUUSD!$A$2:$A$1000,ALGLIB_SSA_XAUUSD!$C$2:$C$1000,"",0)</f>
        <v/>
      </c>
      <c r="D815" s="1">
        <f>D806+(D818-D806)*9/12</f>
        <v>4782.7975000000006</v>
      </c>
      <c r="E815" s="1">
        <f>E806+(E818-E806)*9/12</f>
        <v>4791.4745000000003</v>
      </c>
      <c r="F815" s="1">
        <f>F806+(F818-F806)*9/12</f>
        <v>4794.7054800000005</v>
      </c>
      <c r="G815" s="1">
        <f>G806+(G818-G806)*9/12</f>
        <v>4808.8833649999997</v>
      </c>
      <c r="H815" s="1">
        <f>H806+(H818-H806)*9/12</f>
        <v>4778.3551724999998</v>
      </c>
      <c r="I815" t="str">
        <f>_xlfn.XLOOKUP($A815,ALGLIB_SSA_XAUUSD!$J$2:$J$1000,ALGLIB_SSA_XAUUSD!$K$2:$K$1000,"",0)</f>
        <v>XAUUSD</v>
      </c>
      <c r="J815" t="str">
        <f>_xlfn.XLOOKUP($A815,ALGLIB_SSA_XAUUSD!$J$2:$J$1000,ALGLIB_SSA_XAUUSD!$L$2:$L$1000,"",0)</f>
        <v>M5</v>
      </c>
      <c r="K815">
        <f>_xlfn.XLOOKUP($A815,ALGLIB_SSA_XAUUSD!$J$2:$J$1000,ALGLIB_SSA_XAUUSD!$M$2:$M$1000,"",0)</f>
        <v>4785.3999999999996</v>
      </c>
      <c r="L815">
        <f>_xlfn.XLOOKUP($A815,ALGLIB_SSA_XAUUSD!$J$2:$J$1000,ALGLIB_SSA_XAUUSD!$N$2:$N$1000,"",0)</f>
        <v>4787.3928500000002</v>
      </c>
      <c r="M815">
        <f>_xlfn.XLOOKUP($A815,ALGLIB_SSA_XAUUSD!$J$2:$J$1000,ALGLIB_SSA_XAUUSD!$O$2:$O$1000,"",0)</f>
        <v>4789.8956699999999</v>
      </c>
      <c r="N815">
        <f>_xlfn.XLOOKUP($A815,ALGLIB_SSA_XAUUSD!$J$2:$J$1000,ALGLIB_SSA_XAUUSD!$P$2:$P$1000,"",0)</f>
        <v>4793.2788</v>
      </c>
      <c r="O815">
        <f>_xlfn.XLOOKUP($A815,ALGLIB_SSA_XAUUSD!$J$2:$J$1000,ALGLIB_SSA_XAUUSD!$Q$2:$Q$1000,"",0)</f>
        <v>4783.4104900000002</v>
      </c>
      <c r="R815">
        <f t="shared" si="132"/>
        <v>1775641500</v>
      </c>
      <c r="S815" t="str">
        <f t="shared" si="133"/>
        <v>XAUUSD</v>
      </c>
      <c r="T815" t="str">
        <f t="shared" si="134"/>
        <v>M5</v>
      </c>
      <c r="U815">
        <f t="shared" si="135"/>
        <v>4785.3999999999996</v>
      </c>
      <c r="V815">
        <v>4791.4745000000003</v>
      </c>
      <c r="W815">
        <v>4794.7054799999996</v>
      </c>
      <c r="X815">
        <v>4787.3928500000002</v>
      </c>
      <c r="Y815">
        <v>4789.8956699999999</v>
      </c>
      <c r="Z815">
        <f t="shared" si="136"/>
        <v>4808.8833649999997</v>
      </c>
      <c r="AA815">
        <f t="shared" si="137"/>
        <v>4793.2788</v>
      </c>
      <c r="AB815">
        <f t="shared" si="138"/>
        <v>4778.3551724999998</v>
      </c>
      <c r="AC815">
        <f t="shared" si="139"/>
        <v>4783.4104900000002</v>
      </c>
      <c r="AF815">
        <f t="shared" si="140"/>
        <v>4787.3928500000002</v>
      </c>
      <c r="AG815">
        <f t="shared" si="141"/>
        <v>4808.8833649999997</v>
      </c>
      <c r="AH815">
        <f t="shared" si="142"/>
        <v>4778.3551724999998</v>
      </c>
    </row>
    <row r="816" spans="1:34" x14ac:dyDescent="0.55000000000000004">
      <c r="A816">
        <f>ALGLIB_SSA_XAUUSD!J816</f>
        <v>1775641800</v>
      </c>
      <c r="B816" t="str">
        <f>_xlfn.XLOOKUP($A816,ALGLIB_SSA_XAUUSD!$A$2:$A$1000,ALGLIB_SSA_XAUUSD!$B$2:$B$1000,"",0)</f>
        <v/>
      </c>
      <c r="C816" t="str">
        <f>_xlfn.XLOOKUP($A816,ALGLIB_SSA_XAUUSD!$A$2:$A$1000,ALGLIB_SSA_XAUUSD!$C$2:$C$1000,"",0)</f>
        <v/>
      </c>
      <c r="D816" s="1">
        <f>D806+(D818-D806)*10/12</f>
        <v>4782.7683333333334</v>
      </c>
      <c r="E816" s="1">
        <f>E806+(E818-E806)*10/12</f>
        <v>4791.2944400000006</v>
      </c>
      <c r="F816" s="1">
        <f>F806+(F818-F806)*10/12</f>
        <v>4794.4540699999998</v>
      </c>
      <c r="G816" s="1">
        <f>G806+(G818-G806)*10/12</f>
        <v>4808.8191233333328</v>
      </c>
      <c r="H816" s="1">
        <f>H806+(H818-H806)*10/12</f>
        <v>4777.9071016666667</v>
      </c>
      <c r="I816" t="str">
        <f>_xlfn.XLOOKUP($A816,ALGLIB_SSA_XAUUSD!$J$2:$J$1000,ALGLIB_SSA_XAUUSD!$K$2:$K$1000,"",0)</f>
        <v>XAUUSD</v>
      </c>
      <c r="J816" t="str">
        <f>_xlfn.XLOOKUP($A816,ALGLIB_SSA_XAUUSD!$J$2:$J$1000,ALGLIB_SSA_XAUUSD!$L$2:$L$1000,"",0)</f>
        <v>M5</v>
      </c>
      <c r="K816">
        <f>_xlfn.XLOOKUP($A816,ALGLIB_SSA_XAUUSD!$J$2:$J$1000,ALGLIB_SSA_XAUUSD!$M$2:$M$1000,"",0)</f>
        <v>4784.49</v>
      </c>
      <c r="L816">
        <f>_xlfn.XLOOKUP($A816,ALGLIB_SSA_XAUUSD!$J$2:$J$1000,ALGLIB_SSA_XAUUSD!$N$2:$N$1000,"",0)</f>
        <v>4785.3259099999996</v>
      </c>
      <c r="M816">
        <f>_xlfn.XLOOKUP($A816,ALGLIB_SSA_XAUUSD!$J$2:$J$1000,ALGLIB_SSA_XAUUSD!$O$2:$O$1000,"",0)</f>
        <v>4787.6107899999997</v>
      </c>
      <c r="N816">
        <f>_xlfn.XLOOKUP($A816,ALGLIB_SSA_XAUUSD!$J$2:$J$1000,ALGLIB_SSA_XAUUSD!$P$2:$P$1000,"",0)</f>
        <v>4790.4506000000001</v>
      </c>
      <c r="O816">
        <f>_xlfn.XLOOKUP($A816,ALGLIB_SSA_XAUUSD!$J$2:$J$1000,ALGLIB_SSA_XAUUSD!$Q$2:$Q$1000,"",0)</f>
        <v>4781.4365299999999</v>
      </c>
      <c r="R816">
        <f t="shared" si="132"/>
        <v>1775641800</v>
      </c>
      <c r="S816" t="str">
        <f t="shared" si="133"/>
        <v>XAUUSD</v>
      </c>
      <c r="T816" t="str">
        <f t="shared" si="134"/>
        <v>M5</v>
      </c>
      <c r="U816">
        <f t="shared" si="135"/>
        <v>4784.49</v>
      </c>
      <c r="V816">
        <v>4791.2944399999997</v>
      </c>
      <c r="W816">
        <v>4794.4540699999998</v>
      </c>
      <c r="X816">
        <v>4785.3259099999996</v>
      </c>
      <c r="Y816">
        <v>4787.6107899999997</v>
      </c>
      <c r="Z816">
        <f t="shared" si="136"/>
        <v>4808.8191233333328</v>
      </c>
      <c r="AA816">
        <f t="shared" si="137"/>
        <v>4790.4506000000001</v>
      </c>
      <c r="AB816">
        <f t="shared" si="138"/>
        <v>4777.9071016666667</v>
      </c>
      <c r="AC816">
        <f t="shared" si="139"/>
        <v>4781.4365299999999</v>
      </c>
      <c r="AF816">
        <f t="shared" si="140"/>
        <v>4785.3259099999996</v>
      </c>
      <c r="AG816">
        <f t="shared" si="141"/>
        <v>4808.8191233333328</v>
      </c>
      <c r="AH816">
        <f t="shared" si="142"/>
        <v>4777.9071016666667</v>
      </c>
    </row>
    <row r="817" spans="1:34" x14ac:dyDescent="0.55000000000000004">
      <c r="A817">
        <f>ALGLIB_SSA_XAUUSD!J817</f>
        <v>1775642100</v>
      </c>
      <c r="B817" t="str">
        <f>_xlfn.XLOOKUP($A817,ALGLIB_SSA_XAUUSD!$A$2:$A$1000,ALGLIB_SSA_XAUUSD!$B$2:$B$1000,"",0)</f>
        <v/>
      </c>
      <c r="C817" t="str">
        <f>_xlfn.XLOOKUP($A817,ALGLIB_SSA_XAUUSD!$A$2:$A$1000,ALGLIB_SSA_XAUUSD!$C$2:$C$1000,"",0)</f>
        <v/>
      </c>
      <c r="D817" s="1">
        <f>D806+(D818-D806)*11/12</f>
        <v>4782.7391666666663</v>
      </c>
      <c r="E817" s="1">
        <f>E806+(E818-E806)*11/12</f>
        <v>4791.11438</v>
      </c>
      <c r="F817" s="1">
        <f>F806+(F818-F806)*11/12</f>
        <v>4794.2026599999999</v>
      </c>
      <c r="G817" s="1">
        <f>G806+(G818-G806)*11/12</f>
        <v>4808.7548816666667</v>
      </c>
      <c r="H817" s="1">
        <f>H806+(H818-H806)*11/12</f>
        <v>4777.4590308333327</v>
      </c>
      <c r="I817" t="str">
        <f>_xlfn.XLOOKUP($A817,ALGLIB_SSA_XAUUSD!$J$2:$J$1000,ALGLIB_SSA_XAUUSD!$K$2:$K$1000,"",0)</f>
        <v>XAUUSD</v>
      </c>
      <c r="J817" t="str">
        <f>_xlfn.XLOOKUP($A817,ALGLIB_SSA_XAUUSD!$J$2:$J$1000,ALGLIB_SSA_XAUUSD!$L$2:$L$1000,"",0)</f>
        <v>M5</v>
      </c>
      <c r="K817">
        <f>_xlfn.XLOOKUP($A817,ALGLIB_SSA_XAUUSD!$J$2:$J$1000,ALGLIB_SSA_XAUUSD!$M$2:$M$1000,"",0)</f>
        <v>4783.0600000000004</v>
      </c>
      <c r="L817">
        <f>_xlfn.XLOOKUP($A817,ALGLIB_SSA_XAUUSD!$J$2:$J$1000,ALGLIB_SSA_XAUUSD!$N$2:$N$1000,"",0)</f>
        <v>4783.80555</v>
      </c>
      <c r="M817">
        <f>_xlfn.XLOOKUP($A817,ALGLIB_SSA_XAUUSD!$J$2:$J$1000,ALGLIB_SSA_XAUUSD!$O$2:$O$1000,"",0)</f>
        <v>4785.7081699999999</v>
      </c>
      <c r="N817">
        <f>_xlfn.XLOOKUP($A817,ALGLIB_SSA_XAUUSD!$J$2:$J$1000,ALGLIB_SSA_XAUUSD!$P$2:$P$1000,"",0)</f>
        <v>4788.0813699999999</v>
      </c>
      <c r="O817">
        <f>_xlfn.XLOOKUP($A817,ALGLIB_SSA_XAUUSD!$J$2:$J$1000,ALGLIB_SSA_XAUUSD!$Q$2:$Q$1000,"",0)</f>
        <v>4779.9138599999997</v>
      </c>
      <c r="R817">
        <f t="shared" si="132"/>
        <v>1775642100</v>
      </c>
      <c r="S817" t="str">
        <f t="shared" si="133"/>
        <v>XAUUSD</v>
      </c>
      <c r="T817" t="str">
        <f t="shared" si="134"/>
        <v>M5</v>
      </c>
      <c r="U817">
        <f t="shared" si="135"/>
        <v>4783.0600000000004</v>
      </c>
      <c r="V817">
        <v>4791.11438</v>
      </c>
      <c r="W817">
        <v>4794.2026599999999</v>
      </c>
      <c r="X817">
        <v>4783.80555</v>
      </c>
      <c r="Y817">
        <v>4785.7081699999999</v>
      </c>
      <c r="Z817">
        <f t="shared" si="136"/>
        <v>4808.7548816666667</v>
      </c>
      <c r="AA817">
        <f t="shared" si="137"/>
        <v>4788.0813699999999</v>
      </c>
      <c r="AB817">
        <f t="shared" si="138"/>
        <v>4777.4590308333327</v>
      </c>
      <c r="AC817">
        <f t="shared" si="139"/>
        <v>4779.9138599999997</v>
      </c>
      <c r="AF817">
        <f t="shared" si="140"/>
        <v>4783.80555</v>
      </c>
      <c r="AG817">
        <f t="shared" si="141"/>
        <v>4808.7548816666667</v>
      </c>
      <c r="AH817">
        <f t="shared" si="142"/>
        <v>4777.4590308333327</v>
      </c>
    </row>
    <row r="818" spans="1:34" x14ac:dyDescent="0.55000000000000004">
      <c r="A818">
        <f>ALGLIB_SSA_XAUUSD!J818</f>
        <v>1775642400</v>
      </c>
      <c r="B818" t="str">
        <f>_xlfn.XLOOKUP($A818,ALGLIB_SSA_XAUUSD!$A$2:$A$1000,ALGLIB_SSA_XAUUSD!$B$2:$B$1000,"",0)</f>
        <v>XAUUSD</v>
      </c>
      <c r="C818" t="str">
        <f>_xlfn.XLOOKUP($A818,ALGLIB_SSA_XAUUSD!$A$2:$A$1000,ALGLIB_SSA_XAUUSD!$C$2:$C$1000,"",0)</f>
        <v>H1</v>
      </c>
      <c r="D818" s="2">
        <f>_xlfn.XLOOKUP($A818,ALGLIB_SSA_XAUUSD!$A$2:$A$1000,ALGLIB_SSA_XAUUSD!$D$2:$D$1000,"",0)</f>
        <v>4782.71</v>
      </c>
      <c r="E818" s="2">
        <f>_xlfn.XLOOKUP($A818,ALGLIB_SSA_XAUUSD!$A$2:$A$1000,ALGLIB_SSA_XAUUSD!$E$2:$E$1000,"",0)</f>
        <v>4790.9343200000003</v>
      </c>
      <c r="F818" s="2">
        <f>_xlfn.XLOOKUP($A818,ALGLIB_SSA_XAUUSD!$A$2:$A$1000,ALGLIB_SSA_XAUUSD!$F$2:$F$1000,"",0)</f>
        <v>4793.9512500000001</v>
      </c>
      <c r="G818" s="2">
        <f>_xlfn.XLOOKUP($A818,ALGLIB_SSA_XAUUSD!$A$2:$A$1000,ALGLIB_SSA_XAUUSD!$G$2:$G$1000,"",0)</f>
        <v>4808.6906399999998</v>
      </c>
      <c r="H818" s="2">
        <f>_xlfn.XLOOKUP($A818,ALGLIB_SSA_XAUUSD!$A$2:$A$1000,ALGLIB_SSA_XAUUSD!$H$2:$H$1000,"",0)</f>
        <v>4777.0109599999996</v>
      </c>
      <c r="I818" t="str">
        <f>_xlfn.XLOOKUP($A818,ALGLIB_SSA_XAUUSD!$J$2:$J$1000,ALGLIB_SSA_XAUUSD!$K$2:$K$1000,"",0)</f>
        <v>XAUUSD</v>
      </c>
      <c r="J818" t="str">
        <f>_xlfn.XLOOKUP($A818,ALGLIB_SSA_XAUUSD!$J$2:$J$1000,ALGLIB_SSA_XAUUSD!$L$2:$L$1000,"",0)</f>
        <v>M5</v>
      </c>
      <c r="K818">
        <f>_xlfn.XLOOKUP($A818,ALGLIB_SSA_XAUUSD!$J$2:$J$1000,ALGLIB_SSA_XAUUSD!$M$2:$M$1000,"",0)</f>
        <v>4788.7700000000004</v>
      </c>
      <c r="L818">
        <f>_xlfn.XLOOKUP($A818,ALGLIB_SSA_XAUUSD!$J$2:$J$1000,ALGLIB_SSA_XAUUSD!$N$2:$N$1000,"",0)</f>
        <v>4782.8072099999999</v>
      </c>
      <c r="M818">
        <f>_xlfn.XLOOKUP($A818,ALGLIB_SSA_XAUUSD!$J$2:$J$1000,ALGLIB_SSA_XAUUSD!$O$2:$O$1000,"",0)</f>
        <v>4784.2576900000004</v>
      </c>
      <c r="N818">
        <f>_xlfn.XLOOKUP($A818,ALGLIB_SSA_XAUUSD!$J$2:$J$1000,ALGLIB_SSA_XAUUSD!$P$2:$P$1000,"",0)</f>
        <v>4786.3532999999998</v>
      </c>
      <c r="O818">
        <f>_xlfn.XLOOKUP($A818,ALGLIB_SSA_XAUUSD!$J$2:$J$1000,ALGLIB_SSA_XAUUSD!$Q$2:$Q$1000,"",0)</f>
        <v>4778.8952499999996</v>
      </c>
      <c r="R818">
        <f t="shared" si="132"/>
        <v>1775642400</v>
      </c>
      <c r="S818" t="str">
        <f t="shared" si="133"/>
        <v>XAUUSD</v>
      </c>
      <c r="T818" t="str">
        <f t="shared" si="134"/>
        <v>M5</v>
      </c>
      <c r="U818">
        <f t="shared" si="135"/>
        <v>4788.7700000000004</v>
      </c>
      <c r="V818">
        <v>4790.9343200000003</v>
      </c>
      <c r="W818">
        <v>4793.9512500000001</v>
      </c>
      <c r="X818">
        <v>4782.8072099999999</v>
      </c>
      <c r="Y818">
        <v>4784.2576900000004</v>
      </c>
      <c r="Z818">
        <f t="shared" si="136"/>
        <v>4808.6906399999998</v>
      </c>
      <c r="AA818">
        <f t="shared" si="137"/>
        <v>4786.3532999999998</v>
      </c>
      <c r="AB818">
        <f t="shared" si="138"/>
        <v>4777.0109599999996</v>
      </c>
      <c r="AC818">
        <f t="shared" si="139"/>
        <v>4778.8952499999996</v>
      </c>
      <c r="AF818">
        <f t="shared" si="140"/>
        <v>4782.8072099999999</v>
      </c>
      <c r="AG818">
        <f t="shared" si="141"/>
        <v>4808.6906399999998</v>
      </c>
      <c r="AH818">
        <f t="shared" si="142"/>
        <v>4777.0109599999996</v>
      </c>
    </row>
    <row r="819" spans="1:34" x14ac:dyDescent="0.55000000000000004">
      <c r="A819">
        <f>ALGLIB_SSA_XAUUSD!J819</f>
        <v>1775642700</v>
      </c>
      <c r="B819" t="str">
        <f>_xlfn.XLOOKUP($A819,ALGLIB_SSA_XAUUSD!$A$2:$A$1000,ALGLIB_SSA_XAUUSD!$B$2:$B$1000,"",0)</f>
        <v/>
      </c>
      <c r="C819" t="str">
        <f>_xlfn.XLOOKUP($A819,ALGLIB_SSA_XAUUSD!$A$2:$A$1000,ALGLIB_SSA_XAUUSD!$C$2:$C$1000,"",0)</f>
        <v/>
      </c>
      <c r="D819" s="1">
        <f>D818+(D830-D818)*1/12</f>
        <v>4784.0091666666667</v>
      </c>
      <c r="E819" s="1">
        <f>E818+(E830-E818)*1/12</f>
        <v>4790.7385308333332</v>
      </c>
      <c r="F819" s="1">
        <f>F818+(F830-F818)*1/12</f>
        <v>4793.7276499999998</v>
      </c>
      <c r="G819" s="1">
        <f>G818+(G830-G818)*1/12</f>
        <v>4808.6057558333332</v>
      </c>
      <c r="H819" s="1">
        <f>H818+(H830-H818)*1/12</f>
        <v>4776.5830058333331</v>
      </c>
      <c r="I819" t="str">
        <f>_xlfn.XLOOKUP($A819,ALGLIB_SSA_XAUUSD!$J$2:$J$1000,ALGLIB_SSA_XAUUSD!$K$2:$K$1000,"",0)</f>
        <v>XAUUSD</v>
      </c>
      <c r="J819" t="str">
        <f>_xlfn.XLOOKUP($A819,ALGLIB_SSA_XAUUSD!$J$2:$J$1000,ALGLIB_SSA_XAUUSD!$L$2:$L$1000,"",0)</f>
        <v>M5</v>
      </c>
      <c r="K819">
        <f>_xlfn.XLOOKUP($A819,ALGLIB_SSA_XAUUSD!$J$2:$J$1000,ALGLIB_SSA_XAUUSD!$M$2:$M$1000,"",0)</f>
        <v>4788.0600000000004</v>
      </c>
      <c r="L819">
        <f>_xlfn.XLOOKUP($A819,ALGLIB_SSA_XAUUSD!$J$2:$J$1000,ALGLIB_SSA_XAUUSD!$N$2:$N$1000,"",0)</f>
        <v>4782.1177299999999</v>
      </c>
      <c r="M819">
        <f>_xlfn.XLOOKUP($A819,ALGLIB_SSA_XAUUSD!$J$2:$J$1000,ALGLIB_SSA_XAUUSD!$O$2:$O$1000,"",0)</f>
        <v>4783.1877100000002</v>
      </c>
      <c r="N819">
        <f>_xlfn.XLOOKUP($A819,ALGLIB_SSA_XAUUSD!$J$2:$J$1000,ALGLIB_SSA_XAUUSD!$P$2:$P$1000,"",0)</f>
        <v>4785.1604900000002</v>
      </c>
      <c r="O819">
        <f>_xlfn.XLOOKUP($A819,ALGLIB_SSA_XAUUSD!$J$2:$J$1000,ALGLIB_SSA_XAUUSD!$Q$2:$Q$1000,"",0)</f>
        <v>4778.2278200000001</v>
      </c>
      <c r="R819">
        <f t="shared" si="132"/>
        <v>1775642700</v>
      </c>
      <c r="S819" t="str">
        <f t="shared" si="133"/>
        <v>XAUUSD</v>
      </c>
      <c r="T819" t="str">
        <f t="shared" si="134"/>
        <v>M5</v>
      </c>
      <c r="U819">
        <f t="shared" si="135"/>
        <v>4788.0600000000004</v>
      </c>
      <c r="V819">
        <v>4790.7385299999996</v>
      </c>
      <c r="W819">
        <v>4793.7276499999998</v>
      </c>
      <c r="X819">
        <v>4782.1177299999999</v>
      </c>
      <c r="Y819">
        <v>4783.1877100000002</v>
      </c>
      <c r="Z819">
        <f t="shared" si="136"/>
        <v>4808.6057558333332</v>
      </c>
      <c r="AA819">
        <f t="shared" si="137"/>
        <v>4785.1604900000002</v>
      </c>
      <c r="AB819">
        <f t="shared" si="138"/>
        <v>4776.5830058333331</v>
      </c>
      <c r="AC819">
        <f t="shared" si="139"/>
        <v>4778.2278200000001</v>
      </c>
      <c r="AF819">
        <f t="shared" si="140"/>
        <v>4782.1177299999999</v>
      </c>
      <c r="AG819">
        <f t="shared" si="141"/>
        <v>4808.6057558333332</v>
      </c>
      <c r="AH819">
        <f t="shared" si="142"/>
        <v>4776.5830058333331</v>
      </c>
    </row>
    <row r="820" spans="1:34" x14ac:dyDescent="0.55000000000000004">
      <c r="A820">
        <f>ALGLIB_SSA_XAUUSD!J820</f>
        <v>1775643000</v>
      </c>
      <c r="B820" t="str">
        <f>_xlfn.XLOOKUP($A820,ALGLIB_SSA_XAUUSD!$A$2:$A$1000,ALGLIB_SSA_XAUUSD!$B$2:$B$1000,"",0)</f>
        <v/>
      </c>
      <c r="C820" t="str">
        <f>_xlfn.XLOOKUP($A820,ALGLIB_SSA_XAUUSD!$A$2:$A$1000,ALGLIB_SSA_XAUUSD!$C$2:$C$1000,"",0)</f>
        <v/>
      </c>
      <c r="D820" s="1">
        <f>D818+(D830-D818)*2/12</f>
        <v>4785.3083333333334</v>
      </c>
      <c r="E820" s="1">
        <f>E818+(E830-E818)*2/12</f>
        <v>4790.5427416666671</v>
      </c>
      <c r="F820" s="1">
        <f>F818+(F830-F818)*2/12</f>
        <v>4793.5040499999996</v>
      </c>
      <c r="G820" s="1">
        <f>G818+(G830-G818)*2/12</f>
        <v>4808.5208716666666</v>
      </c>
      <c r="H820" s="1">
        <f>H818+(H830-H818)*2/12</f>
        <v>4776.1550516666666</v>
      </c>
      <c r="I820" t="str">
        <f>_xlfn.XLOOKUP($A820,ALGLIB_SSA_XAUUSD!$J$2:$J$1000,ALGLIB_SSA_XAUUSD!$K$2:$K$1000,"",0)</f>
        <v>XAUUSD</v>
      </c>
      <c r="J820" t="str">
        <f>_xlfn.XLOOKUP($A820,ALGLIB_SSA_XAUUSD!$J$2:$J$1000,ALGLIB_SSA_XAUUSD!$L$2:$L$1000,"",0)</f>
        <v>M5</v>
      </c>
      <c r="K820">
        <f>_xlfn.XLOOKUP($A820,ALGLIB_SSA_XAUUSD!$J$2:$J$1000,ALGLIB_SSA_XAUUSD!$M$2:$M$1000,"",0)</f>
        <v>4782.7700000000004</v>
      </c>
      <c r="L820">
        <f>_xlfn.XLOOKUP($A820,ALGLIB_SSA_XAUUSD!$J$2:$J$1000,ALGLIB_SSA_XAUUSD!$N$2:$N$1000,"",0)</f>
        <v>4781.7229200000002</v>
      </c>
      <c r="M820">
        <f>_xlfn.XLOOKUP($A820,ALGLIB_SSA_XAUUSD!$J$2:$J$1000,ALGLIB_SSA_XAUUSD!$O$2:$O$1000,"",0)</f>
        <v>4782.45532</v>
      </c>
      <c r="N820">
        <f>_xlfn.XLOOKUP($A820,ALGLIB_SSA_XAUUSD!$J$2:$J$1000,ALGLIB_SSA_XAUUSD!$P$2:$P$1000,"",0)</f>
        <v>4784.5085399999998</v>
      </c>
      <c r="O820">
        <f>_xlfn.XLOOKUP($A820,ALGLIB_SSA_XAUUSD!$J$2:$J$1000,ALGLIB_SSA_XAUUSD!$Q$2:$Q$1000,"",0)</f>
        <v>4777.7585600000002</v>
      </c>
      <c r="R820">
        <f t="shared" si="132"/>
        <v>1775643000</v>
      </c>
      <c r="S820" t="str">
        <f t="shared" si="133"/>
        <v>XAUUSD</v>
      </c>
      <c r="T820" t="str">
        <f t="shared" si="134"/>
        <v>M5</v>
      </c>
      <c r="U820">
        <f t="shared" si="135"/>
        <v>4782.7700000000004</v>
      </c>
      <c r="V820">
        <v>4790.5427399999999</v>
      </c>
      <c r="W820">
        <v>4793.5040499999996</v>
      </c>
      <c r="X820">
        <v>4781.7229200000002</v>
      </c>
      <c r="Y820">
        <v>4782.45532</v>
      </c>
      <c r="Z820">
        <f t="shared" si="136"/>
        <v>4808.5208716666666</v>
      </c>
      <c r="AA820">
        <f t="shared" si="137"/>
        <v>4784.5085399999998</v>
      </c>
      <c r="AB820">
        <f t="shared" si="138"/>
        <v>4776.1550516666666</v>
      </c>
      <c r="AC820">
        <f t="shared" si="139"/>
        <v>4777.7585600000002</v>
      </c>
      <c r="AF820">
        <f t="shared" si="140"/>
        <v>4781.7229200000002</v>
      </c>
      <c r="AG820">
        <f t="shared" si="141"/>
        <v>4808.5208716666666</v>
      </c>
      <c r="AH820">
        <f t="shared" si="142"/>
        <v>4776.1550516666666</v>
      </c>
    </row>
    <row r="821" spans="1:34" x14ac:dyDescent="0.55000000000000004">
      <c r="A821">
        <f>ALGLIB_SSA_XAUUSD!J821</f>
        <v>1775643300</v>
      </c>
      <c r="B821" t="str">
        <f>_xlfn.XLOOKUP($A821,ALGLIB_SSA_XAUUSD!$A$2:$A$1000,ALGLIB_SSA_XAUUSD!$B$2:$B$1000,"",0)</f>
        <v/>
      </c>
      <c r="C821" t="str">
        <f>_xlfn.XLOOKUP($A821,ALGLIB_SSA_XAUUSD!$A$2:$A$1000,ALGLIB_SSA_XAUUSD!$C$2:$C$1000,"",0)</f>
        <v/>
      </c>
      <c r="D821" s="1">
        <f>D818+(D830-D818)*3/12</f>
        <v>4786.6075000000001</v>
      </c>
      <c r="E821" s="1">
        <f>E818+(E830-E818)*3/12</f>
        <v>4790.3469525</v>
      </c>
      <c r="F821" s="1">
        <f>F818+(F830-F818)*3/12</f>
        <v>4793.2804500000002</v>
      </c>
      <c r="G821" s="1">
        <f>G818+(G830-G818)*3/12</f>
        <v>4808.4359875</v>
      </c>
      <c r="H821" s="1">
        <f>H818+(H830-H818)*3/12</f>
        <v>4775.7270974999992</v>
      </c>
      <c r="I821" t="str">
        <f>_xlfn.XLOOKUP($A821,ALGLIB_SSA_XAUUSD!$J$2:$J$1000,ALGLIB_SSA_XAUUSD!$K$2:$K$1000,"",0)</f>
        <v>XAUUSD</v>
      </c>
      <c r="J821" t="str">
        <f>_xlfn.XLOOKUP($A821,ALGLIB_SSA_XAUUSD!$J$2:$J$1000,ALGLIB_SSA_XAUUSD!$L$2:$L$1000,"",0)</f>
        <v>M5</v>
      </c>
      <c r="K821">
        <f>_xlfn.XLOOKUP($A821,ALGLIB_SSA_XAUUSD!$J$2:$J$1000,ALGLIB_SSA_XAUUSD!$M$2:$M$1000,"",0)</f>
        <v>4776.51</v>
      </c>
      <c r="L821">
        <f>_xlfn.XLOOKUP($A821,ALGLIB_SSA_XAUUSD!$J$2:$J$1000,ALGLIB_SSA_XAUUSD!$N$2:$N$1000,"",0)</f>
        <v>4781.7722000000003</v>
      </c>
      <c r="M821">
        <f>_xlfn.XLOOKUP($A821,ALGLIB_SSA_XAUUSD!$J$2:$J$1000,ALGLIB_SSA_XAUUSD!$O$2:$O$1000,"",0)</f>
        <v>4782.1137600000002</v>
      </c>
      <c r="N821">
        <f>_xlfn.XLOOKUP($A821,ALGLIB_SSA_XAUUSD!$J$2:$J$1000,ALGLIB_SSA_XAUUSD!$P$2:$P$1000,"",0)</f>
        <v>4784.4058199999999</v>
      </c>
      <c r="O821">
        <f>_xlfn.XLOOKUP($A821,ALGLIB_SSA_XAUUSD!$J$2:$J$1000,ALGLIB_SSA_XAUUSD!$Q$2:$Q$1000,"",0)</f>
        <v>4777.5870100000002</v>
      </c>
      <c r="R821">
        <f t="shared" si="132"/>
        <v>1775643300</v>
      </c>
      <c r="S821" t="str">
        <f t="shared" si="133"/>
        <v>XAUUSD</v>
      </c>
      <c r="T821" t="str">
        <f t="shared" si="134"/>
        <v>M5</v>
      </c>
      <c r="U821">
        <f t="shared" si="135"/>
        <v>4776.51</v>
      </c>
      <c r="V821">
        <v>4790.3469500000001</v>
      </c>
      <c r="W821">
        <v>4793.2804500000002</v>
      </c>
      <c r="X821">
        <v>4781.7722000000003</v>
      </c>
      <c r="Y821">
        <v>4782.1137600000002</v>
      </c>
      <c r="Z821">
        <f t="shared" si="136"/>
        <v>4808.4359875</v>
      </c>
      <c r="AA821">
        <f t="shared" si="137"/>
        <v>4784.4058199999999</v>
      </c>
      <c r="AB821">
        <f t="shared" si="138"/>
        <v>4775.7270974999992</v>
      </c>
      <c r="AC821">
        <f t="shared" si="139"/>
        <v>4777.5870100000002</v>
      </c>
      <c r="AF821">
        <f t="shared" si="140"/>
        <v>4781.7722000000003</v>
      </c>
      <c r="AG821">
        <f t="shared" si="141"/>
        <v>4808.4359875</v>
      </c>
      <c r="AH821">
        <f t="shared" si="142"/>
        <v>4775.7270974999992</v>
      </c>
    </row>
    <row r="822" spans="1:34" x14ac:dyDescent="0.55000000000000004">
      <c r="A822">
        <f>ALGLIB_SSA_XAUUSD!J822</f>
        <v>1775643600</v>
      </c>
      <c r="B822" t="str">
        <f>_xlfn.XLOOKUP($A822,ALGLIB_SSA_XAUUSD!$A$2:$A$1000,ALGLIB_SSA_XAUUSD!$B$2:$B$1000,"",0)</f>
        <v/>
      </c>
      <c r="C822" t="str">
        <f>_xlfn.XLOOKUP($A822,ALGLIB_SSA_XAUUSD!$A$2:$A$1000,ALGLIB_SSA_XAUUSD!$C$2:$C$1000,"",0)</f>
        <v/>
      </c>
      <c r="D822" s="1">
        <f>D818+(D830-D818)*4/12</f>
        <v>4787.9066666666668</v>
      </c>
      <c r="E822" s="1">
        <f>E818+(E830-E818)*4/12</f>
        <v>4790.1511633333339</v>
      </c>
      <c r="F822" s="1">
        <f>F818+(F830-F818)*4/12</f>
        <v>4793.0568499999999</v>
      </c>
      <c r="G822" s="1">
        <f>G818+(G830-G818)*4/12</f>
        <v>4808.3511033333334</v>
      </c>
      <c r="H822" s="1">
        <f>H818+(H830-H818)*4/12</f>
        <v>4775.2991433333327</v>
      </c>
      <c r="I822" t="str">
        <f>_xlfn.XLOOKUP($A822,ALGLIB_SSA_XAUUSD!$J$2:$J$1000,ALGLIB_SSA_XAUUSD!$K$2:$K$1000,"",0)</f>
        <v>XAUUSD</v>
      </c>
      <c r="J822" t="str">
        <f>_xlfn.XLOOKUP($A822,ALGLIB_SSA_XAUUSD!$J$2:$J$1000,ALGLIB_SSA_XAUUSD!$L$2:$L$1000,"",0)</f>
        <v>M5</v>
      </c>
      <c r="K822">
        <f>_xlfn.XLOOKUP($A822,ALGLIB_SSA_XAUUSD!$J$2:$J$1000,ALGLIB_SSA_XAUUSD!$M$2:$M$1000,"",0)</f>
        <v>4778.6899999999996</v>
      </c>
      <c r="L822">
        <f>_xlfn.XLOOKUP($A822,ALGLIB_SSA_XAUUSD!$J$2:$J$1000,ALGLIB_SSA_XAUUSD!$N$2:$N$1000,"",0)</f>
        <v>4782.4230299999999</v>
      </c>
      <c r="M822">
        <f>_xlfn.XLOOKUP($A822,ALGLIB_SSA_XAUUSD!$J$2:$J$1000,ALGLIB_SSA_XAUUSD!$O$2:$O$1000,"",0)</f>
        <v>4782.2683999999999</v>
      </c>
      <c r="N822">
        <f>_xlfn.XLOOKUP($A822,ALGLIB_SSA_XAUUSD!$J$2:$J$1000,ALGLIB_SSA_XAUUSD!$P$2:$P$1000,"",0)</f>
        <v>4784.9299300000002</v>
      </c>
      <c r="O822">
        <f>_xlfn.XLOOKUP($A822,ALGLIB_SSA_XAUUSD!$J$2:$J$1000,ALGLIB_SSA_XAUUSD!$Q$2:$Q$1000,"",0)</f>
        <v>4778.0565500000002</v>
      </c>
      <c r="R822">
        <f t="shared" si="132"/>
        <v>1775643600</v>
      </c>
      <c r="S822" t="str">
        <f t="shared" si="133"/>
        <v>XAUUSD</v>
      </c>
      <c r="T822" t="str">
        <f t="shared" si="134"/>
        <v>M5</v>
      </c>
      <c r="U822">
        <f t="shared" si="135"/>
        <v>4778.6899999999996</v>
      </c>
      <c r="V822">
        <v>4790.1511600000003</v>
      </c>
      <c r="W822">
        <v>4793.0568499999999</v>
      </c>
      <c r="X822">
        <v>4782.4230299999999</v>
      </c>
      <c r="Y822">
        <v>4782.2683999999999</v>
      </c>
      <c r="Z822">
        <f t="shared" si="136"/>
        <v>4808.3511033333334</v>
      </c>
      <c r="AA822">
        <f t="shared" si="137"/>
        <v>4784.9299300000002</v>
      </c>
      <c r="AB822">
        <f t="shared" si="138"/>
        <v>4775.2991433333327</v>
      </c>
      <c r="AC822">
        <f t="shared" si="139"/>
        <v>4778.0565500000002</v>
      </c>
      <c r="AF822">
        <f t="shared" si="140"/>
        <v>4782.4230299999999</v>
      </c>
      <c r="AG822">
        <f t="shared" si="141"/>
        <v>4808.3511033333334</v>
      </c>
      <c r="AH822">
        <f t="shared" si="142"/>
        <v>4775.2991433333327</v>
      </c>
    </row>
    <row r="823" spans="1:34" x14ac:dyDescent="0.55000000000000004">
      <c r="A823">
        <f>ALGLIB_SSA_XAUUSD!J823</f>
        <v>1775643900</v>
      </c>
      <c r="B823" t="str">
        <f>_xlfn.XLOOKUP($A823,ALGLIB_SSA_XAUUSD!$A$2:$A$1000,ALGLIB_SSA_XAUUSD!$B$2:$B$1000,"",0)</f>
        <v/>
      </c>
      <c r="C823" t="str">
        <f>_xlfn.XLOOKUP($A823,ALGLIB_SSA_XAUUSD!$A$2:$A$1000,ALGLIB_SSA_XAUUSD!$C$2:$C$1000,"",0)</f>
        <v/>
      </c>
      <c r="D823" s="1">
        <f>D818+(D830-D818)*5/12</f>
        <v>4789.2058333333334</v>
      </c>
      <c r="E823" s="1">
        <f>E818+(E830-E818)*5/12</f>
        <v>4789.9553741666668</v>
      </c>
      <c r="F823" s="1">
        <f>F818+(F830-F818)*5/12</f>
        <v>4792.8332499999997</v>
      </c>
      <c r="G823" s="1">
        <f>G818+(G830-G818)*5/12</f>
        <v>4808.2662191666668</v>
      </c>
      <c r="H823" s="1">
        <f>H818+(H830-H818)*5/12</f>
        <v>4774.8711891666662</v>
      </c>
      <c r="I823" t="str">
        <f>_xlfn.XLOOKUP($A823,ALGLIB_SSA_XAUUSD!$J$2:$J$1000,ALGLIB_SSA_XAUUSD!$K$2:$K$1000,"",0)</f>
        <v>XAUUSD</v>
      </c>
      <c r="J823" t="str">
        <f>_xlfn.XLOOKUP($A823,ALGLIB_SSA_XAUUSD!$J$2:$J$1000,ALGLIB_SSA_XAUUSD!$L$2:$L$1000,"",0)</f>
        <v>M5</v>
      </c>
      <c r="K823">
        <f>_xlfn.XLOOKUP($A823,ALGLIB_SSA_XAUUSD!$J$2:$J$1000,ALGLIB_SSA_XAUUSD!$M$2:$M$1000,"",0)</f>
        <v>4782.6099999999997</v>
      </c>
      <c r="L823">
        <f>_xlfn.XLOOKUP($A823,ALGLIB_SSA_XAUUSD!$J$2:$J$1000,ALGLIB_SSA_XAUUSD!$N$2:$N$1000,"",0)</f>
        <v>4783.58</v>
      </c>
      <c r="M823">
        <f>_xlfn.XLOOKUP($A823,ALGLIB_SSA_XAUUSD!$J$2:$J$1000,ALGLIB_SSA_XAUUSD!$O$2:$O$1000,"",0)</f>
        <v>4782.9242000000004</v>
      </c>
      <c r="N823">
        <f>_xlfn.XLOOKUP($A823,ALGLIB_SSA_XAUUSD!$J$2:$J$1000,ALGLIB_SSA_XAUUSD!$P$2:$P$1000,"",0)</f>
        <v>4786.0493999999999</v>
      </c>
      <c r="O823">
        <f>_xlfn.XLOOKUP($A823,ALGLIB_SSA_XAUUSD!$J$2:$J$1000,ALGLIB_SSA_XAUUSD!$Q$2:$Q$1000,"",0)</f>
        <v>4779.1751299999996</v>
      </c>
      <c r="R823">
        <f t="shared" si="132"/>
        <v>1775643900</v>
      </c>
      <c r="S823" t="str">
        <f t="shared" si="133"/>
        <v>XAUUSD</v>
      </c>
      <c r="T823" t="str">
        <f t="shared" si="134"/>
        <v>M5</v>
      </c>
      <c r="U823">
        <f t="shared" si="135"/>
        <v>4782.6099999999997</v>
      </c>
      <c r="V823">
        <v>4789.9553699999997</v>
      </c>
      <c r="W823">
        <v>4792.8332499999997</v>
      </c>
      <c r="X823">
        <v>4783.58</v>
      </c>
      <c r="Y823">
        <v>4782.9242000000004</v>
      </c>
      <c r="Z823">
        <f t="shared" si="136"/>
        <v>4808.2662191666668</v>
      </c>
      <c r="AA823">
        <f t="shared" si="137"/>
        <v>4786.0493999999999</v>
      </c>
      <c r="AB823">
        <f t="shared" si="138"/>
        <v>4774.8711891666662</v>
      </c>
      <c r="AC823">
        <f t="shared" si="139"/>
        <v>4779.1751299999996</v>
      </c>
      <c r="AF823">
        <f t="shared" si="140"/>
        <v>4783.58</v>
      </c>
      <c r="AG823">
        <f t="shared" si="141"/>
        <v>4808.2662191666668</v>
      </c>
      <c r="AH823">
        <f t="shared" si="142"/>
        <v>4774.8711891666662</v>
      </c>
    </row>
    <row r="824" spans="1:34" x14ac:dyDescent="0.55000000000000004">
      <c r="A824">
        <f>ALGLIB_SSA_XAUUSD!J824</f>
        <v>1775644200</v>
      </c>
      <c r="B824" t="str">
        <f>_xlfn.XLOOKUP($A824,ALGLIB_SSA_XAUUSD!$A$2:$A$1000,ALGLIB_SSA_XAUUSD!$B$2:$B$1000,"",0)</f>
        <v/>
      </c>
      <c r="C824" t="str">
        <f>_xlfn.XLOOKUP($A824,ALGLIB_SSA_XAUUSD!$A$2:$A$1000,ALGLIB_SSA_XAUUSD!$C$2:$C$1000,"",0)</f>
        <v/>
      </c>
      <c r="D824" s="1">
        <f>D818+(D830-D818)*6/12</f>
        <v>4790.5050000000001</v>
      </c>
      <c r="E824" s="1">
        <f>E818+(E830-E818)*6/12</f>
        <v>4789.7595849999998</v>
      </c>
      <c r="F824" s="1">
        <f>F818+(F830-F818)*6/12</f>
        <v>4792.6096500000003</v>
      </c>
      <c r="G824" s="1">
        <f>G818+(G830-G818)*6/12</f>
        <v>4808.1813349999993</v>
      </c>
      <c r="H824" s="1">
        <f>H818+(H830-H818)*6/12</f>
        <v>4774.4432349999997</v>
      </c>
      <c r="I824" t="str">
        <f>_xlfn.XLOOKUP($A824,ALGLIB_SSA_XAUUSD!$J$2:$J$1000,ALGLIB_SSA_XAUUSD!$K$2:$K$1000,"",0)</f>
        <v>XAUUSD</v>
      </c>
      <c r="J824" t="str">
        <f>_xlfn.XLOOKUP($A824,ALGLIB_SSA_XAUUSD!$J$2:$J$1000,ALGLIB_SSA_XAUUSD!$L$2:$L$1000,"",0)</f>
        <v>M5</v>
      </c>
      <c r="K824">
        <f>_xlfn.XLOOKUP($A824,ALGLIB_SSA_XAUUSD!$J$2:$J$1000,ALGLIB_SSA_XAUUSD!$M$2:$M$1000,"",0)</f>
        <v>4783.17</v>
      </c>
      <c r="L824">
        <f>_xlfn.XLOOKUP($A824,ALGLIB_SSA_XAUUSD!$J$2:$J$1000,ALGLIB_SSA_XAUUSD!$N$2:$N$1000,"",0)</f>
        <v>4785.06376</v>
      </c>
      <c r="M824">
        <f>_xlfn.XLOOKUP($A824,ALGLIB_SSA_XAUUSD!$J$2:$J$1000,ALGLIB_SSA_XAUUSD!$O$2:$O$1000,"",0)</f>
        <v>4783.9939800000002</v>
      </c>
      <c r="N824">
        <f>_xlfn.XLOOKUP($A824,ALGLIB_SSA_XAUUSD!$J$2:$J$1000,ALGLIB_SSA_XAUUSD!$P$2:$P$1000,"",0)</f>
        <v>4787.5799200000001</v>
      </c>
      <c r="O824">
        <f>_xlfn.XLOOKUP($A824,ALGLIB_SSA_XAUUSD!$J$2:$J$1000,ALGLIB_SSA_XAUUSD!$Q$2:$Q$1000,"",0)</f>
        <v>4780.7391699999998</v>
      </c>
      <c r="R824">
        <f t="shared" si="132"/>
        <v>1775644200</v>
      </c>
      <c r="S824" t="str">
        <f t="shared" si="133"/>
        <v>XAUUSD</v>
      </c>
      <c r="T824" t="str">
        <f t="shared" si="134"/>
        <v>M5</v>
      </c>
      <c r="U824">
        <f t="shared" si="135"/>
        <v>4783.17</v>
      </c>
      <c r="V824">
        <v>4789.7595899999997</v>
      </c>
      <c r="W824">
        <v>4792.6096500000003</v>
      </c>
      <c r="X824">
        <v>4785.06376</v>
      </c>
      <c r="Y824">
        <v>4783.9939800000002</v>
      </c>
      <c r="Z824">
        <f t="shared" si="136"/>
        <v>4808.1813349999993</v>
      </c>
      <c r="AA824">
        <f t="shared" si="137"/>
        <v>4787.5799200000001</v>
      </c>
      <c r="AB824">
        <f t="shared" si="138"/>
        <v>4774.4432349999997</v>
      </c>
      <c r="AC824">
        <f t="shared" si="139"/>
        <v>4780.7391699999998</v>
      </c>
      <c r="AF824">
        <f t="shared" si="140"/>
        <v>4785.06376</v>
      </c>
      <c r="AG824">
        <f t="shared" si="141"/>
        <v>4808.1813349999993</v>
      </c>
      <c r="AH824">
        <f t="shared" si="142"/>
        <v>4774.4432349999997</v>
      </c>
    </row>
    <row r="825" spans="1:34" x14ac:dyDescent="0.55000000000000004">
      <c r="A825">
        <f>ALGLIB_SSA_XAUUSD!J825</f>
        <v>1775644500</v>
      </c>
      <c r="B825" t="str">
        <f>_xlfn.XLOOKUP($A825,ALGLIB_SSA_XAUUSD!$A$2:$A$1000,ALGLIB_SSA_XAUUSD!$B$2:$B$1000,"",0)</f>
        <v/>
      </c>
      <c r="C825" t="str">
        <f>_xlfn.XLOOKUP($A825,ALGLIB_SSA_XAUUSD!$A$2:$A$1000,ALGLIB_SSA_XAUUSD!$C$2:$C$1000,"",0)</f>
        <v/>
      </c>
      <c r="D825" s="1">
        <f>D818+(D830-D818)*7/12</f>
        <v>4791.8041666666668</v>
      </c>
      <c r="E825" s="1">
        <f>E818+(E830-E818)*7/12</f>
        <v>4789.5637958333336</v>
      </c>
      <c r="F825" s="1">
        <f>F818+(F830-F818)*7/12</f>
        <v>4792.3860500000001</v>
      </c>
      <c r="G825" s="1">
        <f>G818+(G830-G818)*7/12</f>
        <v>4808.0964508333327</v>
      </c>
      <c r="H825" s="1">
        <f>H818+(H830-H818)*7/12</f>
        <v>4774.0152808333332</v>
      </c>
      <c r="I825" t="str">
        <f>_xlfn.XLOOKUP($A825,ALGLIB_SSA_XAUUSD!$J$2:$J$1000,ALGLIB_SSA_XAUUSD!$K$2:$K$1000,"",0)</f>
        <v>XAUUSD</v>
      </c>
      <c r="J825" t="str">
        <f>_xlfn.XLOOKUP($A825,ALGLIB_SSA_XAUUSD!$J$2:$J$1000,ALGLIB_SSA_XAUUSD!$L$2:$L$1000,"",0)</f>
        <v>M5</v>
      </c>
      <c r="K825">
        <f>_xlfn.XLOOKUP($A825,ALGLIB_SSA_XAUUSD!$J$2:$J$1000,ALGLIB_SSA_XAUUSD!$M$2:$M$1000,"",0)</f>
        <v>4787.74</v>
      </c>
      <c r="L825">
        <f>_xlfn.XLOOKUP($A825,ALGLIB_SSA_XAUUSD!$J$2:$J$1000,ALGLIB_SSA_XAUUSD!$N$2:$N$1000,"",0)</f>
        <v>4786.7003800000002</v>
      </c>
      <c r="M825">
        <f>_xlfn.XLOOKUP($A825,ALGLIB_SSA_XAUUSD!$J$2:$J$1000,ALGLIB_SSA_XAUUSD!$O$2:$O$1000,"",0)</f>
        <v>4785.3471799999998</v>
      </c>
      <c r="N825">
        <f>_xlfn.XLOOKUP($A825,ALGLIB_SSA_XAUUSD!$J$2:$J$1000,ALGLIB_SSA_XAUUSD!$P$2:$P$1000,"",0)</f>
        <v>4789.3000599999996</v>
      </c>
      <c r="O825">
        <f>_xlfn.XLOOKUP($A825,ALGLIB_SSA_XAUUSD!$J$2:$J$1000,ALGLIB_SSA_XAUUSD!$Q$2:$Q$1000,"",0)</f>
        <v>4782.5747099999999</v>
      </c>
      <c r="R825">
        <f t="shared" si="132"/>
        <v>1775644500</v>
      </c>
      <c r="S825" t="str">
        <f t="shared" si="133"/>
        <v>XAUUSD</v>
      </c>
      <c r="T825" t="str">
        <f t="shared" si="134"/>
        <v>M5</v>
      </c>
      <c r="U825">
        <f t="shared" si="135"/>
        <v>4787.74</v>
      </c>
      <c r="V825">
        <v>4789.5637999999999</v>
      </c>
      <c r="W825">
        <v>4792.3860500000001</v>
      </c>
      <c r="X825">
        <v>4786.7003800000002</v>
      </c>
      <c r="Y825">
        <v>4785.3471799999998</v>
      </c>
      <c r="Z825">
        <f t="shared" si="136"/>
        <v>4808.0964508333327</v>
      </c>
      <c r="AA825">
        <f t="shared" si="137"/>
        <v>4789.3000599999996</v>
      </c>
      <c r="AB825">
        <f t="shared" si="138"/>
        <v>4774.0152808333332</v>
      </c>
      <c r="AC825">
        <f t="shared" si="139"/>
        <v>4782.5747099999999</v>
      </c>
      <c r="AF825">
        <f t="shared" si="140"/>
        <v>4786.7003800000002</v>
      </c>
      <c r="AG825">
        <f t="shared" si="141"/>
        <v>4808.0964508333327</v>
      </c>
      <c r="AH825">
        <f t="shared" si="142"/>
        <v>4774.0152808333332</v>
      </c>
    </row>
    <row r="826" spans="1:34" x14ac:dyDescent="0.55000000000000004">
      <c r="A826">
        <f>ALGLIB_SSA_XAUUSD!J826</f>
        <v>1775644800</v>
      </c>
      <c r="B826" t="str">
        <f>_xlfn.XLOOKUP($A826,ALGLIB_SSA_XAUUSD!$A$2:$A$1000,ALGLIB_SSA_XAUUSD!$B$2:$B$1000,"",0)</f>
        <v/>
      </c>
      <c r="C826" t="str">
        <f>_xlfn.XLOOKUP($A826,ALGLIB_SSA_XAUUSD!$A$2:$A$1000,ALGLIB_SSA_XAUUSD!$C$2:$C$1000,"",0)</f>
        <v/>
      </c>
      <c r="D826" s="1">
        <f>D818+(D830-D818)*8/12</f>
        <v>4793.1033333333335</v>
      </c>
      <c r="E826" s="1">
        <f>E818+(E830-E818)*8/12</f>
        <v>4789.3680066666666</v>
      </c>
      <c r="F826" s="1">
        <f>F818+(F830-F818)*8/12</f>
        <v>4792.1624499999998</v>
      </c>
      <c r="G826" s="1">
        <f>G818+(G830-G818)*8/12</f>
        <v>4808.0115666666661</v>
      </c>
      <c r="H826" s="1">
        <f>H818+(H830-H818)*8/12</f>
        <v>4773.5873266666667</v>
      </c>
      <c r="I826" t="str">
        <f>_xlfn.XLOOKUP($A826,ALGLIB_SSA_XAUUSD!$J$2:$J$1000,ALGLIB_SSA_XAUUSD!$K$2:$K$1000,"",0)</f>
        <v>XAUUSD</v>
      </c>
      <c r="J826" t="str">
        <f>_xlfn.XLOOKUP($A826,ALGLIB_SSA_XAUUSD!$J$2:$J$1000,ALGLIB_SSA_XAUUSD!$L$2:$L$1000,"",0)</f>
        <v>M5</v>
      </c>
      <c r="K826">
        <f>_xlfn.XLOOKUP($A826,ALGLIB_SSA_XAUUSD!$J$2:$J$1000,ALGLIB_SSA_XAUUSD!$M$2:$M$1000,"",0)</f>
        <v>4791.74</v>
      </c>
      <c r="L826">
        <f>_xlfn.XLOOKUP($A826,ALGLIB_SSA_XAUUSD!$J$2:$J$1000,ALGLIB_SSA_XAUUSD!$N$2:$N$1000,"",0)</f>
        <v>4788.16518</v>
      </c>
      <c r="M826">
        <f>_xlfn.XLOOKUP($A826,ALGLIB_SSA_XAUUSD!$J$2:$J$1000,ALGLIB_SSA_XAUUSD!$O$2:$O$1000,"",0)</f>
        <v>4786.7561800000003</v>
      </c>
      <c r="N826">
        <f>_xlfn.XLOOKUP($A826,ALGLIB_SSA_XAUUSD!$J$2:$J$1000,ALGLIB_SSA_XAUUSD!$P$2:$P$1000,"",0)</f>
        <v>4790.89887</v>
      </c>
      <c r="O826">
        <f>_xlfn.XLOOKUP($A826,ALGLIB_SSA_XAUUSD!$J$2:$J$1000,ALGLIB_SSA_XAUUSD!$Q$2:$Q$1000,"",0)</f>
        <v>4784.41518</v>
      </c>
      <c r="R826">
        <f t="shared" si="132"/>
        <v>1775644800</v>
      </c>
      <c r="S826" t="str">
        <f t="shared" si="133"/>
        <v>XAUUSD</v>
      </c>
      <c r="T826" t="str">
        <f t="shared" si="134"/>
        <v>M5</v>
      </c>
      <c r="U826">
        <f t="shared" si="135"/>
        <v>4791.74</v>
      </c>
      <c r="V826">
        <v>4789.3680100000001</v>
      </c>
      <c r="W826">
        <v>4792.1624499999998</v>
      </c>
      <c r="X826">
        <v>4788.16518</v>
      </c>
      <c r="Y826">
        <v>4786.7561800000003</v>
      </c>
      <c r="Z826">
        <f t="shared" si="136"/>
        <v>4808.0115666666661</v>
      </c>
      <c r="AA826">
        <f t="shared" si="137"/>
        <v>4790.89887</v>
      </c>
      <c r="AB826">
        <f t="shared" si="138"/>
        <v>4773.5873266666667</v>
      </c>
      <c r="AC826">
        <f t="shared" si="139"/>
        <v>4784.41518</v>
      </c>
      <c r="AF826">
        <f t="shared" si="140"/>
        <v>4788.16518</v>
      </c>
      <c r="AG826">
        <f t="shared" si="141"/>
        <v>4808.0115666666661</v>
      </c>
      <c r="AH826">
        <f t="shared" si="142"/>
        <v>4773.5873266666667</v>
      </c>
    </row>
    <row r="827" spans="1:34" x14ac:dyDescent="0.55000000000000004">
      <c r="A827">
        <f>ALGLIB_SSA_XAUUSD!J827</f>
        <v>1775645100</v>
      </c>
      <c r="B827" t="str">
        <f>_xlfn.XLOOKUP($A827,ALGLIB_SSA_XAUUSD!$A$2:$A$1000,ALGLIB_SSA_XAUUSD!$B$2:$B$1000,"",0)</f>
        <v/>
      </c>
      <c r="C827" t="str">
        <f>_xlfn.XLOOKUP($A827,ALGLIB_SSA_XAUUSD!$A$2:$A$1000,ALGLIB_SSA_XAUUSD!$C$2:$C$1000,"",0)</f>
        <v/>
      </c>
      <c r="D827" s="1">
        <f>D818+(D830-D818)*9/12</f>
        <v>4794.4025000000001</v>
      </c>
      <c r="E827" s="1">
        <f>E818+(E830-E818)*9/12</f>
        <v>4789.1722175000004</v>
      </c>
      <c r="F827" s="1">
        <f>F818+(F830-F818)*9/12</f>
        <v>4791.9388499999995</v>
      </c>
      <c r="G827" s="1">
        <f>G818+(G830-G818)*9/12</f>
        <v>4807.9266824999995</v>
      </c>
      <c r="H827" s="1">
        <f>H818+(H830-H818)*9/12</f>
        <v>4773.1593725000002</v>
      </c>
      <c r="I827" t="str">
        <f>_xlfn.XLOOKUP($A827,ALGLIB_SSA_XAUUSD!$J$2:$J$1000,ALGLIB_SSA_XAUUSD!$K$2:$K$1000,"",0)</f>
        <v>XAUUSD</v>
      </c>
      <c r="J827" t="str">
        <f>_xlfn.XLOOKUP($A827,ALGLIB_SSA_XAUUSD!$J$2:$J$1000,ALGLIB_SSA_XAUUSD!$L$2:$L$1000,"",0)</f>
        <v>M5</v>
      </c>
      <c r="K827">
        <f>_xlfn.XLOOKUP($A827,ALGLIB_SSA_XAUUSD!$J$2:$J$1000,ALGLIB_SSA_XAUUSD!$M$2:$M$1000,"",0)</f>
        <v>4793.4799999999996</v>
      </c>
      <c r="L827">
        <f>_xlfn.XLOOKUP($A827,ALGLIB_SSA_XAUUSD!$J$2:$J$1000,ALGLIB_SSA_XAUUSD!$N$2:$N$1000,"",0)</f>
        <v>4789.1305499999999</v>
      </c>
      <c r="M827">
        <f>_xlfn.XLOOKUP($A827,ALGLIB_SSA_XAUUSD!$J$2:$J$1000,ALGLIB_SSA_XAUUSD!$O$2:$O$1000,"",0)</f>
        <v>4787.94337</v>
      </c>
      <c r="N827">
        <f>_xlfn.XLOOKUP($A827,ALGLIB_SSA_XAUUSD!$J$2:$J$1000,ALGLIB_SSA_XAUUSD!$P$2:$P$1000,"",0)</f>
        <v>4792.1128900000003</v>
      </c>
      <c r="O827">
        <f>_xlfn.XLOOKUP($A827,ALGLIB_SSA_XAUUSD!$J$2:$J$1000,ALGLIB_SSA_XAUUSD!$Q$2:$Q$1000,"",0)</f>
        <v>4785.9088899999997</v>
      </c>
      <c r="R827">
        <f t="shared" si="132"/>
        <v>1775645100</v>
      </c>
      <c r="S827" t="str">
        <f t="shared" si="133"/>
        <v>XAUUSD</v>
      </c>
      <c r="T827" t="str">
        <f t="shared" si="134"/>
        <v>M5</v>
      </c>
      <c r="U827">
        <f t="shared" si="135"/>
        <v>4793.4799999999996</v>
      </c>
      <c r="V827">
        <v>4789.1722200000004</v>
      </c>
      <c r="W827">
        <v>4791.9388499999995</v>
      </c>
      <c r="X827">
        <v>4789.1305499999999</v>
      </c>
      <c r="Y827">
        <v>4787.94337</v>
      </c>
      <c r="Z827">
        <f t="shared" si="136"/>
        <v>4807.9266824999995</v>
      </c>
      <c r="AA827">
        <f t="shared" si="137"/>
        <v>4792.1128900000003</v>
      </c>
      <c r="AB827">
        <f t="shared" si="138"/>
        <v>4773.1593725000002</v>
      </c>
      <c r="AC827">
        <f t="shared" si="139"/>
        <v>4785.9088899999997</v>
      </c>
      <c r="AF827">
        <f t="shared" si="140"/>
        <v>4789.1305499999999</v>
      </c>
      <c r="AG827">
        <f t="shared" si="141"/>
        <v>4807.9266824999995</v>
      </c>
      <c r="AH827">
        <f t="shared" si="142"/>
        <v>4773.1593725000002</v>
      </c>
    </row>
    <row r="828" spans="1:34" x14ac:dyDescent="0.55000000000000004">
      <c r="A828">
        <f>ALGLIB_SSA_XAUUSD!J828</f>
        <v>1775645400</v>
      </c>
      <c r="B828" t="str">
        <f>_xlfn.XLOOKUP($A828,ALGLIB_SSA_XAUUSD!$A$2:$A$1000,ALGLIB_SSA_XAUUSD!$B$2:$B$1000,"",0)</f>
        <v/>
      </c>
      <c r="C828" t="str">
        <f>_xlfn.XLOOKUP($A828,ALGLIB_SSA_XAUUSD!$A$2:$A$1000,ALGLIB_SSA_XAUUSD!$C$2:$C$1000,"",0)</f>
        <v/>
      </c>
      <c r="D828" s="1">
        <f>D818+(D830-D818)*10/12</f>
        <v>4795.7016666666668</v>
      </c>
      <c r="E828" s="1">
        <f>E818+(E830-E818)*10/12</f>
        <v>4788.9764283333334</v>
      </c>
      <c r="F828" s="1">
        <f>F818+(F830-F818)*10/12</f>
        <v>4791.7152499999993</v>
      </c>
      <c r="G828" s="1">
        <f>G818+(G830-G818)*10/12</f>
        <v>4807.8417983333329</v>
      </c>
      <c r="H828" s="1">
        <f>H818+(H830-H818)*10/12</f>
        <v>4772.7314183333328</v>
      </c>
      <c r="I828" t="str">
        <f>_xlfn.XLOOKUP($A828,ALGLIB_SSA_XAUUSD!$J$2:$J$1000,ALGLIB_SSA_XAUUSD!$K$2:$K$1000,"",0)</f>
        <v>XAUUSD</v>
      </c>
      <c r="J828" t="str">
        <f>_xlfn.XLOOKUP($A828,ALGLIB_SSA_XAUUSD!$J$2:$J$1000,ALGLIB_SSA_XAUUSD!$L$2:$L$1000,"",0)</f>
        <v>M5</v>
      </c>
      <c r="K828">
        <f>_xlfn.XLOOKUP($A828,ALGLIB_SSA_XAUUSD!$J$2:$J$1000,ALGLIB_SSA_XAUUSD!$M$2:$M$1000,"",0)</f>
        <v>4790.87</v>
      </c>
      <c r="L828">
        <f>_xlfn.XLOOKUP($A828,ALGLIB_SSA_XAUUSD!$J$2:$J$1000,ALGLIB_SSA_XAUUSD!$N$2:$N$1000,"",0)</f>
        <v>4789.3741499999996</v>
      </c>
      <c r="M828">
        <f>_xlfn.XLOOKUP($A828,ALGLIB_SSA_XAUUSD!$J$2:$J$1000,ALGLIB_SSA_XAUUSD!$O$2:$O$1000,"",0)</f>
        <v>4788.6587600000003</v>
      </c>
      <c r="N828">
        <f>_xlfn.XLOOKUP($A828,ALGLIB_SSA_XAUUSD!$J$2:$J$1000,ALGLIB_SSA_XAUUSD!$P$2:$P$1000,"",0)</f>
        <v>4792.6934700000002</v>
      </c>
      <c r="O828">
        <f>_xlfn.XLOOKUP($A828,ALGLIB_SSA_XAUUSD!$J$2:$J$1000,ALGLIB_SSA_XAUUSD!$Q$2:$Q$1000,"",0)</f>
        <v>4786.6325500000003</v>
      </c>
      <c r="R828">
        <f t="shared" si="132"/>
        <v>1775645400</v>
      </c>
      <c r="S828" t="str">
        <f t="shared" si="133"/>
        <v>XAUUSD</v>
      </c>
      <c r="T828" t="str">
        <f t="shared" si="134"/>
        <v>M5</v>
      </c>
      <c r="U828">
        <f t="shared" si="135"/>
        <v>4790.87</v>
      </c>
      <c r="V828">
        <v>4788.9764299999997</v>
      </c>
      <c r="W828">
        <v>4791.7152500000002</v>
      </c>
      <c r="X828">
        <v>4789.3741499999996</v>
      </c>
      <c r="Y828">
        <v>4788.6587600000003</v>
      </c>
      <c r="Z828">
        <f t="shared" si="136"/>
        <v>4807.8417983333329</v>
      </c>
      <c r="AA828">
        <f t="shared" si="137"/>
        <v>4792.6934700000002</v>
      </c>
      <c r="AB828">
        <f t="shared" si="138"/>
        <v>4772.7314183333328</v>
      </c>
      <c r="AC828">
        <f t="shared" si="139"/>
        <v>4786.6325500000003</v>
      </c>
      <c r="AF828">
        <f t="shared" si="140"/>
        <v>4789.3741499999996</v>
      </c>
      <c r="AG828">
        <f t="shared" si="141"/>
        <v>4807.8417983333329</v>
      </c>
      <c r="AH828">
        <f t="shared" si="142"/>
        <v>4772.7314183333328</v>
      </c>
    </row>
    <row r="829" spans="1:34" x14ac:dyDescent="0.55000000000000004">
      <c r="A829">
        <f>ALGLIB_SSA_XAUUSD!J829</f>
        <v>1775645700</v>
      </c>
      <c r="B829" t="str">
        <f>_xlfn.XLOOKUP($A829,ALGLIB_SSA_XAUUSD!$A$2:$A$1000,ALGLIB_SSA_XAUUSD!$B$2:$B$1000,"",0)</f>
        <v/>
      </c>
      <c r="C829" t="str">
        <f>_xlfn.XLOOKUP($A829,ALGLIB_SSA_XAUUSD!$A$2:$A$1000,ALGLIB_SSA_XAUUSD!$C$2:$C$1000,"",0)</f>
        <v/>
      </c>
      <c r="D829" s="1">
        <f>D818+(D830-D818)*11/12</f>
        <v>4797.0008333333335</v>
      </c>
      <c r="E829" s="1">
        <f>E818+(E830-E818)*11/12</f>
        <v>4788.7806391666672</v>
      </c>
      <c r="F829" s="1">
        <f>F818+(F830-F818)*11/12</f>
        <v>4791.4916499999999</v>
      </c>
      <c r="G829" s="1">
        <f>G818+(G830-G818)*11/12</f>
        <v>4807.7569141666663</v>
      </c>
      <c r="H829" s="1">
        <f>H818+(H830-H818)*11/12</f>
        <v>4772.3034641666663</v>
      </c>
      <c r="I829" t="str">
        <f>_xlfn.XLOOKUP($A829,ALGLIB_SSA_XAUUSD!$J$2:$J$1000,ALGLIB_SSA_XAUUSD!$K$2:$K$1000,"",0)</f>
        <v>XAUUSD</v>
      </c>
      <c r="J829" t="str">
        <f>_xlfn.XLOOKUP($A829,ALGLIB_SSA_XAUUSD!$J$2:$J$1000,ALGLIB_SSA_XAUUSD!$L$2:$L$1000,"",0)</f>
        <v>M5</v>
      </c>
      <c r="K829">
        <f>_xlfn.XLOOKUP($A829,ALGLIB_SSA_XAUUSD!$J$2:$J$1000,ALGLIB_SSA_XAUUSD!$M$2:$M$1000,"",0)</f>
        <v>4782.71</v>
      </c>
      <c r="L829">
        <f>_xlfn.XLOOKUP($A829,ALGLIB_SSA_XAUUSD!$J$2:$J$1000,ALGLIB_SSA_XAUUSD!$N$2:$N$1000,"",0)</f>
        <v>4788.9123799999998</v>
      </c>
      <c r="M829">
        <f>_xlfn.XLOOKUP($A829,ALGLIB_SSA_XAUUSD!$J$2:$J$1000,ALGLIB_SSA_XAUUSD!$O$2:$O$1000,"",0)</f>
        <v>4788.78557</v>
      </c>
      <c r="N829">
        <f>_xlfn.XLOOKUP($A829,ALGLIB_SSA_XAUUSD!$J$2:$J$1000,ALGLIB_SSA_XAUUSD!$P$2:$P$1000,"",0)</f>
        <v>4792.5444799999996</v>
      </c>
      <c r="O829">
        <f>_xlfn.XLOOKUP($A829,ALGLIB_SSA_XAUUSD!$J$2:$J$1000,ALGLIB_SSA_XAUUSD!$Q$2:$Q$1000,"",0)</f>
        <v>4786.4560499999998</v>
      </c>
      <c r="R829">
        <f t="shared" si="132"/>
        <v>1775645700</v>
      </c>
      <c r="S829" t="str">
        <f t="shared" si="133"/>
        <v>XAUUSD</v>
      </c>
      <c r="T829" t="str">
        <f t="shared" si="134"/>
        <v>M5</v>
      </c>
      <c r="U829">
        <f t="shared" si="135"/>
        <v>4782.71</v>
      </c>
      <c r="V829">
        <v>4788.7806399999999</v>
      </c>
      <c r="W829">
        <v>4791.4916499999999</v>
      </c>
      <c r="X829">
        <v>4788.9123799999998</v>
      </c>
      <c r="Y829">
        <v>4788.78557</v>
      </c>
      <c r="Z829">
        <f t="shared" si="136"/>
        <v>4807.7569141666663</v>
      </c>
      <c r="AA829">
        <f t="shared" si="137"/>
        <v>4792.5444799999996</v>
      </c>
      <c r="AB829">
        <f t="shared" si="138"/>
        <v>4772.3034641666663</v>
      </c>
      <c r="AC829">
        <f t="shared" si="139"/>
        <v>4786.4560499999998</v>
      </c>
      <c r="AF829">
        <f t="shared" si="140"/>
        <v>4788.9123799999998</v>
      </c>
      <c r="AG829">
        <f t="shared" si="141"/>
        <v>4807.7569141666663</v>
      </c>
      <c r="AH829">
        <f t="shared" si="142"/>
        <v>4772.3034641666663</v>
      </c>
    </row>
    <row r="830" spans="1:34" x14ac:dyDescent="0.55000000000000004">
      <c r="A830">
        <f>ALGLIB_SSA_XAUUSD!J830</f>
        <v>1775646000</v>
      </c>
      <c r="B830" t="str">
        <f>_xlfn.XLOOKUP($A830,ALGLIB_SSA_XAUUSD!$A$2:$A$1000,ALGLIB_SSA_XAUUSD!$B$2:$B$1000,"",0)</f>
        <v>XAUUSD</v>
      </c>
      <c r="C830" t="str">
        <f>_xlfn.XLOOKUP($A830,ALGLIB_SSA_XAUUSD!$A$2:$A$1000,ALGLIB_SSA_XAUUSD!$C$2:$C$1000,"",0)</f>
        <v>H1</v>
      </c>
      <c r="D830" s="2">
        <f>_xlfn.XLOOKUP($A830,ALGLIB_SSA_XAUUSD!$A$2:$A$1000,ALGLIB_SSA_XAUUSD!$D$2:$D$1000,"",0)</f>
        <v>4798.3</v>
      </c>
      <c r="E830" s="2">
        <f>_xlfn.XLOOKUP($A830,ALGLIB_SSA_XAUUSD!$A$2:$A$1000,ALGLIB_SSA_XAUUSD!$E$2:$E$1000,"",0)</f>
        <v>4788.5848500000002</v>
      </c>
      <c r="F830" s="2">
        <f>_xlfn.XLOOKUP($A830,ALGLIB_SSA_XAUUSD!$A$2:$A$1000,ALGLIB_SSA_XAUUSD!$F$2:$F$1000,"",0)</f>
        <v>4791.2680499999997</v>
      </c>
      <c r="G830" s="2">
        <f>_xlfn.XLOOKUP($A830,ALGLIB_SSA_XAUUSD!$A$2:$A$1000,ALGLIB_SSA_XAUUSD!$G$2:$G$1000,"",0)</f>
        <v>4807.6720299999997</v>
      </c>
      <c r="H830" s="2">
        <f>_xlfn.XLOOKUP($A830,ALGLIB_SSA_XAUUSD!$A$2:$A$1000,ALGLIB_SSA_XAUUSD!$H$2:$H$1000,"",0)</f>
        <v>4771.8755099999998</v>
      </c>
      <c r="I830" t="str">
        <f>_xlfn.XLOOKUP($A830,ALGLIB_SSA_XAUUSD!$J$2:$J$1000,ALGLIB_SSA_XAUUSD!$K$2:$K$1000,"",0)</f>
        <v>XAUUSD</v>
      </c>
      <c r="J830" t="str">
        <f>_xlfn.XLOOKUP($A830,ALGLIB_SSA_XAUUSD!$J$2:$J$1000,ALGLIB_SSA_XAUUSD!$L$2:$L$1000,"",0)</f>
        <v>M5</v>
      </c>
      <c r="K830">
        <f>_xlfn.XLOOKUP($A830,ALGLIB_SSA_XAUUSD!$J$2:$J$1000,ALGLIB_SSA_XAUUSD!$M$2:$M$1000,"",0)</f>
        <v>4782.45</v>
      </c>
      <c r="L830">
        <f>_xlfn.XLOOKUP($A830,ALGLIB_SSA_XAUUSD!$J$2:$J$1000,ALGLIB_SSA_XAUUSD!$N$2:$N$1000,"",0)</f>
        <v>4788.0402999999997</v>
      </c>
      <c r="M830">
        <f>_xlfn.XLOOKUP($A830,ALGLIB_SSA_XAUUSD!$J$2:$J$1000,ALGLIB_SSA_XAUUSD!$O$2:$O$1000,"",0)</f>
        <v>4788.4129300000004</v>
      </c>
      <c r="N830">
        <f>_xlfn.XLOOKUP($A830,ALGLIB_SSA_XAUUSD!$J$2:$J$1000,ALGLIB_SSA_XAUUSD!$P$2:$P$1000,"",0)</f>
        <v>4791.8440600000004</v>
      </c>
      <c r="O830">
        <f>_xlfn.XLOOKUP($A830,ALGLIB_SSA_XAUUSD!$J$2:$J$1000,ALGLIB_SSA_XAUUSD!$Q$2:$Q$1000,"",0)</f>
        <v>4785.5887700000003</v>
      </c>
      <c r="R830">
        <f t="shared" si="132"/>
        <v>1775646000</v>
      </c>
      <c r="S830" t="str">
        <f t="shared" si="133"/>
        <v>XAUUSD</v>
      </c>
      <c r="T830" t="str">
        <f t="shared" si="134"/>
        <v>M5</v>
      </c>
      <c r="U830">
        <f t="shared" si="135"/>
        <v>4782.45</v>
      </c>
      <c r="V830">
        <v>4788.5848500000002</v>
      </c>
      <c r="W830">
        <v>4791.2680499999997</v>
      </c>
      <c r="X830">
        <v>4788.0402999999997</v>
      </c>
      <c r="Y830">
        <v>4788.4129300000004</v>
      </c>
      <c r="Z830">
        <f t="shared" si="136"/>
        <v>4807.6720299999997</v>
      </c>
      <c r="AA830">
        <f t="shared" si="137"/>
        <v>4791.8440600000004</v>
      </c>
      <c r="AB830">
        <f t="shared" si="138"/>
        <v>4771.8755099999998</v>
      </c>
      <c r="AC830">
        <f t="shared" si="139"/>
        <v>4785.5887700000003</v>
      </c>
      <c r="AF830">
        <f t="shared" si="140"/>
        <v>4788.0402999999997</v>
      </c>
      <c r="AG830">
        <f t="shared" si="141"/>
        <v>4807.6720299999997</v>
      </c>
      <c r="AH830">
        <f t="shared" si="142"/>
        <v>4771.8755099999998</v>
      </c>
    </row>
    <row r="831" spans="1:34" x14ac:dyDescent="0.55000000000000004">
      <c r="A831">
        <f>ALGLIB_SSA_XAUUSD!J831</f>
        <v>1775646300</v>
      </c>
      <c r="B831" t="str">
        <f>_xlfn.XLOOKUP($A831,ALGLIB_SSA_XAUUSD!$A$2:$A$1000,ALGLIB_SSA_XAUUSD!$B$2:$B$1000,"",0)</f>
        <v/>
      </c>
      <c r="C831" t="str">
        <f>_xlfn.XLOOKUP($A831,ALGLIB_SSA_XAUUSD!$A$2:$A$1000,ALGLIB_SSA_XAUUSD!$C$2:$C$1000,"",0)</f>
        <v/>
      </c>
      <c r="D831" s="1">
        <f>D830+(D842-D830)*1/12</f>
        <v>4798.4025000000001</v>
      </c>
      <c r="E831" s="1">
        <f>E830+(E842-E830)*1/12</f>
        <v>4788.2334008333337</v>
      </c>
      <c r="F831" s="1">
        <f>F830+(F842-F830)*1/12</f>
        <v>4790.9805249999999</v>
      </c>
      <c r="G831" s="1">
        <f>G830+(G842-G830)*1/12</f>
        <v>4807.4441424999995</v>
      </c>
      <c r="H831" s="1">
        <f>H830+(H842-H830)*1/12</f>
        <v>4771.3980466666662</v>
      </c>
      <c r="I831" t="str">
        <f>_xlfn.XLOOKUP($A831,ALGLIB_SSA_XAUUSD!$J$2:$J$1000,ALGLIB_SSA_XAUUSD!$K$2:$K$1000,"",0)</f>
        <v>XAUUSD</v>
      </c>
      <c r="J831" t="str">
        <f>_xlfn.XLOOKUP($A831,ALGLIB_SSA_XAUUSD!$J$2:$J$1000,ALGLIB_SSA_XAUUSD!$L$2:$L$1000,"",0)</f>
        <v>M5</v>
      </c>
      <c r="K831">
        <f>_xlfn.XLOOKUP($A831,ALGLIB_SSA_XAUUSD!$J$2:$J$1000,ALGLIB_SSA_XAUUSD!$M$2:$M$1000,"",0)</f>
        <v>4790.84</v>
      </c>
      <c r="L831">
        <f>_xlfn.XLOOKUP($A831,ALGLIB_SSA_XAUUSD!$J$2:$J$1000,ALGLIB_SSA_XAUUSD!$N$2:$N$1000,"",0)</f>
        <v>4786.9718000000003</v>
      </c>
      <c r="M831">
        <f>_xlfn.XLOOKUP($A831,ALGLIB_SSA_XAUUSD!$J$2:$J$1000,ALGLIB_SSA_XAUUSD!$O$2:$O$1000,"",0)</f>
        <v>4787.6923699999998</v>
      </c>
      <c r="N831">
        <f>_xlfn.XLOOKUP($A831,ALGLIB_SSA_XAUUSD!$J$2:$J$1000,ALGLIB_SSA_XAUUSD!$P$2:$P$1000,"",0)</f>
        <v>4790.8925900000004</v>
      </c>
      <c r="O831">
        <f>_xlfn.XLOOKUP($A831,ALGLIB_SSA_XAUUSD!$J$2:$J$1000,ALGLIB_SSA_XAUUSD!$Q$2:$Q$1000,"",0)</f>
        <v>4784.2653399999999</v>
      </c>
      <c r="R831">
        <f t="shared" si="132"/>
        <v>1775646300</v>
      </c>
      <c r="S831" t="str">
        <f t="shared" si="133"/>
        <v>XAUUSD</v>
      </c>
      <c r="T831" t="str">
        <f t="shared" si="134"/>
        <v>M5</v>
      </c>
      <c r="U831">
        <f t="shared" si="135"/>
        <v>4790.84</v>
      </c>
      <c r="V831">
        <v>4788.2334000000001</v>
      </c>
      <c r="W831">
        <v>4790.9805299999998</v>
      </c>
      <c r="X831">
        <v>4786.9718000000003</v>
      </c>
      <c r="Y831">
        <v>4787.6923699999998</v>
      </c>
      <c r="Z831">
        <f t="shared" si="136"/>
        <v>4807.4441424999995</v>
      </c>
      <c r="AA831">
        <f t="shared" si="137"/>
        <v>4790.8925900000004</v>
      </c>
      <c r="AB831">
        <f t="shared" si="138"/>
        <v>4771.3980466666662</v>
      </c>
      <c r="AC831">
        <f t="shared" si="139"/>
        <v>4784.2653399999999</v>
      </c>
      <c r="AF831">
        <f t="shared" si="140"/>
        <v>4786.9718000000003</v>
      </c>
      <c r="AG831">
        <f t="shared" si="141"/>
        <v>4807.4441424999995</v>
      </c>
      <c r="AH831">
        <f t="shared" si="142"/>
        <v>4771.3980466666662</v>
      </c>
    </row>
    <row r="832" spans="1:34" x14ac:dyDescent="0.55000000000000004">
      <c r="A832">
        <f>ALGLIB_SSA_XAUUSD!J832</f>
        <v>1775646600</v>
      </c>
      <c r="B832" t="str">
        <f>_xlfn.XLOOKUP($A832,ALGLIB_SSA_XAUUSD!$A$2:$A$1000,ALGLIB_SSA_XAUUSD!$B$2:$B$1000,"",0)</f>
        <v/>
      </c>
      <c r="C832" t="str">
        <f>_xlfn.XLOOKUP($A832,ALGLIB_SSA_XAUUSD!$A$2:$A$1000,ALGLIB_SSA_XAUUSD!$C$2:$C$1000,"",0)</f>
        <v/>
      </c>
      <c r="D832" s="1">
        <f>D830+(D842-D830)*2/12</f>
        <v>4798.5050000000001</v>
      </c>
      <c r="E832" s="1">
        <f>E830+(E842-E830)*2/12</f>
        <v>4787.8819516666672</v>
      </c>
      <c r="F832" s="1">
        <f>F830+(F842-F830)*2/12</f>
        <v>4790.6929999999993</v>
      </c>
      <c r="G832" s="1">
        <f>G830+(G842-G830)*2/12</f>
        <v>4807.2162549999994</v>
      </c>
      <c r="H832" s="1">
        <f>H830+(H842-H830)*2/12</f>
        <v>4770.9205833333335</v>
      </c>
      <c r="I832" t="str">
        <f>_xlfn.XLOOKUP($A832,ALGLIB_SSA_XAUUSD!$J$2:$J$1000,ALGLIB_SSA_XAUUSD!$K$2:$K$1000,"",0)</f>
        <v>XAUUSD</v>
      </c>
      <c r="J832" t="str">
        <f>_xlfn.XLOOKUP($A832,ALGLIB_SSA_XAUUSD!$J$2:$J$1000,ALGLIB_SSA_XAUUSD!$L$2:$L$1000,"",0)</f>
        <v>M5</v>
      </c>
      <c r="K832">
        <f>_xlfn.XLOOKUP($A832,ALGLIB_SSA_XAUUSD!$J$2:$J$1000,ALGLIB_SSA_XAUUSD!$M$2:$M$1000,"",0)</f>
        <v>4787.46</v>
      </c>
      <c r="L832">
        <f>_xlfn.XLOOKUP($A832,ALGLIB_SSA_XAUUSD!$J$2:$J$1000,ALGLIB_SSA_XAUUSD!$N$2:$N$1000,"",0)</f>
        <v>4785.7827399999996</v>
      </c>
      <c r="M832">
        <f>_xlfn.XLOOKUP($A832,ALGLIB_SSA_XAUUSD!$J$2:$J$1000,ALGLIB_SSA_XAUUSD!$O$2:$O$1000,"",0)</f>
        <v>4786.7375499999998</v>
      </c>
      <c r="N832">
        <f>_xlfn.XLOOKUP($A832,ALGLIB_SSA_XAUUSD!$J$2:$J$1000,ALGLIB_SSA_XAUUSD!$P$2:$P$1000,"",0)</f>
        <v>4789.8302800000001</v>
      </c>
      <c r="O832">
        <f>_xlfn.XLOOKUP($A832,ALGLIB_SSA_XAUUSD!$J$2:$J$1000,ALGLIB_SSA_XAUUSD!$Q$2:$Q$1000,"",0)</f>
        <v>4782.7924800000001</v>
      </c>
      <c r="R832">
        <f t="shared" si="132"/>
        <v>1775646600</v>
      </c>
      <c r="S832" t="str">
        <f t="shared" si="133"/>
        <v>XAUUSD</v>
      </c>
      <c r="T832" t="str">
        <f t="shared" si="134"/>
        <v>M5</v>
      </c>
      <c r="U832">
        <f t="shared" si="135"/>
        <v>4787.46</v>
      </c>
      <c r="V832">
        <v>4787.88195</v>
      </c>
      <c r="W832">
        <v>4790.6930000000002</v>
      </c>
      <c r="X832">
        <v>4785.7827399999996</v>
      </c>
      <c r="Y832">
        <v>4786.7375499999998</v>
      </c>
      <c r="Z832">
        <f t="shared" si="136"/>
        <v>4807.2162549999994</v>
      </c>
      <c r="AA832">
        <f t="shared" si="137"/>
        <v>4789.8302800000001</v>
      </c>
      <c r="AB832">
        <f t="shared" si="138"/>
        <v>4770.9205833333335</v>
      </c>
      <c r="AC832">
        <f t="shared" si="139"/>
        <v>4782.7924800000001</v>
      </c>
      <c r="AF832">
        <f t="shared" si="140"/>
        <v>4785.7827399999996</v>
      </c>
      <c r="AG832">
        <f t="shared" si="141"/>
        <v>4807.2162549999994</v>
      </c>
      <c r="AH832">
        <f t="shared" si="142"/>
        <v>4770.9205833333335</v>
      </c>
    </row>
    <row r="833" spans="1:34" x14ac:dyDescent="0.55000000000000004">
      <c r="A833">
        <f>ALGLIB_SSA_XAUUSD!J833</f>
        <v>1775646900</v>
      </c>
      <c r="B833" t="str">
        <f>_xlfn.XLOOKUP($A833,ALGLIB_SSA_XAUUSD!$A$2:$A$1000,ALGLIB_SSA_XAUUSD!$B$2:$B$1000,"",0)</f>
        <v/>
      </c>
      <c r="C833" t="str">
        <f>_xlfn.XLOOKUP($A833,ALGLIB_SSA_XAUUSD!$A$2:$A$1000,ALGLIB_SSA_XAUUSD!$C$2:$C$1000,"",0)</f>
        <v/>
      </c>
      <c r="D833" s="1">
        <f>D830+(D842-D830)*3/12</f>
        <v>4798.6075000000001</v>
      </c>
      <c r="E833" s="1">
        <f>E830+(E842-E830)*3/12</f>
        <v>4787.5305024999998</v>
      </c>
      <c r="F833" s="1">
        <f>F830+(F842-F830)*3/12</f>
        <v>4790.4054749999996</v>
      </c>
      <c r="G833" s="1">
        <f>G830+(G842-G830)*3/12</f>
        <v>4806.9883675000001</v>
      </c>
      <c r="H833" s="1">
        <f>H830+(H842-H830)*3/12</f>
        <v>4770.4431199999999</v>
      </c>
      <c r="I833" t="str">
        <f>_xlfn.XLOOKUP($A833,ALGLIB_SSA_XAUUSD!$J$2:$J$1000,ALGLIB_SSA_XAUUSD!$K$2:$K$1000,"",0)</f>
        <v>XAUUSD</v>
      </c>
      <c r="J833" t="str">
        <f>_xlfn.XLOOKUP($A833,ALGLIB_SSA_XAUUSD!$J$2:$J$1000,ALGLIB_SSA_XAUUSD!$L$2:$L$1000,"",0)</f>
        <v>M5</v>
      </c>
      <c r="K833">
        <f>_xlfn.XLOOKUP($A833,ALGLIB_SSA_XAUUSD!$J$2:$J$1000,ALGLIB_SSA_XAUUSD!$M$2:$M$1000,"",0)</f>
        <v>4784.9399999999996</v>
      </c>
      <c r="L833">
        <f>_xlfn.XLOOKUP($A833,ALGLIB_SSA_XAUUSD!$J$2:$J$1000,ALGLIB_SSA_XAUUSD!$N$2:$N$1000,"",0)</f>
        <v>4784.9205300000003</v>
      </c>
      <c r="M833">
        <f>_xlfn.XLOOKUP($A833,ALGLIB_SSA_XAUUSD!$J$2:$J$1000,ALGLIB_SSA_XAUUSD!$O$2:$O$1000,"",0)</f>
        <v>4785.8290399999996</v>
      </c>
      <c r="N833">
        <f>_xlfn.XLOOKUP($A833,ALGLIB_SSA_XAUUSD!$J$2:$J$1000,ALGLIB_SSA_XAUUSD!$P$2:$P$1000,"",0)</f>
        <v>4788.9698200000003</v>
      </c>
      <c r="O833">
        <f>_xlfn.XLOOKUP($A833,ALGLIB_SSA_XAUUSD!$J$2:$J$1000,ALGLIB_SSA_XAUUSD!$Q$2:$Q$1000,"",0)</f>
        <v>4781.41903</v>
      </c>
      <c r="R833">
        <f t="shared" si="132"/>
        <v>1775646900</v>
      </c>
      <c r="S833" t="str">
        <f t="shared" si="133"/>
        <v>XAUUSD</v>
      </c>
      <c r="T833" t="str">
        <f t="shared" si="134"/>
        <v>M5</v>
      </c>
      <c r="U833">
        <f t="shared" si="135"/>
        <v>4784.9399999999996</v>
      </c>
      <c r="V833">
        <v>4787.5304999999998</v>
      </c>
      <c r="W833">
        <v>4790.4054699999997</v>
      </c>
      <c r="X833">
        <v>4784.9205300000003</v>
      </c>
      <c r="Y833">
        <v>4785.8290399999996</v>
      </c>
      <c r="Z833">
        <f t="shared" si="136"/>
        <v>4806.9883675000001</v>
      </c>
      <c r="AA833">
        <f t="shared" si="137"/>
        <v>4788.9698200000003</v>
      </c>
      <c r="AB833">
        <f t="shared" si="138"/>
        <v>4770.4431199999999</v>
      </c>
      <c r="AC833">
        <f t="shared" si="139"/>
        <v>4781.41903</v>
      </c>
      <c r="AF833">
        <f t="shared" si="140"/>
        <v>4784.9205300000003</v>
      </c>
      <c r="AG833">
        <f t="shared" si="141"/>
        <v>4806.9883675000001</v>
      </c>
      <c r="AH833">
        <f t="shared" si="142"/>
        <v>4770.4431199999999</v>
      </c>
    </row>
    <row r="834" spans="1:34" x14ac:dyDescent="0.55000000000000004">
      <c r="A834">
        <f>ALGLIB_SSA_XAUUSD!J834</f>
        <v>1775647200</v>
      </c>
      <c r="B834" t="str">
        <f>_xlfn.XLOOKUP($A834,ALGLIB_SSA_XAUUSD!$A$2:$A$1000,ALGLIB_SSA_XAUUSD!$B$2:$B$1000,"",0)</f>
        <v/>
      </c>
      <c r="C834" t="str">
        <f>_xlfn.XLOOKUP($A834,ALGLIB_SSA_XAUUSD!$A$2:$A$1000,ALGLIB_SSA_XAUUSD!$C$2:$C$1000,"",0)</f>
        <v/>
      </c>
      <c r="D834" s="1">
        <f>D830+(D842-D830)*4/12</f>
        <v>4798.71</v>
      </c>
      <c r="E834" s="1">
        <f>E830+(E842-E830)*4/12</f>
        <v>4787.1790533333333</v>
      </c>
      <c r="F834" s="1">
        <f>F830+(F842-F830)*4/12</f>
        <v>4790.1179499999998</v>
      </c>
      <c r="G834" s="1">
        <f>G830+(G842-G830)*4/12</f>
        <v>4806.7604799999999</v>
      </c>
      <c r="H834" s="1">
        <f>H830+(H842-H830)*4/12</f>
        <v>4769.9656566666663</v>
      </c>
      <c r="I834" t="str">
        <f>_xlfn.XLOOKUP($A834,ALGLIB_SSA_XAUUSD!$J$2:$J$1000,ALGLIB_SSA_XAUUSD!$K$2:$K$1000,"",0)</f>
        <v>XAUUSD</v>
      </c>
      <c r="J834" t="str">
        <f>_xlfn.XLOOKUP($A834,ALGLIB_SSA_XAUUSD!$J$2:$J$1000,ALGLIB_SSA_XAUUSD!$L$2:$L$1000,"",0)</f>
        <v>M5</v>
      </c>
      <c r="K834">
        <f>_xlfn.XLOOKUP($A834,ALGLIB_SSA_XAUUSD!$J$2:$J$1000,ALGLIB_SSA_XAUUSD!$M$2:$M$1000,"",0)</f>
        <v>4785.7700000000004</v>
      </c>
      <c r="L834">
        <f>_xlfn.XLOOKUP($A834,ALGLIB_SSA_XAUUSD!$J$2:$J$1000,ALGLIB_SSA_XAUUSD!$N$2:$N$1000,"",0)</f>
        <v>4784.7706200000002</v>
      </c>
      <c r="M834">
        <f>_xlfn.XLOOKUP($A834,ALGLIB_SSA_XAUUSD!$J$2:$J$1000,ALGLIB_SSA_XAUUSD!$O$2:$O$1000,"",0)</f>
        <v>4785.2998299999999</v>
      </c>
      <c r="N834">
        <f>_xlfn.XLOOKUP($A834,ALGLIB_SSA_XAUUSD!$J$2:$J$1000,ALGLIB_SSA_XAUUSD!$P$2:$P$1000,"",0)</f>
        <v>4788.6669300000003</v>
      </c>
      <c r="O834">
        <f>_xlfn.XLOOKUP($A834,ALGLIB_SSA_XAUUSD!$J$2:$J$1000,ALGLIB_SSA_XAUUSD!$Q$2:$Q$1000,"",0)</f>
        <v>4780.6602400000002</v>
      </c>
      <c r="R834">
        <f t="shared" si="132"/>
        <v>1775647200</v>
      </c>
      <c r="S834" t="str">
        <f t="shared" si="133"/>
        <v>XAUUSD</v>
      </c>
      <c r="T834" t="str">
        <f t="shared" si="134"/>
        <v>M5</v>
      </c>
      <c r="U834">
        <f t="shared" si="135"/>
        <v>4785.7700000000004</v>
      </c>
      <c r="V834">
        <v>4787.1790499999997</v>
      </c>
      <c r="W834">
        <v>4790.1179499999998</v>
      </c>
      <c r="X834">
        <v>4784.7706200000002</v>
      </c>
      <c r="Y834">
        <v>4785.2998299999999</v>
      </c>
      <c r="Z834">
        <f t="shared" si="136"/>
        <v>4806.7604799999999</v>
      </c>
      <c r="AA834">
        <f t="shared" si="137"/>
        <v>4788.6669300000003</v>
      </c>
      <c r="AB834">
        <f t="shared" si="138"/>
        <v>4769.9656566666663</v>
      </c>
      <c r="AC834">
        <f t="shared" si="139"/>
        <v>4780.6602400000002</v>
      </c>
      <c r="AF834">
        <f t="shared" si="140"/>
        <v>4784.7706200000002</v>
      </c>
      <c r="AG834">
        <f t="shared" si="141"/>
        <v>4806.7604799999999</v>
      </c>
      <c r="AH834">
        <f t="shared" si="142"/>
        <v>4769.9656566666663</v>
      </c>
    </row>
    <row r="835" spans="1:34" x14ac:dyDescent="0.55000000000000004">
      <c r="A835">
        <f>ALGLIB_SSA_XAUUSD!J835</f>
        <v>1775647500</v>
      </c>
      <c r="B835" t="str">
        <f>_xlfn.XLOOKUP($A835,ALGLIB_SSA_XAUUSD!$A$2:$A$1000,ALGLIB_SSA_XAUUSD!$B$2:$B$1000,"",0)</f>
        <v/>
      </c>
      <c r="C835" t="str">
        <f>_xlfn.XLOOKUP($A835,ALGLIB_SSA_XAUUSD!$A$2:$A$1000,ALGLIB_SSA_XAUUSD!$C$2:$C$1000,"",0)</f>
        <v/>
      </c>
      <c r="D835" s="1">
        <f>D830+(D842-D830)*5/12</f>
        <v>4798.8125</v>
      </c>
      <c r="E835" s="1">
        <f>E830+(E842-E830)*5/12</f>
        <v>4786.8276041666668</v>
      </c>
      <c r="F835" s="1">
        <f>F830+(F842-F830)*5/12</f>
        <v>4789.8304250000001</v>
      </c>
      <c r="G835" s="1">
        <f>G830+(G842-G830)*5/12</f>
        <v>4806.5325924999997</v>
      </c>
      <c r="H835" s="1">
        <f>H830+(H842-H830)*5/12</f>
        <v>4769.4881933333336</v>
      </c>
      <c r="I835" t="str">
        <f>_xlfn.XLOOKUP($A835,ALGLIB_SSA_XAUUSD!$J$2:$J$1000,ALGLIB_SSA_XAUUSD!$K$2:$K$1000,"",0)</f>
        <v>XAUUSD</v>
      </c>
      <c r="J835" t="str">
        <f>_xlfn.XLOOKUP($A835,ALGLIB_SSA_XAUUSD!$J$2:$J$1000,ALGLIB_SSA_XAUUSD!$L$2:$L$1000,"",0)</f>
        <v>M5</v>
      </c>
      <c r="K835">
        <f>_xlfn.XLOOKUP($A835,ALGLIB_SSA_XAUUSD!$J$2:$J$1000,ALGLIB_SSA_XAUUSD!$M$2:$M$1000,"",0)</f>
        <v>4789.76</v>
      </c>
      <c r="L835">
        <f>_xlfn.XLOOKUP($A835,ALGLIB_SSA_XAUUSD!$J$2:$J$1000,ALGLIB_SSA_XAUUSD!$N$2:$N$1000,"",0)</f>
        <v>4785.5623900000001</v>
      </c>
      <c r="M835">
        <f>_xlfn.XLOOKUP($A835,ALGLIB_SSA_XAUUSD!$J$2:$J$1000,ALGLIB_SSA_XAUUSD!$O$2:$O$1000,"",0)</f>
        <v>4785.4311100000004</v>
      </c>
      <c r="N835">
        <f>_xlfn.XLOOKUP($A835,ALGLIB_SSA_XAUUSD!$J$2:$J$1000,ALGLIB_SSA_XAUUSD!$P$2:$P$1000,"",0)</f>
        <v>4789.1581100000003</v>
      </c>
      <c r="O835">
        <f>_xlfn.XLOOKUP($A835,ALGLIB_SSA_XAUUSD!$J$2:$J$1000,ALGLIB_SSA_XAUUSD!$Q$2:$Q$1000,"",0)</f>
        <v>4780.8775999999998</v>
      </c>
      <c r="R835">
        <f t="shared" ref="R835:R898" si="143">A835</f>
        <v>1775647500</v>
      </c>
      <c r="S835" t="str">
        <f t="shared" ref="S835:S898" si="144">I835</f>
        <v>XAUUSD</v>
      </c>
      <c r="T835" t="str">
        <f t="shared" ref="T835:T898" si="145">J835</f>
        <v>M5</v>
      </c>
      <c r="U835">
        <f t="shared" ref="U835:U898" si="146">K835</f>
        <v>4789.76</v>
      </c>
      <c r="V835">
        <v>4786.8275999999996</v>
      </c>
      <c r="W835">
        <v>4789.83043</v>
      </c>
      <c r="X835">
        <v>4785.5623900000001</v>
      </c>
      <c r="Y835">
        <v>4785.4311100000004</v>
      </c>
      <c r="Z835">
        <f t="shared" ref="Z835:Z898" si="147">G835</f>
        <v>4806.5325924999997</v>
      </c>
      <c r="AA835">
        <f t="shared" ref="AA835:AA898" si="148">N835</f>
        <v>4789.1581100000003</v>
      </c>
      <c r="AB835">
        <f t="shared" ref="AB835:AB898" si="149">H835</f>
        <v>4769.4881933333336</v>
      </c>
      <c r="AC835">
        <f t="shared" ref="AC835:AC898" si="150">O835</f>
        <v>4780.8775999999998</v>
      </c>
      <c r="AF835">
        <f t="shared" ref="AF835:AF898" si="151">X835</f>
        <v>4785.5623900000001</v>
      </c>
      <c r="AG835">
        <f t="shared" ref="AG835:AG898" si="152">Z835</f>
        <v>4806.5325924999997</v>
      </c>
      <c r="AH835">
        <f t="shared" ref="AH835:AH898" si="153">AB835</f>
        <v>4769.4881933333336</v>
      </c>
    </row>
    <row r="836" spans="1:34" x14ac:dyDescent="0.55000000000000004">
      <c r="A836">
        <f>ALGLIB_SSA_XAUUSD!J836</f>
        <v>1775647800</v>
      </c>
      <c r="B836" t="str">
        <f>_xlfn.XLOOKUP($A836,ALGLIB_SSA_XAUUSD!$A$2:$A$1000,ALGLIB_SSA_XAUUSD!$B$2:$B$1000,"",0)</f>
        <v/>
      </c>
      <c r="C836" t="str">
        <f>_xlfn.XLOOKUP($A836,ALGLIB_SSA_XAUUSD!$A$2:$A$1000,ALGLIB_SSA_XAUUSD!$C$2:$C$1000,"",0)</f>
        <v/>
      </c>
      <c r="D836" s="1">
        <f>D830+(D842-D830)*6/12</f>
        <v>4798.915</v>
      </c>
      <c r="E836" s="1">
        <f>E830+(E842-E830)*6/12</f>
        <v>4786.4761550000003</v>
      </c>
      <c r="F836" s="1">
        <f>F830+(F842-F830)*6/12</f>
        <v>4789.5429000000004</v>
      </c>
      <c r="G836" s="1">
        <f>G830+(G842-G830)*6/12</f>
        <v>4806.3047050000005</v>
      </c>
      <c r="H836" s="1">
        <f>H830+(H842-H830)*6/12</f>
        <v>4769.01073</v>
      </c>
      <c r="I836" t="str">
        <f>_xlfn.XLOOKUP($A836,ALGLIB_SSA_XAUUSD!$J$2:$J$1000,ALGLIB_SSA_XAUUSD!$K$2:$K$1000,"",0)</f>
        <v>XAUUSD</v>
      </c>
      <c r="J836" t="str">
        <f>_xlfn.XLOOKUP($A836,ALGLIB_SSA_XAUUSD!$J$2:$J$1000,ALGLIB_SSA_XAUUSD!$L$2:$L$1000,"",0)</f>
        <v>M5</v>
      </c>
      <c r="K836">
        <f>_xlfn.XLOOKUP($A836,ALGLIB_SSA_XAUUSD!$J$2:$J$1000,ALGLIB_SSA_XAUUSD!$M$2:$M$1000,"",0)</f>
        <v>4787.91</v>
      </c>
      <c r="L836">
        <f>_xlfn.XLOOKUP($A836,ALGLIB_SSA_XAUUSD!$J$2:$J$1000,ALGLIB_SSA_XAUUSD!$N$2:$N$1000,"",0)</f>
        <v>4787.25342</v>
      </c>
      <c r="M836">
        <f>_xlfn.XLOOKUP($A836,ALGLIB_SSA_XAUUSD!$J$2:$J$1000,ALGLIB_SSA_XAUUSD!$O$2:$O$1000,"",0)</f>
        <v>4786.3422600000004</v>
      </c>
      <c r="N836">
        <f>_xlfn.XLOOKUP($A836,ALGLIB_SSA_XAUUSD!$J$2:$J$1000,ALGLIB_SSA_XAUUSD!$P$2:$P$1000,"",0)</f>
        <v>4790.3563000000004</v>
      </c>
      <c r="O836">
        <f>_xlfn.XLOOKUP($A836,ALGLIB_SSA_XAUUSD!$J$2:$J$1000,ALGLIB_SSA_XAUUSD!$Q$2:$Q$1000,"",0)</f>
        <v>4782.2043700000004</v>
      </c>
      <c r="R836">
        <f t="shared" si="143"/>
        <v>1775647800</v>
      </c>
      <c r="S836" t="str">
        <f t="shared" si="144"/>
        <v>XAUUSD</v>
      </c>
      <c r="T836" t="str">
        <f t="shared" si="145"/>
        <v>M5</v>
      </c>
      <c r="U836">
        <f t="shared" si="146"/>
        <v>4787.91</v>
      </c>
      <c r="V836">
        <v>4786.4761600000002</v>
      </c>
      <c r="W836">
        <v>4789.5429000000004</v>
      </c>
      <c r="X836">
        <v>4787.25342</v>
      </c>
      <c r="Y836">
        <v>4786.3422600000004</v>
      </c>
      <c r="Z836">
        <f t="shared" si="147"/>
        <v>4806.3047050000005</v>
      </c>
      <c r="AA836">
        <f t="shared" si="148"/>
        <v>4790.3563000000004</v>
      </c>
      <c r="AB836">
        <f t="shared" si="149"/>
        <v>4769.01073</v>
      </c>
      <c r="AC836">
        <f t="shared" si="150"/>
        <v>4782.2043700000004</v>
      </c>
      <c r="AF836">
        <f t="shared" si="151"/>
        <v>4787.25342</v>
      </c>
      <c r="AG836">
        <f t="shared" si="152"/>
        <v>4806.3047050000005</v>
      </c>
      <c r="AH836">
        <f t="shared" si="153"/>
        <v>4769.01073</v>
      </c>
    </row>
    <row r="837" spans="1:34" x14ac:dyDescent="0.55000000000000004">
      <c r="A837">
        <f>ALGLIB_SSA_XAUUSD!J837</f>
        <v>1775648100</v>
      </c>
      <c r="B837" t="str">
        <f>_xlfn.XLOOKUP($A837,ALGLIB_SSA_XAUUSD!$A$2:$A$1000,ALGLIB_SSA_XAUUSD!$B$2:$B$1000,"",0)</f>
        <v/>
      </c>
      <c r="C837" t="str">
        <f>_xlfn.XLOOKUP($A837,ALGLIB_SSA_XAUUSD!$A$2:$A$1000,ALGLIB_SSA_XAUUSD!$C$2:$C$1000,"",0)</f>
        <v/>
      </c>
      <c r="D837" s="1">
        <f>D830+(D842-D830)*7/12</f>
        <v>4799.0174999999999</v>
      </c>
      <c r="E837" s="1">
        <f>E830+(E842-E830)*7/12</f>
        <v>4786.1247058333338</v>
      </c>
      <c r="F837" s="1">
        <f>F830+(F842-F830)*7/12</f>
        <v>4789.2553749999997</v>
      </c>
      <c r="G837" s="1">
        <f>G830+(G842-G830)*7/12</f>
        <v>4806.0768175000003</v>
      </c>
      <c r="H837" s="1">
        <f>H830+(H842-H830)*7/12</f>
        <v>4768.5332666666663</v>
      </c>
      <c r="I837" t="str">
        <f>_xlfn.XLOOKUP($A837,ALGLIB_SSA_XAUUSD!$J$2:$J$1000,ALGLIB_SSA_XAUUSD!$K$2:$K$1000,"",0)</f>
        <v>XAUUSD</v>
      </c>
      <c r="J837" t="str">
        <f>_xlfn.XLOOKUP($A837,ALGLIB_SSA_XAUUSD!$J$2:$J$1000,ALGLIB_SSA_XAUUSD!$L$2:$L$1000,"",0)</f>
        <v>M5</v>
      </c>
      <c r="K837">
        <f>_xlfn.XLOOKUP($A837,ALGLIB_SSA_XAUUSD!$J$2:$J$1000,ALGLIB_SSA_XAUUSD!$M$2:$M$1000,"",0)</f>
        <v>4783.32</v>
      </c>
      <c r="L837">
        <f>_xlfn.XLOOKUP($A837,ALGLIB_SSA_XAUUSD!$J$2:$J$1000,ALGLIB_SSA_XAUUSD!$N$2:$N$1000,"",0)</f>
        <v>4789.7402099999999</v>
      </c>
      <c r="M837">
        <f>_xlfn.XLOOKUP($A837,ALGLIB_SSA_XAUUSD!$J$2:$J$1000,ALGLIB_SSA_XAUUSD!$O$2:$O$1000,"",0)</f>
        <v>4788.0412399999996</v>
      </c>
      <c r="N837">
        <f>_xlfn.XLOOKUP($A837,ALGLIB_SSA_XAUUSD!$J$2:$J$1000,ALGLIB_SSA_XAUUSD!$P$2:$P$1000,"",0)</f>
        <v>4792.3481099999999</v>
      </c>
      <c r="O837">
        <f>_xlfn.XLOOKUP($A837,ALGLIB_SSA_XAUUSD!$J$2:$J$1000,ALGLIB_SSA_XAUUSD!$Q$2:$Q$1000,"",0)</f>
        <v>4784.5541400000002</v>
      </c>
      <c r="R837">
        <f t="shared" si="143"/>
        <v>1775648100</v>
      </c>
      <c r="S837" t="str">
        <f t="shared" si="144"/>
        <v>XAUUSD</v>
      </c>
      <c r="T837" t="str">
        <f t="shared" si="145"/>
        <v>M5</v>
      </c>
      <c r="U837">
        <f t="shared" si="146"/>
        <v>4783.32</v>
      </c>
      <c r="V837">
        <v>4786.1247100000001</v>
      </c>
      <c r="W837">
        <v>4789.2553799999996</v>
      </c>
      <c r="X837">
        <v>4789.7402099999999</v>
      </c>
      <c r="Y837">
        <v>4788.0412399999996</v>
      </c>
      <c r="Z837">
        <f t="shared" si="147"/>
        <v>4806.0768175000003</v>
      </c>
      <c r="AA837">
        <f t="shared" si="148"/>
        <v>4792.3481099999999</v>
      </c>
      <c r="AB837">
        <f t="shared" si="149"/>
        <v>4768.5332666666663</v>
      </c>
      <c r="AC837">
        <f t="shared" si="150"/>
        <v>4784.5541400000002</v>
      </c>
      <c r="AF837">
        <f t="shared" si="151"/>
        <v>4789.7402099999999</v>
      </c>
      <c r="AG837">
        <f t="shared" si="152"/>
        <v>4806.0768175000003</v>
      </c>
      <c r="AH837">
        <f t="shared" si="153"/>
        <v>4768.5332666666663</v>
      </c>
    </row>
    <row r="838" spans="1:34" x14ac:dyDescent="0.55000000000000004">
      <c r="A838">
        <f>ALGLIB_SSA_XAUUSD!J838</f>
        <v>1775648400</v>
      </c>
      <c r="B838" t="str">
        <f>_xlfn.XLOOKUP($A838,ALGLIB_SSA_XAUUSD!$A$2:$A$1000,ALGLIB_SSA_XAUUSD!$B$2:$B$1000,"",0)</f>
        <v/>
      </c>
      <c r="C838" t="str">
        <f>_xlfn.XLOOKUP($A838,ALGLIB_SSA_XAUUSD!$A$2:$A$1000,ALGLIB_SSA_XAUUSD!$C$2:$C$1000,"",0)</f>
        <v/>
      </c>
      <c r="D838" s="1">
        <f>D830+(D842-D830)*8/12</f>
        <v>4799.12</v>
      </c>
      <c r="E838" s="1">
        <f>E830+(E842-E830)*8/12</f>
        <v>4785.7732566666673</v>
      </c>
      <c r="F838" s="1">
        <f>F830+(F842-F830)*8/12</f>
        <v>4788.96785</v>
      </c>
      <c r="G838" s="1">
        <f>G830+(G842-G830)*8/12</f>
        <v>4805.8489300000001</v>
      </c>
      <c r="H838" s="1">
        <f>H830+(H842-H830)*8/12</f>
        <v>4768.0558033333336</v>
      </c>
      <c r="I838" t="str">
        <f>_xlfn.XLOOKUP($A838,ALGLIB_SSA_XAUUSD!$J$2:$J$1000,ALGLIB_SSA_XAUUSD!$K$2:$K$1000,"",0)</f>
        <v>XAUUSD</v>
      </c>
      <c r="J838" t="str">
        <f>_xlfn.XLOOKUP($A838,ALGLIB_SSA_XAUUSD!$J$2:$J$1000,ALGLIB_SSA_XAUUSD!$L$2:$L$1000,"",0)</f>
        <v>M5</v>
      </c>
      <c r="K838">
        <f>_xlfn.XLOOKUP($A838,ALGLIB_SSA_XAUUSD!$J$2:$J$1000,ALGLIB_SSA_XAUUSD!$M$2:$M$1000,"",0)</f>
        <v>4790.34</v>
      </c>
      <c r="L838">
        <f>_xlfn.XLOOKUP($A838,ALGLIB_SSA_XAUUSD!$J$2:$J$1000,ALGLIB_SSA_XAUUSD!$N$2:$N$1000,"",0)</f>
        <v>4792.8085600000004</v>
      </c>
      <c r="M838">
        <f>_xlfn.XLOOKUP($A838,ALGLIB_SSA_XAUUSD!$J$2:$J$1000,ALGLIB_SSA_XAUUSD!$O$2:$O$1000,"",0)</f>
        <v>4790.4249</v>
      </c>
      <c r="N838">
        <f>_xlfn.XLOOKUP($A838,ALGLIB_SSA_XAUUSD!$J$2:$J$1000,ALGLIB_SSA_XAUUSD!$P$2:$P$1000,"",0)</f>
        <v>4795.0716499999999</v>
      </c>
      <c r="O838">
        <f>_xlfn.XLOOKUP($A838,ALGLIB_SSA_XAUUSD!$J$2:$J$1000,ALGLIB_SSA_XAUUSD!$Q$2:$Q$1000,"",0)</f>
        <v>4787.7723599999999</v>
      </c>
      <c r="R838">
        <f t="shared" si="143"/>
        <v>1775648400</v>
      </c>
      <c r="S838" t="str">
        <f t="shared" si="144"/>
        <v>XAUUSD</v>
      </c>
      <c r="T838" t="str">
        <f t="shared" si="145"/>
        <v>M5</v>
      </c>
      <c r="U838">
        <f t="shared" si="146"/>
        <v>4790.34</v>
      </c>
      <c r="V838">
        <v>4785.7732599999999</v>
      </c>
      <c r="W838">
        <v>4788.96785</v>
      </c>
      <c r="X838">
        <v>4792.8085600000004</v>
      </c>
      <c r="Y838">
        <v>4790.4249</v>
      </c>
      <c r="Z838">
        <f t="shared" si="147"/>
        <v>4805.8489300000001</v>
      </c>
      <c r="AA838">
        <f t="shared" si="148"/>
        <v>4795.0716499999999</v>
      </c>
      <c r="AB838">
        <f t="shared" si="149"/>
        <v>4768.0558033333336</v>
      </c>
      <c r="AC838">
        <f t="shared" si="150"/>
        <v>4787.7723599999999</v>
      </c>
      <c r="AF838">
        <f t="shared" si="151"/>
        <v>4792.8085600000004</v>
      </c>
      <c r="AG838">
        <f t="shared" si="152"/>
        <v>4805.8489300000001</v>
      </c>
      <c r="AH838">
        <f t="shared" si="153"/>
        <v>4768.0558033333336</v>
      </c>
    </row>
    <row r="839" spans="1:34" x14ac:dyDescent="0.55000000000000004">
      <c r="A839">
        <f>ALGLIB_SSA_XAUUSD!J839</f>
        <v>1775648700</v>
      </c>
      <c r="B839" t="str">
        <f>_xlfn.XLOOKUP($A839,ALGLIB_SSA_XAUUSD!$A$2:$A$1000,ALGLIB_SSA_XAUUSD!$B$2:$B$1000,"",0)</f>
        <v/>
      </c>
      <c r="C839" t="str">
        <f>_xlfn.XLOOKUP($A839,ALGLIB_SSA_XAUUSD!$A$2:$A$1000,ALGLIB_SSA_XAUUSD!$C$2:$C$1000,"",0)</f>
        <v/>
      </c>
      <c r="D839" s="1">
        <f>D830+(D842-D830)*9/12</f>
        <v>4799.2224999999999</v>
      </c>
      <c r="E839" s="1">
        <f>E830+(E842-E830)*9/12</f>
        <v>4785.4218075000008</v>
      </c>
      <c r="F839" s="1">
        <f>F830+(F842-F830)*9/12</f>
        <v>4788.6803250000003</v>
      </c>
      <c r="G839" s="1">
        <f>G830+(G842-G830)*9/12</f>
        <v>4805.6210424999999</v>
      </c>
      <c r="H839" s="1">
        <f>H830+(H842-H830)*9/12</f>
        <v>4767.57834</v>
      </c>
      <c r="I839" t="str">
        <f>_xlfn.XLOOKUP($A839,ALGLIB_SSA_XAUUSD!$J$2:$J$1000,ALGLIB_SSA_XAUUSD!$K$2:$K$1000,"",0)</f>
        <v>XAUUSD</v>
      </c>
      <c r="J839" t="str">
        <f>_xlfn.XLOOKUP($A839,ALGLIB_SSA_XAUUSD!$J$2:$J$1000,ALGLIB_SSA_XAUUSD!$L$2:$L$1000,"",0)</f>
        <v>M5</v>
      </c>
      <c r="K839">
        <f>_xlfn.XLOOKUP($A839,ALGLIB_SSA_XAUUSD!$J$2:$J$1000,ALGLIB_SSA_XAUUSD!$M$2:$M$1000,"",0)</f>
        <v>4796.0200000000004</v>
      </c>
      <c r="L839">
        <f>_xlfn.XLOOKUP($A839,ALGLIB_SSA_XAUUSD!$J$2:$J$1000,ALGLIB_SSA_XAUUSD!$N$2:$N$1000,"",0)</f>
        <v>4795.8128500000003</v>
      </c>
      <c r="M839">
        <f>_xlfn.XLOOKUP($A839,ALGLIB_SSA_XAUUSD!$J$2:$J$1000,ALGLIB_SSA_XAUUSD!$O$2:$O$1000,"",0)</f>
        <v>4793.1188700000002</v>
      </c>
      <c r="N839">
        <f>_xlfn.XLOOKUP($A839,ALGLIB_SSA_XAUUSD!$J$2:$J$1000,ALGLIB_SSA_XAUUSD!$P$2:$P$1000,"",0)</f>
        <v>4798.1348900000003</v>
      </c>
      <c r="O839">
        <f>_xlfn.XLOOKUP($A839,ALGLIB_SSA_XAUUSD!$J$2:$J$1000,ALGLIB_SSA_XAUUSD!$Q$2:$Q$1000,"",0)</f>
        <v>4791.2578100000001</v>
      </c>
      <c r="R839">
        <f t="shared" si="143"/>
        <v>1775648700</v>
      </c>
      <c r="S839" t="str">
        <f t="shared" si="144"/>
        <v>XAUUSD</v>
      </c>
      <c r="T839" t="str">
        <f t="shared" si="145"/>
        <v>M5</v>
      </c>
      <c r="U839">
        <f t="shared" si="146"/>
        <v>4796.0200000000004</v>
      </c>
      <c r="V839">
        <v>4785.4218099999998</v>
      </c>
      <c r="W839">
        <v>4788.6803300000001</v>
      </c>
      <c r="X839">
        <v>4795.8128500000003</v>
      </c>
      <c r="Y839">
        <v>4793.1188700000002</v>
      </c>
      <c r="Z839">
        <f t="shared" si="147"/>
        <v>4805.6210424999999</v>
      </c>
      <c r="AA839">
        <f t="shared" si="148"/>
        <v>4798.1348900000003</v>
      </c>
      <c r="AB839">
        <f t="shared" si="149"/>
        <v>4767.57834</v>
      </c>
      <c r="AC839">
        <f t="shared" si="150"/>
        <v>4791.2578100000001</v>
      </c>
      <c r="AF839">
        <f t="shared" si="151"/>
        <v>4795.8128500000003</v>
      </c>
      <c r="AG839">
        <f t="shared" si="152"/>
        <v>4805.6210424999999</v>
      </c>
      <c r="AH839">
        <f t="shared" si="153"/>
        <v>4767.57834</v>
      </c>
    </row>
    <row r="840" spans="1:34" x14ac:dyDescent="0.55000000000000004">
      <c r="A840">
        <f>ALGLIB_SSA_XAUUSD!J840</f>
        <v>1775649000</v>
      </c>
      <c r="B840" t="str">
        <f>_xlfn.XLOOKUP($A840,ALGLIB_SSA_XAUUSD!$A$2:$A$1000,ALGLIB_SSA_XAUUSD!$B$2:$B$1000,"",0)</f>
        <v/>
      </c>
      <c r="C840" t="str">
        <f>_xlfn.XLOOKUP($A840,ALGLIB_SSA_XAUUSD!$A$2:$A$1000,ALGLIB_SSA_XAUUSD!$C$2:$C$1000,"",0)</f>
        <v/>
      </c>
      <c r="D840" s="1">
        <f>D830+(D842-D830)*10/12</f>
        <v>4799.3249999999998</v>
      </c>
      <c r="E840" s="1">
        <f>E830+(E842-E830)*10/12</f>
        <v>4785.0703583333334</v>
      </c>
      <c r="F840" s="1">
        <f>F830+(F842-F830)*10/12</f>
        <v>4788.3927999999996</v>
      </c>
      <c r="G840" s="1">
        <f>G830+(G842-G830)*10/12</f>
        <v>4805.3931549999998</v>
      </c>
      <c r="H840" s="1">
        <f>H830+(H842-H830)*10/12</f>
        <v>4767.1008766666664</v>
      </c>
      <c r="I840" t="str">
        <f>_xlfn.XLOOKUP($A840,ALGLIB_SSA_XAUUSD!$J$2:$J$1000,ALGLIB_SSA_XAUUSD!$K$2:$K$1000,"",0)</f>
        <v>XAUUSD</v>
      </c>
      <c r="J840" t="str">
        <f>_xlfn.XLOOKUP($A840,ALGLIB_SSA_XAUUSD!$J$2:$J$1000,ALGLIB_SSA_XAUUSD!$L$2:$L$1000,"",0)</f>
        <v>M5</v>
      </c>
      <c r="K840">
        <f>_xlfn.XLOOKUP($A840,ALGLIB_SSA_XAUUSD!$J$2:$J$1000,ALGLIB_SSA_XAUUSD!$M$2:$M$1000,"",0)</f>
        <v>4796.7700000000004</v>
      </c>
      <c r="L840">
        <f>_xlfn.XLOOKUP($A840,ALGLIB_SSA_XAUUSD!$J$2:$J$1000,ALGLIB_SSA_XAUUSD!$N$2:$N$1000,"",0)</f>
        <v>4798.1142200000004</v>
      </c>
      <c r="M840">
        <f>_xlfn.XLOOKUP($A840,ALGLIB_SSA_XAUUSD!$J$2:$J$1000,ALGLIB_SSA_XAUUSD!$O$2:$O$1000,"",0)</f>
        <v>4795.6165499999997</v>
      </c>
      <c r="N840">
        <f>_xlfn.XLOOKUP($A840,ALGLIB_SSA_XAUUSD!$J$2:$J$1000,ALGLIB_SSA_XAUUSD!$P$2:$P$1000,"",0)</f>
        <v>4800.9807700000001</v>
      </c>
      <c r="O840">
        <f>_xlfn.XLOOKUP($A840,ALGLIB_SSA_XAUUSD!$J$2:$J$1000,ALGLIB_SSA_XAUUSD!$Q$2:$Q$1000,"",0)</f>
        <v>4794.1546099999996</v>
      </c>
      <c r="R840">
        <f t="shared" si="143"/>
        <v>1775649000</v>
      </c>
      <c r="S840" t="str">
        <f t="shared" si="144"/>
        <v>XAUUSD</v>
      </c>
      <c r="T840" t="str">
        <f t="shared" si="145"/>
        <v>M5</v>
      </c>
      <c r="U840">
        <f t="shared" si="146"/>
        <v>4796.7700000000004</v>
      </c>
      <c r="V840">
        <v>4785.0703599999997</v>
      </c>
      <c r="W840">
        <v>4788.3927999999996</v>
      </c>
      <c r="X840">
        <v>4798.1142200000004</v>
      </c>
      <c r="Y840">
        <v>4795.6165499999997</v>
      </c>
      <c r="Z840">
        <f t="shared" si="147"/>
        <v>4805.3931549999998</v>
      </c>
      <c r="AA840">
        <f t="shared" si="148"/>
        <v>4800.9807700000001</v>
      </c>
      <c r="AB840">
        <f t="shared" si="149"/>
        <v>4767.1008766666664</v>
      </c>
      <c r="AC840">
        <f t="shared" si="150"/>
        <v>4794.1546099999996</v>
      </c>
      <c r="AF840">
        <f t="shared" si="151"/>
        <v>4798.1142200000004</v>
      </c>
      <c r="AG840">
        <f t="shared" si="152"/>
        <v>4805.3931549999998</v>
      </c>
      <c r="AH840">
        <f t="shared" si="153"/>
        <v>4767.1008766666664</v>
      </c>
    </row>
    <row r="841" spans="1:34" x14ac:dyDescent="0.55000000000000004">
      <c r="A841">
        <f>ALGLIB_SSA_XAUUSD!J841</f>
        <v>1775649300</v>
      </c>
      <c r="B841" t="str">
        <f>_xlfn.XLOOKUP($A841,ALGLIB_SSA_XAUUSD!$A$2:$A$1000,ALGLIB_SSA_XAUUSD!$B$2:$B$1000,"",0)</f>
        <v/>
      </c>
      <c r="C841" t="str">
        <f>_xlfn.XLOOKUP($A841,ALGLIB_SSA_XAUUSD!$A$2:$A$1000,ALGLIB_SSA_XAUUSD!$C$2:$C$1000,"",0)</f>
        <v/>
      </c>
      <c r="D841" s="1">
        <f>D830+(D842-D830)*11/12</f>
        <v>4799.4274999999998</v>
      </c>
      <c r="E841" s="1">
        <f>E830+(E842-E830)*11/12</f>
        <v>4784.7189091666669</v>
      </c>
      <c r="F841" s="1">
        <f>F830+(F842-F830)*11/12</f>
        <v>4788.1052749999999</v>
      </c>
      <c r="G841" s="1">
        <f>G830+(G842-G830)*11/12</f>
        <v>4805.1652675000005</v>
      </c>
      <c r="H841" s="1">
        <f>H830+(H842-H830)*11/12</f>
        <v>4766.6234133333337</v>
      </c>
      <c r="I841" t="str">
        <f>_xlfn.XLOOKUP($A841,ALGLIB_SSA_XAUUSD!$J$2:$J$1000,ALGLIB_SSA_XAUUSD!$K$2:$K$1000,"",0)</f>
        <v>XAUUSD</v>
      </c>
      <c r="J841" t="str">
        <f>_xlfn.XLOOKUP($A841,ALGLIB_SSA_XAUUSD!$J$2:$J$1000,ALGLIB_SSA_XAUUSD!$L$2:$L$1000,"",0)</f>
        <v>M5</v>
      </c>
      <c r="K841">
        <f>_xlfn.XLOOKUP($A841,ALGLIB_SSA_XAUUSD!$J$2:$J$1000,ALGLIB_SSA_XAUUSD!$M$2:$M$1000,"",0)</f>
        <v>4798.3</v>
      </c>
      <c r="L841">
        <f>_xlfn.XLOOKUP($A841,ALGLIB_SSA_XAUUSD!$J$2:$J$1000,ALGLIB_SSA_XAUUSD!$N$2:$N$1000,"",0)</f>
        <v>4799.2850500000004</v>
      </c>
      <c r="M841">
        <f>_xlfn.XLOOKUP($A841,ALGLIB_SSA_XAUUSD!$J$2:$J$1000,ALGLIB_SSA_XAUUSD!$O$2:$O$1000,"",0)</f>
        <v>4797.4507999999996</v>
      </c>
      <c r="N841">
        <f>_xlfn.XLOOKUP($A841,ALGLIB_SSA_XAUUSD!$J$2:$J$1000,ALGLIB_SSA_XAUUSD!$P$2:$P$1000,"",0)</f>
        <v>4803.0792000000001</v>
      </c>
      <c r="O841">
        <f>_xlfn.XLOOKUP($A841,ALGLIB_SSA_XAUUSD!$J$2:$J$1000,ALGLIB_SSA_XAUUSD!$Q$2:$Q$1000,"",0)</f>
        <v>4795.7633599999999</v>
      </c>
      <c r="R841">
        <f t="shared" si="143"/>
        <v>1775649300</v>
      </c>
      <c r="S841" t="str">
        <f t="shared" si="144"/>
        <v>XAUUSD</v>
      </c>
      <c r="T841" t="str">
        <f t="shared" si="145"/>
        <v>M5</v>
      </c>
      <c r="U841">
        <f t="shared" si="146"/>
        <v>4798.3</v>
      </c>
      <c r="V841">
        <v>4784.7189099999996</v>
      </c>
      <c r="W841">
        <v>4788.1052799999998</v>
      </c>
      <c r="X841">
        <v>4799.2850500000004</v>
      </c>
      <c r="Y841">
        <v>4797.4507999999996</v>
      </c>
      <c r="Z841">
        <f t="shared" si="147"/>
        <v>4805.1652675000005</v>
      </c>
      <c r="AA841">
        <f t="shared" si="148"/>
        <v>4803.0792000000001</v>
      </c>
      <c r="AB841">
        <f t="shared" si="149"/>
        <v>4766.6234133333337</v>
      </c>
      <c r="AC841">
        <f t="shared" si="150"/>
        <v>4795.7633599999999</v>
      </c>
      <c r="AF841">
        <f t="shared" si="151"/>
        <v>4799.2850500000004</v>
      </c>
      <c r="AG841">
        <f t="shared" si="152"/>
        <v>4805.1652675000005</v>
      </c>
      <c r="AH841">
        <f t="shared" si="153"/>
        <v>4766.6234133333337</v>
      </c>
    </row>
    <row r="842" spans="1:34" x14ac:dyDescent="0.55000000000000004">
      <c r="A842">
        <f>ALGLIB_SSA_XAUUSD!J842</f>
        <v>1775649600</v>
      </c>
      <c r="B842" t="str">
        <f>_xlfn.XLOOKUP($A842,ALGLIB_SSA_XAUUSD!$A$2:$A$1000,ALGLIB_SSA_XAUUSD!$B$2:$B$1000,"",0)</f>
        <v>XAUUSD</v>
      </c>
      <c r="C842" t="str">
        <f>_xlfn.XLOOKUP($A842,ALGLIB_SSA_XAUUSD!$A$2:$A$1000,ALGLIB_SSA_XAUUSD!$C$2:$C$1000,"",0)</f>
        <v>H1</v>
      </c>
      <c r="D842" s="2">
        <f>_xlfn.XLOOKUP($A842,ALGLIB_SSA_XAUUSD!$A$2:$A$1000,ALGLIB_SSA_XAUUSD!$D$2:$D$1000,"",0)</f>
        <v>4799.53</v>
      </c>
      <c r="E842" s="2">
        <f>_xlfn.XLOOKUP($A842,ALGLIB_SSA_XAUUSD!$A$2:$A$1000,ALGLIB_SSA_XAUUSD!$E$2:$E$1000,"",0)</f>
        <v>4784.3674600000004</v>
      </c>
      <c r="F842" s="2">
        <f>_xlfn.XLOOKUP($A842,ALGLIB_SSA_XAUUSD!$A$2:$A$1000,ALGLIB_SSA_XAUUSD!$F$2:$F$1000,"",0)</f>
        <v>4787.8177500000002</v>
      </c>
      <c r="G842" s="2">
        <f>_xlfn.XLOOKUP($A842,ALGLIB_SSA_XAUUSD!$A$2:$A$1000,ALGLIB_SSA_XAUUSD!$G$2:$G$1000,"",0)</f>
        <v>4804.9373800000003</v>
      </c>
      <c r="H842" s="2">
        <f>_xlfn.XLOOKUP($A842,ALGLIB_SSA_XAUUSD!$A$2:$A$1000,ALGLIB_SSA_XAUUSD!$H$2:$H$1000,"",0)</f>
        <v>4766.1459500000001</v>
      </c>
      <c r="I842" t="str">
        <f>_xlfn.XLOOKUP($A842,ALGLIB_SSA_XAUUSD!$J$2:$J$1000,ALGLIB_SSA_XAUUSD!$K$2:$K$1000,"",0)</f>
        <v>XAUUSD</v>
      </c>
      <c r="J842" t="str">
        <f>_xlfn.XLOOKUP($A842,ALGLIB_SSA_XAUUSD!$J$2:$J$1000,ALGLIB_SSA_XAUUSD!$L$2:$L$1000,"",0)</f>
        <v>M5</v>
      </c>
      <c r="K842">
        <f>_xlfn.XLOOKUP($A842,ALGLIB_SSA_XAUUSD!$J$2:$J$1000,ALGLIB_SSA_XAUUSD!$M$2:$M$1000,"",0)</f>
        <v>4803.78</v>
      </c>
      <c r="L842">
        <f>_xlfn.XLOOKUP($A842,ALGLIB_SSA_XAUUSD!$J$2:$J$1000,ALGLIB_SSA_XAUUSD!$N$2:$N$1000,"",0)</f>
        <v>4799.1078699999998</v>
      </c>
      <c r="M842">
        <f>_xlfn.XLOOKUP($A842,ALGLIB_SSA_XAUUSD!$J$2:$J$1000,ALGLIB_SSA_XAUUSD!$O$2:$O$1000,"",0)</f>
        <v>4798.27934</v>
      </c>
      <c r="N842">
        <f>_xlfn.XLOOKUP($A842,ALGLIB_SSA_XAUUSD!$J$2:$J$1000,ALGLIB_SSA_XAUUSD!$P$2:$P$1000,"",0)</f>
        <v>4804.07053</v>
      </c>
      <c r="O842">
        <f>_xlfn.XLOOKUP($A842,ALGLIB_SSA_XAUUSD!$J$2:$J$1000,ALGLIB_SSA_XAUUSD!$Q$2:$Q$1000,"",0)</f>
        <v>4795.7214599999998</v>
      </c>
      <c r="R842">
        <f t="shared" si="143"/>
        <v>1775649600</v>
      </c>
      <c r="S842" t="str">
        <f t="shared" si="144"/>
        <v>XAUUSD</v>
      </c>
      <c r="T842" t="str">
        <f t="shared" si="145"/>
        <v>M5</v>
      </c>
      <c r="U842">
        <f t="shared" si="146"/>
        <v>4803.78</v>
      </c>
      <c r="V842">
        <v>4784.3674600000004</v>
      </c>
      <c r="W842">
        <v>4787.8177500000002</v>
      </c>
      <c r="X842">
        <v>4799.1078699999998</v>
      </c>
      <c r="Y842">
        <v>4798.27934</v>
      </c>
      <c r="Z842">
        <f t="shared" si="147"/>
        <v>4804.9373800000003</v>
      </c>
      <c r="AA842">
        <f t="shared" si="148"/>
        <v>4804.07053</v>
      </c>
      <c r="AB842">
        <f t="shared" si="149"/>
        <v>4766.1459500000001</v>
      </c>
      <c r="AC842">
        <f t="shared" si="150"/>
        <v>4795.7214599999998</v>
      </c>
      <c r="AF842">
        <f t="shared" si="151"/>
        <v>4799.1078699999998</v>
      </c>
      <c r="AG842">
        <f t="shared" si="152"/>
        <v>4804.9373800000003</v>
      </c>
      <c r="AH842">
        <f t="shared" si="153"/>
        <v>4766.1459500000001</v>
      </c>
    </row>
    <row r="843" spans="1:34" x14ac:dyDescent="0.55000000000000004">
      <c r="A843">
        <f>ALGLIB_SSA_XAUUSD!J843</f>
        <v>1775649900</v>
      </c>
      <c r="B843" t="str">
        <f>_xlfn.XLOOKUP($A843,ALGLIB_SSA_XAUUSD!$A$2:$A$1000,ALGLIB_SSA_XAUUSD!$B$2:$B$1000,"",0)</f>
        <v/>
      </c>
      <c r="C843" t="str">
        <f>_xlfn.XLOOKUP($A843,ALGLIB_SSA_XAUUSD!$A$2:$A$1000,ALGLIB_SSA_XAUUSD!$C$2:$C$1000,"",0)</f>
        <v/>
      </c>
      <c r="D843" s="1">
        <f>D842+(D854-D842)*1/12</f>
        <v>4797.7474999999995</v>
      </c>
      <c r="E843" s="1">
        <f>E842+(E854-E842)*1/12</f>
        <v>4783.7811308333339</v>
      </c>
      <c r="F843" s="1">
        <f>F842+(F854-F842)*1/12</f>
        <v>4787.3808233333339</v>
      </c>
      <c r="G843" s="1">
        <f>G842+(G854-G842)*1/12</f>
        <v>4804.475494166667</v>
      </c>
      <c r="H843" s="1">
        <f>H842+(H854-H842)*1/12</f>
        <v>4765.5929150000002</v>
      </c>
      <c r="I843" t="str">
        <f>_xlfn.XLOOKUP($A843,ALGLIB_SSA_XAUUSD!$J$2:$J$1000,ALGLIB_SSA_XAUUSD!$K$2:$K$1000,"",0)</f>
        <v>XAUUSD</v>
      </c>
      <c r="J843" t="str">
        <f>_xlfn.XLOOKUP($A843,ALGLIB_SSA_XAUUSD!$J$2:$J$1000,ALGLIB_SSA_XAUUSD!$L$2:$L$1000,"",0)</f>
        <v>M5</v>
      </c>
      <c r="K843">
        <f>_xlfn.XLOOKUP($A843,ALGLIB_SSA_XAUUSD!$J$2:$J$1000,ALGLIB_SSA_XAUUSD!$M$2:$M$1000,"",0)</f>
        <v>4800.51</v>
      </c>
      <c r="L843">
        <f>_xlfn.XLOOKUP($A843,ALGLIB_SSA_XAUUSD!$J$2:$J$1000,ALGLIB_SSA_XAUUSD!$N$2:$N$1000,"",0)</f>
        <v>4797.5413500000004</v>
      </c>
      <c r="M843">
        <f>_xlfn.XLOOKUP($A843,ALGLIB_SSA_XAUUSD!$J$2:$J$1000,ALGLIB_SSA_XAUUSD!$O$2:$O$1000,"",0)</f>
        <v>4797.9103400000004</v>
      </c>
      <c r="N843">
        <f>_xlfn.XLOOKUP($A843,ALGLIB_SSA_XAUUSD!$J$2:$J$1000,ALGLIB_SSA_XAUUSD!$P$2:$P$1000,"",0)</f>
        <v>4803.8162899999998</v>
      </c>
      <c r="O843">
        <f>_xlfn.XLOOKUP($A843,ALGLIB_SSA_XAUUSD!$J$2:$J$1000,ALGLIB_SSA_XAUUSD!$Q$2:$Q$1000,"",0)</f>
        <v>4794.01728</v>
      </c>
      <c r="R843">
        <f t="shared" si="143"/>
        <v>1775649900</v>
      </c>
      <c r="S843" t="str">
        <f t="shared" si="144"/>
        <v>XAUUSD</v>
      </c>
      <c r="T843" t="str">
        <f t="shared" si="145"/>
        <v>M5</v>
      </c>
      <c r="U843">
        <f t="shared" si="146"/>
        <v>4800.51</v>
      </c>
      <c r="V843">
        <v>4783.7811300000003</v>
      </c>
      <c r="W843">
        <v>4787.3808200000003</v>
      </c>
      <c r="X843">
        <v>4797.5413500000004</v>
      </c>
      <c r="Y843">
        <v>4797.9103400000004</v>
      </c>
      <c r="Z843">
        <f t="shared" si="147"/>
        <v>4804.475494166667</v>
      </c>
      <c r="AA843">
        <f t="shared" si="148"/>
        <v>4803.8162899999998</v>
      </c>
      <c r="AB843">
        <f t="shared" si="149"/>
        <v>4765.5929150000002</v>
      </c>
      <c r="AC843">
        <f t="shared" si="150"/>
        <v>4794.01728</v>
      </c>
      <c r="AF843">
        <f t="shared" si="151"/>
        <v>4797.5413500000004</v>
      </c>
      <c r="AG843">
        <f t="shared" si="152"/>
        <v>4804.475494166667</v>
      </c>
      <c r="AH843">
        <f t="shared" si="153"/>
        <v>4765.5929150000002</v>
      </c>
    </row>
    <row r="844" spans="1:34" x14ac:dyDescent="0.55000000000000004">
      <c r="A844">
        <f>ALGLIB_SSA_XAUUSD!J844</f>
        <v>1775650200</v>
      </c>
      <c r="B844" t="str">
        <f>_xlfn.XLOOKUP($A844,ALGLIB_SSA_XAUUSD!$A$2:$A$1000,ALGLIB_SSA_XAUUSD!$B$2:$B$1000,"",0)</f>
        <v/>
      </c>
      <c r="C844" t="str">
        <f>_xlfn.XLOOKUP($A844,ALGLIB_SSA_XAUUSD!$A$2:$A$1000,ALGLIB_SSA_XAUUSD!$C$2:$C$1000,"",0)</f>
        <v/>
      </c>
      <c r="D844" s="1">
        <f>D842+(D854-D842)*2/12</f>
        <v>4795.9650000000001</v>
      </c>
      <c r="E844" s="1">
        <f>E842+(E854-E842)*2/12</f>
        <v>4783.1948016666665</v>
      </c>
      <c r="F844" s="1">
        <f>F842+(F854-F842)*2/12</f>
        <v>4786.9438966666667</v>
      </c>
      <c r="G844" s="1">
        <f>G842+(G854-G842)*2/12</f>
        <v>4804.0136083333337</v>
      </c>
      <c r="H844" s="1">
        <f>H842+(H854-H842)*2/12</f>
        <v>4765.0398800000003</v>
      </c>
      <c r="I844" t="str">
        <f>_xlfn.XLOOKUP($A844,ALGLIB_SSA_XAUUSD!$J$2:$J$1000,ALGLIB_SSA_XAUUSD!$K$2:$K$1000,"",0)</f>
        <v>XAUUSD</v>
      </c>
      <c r="J844" t="str">
        <f>_xlfn.XLOOKUP($A844,ALGLIB_SSA_XAUUSD!$J$2:$J$1000,ALGLIB_SSA_XAUUSD!$L$2:$L$1000,"",0)</f>
        <v>M5</v>
      </c>
      <c r="K844">
        <f>_xlfn.XLOOKUP($A844,ALGLIB_SSA_XAUUSD!$J$2:$J$1000,ALGLIB_SSA_XAUUSD!$M$2:$M$1000,"",0)</f>
        <v>4805.3100000000004</v>
      </c>
      <c r="L844">
        <f>_xlfn.XLOOKUP($A844,ALGLIB_SSA_XAUUSD!$J$2:$J$1000,ALGLIB_SSA_XAUUSD!$N$2:$N$1000,"",0)</f>
        <v>4795.0170399999997</v>
      </c>
      <c r="M844">
        <f>_xlfn.XLOOKUP($A844,ALGLIB_SSA_XAUUSD!$J$2:$J$1000,ALGLIB_SSA_XAUUSD!$O$2:$O$1000,"",0)</f>
        <v>4796.4636899999996</v>
      </c>
      <c r="N844">
        <f>_xlfn.XLOOKUP($A844,ALGLIB_SSA_XAUUSD!$J$2:$J$1000,ALGLIB_SSA_XAUUSD!$P$2:$P$1000,"",0)</f>
        <v>4802.3989899999997</v>
      </c>
      <c r="O844">
        <f>_xlfn.XLOOKUP($A844,ALGLIB_SSA_XAUUSD!$J$2:$J$1000,ALGLIB_SSA_XAUUSD!$Q$2:$Q$1000,"",0)</f>
        <v>4790.9897199999996</v>
      </c>
      <c r="R844">
        <f t="shared" si="143"/>
        <v>1775650200</v>
      </c>
      <c r="S844" t="str">
        <f t="shared" si="144"/>
        <v>XAUUSD</v>
      </c>
      <c r="T844" t="str">
        <f t="shared" si="145"/>
        <v>M5</v>
      </c>
      <c r="U844">
        <f t="shared" si="146"/>
        <v>4805.3100000000004</v>
      </c>
      <c r="V844">
        <v>4783.1948000000002</v>
      </c>
      <c r="W844">
        <v>4786.9439000000002</v>
      </c>
      <c r="X844">
        <v>4795.0170399999997</v>
      </c>
      <c r="Y844">
        <v>4796.4636899999996</v>
      </c>
      <c r="Z844">
        <f t="shared" si="147"/>
        <v>4804.0136083333337</v>
      </c>
      <c r="AA844">
        <f t="shared" si="148"/>
        <v>4802.3989899999997</v>
      </c>
      <c r="AB844">
        <f t="shared" si="149"/>
        <v>4765.0398800000003</v>
      </c>
      <c r="AC844">
        <f t="shared" si="150"/>
        <v>4790.9897199999996</v>
      </c>
      <c r="AF844">
        <f t="shared" si="151"/>
        <v>4795.0170399999997</v>
      </c>
      <c r="AG844">
        <f t="shared" si="152"/>
        <v>4804.0136083333337</v>
      </c>
      <c r="AH844">
        <f t="shared" si="153"/>
        <v>4765.0398800000003</v>
      </c>
    </row>
    <row r="845" spans="1:34" x14ac:dyDescent="0.55000000000000004">
      <c r="A845">
        <f>ALGLIB_SSA_XAUUSD!J845</f>
        <v>1775650500</v>
      </c>
      <c r="B845" t="str">
        <f>_xlfn.XLOOKUP($A845,ALGLIB_SSA_XAUUSD!$A$2:$A$1000,ALGLIB_SSA_XAUUSD!$B$2:$B$1000,"",0)</f>
        <v/>
      </c>
      <c r="C845" t="str">
        <f>_xlfn.XLOOKUP($A845,ALGLIB_SSA_XAUUSD!$A$2:$A$1000,ALGLIB_SSA_XAUUSD!$C$2:$C$1000,"",0)</f>
        <v/>
      </c>
      <c r="D845" s="1">
        <f>D842+(D854-D842)*3/12</f>
        <v>4794.1824999999999</v>
      </c>
      <c r="E845" s="1">
        <f>E842+(E854-E842)*3/12</f>
        <v>4782.6084725000001</v>
      </c>
      <c r="F845" s="1">
        <f>F842+(F854-F842)*3/12</f>
        <v>4786.5069700000004</v>
      </c>
      <c r="G845" s="1">
        <f>G842+(G854-G842)*3/12</f>
        <v>4803.5517225000003</v>
      </c>
      <c r="H845" s="1">
        <f>H842+(H854-H842)*3/12</f>
        <v>4764.4868450000004</v>
      </c>
      <c r="I845" t="str">
        <f>_xlfn.XLOOKUP($A845,ALGLIB_SSA_XAUUSD!$J$2:$J$1000,ALGLIB_SSA_XAUUSD!$K$2:$K$1000,"",0)</f>
        <v>XAUUSD</v>
      </c>
      <c r="J845" t="str">
        <f>_xlfn.XLOOKUP($A845,ALGLIB_SSA_XAUUSD!$J$2:$J$1000,ALGLIB_SSA_XAUUSD!$L$2:$L$1000,"",0)</f>
        <v>M5</v>
      </c>
      <c r="K845">
        <f>_xlfn.XLOOKUP($A845,ALGLIB_SSA_XAUUSD!$J$2:$J$1000,ALGLIB_SSA_XAUUSD!$M$2:$M$1000,"",0)</f>
        <v>4792.62</v>
      </c>
      <c r="L845">
        <f>_xlfn.XLOOKUP($A845,ALGLIB_SSA_XAUUSD!$J$2:$J$1000,ALGLIB_SSA_XAUUSD!$N$2:$N$1000,"",0)</f>
        <v>4791.9939599999998</v>
      </c>
      <c r="M845">
        <f>_xlfn.XLOOKUP($A845,ALGLIB_SSA_XAUUSD!$J$2:$J$1000,ALGLIB_SSA_XAUUSD!$O$2:$O$1000,"",0)</f>
        <v>4794.22883</v>
      </c>
      <c r="N845">
        <f>_xlfn.XLOOKUP($A845,ALGLIB_SSA_XAUUSD!$J$2:$J$1000,ALGLIB_SSA_XAUUSD!$P$2:$P$1000,"",0)</f>
        <v>4800.1292299999996</v>
      </c>
      <c r="O845">
        <f>_xlfn.XLOOKUP($A845,ALGLIB_SSA_XAUUSD!$J$2:$J$1000,ALGLIB_SSA_XAUUSD!$Q$2:$Q$1000,"",0)</f>
        <v>4787.3666899999998</v>
      </c>
      <c r="R845">
        <f t="shared" si="143"/>
        <v>1775650500</v>
      </c>
      <c r="S845" t="str">
        <f t="shared" si="144"/>
        <v>XAUUSD</v>
      </c>
      <c r="T845" t="str">
        <f t="shared" si="145"/>
        <v>M5</v>
      </c>
      <c r="U845">
        <f t="shared" si="146"/>
        <v>4792.62</v>
      </c>
      <c r="V845">
        <v>4782.6084700000001</v>
      </c>
      <c r="W845">
        <v>4786.5069700000004</v>
      </c>
      <c r="X845">
        <v>4791.9939599999998</v>
      </c>
      <c r="Y845">
        <v>4794.22883</v>
      </c>
      <c r="Z845">
        <f t="shared" si="147"/>
        <v>4803.5517225000003</v>
      </c>
      <c r="AA845">
        <f t="shared" si="148"/>
        <v>4800.1292299999996</v>
      </c>
      <c r="AB845">
        <f t="shared" si="149"/>
        <v>4764.4868450000004</v>
      </c>
      <c r="AC845">
        <f t="shared" si="150"/>
        <v>4787.3666899999998</v>
      </c>
      <c r="AF845">
        <f t="shared" si="151"/>
        <v>4791.9939599999998</v>
      </c>
      <c r="AG845">
        <f t="shared" si="152"/>
        <v>4803.5517225000003</v>
      </c>
      <c r="AH845">
        <f t="shared" si="153"/>
        <v>4764.4868450000004</v>
      </c>
    </row>
    <row r="846" spans="1:34" x14ac:dyDescent="0.55000000000000004">
      <c r="A846">
        <f>ALGLIB_SSA_XAUUSD!J846</f>
        <v>1775650800</v>
      </c>
      <c r="B846" t="str">
        <f>_xlfn.XLOOKUP($A846,ALGLIB_SSA_XAUUSD!$A$2:$A$1000,ALGLIB_SSA_XAUUSD!$B$2:$B$1000,"",0)</f>
        <v/>
      </c>
      <c r="C846" t="str">
        <f>_xlfn.XLOOKUP($A846,ALGLIB_SSA_XAUUSD!$A$2:$A$1000,ALGLIB_SSA_XAUUSD!$C$2:$C$1000,"",0)</f>
        <v/>
      </c>
      <c r="D846" s="1">
        <f>D842+(D854-D842)*4/12</f>
        <v>4792.3999999999996</v>
      </c>
      <c r="E846" s="1">
        <f>E842+(E854-E842)*4/12</f>
        <v>4782.0221433333336</v>
      </c>
      <c r="F846" s="1">
        <f>F842+(F854-F842)*4/12</f>
        <v>4786.0700433333332</v>
      </c>
      <c r="G846" s="1">
        <f>G842+(G854-G842)*4/12</f>
        <v>4803.089836666667</v>
      </c>
      <c r="H846" s="1">
        <f>H842+(H854-H842)*4/12</f>
        <v>4763.9338100000004</v>
      </c>
      <c r="I846" t="str">
        <f>_xlfn.XLOOKUP($A846,ALGLIB_SSA_XAUUSD!$J$2:$J$1000,ALGLIB_SSA_XAUUSD!$K$2:$K$1000,"",0)</f>
        <v>XAUUSD</v>
      </c>
      <c r="J846" t="str">
        <f>_xlfn.XLOOKUP($A846,ALGLIB_SSA_XAUUSD!$J$2:$J$1000,ALGLIB_SSA_XAUUSD!$L$2:$L$1000,"",0)</f>
        <v>M5</v>
      </c>
      <c r="K846">
        <f>_xlfn.XLOOKUP($A846,ALGLIB_SSA_XAUUSD!$J$2:$J$1000,ALGLIB_SSA_XAUUSD!$M$2:$M$1000,"",0)</f>
        <v>4770.22</v>
      </c>
      <c r="L846">
        <f>_xlfn.XLOOKUP($A846,ALGLIB_SSA_XAUUSD!$J$2:$J$1000,ALGLIB_SSA_XAUUSD!$N$2:$N$1000,"",0)</f>
        <v>4789.4608799999996</v>
      </c>
      <c r="M846">
        <f>_xlfn.XLOOKUP($A846,ALGLIB_SSA_XAUUSD!$J$2:$J$1000,ALGLIB_SSA_XAUUSD!$O$2:$O$1000,"",0)</f>
        <v>4791.8448500000004</v>
      </c>
      <c r="N846">
        <f>_xlfn.XLOOKUP($A846,ALGLIB_SSA_XAUUSD!$J$2:$J$1000,ALGLIB_SSA_XAUUSD!$P$2:$P$1000,"",0)</f>
        <v>4797.5953300000001</v>
      </c>
      <c r="O846">
        <f>_xlfn.XLOOKUP($A846,ALGLIB_SSA_XAUUSD!$J$2:$J$1000,ALGLIB_SSA_XAUUSD!$Q$2:$Q$1000,"",0)</f>
        <v>4784.09782</v>
      </c>
      <c r="R846">
        <f t="shared" si="143"/>
        <v>1775650800</v>
      </c>
      <c r="S846" t="str">
        <f t="shared" si="144"/>
        <v>XAUUSD</v>
      </c>
      <c r="T846" t="str">
        <f t="shared" si="145"/>
        <v>M5</v>
      </c>
      <c r="U846">
        <f t="shared" si="146"/>
        <v>4770.22</v>
      </c>
      <c r="V846">
        <v>4782.02214</v>
      </c>
      <c r="W846">
        <v>4786.0700399999996</v>
      </c>
      <c r="X846">
        <v>4789.4608799999996</v>
      </c>
      <c r="Y846">
        <v>4791.8448500000004</v>
      </c>
      <c r="Z846">
        <f t="shared" si="147"/>
        <v>4803.089836666667</v>
      </c>
      <c r="AA846">
        <f t="shared" si="148"/>
        <v>4797.5953300000001</v>
      </c>
      <c r="AB846">
        <f t="shared" si="149"/>
        <v>4763.9338100000004</v>
      </c>
      <c r="AC846">
        <f t="shared" si="150"/>
        <v>4784.09782</v>
      </c>
      <c r="AF846">
        <f t="shared" si="151"/>
        <v>4789.4608799999996</v>
      </c>
      <c r="AG846">
        <f t="shared" si="152"/>
        <v>4803.089836666667</v>
      </c>
      <c r="AH846">
        <f t="shared" si="153"/>
        <v>4763.9338100000004</v>
      </c>
    </row>
    <row r="847" spans="1:34" x14ac:dyDescent="0.55000000000000004">
      <c r="A847">
        <f>ALGLIB_SSA_XAUUSD!J847</f>
        <v>1775651100</v>
      </c>
      <c r="B847" t="str">
        <f>_xlfn.XLOOKUP($A847,ALGLIB_SSA_XAUUSD!$A$2:$A$1000,ALGLIB_SSA_XAUUSD!$B$2:$B$1000,"",0)</f>
        <v/>
      </c>
      <c r="C847" t="str">
        <f>_xlfn.XLOOKUP($A847,ALGLIB_SSA_XAUUSD!$A$2:$A$1000,ALGLIB_SSA_XAUUSD!$C$2:$C$1000,"",0)</f>
        <v/>
      </c>
      <c r="D847" s="1">
        <f>D842+(D854-D842)*5/12</f>
        <v>4790.6175000000003</v>
      </c>
      <c r="E847" s="1">
        <f>E842+(E854-E842)*5/12</f>
        <v>4781.4358141666671</v>
      </c>
      <c r="F847" s="1">
        <f>F842+(F854-F842)*5/12</f>
        <v>4785.6331166666669</v>
      </c>
      <c r="G847" s="1">
        <f>G842+(G854-G842)*5/12</f>
        <v>4802.6279508333337</v>
      </c>
      <c r="H847" s="1">
        <f>H842+(H854-H842)*5/12</f>
        <v>4763.3807750000005</v>
      </c>
      <c r="I847" t="str">
        <f>_xlfn.XLOOKUP($A847,ALGLIB_SSA_XAUUSD!$J$2:$J$1000,ALGLIB_SSA_XAUUSD!$K$2:$K$1000,"",0)</f>
        <v>XAUUSD</v>
      </c>
      <c r="J847" t="str">
        <f>_xlfn.XLOOKUP($A847,ALGLIB_SSA_XAUUSD!$J$2:$J$1000,ALGLIB_SSA_XAUUSD!$L$2:$L$1000,"",0)</f>
        <v>M5</v>
      </c>
      <c r="K847">
        <f>_xlfn.XLOOKUP($A847,ALGLIB_SSA_XAUUSD!$J$2:$J$1000,ALGLIB_SSA_XAUUSD!$M$2:$M$1000,"",0)</f>
        <v>4784.3599999999997</v>
      </c>
      <c r="L847">
        <f>_xlfn.XLOOKUP($A847,ALGLIB_SSA_XAUUSD!$J$2:$J$1000,ALGLIB_SSA_XAUUSD!$N$2:$N$1000,"",0)</f>
        <v>4788.54835</v>
      </c>
      <c r="M847">
        <f>_xlfn.XLOOKUP($A847,ALGLIB_SSA_XAUUSD!$J$2:$J$1000,ALGLIB_SSA_XAUUSD!$O$2:$O$1000,"",0)</f>
        <v>4790.1966000000002</v>
      </c>
      <c r="N847">
        <f>_xlfn.XLOOKUP($A847,ALGLIB_SSA_XAUUSD!$J$2:$J$1000,ALGLIB_SSA_XAUUSD!$P$2:$P$1000,"",0)</f>
        <v>4795.6256999999996</v>
      </c>
      <c r="O847">
        <f>_xlfn.XLOOKUP($A847,ALGLIB_SSA_XAUUSD!$J$2:$J$1000,ALGLIB_SSA_XAUUSD!$Q$2:$Q$1000,"",0)</f>
        <v>4782.4882900000002</v>
      </c>
      <c r="R847">
        <f t="shared" si="143"/>
        <v>1775651100</v>
      </c>
      <c r="S847" t="str">
        <f t="shared" si="144"/>
        <v>XAUUSD</v>
      </c>
      <c r="T847" t="str">
        <f t="shared" si="145"/>
        <v>M5</v>
      </c>
      <c r="U847">
        <f t="shared" si="146"/>
        <v>4784.3599999999997</v>
      </c>
      <c r="V847">
        <v>4781.4358099999999</v>
      </c>
      <c r="W847">
        <v>4785.6331200000004</v>
      </c>
      <c r="X847">
        <v>4788.54835</v>
      </c>
      <c r="Y847">
        <v>4790.1966000000002</v>
      </c>
      <c r="Z847">
        <f t="shared" si="147"/>
        <v>4802.6279508333337</v>
      </c>
      <c r="AA847">
        <f t="shared" si="148"/>
        <v>4795.6256999999996</v>
      </c>
      <c r="AB847">
        <f t="shared" si="149"/>
        <v>4763.3807750000005</v>
      </c>
      <c r="AC847">
        <f t="shared" si="150"/>
        <v>4782.4882900000002</v>
      </c>
      <c r="AF847">
        <f t="shared" si="151"/>
        <v>4788.54835</v>
      </c>
      <c r="AG847">
        <f t="shared" si="152"/>
        <v>4802.6279508333337</v>
      </c>
      <c r="AH847">
        <f t="shared" si="153"/>
        <v>4763.3807750000005</v>
      </c>
    </row>
    <row r="848" spans="1:34" x14ac:dyDescent="0.55000000000000004">
      <c r="A848">
        <f>ALGLIB_SSA_XAUUSD!J848</f>
        <v>1775651400</v>
      </c>
      <c r="B848" t="str">
        <f>_xlfn.XLOOKUP($A848,ALGLIB_SSA_XAUUSD!$A$2:$A$1000,ALGLIB_SSA_XAUUSD!$B$2:$B$1000,"",0)</f>
        <v/>
      </c>
      <c r="C848" t="str">
        <f>_xlfn.XLOOKUP($A848,ALGLIB_SSA_XAUUSD!$A$2:$A$1000,ALGLIB_SSA_XAUUSD!$C$2:$C$1000,"",0)</f>
        <v/>
      </c>
      <c r="D848" s="1">
        <f>D842+(D854-D842)*6/12</f>
        <v>4788.835</v>
      </c>
      <c r="E848" s="1">
        <f>E842+(E854-E842)*6/12</f>
        <v>4780.8494850000006</v>
      </c>
      <c r="F848" s="1">
        <f>F842+(F854-F842)*6/12</f>
        <v>4785.1961900000006</v>
      </c>
      <c r="G848" s="1">
        <f>G842+(G854-G842)*6/12</f>
        <v>4802.1660650000003</v>
      </c>
      <c r="H848" s="1">
        <f>H842+(H854-H842)*6/12</f>
        <v>4762.8277400000006</v>
      </c>
      <c r="I848" t="str">
        <f>_xlfn.XLOOKUP($A848,ALGLIB_SSA_XAUUSD!$J$2:$J$1000,ALGLIB_SSA_XAUUSD!$K$2:$K$1000,"",0)</f>
        <v>XAUUSD</v>
      </c>
      <c r="J848" t="str">
        <f>_xlfn.XLOOKUP($A848,ALGLIB_SSA_XAUUSD!$J$2:$J$1000,ALGLIB_SSA_XAUUSD!$L$2:$L$1000,"",0)</f>
        <v>M5</v>
      </c>
      <c r="K848">
        <f>_xlfn.XLOOKUP($A848,ALGLIB_SSA_XAUUSD!$J$2:$J$1000,ALGLIB_SSA_XAUUSD!$M$2:$M$1000,"",0)</f>
        <v>4793.3</v>
      </c>
      <c r="L848">
        <f>_xlfn.XLOOKUP($A848,ALGLIB_SSA_XAUUSD!$J$2:$J$1000,ALGLIB_SSA_XAUUSD!$N$2:$N$1000,"",0)</f>
        <v>4789.1780600000002</v>
      </c>
      <c r="M848">
        <f>_xlfn.XLOOKUP($A848,ALGLIB_SSA_XAUUSD!$J$2:$J$1000,ALGLIB_SSA_XAUUSD!$O$2:$O$1000,"",0)</f>
        <v>4789.6873299999997</v>
      </c>
      <c r="N848">
        <f>_xlfn.XLOOKUP($A848,ALGLIB_SSA_XAUUSD!$J$2:$J$1000,ALGLIB_SSA_XAUUSD!$P$2:$P$1000,"",0)</f>
        <v>4794.8972199999998</v>
      </c>
      <c r="O848">
        <f>_xlfn.XLOOKUP($A848,ALGLIB_SSA_XAUUSD!$J$2:$J$1000,ALGLIB_SSA_XAUUSD!$Q$2:$Q$1000,"",0)</f>
        <v>4782.9465799999998</v>
      </c>
      <c r="R848">
        <f t="shared" si="143"/>
        <v>1775651400</v>
      </c>
      <c r="S848" t="str">
        <f t="shared" si="144"/>
        <v>XAUUSD</v>
      </c>
      <c r="T848" t="str">
        <f t="shared" si="145"/>
        <v>M5</v>
      </c>
      <c r="U848">
        <f t="shared" si="146"/>
        <v>4793.3</v>
      </c>
      <c r="V848">
        <v>4780.8494899999996</v>
      </c>
      <c r="W848">
        <v>4785.1961899999997</v>
      </c>
      <c r="X848">
        <v>4789.1780600000002</v>
      </c>
      <c r="Y848">
        <v>4789.6873299999997</v>
      </c>
      <c r="Z848">
        <f t="shared" si="147"/>
        <v>4802.1660650000003</v>
      </c>
      <c r="AA848">
        <f t="shared" si="148"/>
        <v>4794.8972199999998</v>
      </c>
      <c r="AB848">
        <f t="shared" si="149"/>
        <v>4762.8277400000006</v>
      </c>
      <c r="AC848">
        <f t="shared" si="150"/>
        <v>4782.9465799999998</v>
      </c>
      <c r="AF848">
        <f t="shared" si="151"/>
        <v>4789.1780600000002</v>
      </c>
      <c r="AG848">
        <f t="shared" si="152"/>
        <v>4802.1660650000003</v>
      </c>
      <c r="AH848">
        <f t="shared" si="153"/>
        <v>4762.8277400000006</v>
      </c>
    </row>
    <row r="849" spans="1:34" x14ac:dyDescent="0.55000000000000004">
      <c r="A849">
        <f>ALGLIB_SSA_XAUUSD!J849</f>
        <v>1775651700</v>
      </c>
      <c r="B849" t="str">
        <f>_xlfn.XLOOKUP($A849,ALGLIB_SSA_XAUUSD!$A$2:$A$1000,ALGLIB_SSA_XAUUSD!$B$2:$B$1000,"",0)</f>
        <v/>
      </c>
      <c r="C849" t="str">
        <f>_xlfn.XLOOKUP($A849,ALGLIB_SSA_XAUUSD!$A$2:$A$1000,ALGLIB_SSA_XAUUSD!$C$2:$C$1000,"",0)</f>
        <v/>
      </c>
      <c r="D849" s="1">
        <f>D842+(D854-D842)*7/12</f>
        <v>4787.0524999999998</v>
      </c>
      <c r="E849" s="1">
        <f>E842+(E854-E842)*7/12</f>
        <v>4780.2631558333333</v>
      </c>
      <c r="F849" s="1">
        <f>F842+(F854-F842)*7/12</f>
        <v>4784.7592633333334</v>
      </c>
      <c r="G849" s="1">
        <f>G842+(G854-G842)*7/12</f>
        <v>4801.704179166667</v>
      </c>
      <c r="H849" s="1">
        <f>H842+(H854-H842)*7/12</f>
        <v>4762.2747049999998</v>
      </c>
      <c r="I849" t="str">
        <f>_xlfn.XLOOKUP($A849,ALGLIB_SSA_XAUUSD!$J$2:$J$1000,ALGLIB_SSA_XAUUSD!$K$2:$K$1000,"",0)</f>
        <v>XAUUSD</v>
      </c>
      <c r="J849" t="str">
        <f>_xlfn.XLOOKUP($A849,ALGLIB_SSA_XAUUSD!$J$2:$J$1000,ALGLIB_SSA_XAUUSD!$L$2:$L$1000,"",0)</f>
        <v>M5</v>
      </c>
      <c r="K849">
        <f>_xlfn.XLOOKUP($A849,ALGLIB_SSA_XAUUSD!$J$2:$J$1000,ALGLIB_SSA_XAUUSD!$M$2:$M$1000,"",0)</f>
        <v>4796.66</v>
      </c>
      <c r="L849">
        <f>_xlfn.XLOOKUP($A849,ALGLIB_SSA_XAUUSD!$J$2:$J$1000,ALGLIB_SSA_XAUUSD!$N$2:$N$1000,"",0)</f>
        <v>4791.0257199999996</v>
      </c>
      <c r="M849">
        <f>_xlfn.XLOOKUP($A849,ALGLIB_SSA_XAUUSD!$J$2:$J$1000,ALGLIB_SSA_XAUUSD!$O$2:$O$1000,"",0)</f>
        <v>4790.35653</v>
      </c>
      <c r="N849">
        <f>_xlfn.XLOOKUP($A849,ALGLIB_SSA_XAUUSD!$J$2:$J$1000,ALGLIB_SSA_XAUUSD!$P$2:$P$1000,"",0)</f>
        <v>4795.3498200000004</v>
      </c>
      <c r="O849">
        <f>_xlfn.XLOOKUP($A849,ALGLIB_SSA_XAUUSD!$J$2:$J$1000,ALGLIB_SSA_XAUUSD!$Q$2:$Q$1000,"",0)</f>
        <v>4785.1129099999998</v>
      </c>
      <c r="R849">
        <f t="shared" si="143"/>
        <v>1775651700</v>
      </c>
      <c r="S849" t="str">
        <f t="shared" si="144"/>
        <v>XAUUSD</v>
      </c>
      <c r="T849" t="str">
        <f t="shared" si="145"/>
        <v>M5</v>
      </c>
      <c r="U849">
        <f t="shared" si="146"/>
        <v>4796.66</v>
      </c>
      <c r="V849">
        <v>4780.2631600000004</v>
      </c>
      <c r="W849">
        <v>4784.7592599999998</v>
      </c>
      <c r="X849">
        <v>4791.0257199999996</v>
      </c>
      <c r="Y849">
        <v>4790.35653</v>
      </c>
      <c r="Z849">
        <f t="shared" si="147"/>
        <v>4801.704179166667</v>
      </c>
      <c r="AA849">
        <f t="shared" si="148"/>
        <v>4795.3498200000004</v>
      </c>
      <c r="AB849">
        <f t="shared" si="149"/>
        <v>4762.2747049999998</v>
      </c>
      <c r="AC849">
        <f t="shared" si="150"/>
        <v>4785.1129099999998</v>
      </c>
      <c r="AF849">
        <f t="shared" si="151"/>
        <v>4791.0257199999996</v>
      </c>
      <c r="AG849">
        <f t="shared" si="152"/>
        <v>4801.704179166667</v>
      </c>
      <c r="AH849">
        <f t="shared" si="153"/>
        <v>4762.2747049999998</v>
      </c>
    </row>
    <row r="850" spans="1:34" x14ac:dyDescent="0.55000000000000004">
      <c r="A850">
        <f>ALGLIB_SSA_XAUUSD!J850</f>
        <v>1775652000</v>
      </c>
      <c r="B850" t="str">
        <f>_xlfn.XLOOKUP($A850,ALGLIB_SSA_XAUUSD!$A$2:$A$1000,ALGLIB_SSA_XAUUSD!$B$2:$B$1000,"",0)</f>
        <v/>
      </c>
      <c r="C850" t="str">
        <f>_xlfn.XLOOKUP($A850,ALGLIB_SSA_XAUUSD!$A$2:$A$1000,ALGLIB_SSA_XAUUSD!$C$2:$C$1000,"",0)</f>
        <v/>
      </c>
      <c r="D850" s="1">
        <f>D842+(D854-D842)*8/12</f>
        <v>4785.2700000000004</v>
      </c>
      <c r="E850" s="1">
        <f>E842+(E854-E842)*8/12</f>
        <v>4779.6768266666668</v>
      </c>
      <c r="F850" s="1">
        <f>F842+(F854-F842)*8/12</f>
        <v>4784.3223366666671</v>
      </c>
      <c r="G850" s="1">
        <f>G842+(G854-G842)*8/12</f>
        <v>4801.2422933333337</v>
      </c>
      <c r="H850" s="1">
        <f>H842+(H854-H842)*8/12</f>
        <v>4761.7216699999999</v>
      </c>
      <c r="I850" t="str">
        <f>_xlfn.XLOOKUP($A850,ALGLIB_SSA_XAUUSD!$J$2:$J$1000,ALGLIB_SSA_XAUUSD!$K$2:$K$1000,"",0)</f>
        <v>XAUUSD</v>
      </c>
      <c r="J850" t="str">
        <f>_xlfn.XLOOKUP($A850,ALGLIB_SSA_XAUUSD!$J$2:$J$1000,ALGLIB_SSA_XAUUSD!$L$2:$L$1000,"",0)</f>
        <v>M5</v>
      </c>
      <c r="K850">
        <f>_xlfn.XLOOKUP($A850,ALGLIB_SSA_XAUUSD!$J$2:$J$1000,ALGLIB_SSA_XAUUSD!$M$2:$M$1000,"",0)</f>
        <v>4794.8599999999997</v>
      </c>
      <c r="L850">
        <f>_xlfn.XLOOKUP($A850,ALGLIB_SSA_XAUUSD!$J$2:$J$1000,ALGLIB_SSA_XAUUSD!$N$2:$N$1000,"",0)</f>
        <v>4793.6753699999999</v>
      </c>
      <c r="M850">
        <f>_xlfn.XLOOKUP($A850,ALGLIB_SSA_XAUUSD!$J$2:$J$1000,ALGLIB_SSA_XAUUSD!$O$2:$O$1000,"",0)</f>
        <v>4792.01595</v>
      </c>
      <c r="N850">
        <f>_xlfn.XLOOKUP($A850,ALGLIB_SSA_XAUUSD!$J$2:$J$1000,ALGLIB_SSA_XAUUSD!$P$2:$P$1000,"",0)</f>
        <v>4796.7719100000004</v>
      </c>
      <c r="O850">
        <f>_xlfn.XLOOKUP($A850,ALGLIB_SSA_XAUUSD!$J$2:$J$1000,ALGLIB_SSA_XAUUSD!$Q$2:$Q$1000,"",0)</f>
        <v>4788.4025799999999</v>
      </c>
      <c r="R850">
        <f t="shared" si="143"/>
        <v>1775652000</v>
      </c>
      <c r="S850" t="str">
        <f t="shared" si="144"/>
        <v>XAUUSD</v>
      </c>
      <c r="T850" t="str">
        <f t="shared" si="145"/>
        <v>M5</v>
      </c>
      <c r="U850">
        <f t="shared" si="146"/>
        <v>4794.8599999999997</v>
      </c>
      <c r="V850">
        <v>4779.6768300000003</v>
      </c>
      <c r="W850">
        <v>4784.3223399999997</v>
      </c>
      <c r="X850">
        <v>4793.6753699999999</v>
      </c>
      <c r="Y850">
        <v>4792.01595</v>
      </c>
      <c r="Z850">
        <f t="shared" si="147"/>
        <v>4801.2422933333337</v>
      </c>
      <c r="AA850">
        <f t="shared" si="148"/>
        <v>4796.7719100000004</v>
      </c>
      <c r="AB850">
        <f t="shared" si="149"/>
        <v>4761.7216699999999</v>
      </c>
      <c r="AC850">
        <f t="shared" si="150"/>
        <v>4788.4025799999999</v>
      </c>
      <c r="AF850">
        <f t="shared" si="151"/>
        <v>4793.6753699999999</v>
      </c>
      <c r="AG850">
        <f t="shared" si="152"/>
        <v>4801.2422933333337</v>
      </c>
      <c r="AH850">
        <f t="shared" si="153"/>
        <v>4761.7216699999999</v>
      </c>
    </row>
    <row r="851" spans="1:34" x14ac:dyDescent="0.55000000000000004">
      <c r="A851">
        <f>ALGLIB_SSA_XAUUSD!J851</f>
        <v>1775652300</v>
      </c>
      <c r="B851" t="str">
        <f>_xlfn.XLOOKUP($A851,ALGLIB_SSA_XAUUSD!$A$2:$A$1000,ALGLIB_SSA_XAUUSD!$B$2:$B$1000,"",0)</f>
        <v/>
      </c>
      <c r="C851" t="str">
        <f>_xlfn.XLOOKUP($A851,ALGLIB_SSA_XAUUSD!$A$2:$A$1000,ALGLIB_SSA_XAUUSD!$C$2:$C$1000,"",0)</f>
        <v/>
      </c>
      <c r="D851" s="1">
        <f>D842+(D854-D842)*9/12</f>
        <v>4783.4875000000002</v>
      </c>
      <c r="E851" s="1">
        <f>E842+(E854-E842)*9/12</f>
        <v>4779.0904975000003</v>
      </c>
      <c r="F851" s="1">
        <f>F842+(F854-F842)*9/12</f>
        <v>4783.8854099999999</v>
      </c>
      <c r="G851" s="1">
        <f>G842+(G854-G842)*9/12</f>
        <v>4800.7804075000004</v>
      </c>
      <c r="H851" s="1">
        <f>H842+(H854-H842)*9/12</f>
        <v>4761.168635</v>
      </c>
      <c r="I851" t="str">
        <f>_xlfn.XLOOKUP($A851,ALGLIB_SSA_XAUUSD!$J$2:$J$1000,ALGLIB_SSA_XAUUSD!$K$2:$K$1000,"",0)</f>
        <v>XAUUSD</v>
      </c>
      <c r="J851" t="str">
        <f>_xlfn.XLOOKUP($A851,ALGLIB_SSA_XAUUSD!$J$2:$J$1000,ALGLIB_SSA_XAUUSD!$L$2:$L$1000,"",0)</f>
        <v>M5</v>
      </c>
      <c r="K851">
        <f>_xlfn.XLOOKUP($A851,ALGLIB_SSA_XAUUSD!$J$2:$J$1000,ALGLIB_SSA_XAUUSD!$M$2:$M$1000,"",0)</f>
        <v>4797.5200000000004</v>
      </c>
      <c r="L851">
        <f>_xlfn.XLOOKUP($A851,ALGLIB_SSA_XAUUSD!$J$2:$J$1000,ALGLIB_SSA_XAUUSD!$N$2:$N$1000,"",0)</f>
        <v>4796.6705199999997</v>
      </c>
      <c r="M851">
        <f>_xlfn.XLOOKUP($A851,ALGLIB_SSA_XAUUSD!$J$2:$J$1000,ALGLIB_SSA_XAUUSD!$O$2:$O$1000,"",0)</f>
        <v>4794.3432300000004</v>
      </c>
      <c r="N851">
        <f>_xlfn.XLOOKUP($A851,ALGLIB_SSA_XAUUSD!$J$2:$J$1000,ALGLIB_SSA_XAUUSD!$P$2:$P$1000,"",0)</f>
        <v>4798.8507300000001</v>
      </c>
      <c r="O851">
        <f>_xlfn.XLOOKUP($A851,ALGLIB_SSA_XAUUSD!$J$2:$J$1000,ALGLIB_SSA_XAUUSD!$Q$2:$Q$1000,"",0)</f>
        <v>4792.1396999999997</v>
      </c>
      <c r="R851">
        <f t="shared" si="143"/>
        <v>1775652300</v>
      </c>
      <c r="S851" t="str">
        <f t="shared" si="144"/>
        <v>XAUUSD</v>
      </c>
      <c r="T851" t="str">
        <f t="shared" si="145"/>
        <v>M5</v>
      </c>
      <c r="U851">
        <f t="shared" si="146"/>
        <v>4797.5200000000004</v>
      </c>
      <c r="V851">
        <v>4779.0905000000002</v>
      </c>
      <c r="W851">
        <v>4783.8854099999999</v>
      </c>
      <c r="X851">
        <v>4796.6705199999997</v>
      </c>
      <c r="Y851">
        <v>4794.3432300000004</v>
      </c>
      <c r="Z851">
        <f t="shared" si="147"/>
        <v>4800.7804075000004</v>
      </c>
      <c r="AA851">
        <f t="shared" si="148"/>
        <v>4798.8507300000001</v>
      </c>
      <c r="AB851">
        <f t="shared" si="149"/>
        <v>4761.168635</v>
      </c>
      <c r="AC851">
        <f t="shared" si="150"/>
        <v>4792.1396999999997</v>
      </c>
      <c r="AF851">
        <f t="shared" si="151"/>
        <v>4796.6705199999997</v>
      </c>
      <c r="AG851">
        <f t="shared" si="152"/>
        <v>4800.7804075000004</v>
      </c>
      <c r="AH851">
        <f t="shared" si="153"/>
        <v>4761.168635</v>
      </c>
    </row>
    <row r="852" spans="1:34" x14ac:dyDescent="0.55000000000000004">
      <c r="A852">
        <f>ALGLIB_SSA_XAUUSD!J852</f>
        <v>1775652600</v>
      </c>
      <c r="B852" t="str">
        <f>_xlfn.XLOOKUP($A852,ALGLIB_SSA_XAUUSD!$A$2:$A$1000,ALGLIB_SSA_XAUUSD!$B$2:$B$1000,"",0)</f>
        <v/>
      </c>
      <c r="C852" t="str">
        <f>_xlfn.XLOOKUP($A852,ALGLIB_SSA_XAUUSD!$A$2:$A$1000,ALGLIB_SSA_XAUUSD!$C$2:$C$1000,"",0)</f>
        <v/>
      </c>
      <c r="D852" s="1">
        <f>D842+(D854-D842)*10/12</f>
        <v>4781.7049999999999</v>
      </c>
      <c r="E852" s="1">
        <f>E842+(E854-E842)*10/12</f>
        <v>4778.5041683333329</v>
      </c>
      <c r="F852" s="1">
        <f>F842+(F854-F842)*10/12</f>
        <v>4783.4484833333336</v>
      </c>
      <c r="G852" s="1">
        <f>G842+(G854-G842)*10/12</f>
        <v>4800.318521666667</v>
      </c>
      <c r="H852" s="1">
        <f>H842+(H854-H842)*10/12</f>
        <v>4760.6156000000001</v>
      </c>
      <c r="I852" t="str">
        <f>_xlfn.XLOOKUP($A852,ALGLIB_SSA_XAUUSD!$J$2:$J$1000,ALGLIB_SSA_XAUUSD!$K$2:$K$1000,"",0)</f>
        <v>XAUUSD</v>
      </c>
      <c r="J852" t="str">
        <f>_xlfn.XLOOKUP($A852,ALGLIB_SSA_XAUUSD!$J$2:$J$1000,ALGLIB_SSA_XAUUSD!$L$2:$L$1000,"",0)</f>
        <v>M5</v>
      </c>
      <c r="K852">
        <f>_xlfn.XLOOKUP($A852,ALGLIB_SSA_XAUUSD!$J$2:$J$1000,ALGLIB_SSA_XAUUSD!$M$2:$M$1000,"",0)</f>
        <v>4801.4399999999996</v>
      </c>
      <c r="L852">
        <f>_xlfn.XLOOKUP($A852,ALGLIB_SSA_XAUUSD!$J$2:$J$1000,ALGLIB_SSA_XAUUSD!$N$2:$N$1000,"",0)</f>
        <v>4799.3508300000003</v>
      </c>
      <c r="M852">
        <f>_xlfn.XLOOKUP($A852,ALGLIB_SSA_XAUUSD!$J$2:$J$1000,ALGLIB_SSA_XAUUSD!$O$2:$O$1000,"",0)</f>
        <v>4796.8470299999999</v>
      </c>
      <c r="N852">
        <f>_xlfn.XLOOKUP($A852,ALGLIB_SSA_XAUUSD!$J$2:$J$1000,ALGLIB_SSA_XAUUSD!$P$2:$P$1000,"",0)</f>
        <v>4801.0401599999996</v>
      </c>
      <c r="O852">
        <f>_xlfn.XLOOKUP($A852,ALGLIB_SSA_XAUUSD!$J$2:$J$1000,ALGLIB_SSA_XAUUSD!$Q$2:$Q$1000,"",0)</f>
        <v>4795.59303</v>
      </c>
      <c r="R852">
        <f t="shared" si="143"/>
        <v>1775652600</v>
      </c>
      <c r="S852" t="str">
        <f t="shared" si="144"/>
        <v>XAUUSD</v>
      </c>
      <c r="T852" t="str">
        <f t="shared" si="145"/>
        <v>M5</v>
      </c>
      <c r="U852">
        <f t="shared" si="146"/>
        <v>4801.4399999999996</v>
      </c>
      <c r="V852">
        <v>4778.5041700000002</v>
      </c>
      <c r="W852">
        <v>4783.44848</v>
      </c>
      <c r="X852">
        <v>4799.3508300000003</v>
      </c>
      <c r="Y852">
        <v>4796.8470299999999</v>
      </c>
      <c r="Z852">
        <f t="shared" si="147"/>
        <v>4800.318521666667</v>
      </c>
      <c r="AA852">
        <f t="shared" si="148"/>
        <v>4801.0401599999996</v>
      </c>
      <c r="AB852">
        <f t="shared" si="149"/>
        <v>4760.6156000000001</v>
      </c>
      <c r="AC852">
        <f t="shared" si="150"/>
        <v>4795.59303</v>
      </c>
      <c r="AF852">
        <f t="shared" si="151"/>
        <v>4799.3508300000003</v>
      </c>
      <c r="AG852">
        <f t="shared" si="152"/>
        <v>4800.318521666667</v>
      </c>
      <c r="AH852">
        <f t="shared" si="153"/>
        <v>4760.6156000000001</v>
      </c>
    </row>
    <row r="853" spans="1:34" x14ac:dyDescent="0.55000000000000004">
      <c r="A853">
        <f>ALGLIB_SSA_XAUUSD!J853</f>
        <v>1775652900</v>
      </c>
      <c r="B853" t="str">
        <f>_xlfn.XLOOKUP($A853,ALGLIB_SSA_XAUUSD!$A$2:$A$1000,ALGLIB_SSA_XAUUSD!$B$2:$B$1000,"",0)</f>
        <v/>
      </c>
      <c r="C853" t="str">
        <f>_xlfn.XLOOKUP($A853,ALGLIB_SSA_XAUUSD!$A$2:$A$1000,ALGLIB_SSA_XAUUSD!$C$2:$C$1000,"",0)</f>
        <v/>
      </c>
      <c r="D853" s="1">
        <f>D842+(D854-D842)*11/12</f>
        <v>4779.9225000000006</v>
      </c>
      <c r="E853" s="1">
        <f>E842+(E854-E842)*11/12</f>
        <v>4777.9178391666665</v>
      </c>
      <c r="F853" s="1">
        <f>F842+(F854-F842)*11/12</f>
        <v>4783.0115566666664</v>
      </c>
      <c r="G853" s="1">
        <f>G842+(G854-G842)*11/12</f>
        <v>4799.8566358333337</v>
      </c>
      <c r="H853" s="1">
        <f>H842+(H854-H842)*11/12</f>
        <v>4760.0625650000002</v>
      </c>
      <c r="I853" t="str">
        <f>_xlfn.XLOOKUP($A853,ALGLIB_SSA_XAUUSD!$J$2:$J$1000,ALGLIB_SSA_XAUUSD!$K$2:$K$1000,"",0)</f>
        <v>XAUUSD</v>
      </c>
      <c r="J853" t="str">
        <f>_xlfn.XLOOKUP($A853,ALGLIB_SSA_XAUUSD!$J$2:$J$1000,ALGLIB_SSA_XAUUSD!$L$2:$L$1000,"",0)</f>
        <v>M5</v>
      </c>
      <c r="K853">
        <f>_xlfn.XLOOKUP($A853,ALGLIB_SSA_XAUUSD!$J$2:$J$1000,ALGLIB_SSA_XAUUSD!$M$2:$M$1000,"",0)</f>
        <v>4799.53</v>
      </c>
      <c r="L853">
        <f>_xlfn.XLOOKUP($A853,ALGLIB_SSA_XAUUSD!$J$2:$J$1000,ALGLIB_SSA_XAUUSD!$N$2:$N$1000,"",0)</f>
        <v>4801.0618700000005</v>
      </c>
      <c r="M853">
        <f>_xlfn.XLOOKUP($A853,ALGLIB_SSA_XAUUSD!$J$2:$J$1000,ALGLIB_SSA_XAUUSD!$O$2:$O$1000,"",0)</f>
        <v>4798.9544500000002</v>
      </c>
      <c r="N853">
        <f>_xlfn.XLOOKUP($A853,ALGLIB_SSA_XAUUSD!$J$2:$J$1000,ALGLIB_SSA_XAUUSD!$P$2:$P$1000,"",0)</f>
        <v>4802.8437899999999</v>
      </c>
      <c r="O853">
        <f>_xlfn.XLOOKUP($A853,ALGLIB_SSA_XAUUSD!$J$2:$J$1000,ALGLIB_SSA_XAUUSD!$Q$2:$Q$1000,"",0)</f>
        <v>4798.0705799999996</v>
      </c>
      <c r="R853">
        <f t="shared" si="143"/>
        <v>1775652900</v>
      </c>
      <c r="S853" t="str">
        <f t="shared" si="144"/>
        <v>XAUUSD</v>
      </c>
      <c r="T853" t="str">
        <f t="shared" si="145"/>
        <v>M5</v>
      </c>
      <c r="U853">
        <f t="shared" si="146"/>
        <v>4799.53</v>
      </c>
      <c r="V853">
        <v>4777.9178400000001</v>
      </c>
      <c r="W853">
        <v>4783.0115599999999</v>
      </c>
      <c r="X853">
        <v>4801.0618700000005</v>
      </c>
      <c r="Y853">
        <v>4798.9544500000002</v>
      </c>
      <c r="Z853">
        <f t="shared" si="147"/>
        <v>4799.8566358333337</v>
      </c>
      <c r="AA853">
        <f t="shared" si="148"/>
        <v>4802.8437899999999</v>
      </c>
      <c r="AB853">
        <f t="shared" si="149"/>
        <v>4760.0625650000002</v>
      </c>
      <c r="AC853">
        <f t="shared" si="150"/>
        <v>4798.0705799999996</v>
      </c>
      <c r="AF853">
        <f t="shared" si="151"/>
        <v>4801.0618700000005</v>
      </c>
      <c r="AG853">
        <f t="shared" si="152"/>
        <v>4799.8566358333337</v>
      </c>
      <c r="AH853">
        <f t="shared" si="153"/>
        <v>4760.0625650000002</v>
      </c>
    </row>
    <row r="854" spans="1:34" x14ac:dyDescent="0.55000000000000004">
      <c r="A854">
        <f>ALGLIB_SSA_XAUUSD!J854</f>
        <v>1775653200</v>
      </c>
      <c r="B854" t="str">
        <f>_xlfn.XLOOKUP($A854,ALGLIB_SSA_XAUUSD!$A$2:$A$1000,ALGLIB_SSA_XAUUSD!$B$2:$B$1000,"",0)</f>
        <v>XAUUSD</v>
      </c>
      <c r="C854" t="str">
        <f>_xlfn.XLOOKUP($A854,ALGLIB_SSA_XAUUSD!$A$2:$A$1000,ALGLIB_SSA_XAUUSD!$C$2:$C$1000,"",0)</f>
        <v>H1</v>
      </c>
      <c r="D854" s="2">
        <f>_xlfn.XLOOKUP($A854,ALGLIB_SSA_XAUUSD!$A$2:$A$1000,ALGLIB_SSA_XAUUSD!$D$2:$D$1000,"",0)</f>
        <v>4778.1400000000003</v>
      </c>
      <c r="E854" s="2">
        <f>_xlfn.XLOOKUP($A854,ALGLIB_SSA_XAUUSD!$A$2:$A$1000,ALGLIB_SSA_XAUUSD!$E$2:$E$1000,"",0)</f>
        <v>4777.33151</v>
      </c>
      <c r="F854" s="2">
        <f>_xlfn.XLOOKUP($A854,ALGLIB_SSA_XAUUSD!$A$2:$A$1000,ALGLIB_SSA_XAUUSD!$F$2:$F$1000,"",0)</f>
        <v>4782.5746300000001</v>
      </c>
      <c r="G854" s="2">
        <f>_xlfn.XLOOKUP($A854,ALGLIB_SSA_XAUUSD!$A$2:$A$1000,ALGLIB_SSA_XAUUSD!$G$2:$G$1000,"",0)</f>
        <v>4799.3947500000004</v>
      </c>
      <c r="H854" s="2">
        <f>_xlfn.XLOOKUP($A854,ALGLIB_SSA_XAUUSD!$A$2:$A$1000,ALGLIB_SSA_XAUUSD!$H$2:$H$1000,"",0)</f>
        <v>4759.5095300000003</v>
      </c>
      <c r="I854" t="str">
        <f>_xlfn.XLOOKUP($A854,ALGLIB_SSA_XAUUSD!$J$2:$J$1000,ALGLIB_SSA_XAUUSD!$K$2:$K$1000,"",0)</f>
        <v>XAUUSD</v>
      </c>
      <c r="J854" t="str">
        <f>_xlfn.XLOOKUP($A854,ALGLIB_SSA_XAUUSD!$J$2:$J$1000,ALGLIB_SSA_XAUUSD!$L$2:$L$1000,"",0)</f>
        <v>M5</v>
      </c>
      <c r="K854">
        <f>_xlfn.XLOOKUP($A854,ALGLIB_SSA_XAUUSD!$J$2:$J$1000,ALGLIB_SSA_XAUUSD!$M$2:$M$1000,"",0)</f>
        <v>4802.37</v>
      </c>
      <c r="L854">
        <f>_xlfn.XLOOKUP($A854,ALGLIB_SSA_XAUUSD!$J$2:$J$1000,ALGLIB_SSA_XAUUSD!$N$2:$N$1000,"",0)</f>
        <v>4801.4664199999997</v>
      </c>
      <c r="M854">
        <f>_xlfn.XLOOKUP($A854,ALGLIB_SSA_XAUUSD!$J$2:$J$1000,ALGLIB_SSA_XAUUSD!$O$2:$O$1000,"",0)</f>
        <v>4800.2104300000001</v>
      </c>
      <c r="N854">
        <f>_xlfn.XLOOKUP($A854,ALGLIB_SSA_XAUUSD!$J$2:$J$1000,ALGLIB_SSA_XAUUSD!$P$2:$P$1000,"",0)</f>
        <v>4803.8249500000002</v>
      </c>
      <c r="O854">
        <f>_xlfn.XLOOKUP($A854,ALGLIB_SSA_XAUUSD!$J$2:$J$1000,ALGLIB_SSA_XAUUSD!$Q$2:$Q$1000,"",0)</f>
        <v>4798.96738</v>
      </c>
      <c r="R854">
        <f t="shared" si="143"/>
        <v>1775653200</v>
      </c>
      <c r="S854" t="str">
        <f t="shared" si="144"/>
        <v>XAUUSD</v>
      </c>
      <c r="T854" t="str">
        <f t="shared" si="145"/>
        <v>M5</v>
      </c>
      <c r="U854">
        <f t="shared" si="146"/>
        <v>4802.37</v>
      </c>
      <c r="V854">
        <v>4777.33151</v>
      </c>
      <c r="W854">
        <v>4782.5746300000001</v>
      </c>
      <c r="X854">
        <v>4801.4664199999997</v>
      </c>
      <c r="Y854">
        <v>4800.2104300000001</v>
      </c>
      <c r="Z854">
        <f t="shared" si="147"/>
        <v>4799.3947500000004</v>
      </c>
      <c r="AA854">
        <f t="shared" si="148"/>
        <v>4803.8249500000002</v>
      </c>
      <c r="AB854">
        <f t="shared" si="149"/>
        <v>4759.5095300000003</v>
      </c>
      <c r="AC854">
        <f t="shared" si="150"/>
        <v>4798.96738</v>
      </c>
      <c r="AF854">
        <f t="shared" si="151"/>
        <v>4801.4664199999997</v>
      </c>
      <c r="AG854">
        <f t="shared" si="152"/>
        <v>4799.3947500000004</v>
      </c>
      <c r="AH854">
        <f t="shared" si="153"/>
        <v>4759.5095300000003</v>
      </c>
    </row>
    <row r="855" spans="1:34" x14ac:dyDescent="0.55000000000000004">
      <c r="A855">
        <f>ALGLIB_SSA_XAUUSD!J855</f>
        <v>1775653500</v>
      </c>
      <c r="B855" t="str">
        <f>_xlfn.XLOOKUP($A855,ALGLIB_SSA_XAUUSD!$A$2:$A$1000,ALGLIB_SSA_XAUUSD!$B$2:$B$1000,"",0)</f>
        <v/>
      </c>
      <c r="C855" t="str">
        <f>_xlfn.XLOOKUP($A855,ALGLIB_SSA_XAUUSD!$A$2:$A$1000,ALGLIB_SSA_XAUUSD!$C$2:$C$1000,"",0)</f>
        <v/>
      </c>
      <c r="D855" s="1">
        <f>D854+(D866-D854)*1/12</f>
        <v>4774.6758333333337</v>
      </c>
      <c r="E855" s="1">
        <f>E854+(E866-E854)*1/12</f>
        <v>4776.5287291666664</v>
      </c>
      <c r="F855" s="1">
        <f>F854+(F866-F854)*1/12</f>
        <v>4781.9547758333338</v>
      </c>
      <c r="G855" s="1">
        <f>G854+(G866-G854)*1/12</f>
        <v>4798.6635666666671</v>
      </c>
      <c r="H855" s="1">
        <f>H854+(H866-H854)*1/12</f>
        <v>4758.8338408333339</v>
      </c>
      <c r="I855" t="str">
        <f>_xlfn.XLOOKUP($A855,ALGLIB_SSA_XAUUSD!$J$2:$J$1000,ALGLIB_SSA_XAUUSD!$K$2:$K$1000,"",0)</f>
        <v>XAUUSD</v>
      </c>
      <c r="J855" t="str">
        <f>_xlfn.XLOOKUP($A855,ALGLIB_SSA_XAUUSD!$J$2:$J$1000,ALGLIB_SSA_XAUUSD!$L$2:$L$1000,"",0)</f>
        <v>M5</v>
      </c>
      <c r="K855">
        <f>_xlfn.XLOOKUP($A855,ALGLIB_SSA_XAUUSD!$J$2:$J$1000,ALGLIB_SSA_XAUUSD!$M$2:$M$1000,"",0)</f>
        <v>4797.74</v>
      </c>
      <c r="L855">
        <f>_xlfn.XLOOKUP($A855,ALGLIB_SSA_XAUUSD!$J$2:$J$1000,ALGLIB_SSA_XAUUSD!$N$2:$N$1000,"",0)</f>
        <v>4800.3369599999996</v>
      </c>
      <c r="M855">
        <f>_xlfn.XLOOKUP($A855,ALGLIB_SSA_XAUUSD!$J$2:$J$1000,ALGLIB_SSA_XAUUSD!$O$2:$O$1000,"",0)</f>
        <v>4800.2736999999997</v>
      </c>
      <c r="N855">
        <f>_xlfn.XLOOKUP($A855,ALGLIB_SSA_XAUUSD!$J$2:$J$1000,ALGLIB_SSA_XAUUSD!$P$2:$P$1000,"",0)</f>
        <v>4803.6242199999997</v>
      </c>
      <c r="O855">
        <f>_xlfn.XLOOKUP($A855,ALGLIB_SSA_XAUUSD!$J$2:$J$1000,ALGLIB_SSA_XAUUSD!$Q$2:$Q$1000,"",0)</f>
        <v>4798.05242</v>
      </c>
      <c r="R855">
        <f t="shared" si="143"/>
        <v>1775653500</v>
      </c>
      <c r="S855" t="str">
        <f t="shared" si="144"/>
        <v>XAUUSD</v>
      </c>
      <c r="T855" t="str">
        <f t="shared" si="145"/>
        <v>M5</v>
      </c>
      <c r="U855">
        <f t="shared" si="146"/>
        <v>4797.74</v>
      </c>
      <c r="V855">
        <v>4776.52873</v>
      </c>
      <c r="W855">
        <v>4781.95478</v>
      </c>
      <c r="X855">
        <v>4800.3369599999996</v>
      </c>
      <c r="Y855">
        <v>4800.2736999999997</v>
      </c>
      <c r="Z855">
        <f t="shared" si="147"/>
        <v>4798.6635666666671</v>
      </c>
      <c r="AA855">
        <f t="shared" si="148"/>
        <v>4803.6242199999997</v>
      </c>
      <c r="AB855">
        <f t="shared" si="149"/>
        <v>4758.8338408333339</v>
      </c>
      <c r="AC855">
        <f t="shared" si="150"/>
        <v>4798.05242</v>
      </c>
      <c r="AF855">
        <f t="shared" si="151"/>
        <v>4800.3369599999996</v>
      </c>
      <c r="AG855">
        <f t="shared" si="152"/>
        <v>4798.6635666666671</v>
      </c>
      <c r="AH855">
        <f t="shared" si="153"/>
        <v>4758.8338408333339</v>
      </c>
    </row>
    <row r="856" spans="1:34" x14ac:dyDescent="0.55000000000000004">
      <c r="A856">
        <f>ALGLIB_SSA_XAUUSD!J856</f>
        <v>1775653800</v>
      </c>
      <c r="B856" t="str">
        <f>_xlfn.XLOOKUP($A856,ALGLIB_SSA_XAUUSD!$A$2:$A$1000,ALGLIB_SSA_XAUUSD!$B$2:$B$1000,"",0)</f>
        <v/>
      </c>
      <c r="C856" t="str">
        <f>_xlfn.XLOOKUP($A856,ALGLIB_SSA_XAUUSD!$A$2:$A$1000,ALGLIB_SSA_XAUUSD!$C$2:$C$1000,"",0)</f>
        <v/>
      </c>
      <c r="D856" s="1">
        <f>D854+(D866-D854)*2/12</f>
        <v>4771.211666666667</v>
      </c>
      <c r="E856" s="1">
        <f>E854+(E866-E854)*2/12</f>
        <v>4775.7259483333337</v>
      </c>
      <c r="F856" s="1">
        <f>F854+(F866-F854)*2/12</f>
        <v>4781.3349216666666</v>
      </c>
      <c r="G856" s="1">
        <f>G854+(G866-G854)*2/12</f>
        <v>4797.9323833333337</v>
      </c>
      <c r="H856" s="1">
        <f>H854+(H866-H854)*2/12</f>
        <v>4758.1581516666665</v>
      </c>
      <c r="I856" t="str">
        <f>_xlfn.XLOOKUP($A856,ALGLIB_SSA_XAUUSD!$J$2:$J$1000,ALGLIB_SSA_XAUUSD!$K$2:$K$1000,"",0)</f>
        <v>XAUUSD</v>
      </c>
      <c r="J856" t="str">
        <f>_xlfn.XLOOKUP($A856,ALGLIB_SSA_XAUUSD!$J$2:$J$1000,ALGLIB_SSA_XAUUSD!$L$2:$L$1000,"",0)</f>
        <v>M5</v>
      </c>
      <c r="K856">
        <f>_xlfn.XLOOKUP($A856,ALGLIB_SSA_XAUUSD!$J$2:$J$1000,ALGLIB_SSA_XAUUSD!$M$2:$M$1000,"",0)</f>
        <v>4793.2700000000004</v>
      </c>
      <c r="L856">
        <f>_xlfn.XLOOKUP($A856,ALGLIB_SSA_XAUUSD!$J$2:$J$1000,ALGLIB_SSA_XAUUSD!$N$2:$N$1000,"",0)</f>
        <v>4797.8869299999997</v>
      </c>
      <c r="M856">
        <f>_xlfn.XLOOKUP($A856,ALGLIB_SSA_XAUUSD!$J$2:$J$1000,ALGLIB_SSA_XAUUSD!$O$2:$O$1000,"",0)</f>
        <v>4799.0803100000003</v>
      </c>
      <c r="N856">
        <f>_xlfn.XLOOKUP($A856,ALGLIB_SSA_XAUUSD!$J$2:$J$1000,ALGLIB_SSA_XAUUSD!$P$2:$P$1000,"",0)</f>
        <v>4802.2824099999998</v>
      </c>
      <c r="O856">
        <f>_xlfn.XLOOKUP($A856,ALGLIB_SSA_XAUUSD!$J$2:$J$1000,ALGLIB_SSA_XAUUSD!$Q$2:$Q$1000,"",0)</f>
        <v>4795.4835400000002</v>
      </c>
      <c r="R856">
        <f t="shared" si="143"/>
        <v>1775653800</v>
      </c>
      <c r="S856" t="str">
        <f t="shared" si="144"/>
        <v>XAUUSD</v>
      </c>
      <c r="T856" t="str">
        <f t="shared" si="145"/>
        <v>M5</v>
      </c>
      <c r="U856">
        <f t="shared" si="146"/>
        <v>4793.2700000000004</v>
      </c>
      <c r="V856">
        <v>4775.72595</v>
      </c>
      <c r="W856">
        <v>4781.3349200000002</v>
      </c>
      <c r="X856">
        <v>4797.8869299999997</v>
      </c>
      <c r="Y856">
        <v>4799.0803100000003</v>
      </c>
      <c r="Z856">
        <f t="shared" si="147"/>
        <v>4797.9323833333337</v>
      </c>
      <c r="AA856">
        <f t="shared" si="148"/>
        <v>4802.2824099999998</v>
      </c>
      <c r="AB856">
        <f t="shared" si="149"/>
        <v>4758.1581516666665</v>
      </c>
      <c r="AC856">
        <f t="shared" si="150"/>
        <v>4795.4835400000002</v>
      </c>
      <c r="AF856">
        <f t="shared" si="151"/>
        <v>4797.8869299999997</v>
      </c>
      <c r="AG856">
        <f t="shared" si="152"/>
        <v>4797.9323833333337</v>
      </c>
      <c r="AH856">
        <f t="shared" si="153"/>
        <v>4758.1581516666665</v>
      </c>
    </row>
    <row r="857" spans="1:34" x14ac:dyDescent="0.55000000000000004">
      <c r="A857">
        <f>ALGLIB_SSA_XAUUSD!J857</f>
        <v>1775654100</v>
      </c>
      <c r="B857" t="str">
        <f>_xlfn.XLOOKUP($A857,ALGLIB_SSA_XAUUSD!$A$2:$A$1000,ALGLIB_SSA_XAUUSD!$B$2:$B$1000,"",0)</f>
        <v/>
      </c>
      <c r="C857" t="str">
        <f>_xlfn.XLOOKUP($A857,ALGLIB_SSA_XAUUSD!$A$2:$A$1000,ALGLIB_SSA_XAUUSD!$C$2:$C$1000,"",0)</f>
        <v/>
      </c>
      <c r="D857" s="1">
        <f>D854+(D866-D854)*3/12</f>
        <v>4767.7475000000004</v>
      </c>
      <c r="E857" s="1">
        <f>E854+(E866-E854)*3/12</f>
        <v>4774.9231675000001</v>
      </c>
      <c r="F857" s="1">
        <f>F854+(F866-F854)*3/12</f>
        <v>4780.7150675000003</v>
      </c>
      <c r="G857" s="1">
        <f>G854+(G866-G854)*3/12</f>
        <v>4797.2012000000004</v>
      </c>
      <c r="H857" s="1">
        <f>H854+(H866-H854)*3/12</f>
        <v>4757.4824625000001</v>
      </c>
      <c r="I857" t="str">
        <f>_xlfn.XLOOKUP($A857,ALGLIB_SSA_XAUUSD!$J$2:$J$1000,ALGLIB_SSA_XAUUSD!$K$2:$K$1000,"",0)</f>
        <v>XAUUSD</v>
      </c>
      <c r="J857" t="str">
        <f>_xlfn.XLOOKUP($A857,ALGLIB_SSA_XAUUSD!$J$2:$J$1000,ALGLIB_SSA_XAUUSD!$L$2:$L$1000,"",0)</f>
        <v>M5</v>
      </c>
      <c r="K857">
        <f>_xlfn.XLOOKUP($A857,ALGLIB_SSA_XAUUSD!$J$2:$J$1000,ALGLIB_SSA_XAUUSD!$M$2:$M$1000,"",0)</f>
        <v>4793.04</v>
      </c>
      <c r="L857">
        <f>_xlfn.XLOOKUP($A857,ALGLIB_SSA_XAUUSD!$J$2:$J$1000,ALGLIB_SSA_XAUUSD!$N$2:$N$1000,"",0)</f>
        <v>4794.5430100000003</v>
      </c>
      <c r="M857">
        <f>_xlfn.XLOOKUP($A857,ALGLIB_SSA_XAUUSD!$J$2:$J$1000,ALGLIB_SSA_XAUUSD!$O$2:$O$1000,"",0)</f>
        <v>4796.8116600000003</v>
      </c>
      <c r="N857">
        <f>_xlfn.XLOOKUP($A857,ALGLIB_SSA_XAUUSD!$J$2:$J$1000,ALGLIB_SSA_XAUUSD!$P$2:$P$1000,"",0)</f>
        <v>4800.0532599999997</v>
      </c>
      <c r="O857">
        <f>_xlfn.XLOOKUP($A857,ALGLIB_SSA_XAUUSD!$J$2:$J$1000,ALGLIB_SSA_XAUUSD!$Q$2:$Q$1000,"",0)</f>
        <v>4791.7175200000001</v>
      </c>
      <c r="R857">
        <f t="shared" si="143"/>
        <v>1775654100</v>
      </c>
      <c r="S857" t="str">
        <f t="shared" si="144"/>
        <v>XAUUSD</v>
      </c>
      <c r="T857" t="str">
        <f t="shared" si="145"/>
        <v>M5</v>
      </c>
      <c r="U857">
        <f t="shared" si="146"/>
        <v>4793.04</v>
      </c>
      <c r="V857">
        <v>4774.92317</v>
      </c>
      <c r="W857">
        <v>4780.7150700000002</v>
      </c>
      <c r="X857">
        <v>4794.5430100000003</v>
      </c>
      <c r="Y857">
        <v>4796.8116600000003</v>
      </c>
      <c r="Z857">
        <f t="shared" si="147"/>
        <v>4797.2012000000004</v>
      </c>
      <c r="AA857">
        <f t="shared" si="148"/>
        <v>4800.0532599999997</v>
      </c>
      <c r="AB857">
        <f t="shared" si="149"/>
        <v>4757.4824625000001</v>
      </c>
      <c r="AC857">
        <f t="shared" si="150"/>
        <v>4791.7175200000001</v>
      </c>
      <c r="AF857">
        <f t="shared" si="151"/>
        <v>4794.5430100000003</v>
      </c>
      <c r="AG857">
        <f t="shared" si="152"/>
        <v>4797.2012000000004</v>
      </c>
      <c r="AH857">
        <f t="shared" si="153"/>
        <v>4757.4824625000001</v>
      </c>
    </row>
    <row r="858" spans="1:34" x14ac:dyDescent="0.55000000000000004">
      <c r="A858">
        <f>ALGLIB_SSA_XAUUSD!J858</f>
        <v>1775654400</v>
      </c>
      <c r="B858" t="str">
        <f>_xlfn.XLOOKUP($A858,ALGLIB_SSA_XAUUSD!$A$2:$A$1000,ALGLIB_SSA_XAUUSD!$B$2:$B$1000,"",0)</f>
        <v/>
      </c>
      <c r="C858" t="str">
        <f>_xlfn.XLOOKUP($A858,ALGLIB_SSA_XAUUSD!$A$2:$A$1000,ALGLIB_SSA_XAUUSD!$C$2:$C$1000,"",0)</f>
        <v/>
      </c>
      <c r="D858" s="1">
        <f>D854+(D866-D854)*4/12</f>
        <v>4764.2833333333338</v>
      </c>
      <c r="E858" s="1">
        <f>E854+(E866-E854)*4/12</f>
        <v>4774.1203866666665</v>
      </c>
      <c r="F858" s="1">
        <f>F854+(F866-F854)*4/12</f>
        <v>4780.095213333333</v>
      </c>
      <c r="G858" s="1">
        <f>G854+(G866-G854)*4/12</f>
        <v>4796.4700166666671</v>
      </c>
      <c r="H858" s="1">
        <f>H854+(H866-H854)*4/12</f>
        <v>4756.8067733333337</v>
      </c>
      <c r="I858" t="str">
        <f>_xlfn.XLOOKUP($A858,ALGLIB_SSA_XAUUSD!$J$2:$J$1000,ALGLIB_SSA_XAUUSD!$K$2:$K$1000,"",0)</f>
        <v>XAUUSD</v>
      </c>
      <c r="J858" t="str">
        <f>_xlfn.XLOOKUP($A858,ALGLIB_SSA_XAUUSD!$J$2:$J$1000,ALGLIB_SSA_XAUUSD!$L$2:$L$1000,"",0)</f>
        <v>M5</v>
      </c>
      <c r="K858">
        <f>_xlfn.XLOOKUP($A858,ALGLIB_SSA_XAUUSD!$J$2:$J$1000,ALGLIB_SSA_XAUUSD!$M$2:$M$1000,"",0)</f>
        <v>4797.71</v>
      </c>
      <c r="L858">
        <f>_xlfn.XLOOKUP($A858,ALGLIB_SSA_XAUUSD!$J$2:$J$1000,ALGLIB_SSA_XAUUSD!$N$2:$N$1000,"",0)</f>
        <v>4790.7268000000004</v>
      </c>
      <c r="M858">
        <f>_xlfn.XLOOKUP($A858,ALGLIB_SSA_XAUUSD!$J$2:$J$1000,ALGLIB_SSA_XAUUSD!$O$2:$O$1000,"",0)</f>
        <v>4793.7692299999999</v>
      </c>
      <c r="N858">
        <f>_xlfn.XLOOKUP($A858,ALGLIB_SSA_XAUUSD!$J$2:$J$1000,ALGLIB_SSA_XAUUSD!$P$2:$P$1000,"",0)</f>
        <v>4797.2470199999998</v>
      </c>
      <c r="O858">
        <f>_xlfn.XLOOKUP($A858,ALGLIB_SSA_XAUUSD!$J$2:$J$1000,ALGLIB_SSA_XAUUSD!$Q$2:$Q$1000,"",0)</f>
        <v>4787.2300800000003</v>
      </c>
      <c r="R858">
        <f t="shared" si="143"/>
        <v>1775654400</v>
      </c>
      <c r="S858" t="str">
        <f t="shared" si="144"/>
        <v>XAUUSD</v>
      </c>
      <c r="T858" t="str">
        <f t="shared" si="145"/>
        <v>M5</v>
      </c>
      <c r="U858">
        <f t="shared" si="146"/>
        <v>4797.71</v>
      </c>
      <c r="V858">
        <v>4774.12039</v>
      </c>
      <c r="W858">
        <v>4780.0952100000004</v>
      </c>
      <c r="X858">
        <v>4790.7268000000004</v>
      </c>
      <c r="Y858">
        <v>4793.7692299999999</v>
      </c>
      <c r="Z858">
        <f t="shared" si="147"/>
        <v>4796.4700166666671</v>
      </c>
      <c r="AA858">
        <f t="shared" si="148"/>
        <v>4797.2470199999998</v>
      </c>
      <c r="AB858">
        <f t="shared" si="149"/>
        <v>4756.8067733333337</v>
      </c>
      <c r="AC858">
        <f t="shared" si="150"/>
        <v>4787.2300800000003</v>
      </c>
      <c r="AF858">
        <f t="shared" si="151"/>
        <v>4790.7268000000004</v>
      </c>
      <c r="AG858">
        <f t="shared" si="152"/>
        <v>4796.4700166666671</v>
      </c>
      <c r="AH858">
        <f t="shared" si="153"/>
        <v>4756.8067733333337</v>
      </c>
    </row>
    <row r="859" spans="1:34" x14ac:dyDescent="0.55000000000000004">
      <c r="A859">
        <f>ALGLIB_SSA_XAUUSD!J859</f>
        <v>1775654700</v>
      </c>
      <c r="B859" t="str">
        <f>_xlfn.XLOOKUP($A859,ALGLIB_SSA_XAUUSD!$A$2:$A$1000,ALGLIB_SSA_XAUUSD!$B$2:$B$1000,"",0)</f>
        <v/>
      </c>
      <c r="C859" t="str">
        <f>_xlfn.XLOOKUP($A859,ALGLIB_SSA_XAUUSD!$A$2:$A$1000,ALGLIB_SSA_XAUUSD!$C$2:$C$1000,"",0)</f>
        <v/>
      </c>
      <c r="D859" s="1">
        <f>D854+(D866-D854)*5/12</f>
        <v>4760.8191666666671</v>
      </c>
      <c r="E859" s="1">
        <f>E854+(E866-E854)*5/12</f>
        <v>4773.3176058333338</v>
      </c>
      <c r="F859" s="1">
        <f>F854+(F866-F854)*5/12</f>
        <v>4779.4753591666667</v>
      </c>
      <c r="G859" s="1">
        <f>G854+(G866-G854)*5/12</f>
        <v>4795.7388333333338</v>
      </c>
      <c r="H859" s="1">
        <f>H854+(H866-H854)*5/12</f>
        <v>4756.1310841666664</v>
      </c>
      <c r="I859" t="str">
        <f>_xlfn.XLOOKUP($A859,ALGLIB_SSA_XAUUSD!$J$2:$J$1000,ALGLIB_SSA_XAUUSD!$K$2:$K$1000,"",0)</f>
        <v>XAUUSD</v>
      </c>
      <c r="J859" t="str">
        <f>_xlfn.XLOOKUP($A859,ALGLIB_SSA_XAUUSD!$J$2:$J$1000,ALGLIB_SSA_XAUUSD!$L$2:$L$1000,"",0)</f>
        <v>M5</v>
      </c>
      <c r="K859">
        <f>_xlfn.XLOOKUP($A859,ALGLIB_SSA_XAUUSD!$J$2:$J$1000,ALGLIB_SSA_XAUUSD!$M$2:$M$1000,"",0)</f>
        <v>4790.4399999999996</v>
      </c>
      <c r="L859">
        <f>_xlfn.XLOOKUP($A859,ALGLIB_SSA_XAUUSD!$J$2:$J$1000,ALGLIB_SSA_XAUUSD!$N$2:$N$1000,"",0)</f>
        <v>4786.7902800000002</v>
      </c>
      <c r="M859">
        <f>_xlfn.XLOOKUP($A859,ALGLIB_SSA_XAUUSD!$J$2:$J$1000,ALGLIB_SSA_XAUUSD!$O$2:$O$1000,"",0)</f>
        <v>4790.2797600000004</v>
      </c>
      <c r="N859">
        <f>_xlfn.XLOOKUP($A859,ALGLIB_SSA_XAUUSD!$J$2:$J$1000,ALGLIB_SSA_XAUUSD!$P$2:$P$1000,"",0)</f>
        <v>4794.1954800000003</v>
      </c>
      <c r="O859">
        <f>_xlfn.XLOOKUP($A859,ALGLIB_SSA_XAUUSD!$J$2:$J$1000,ALGLIB_SSA_XAUUSD!$Q$2:$Q$1000,"",0)</f>
        <v>4782.6100900000001</v>
      </c>
      <c r="R859">
        <f t="shared" si="143"/>
        <v>1775654700</v>
      </c>
      <c r="S859" t="str">
        <f t="shared" si="144"/>
        <v>XAUUSD</v>
      </c>
      <c r="T859" t="str">
        <f t="shared" si="145"/>
        <v>M5</v>
      </c>
      <c r="U859">
        <f t="shared" si="146"/>
        <v>4790.4399999999996</v>
      </c>
      <c r="V859">
        <v>4773.3176100000001</v>
      </c>
      <c r="W859">
        <v>4779.4753600000004</v>
      </c>
      <c r="X859">
        <v>4786.7902800000002</v>
      </c>
      <c r="Y859">
        <v>4790.2797600000004</v>
      </c>
      <c r="Z859">
        <f t="shared" si="147"/>
        <v>4795.7388333333338</v>
      </c>
      <c r="AA859">
        <f t="shared" si="148"/>
        <v>4794.1954800000003</v>
      </c>
      <c r="AB859">
        <f t="shared" si="149"/>
        <v>4756.1310841666664</v>
      </c>
      <c r="AC859">
        <f t="shared" si="150"/>
        <v>4782.6100900000001</v>
      </c>
      <c r="AF859">
        <f t="shared" si="151"/>
        <v>4786.7902800000002</v>
      </c>
      <c r="AG859">
        <f t="shared" si="152"/>
        <v>4795.7388333333338</v>
      </c>
      <c r="AH859">
        <f t="shared" si="153"/>
        <v>4756.1310841666664</v>
      </c>
    </row>
    <row r="860" spans="1:34" x14ac:dyDescent="0.55000000000000004">
      <c r="A860">
        <f>ALGLIB_SSA_XAUUSD!J860</f>
        <v>1775655000</v>
      </c>
      <c r="B860" t="str">
        <f>_xlfn.XLOOKUP($A860,ALGLIB_SSA_XAUUSD!$A$2:$A$1000,ALGLIB_SSA_XAUUSD!$B$2:$B$1000,"",0)</f>
        <v/>
      </c>
      <c r="C860" t="str">
        <f>_xlfn.XLOOKUP($A860,ALGLIB_SSA_XAUUSD!$A$2:$A$1000,ALGLIB_SSA_XAUUSD!$C$2:$C$1000,"",0)</f>
        <v/>
      </c>
      <c r="D860" s="1">
        <f>D854+(D866-D854)*6/12</f>
        <v>4757.3549999999996</v>
      </c>
      <c r="E860" s="1">
        <f>E854+(E866-E854)*6/12</f>
        <v>4772.5148250000002</v>
      </c>
      <c r="F860" s="1">
        <f>F854+(F866-F854)*6/12</f>
        <v>4778.8555049999995</v>
      </c>
      <c r="G860" s="1">
        <f>G854+(G866-G854)*6/12</f>
        <v>4795.0076499999996</v>
      </c>
      <c r="H860" s="1">
        <f>H854+(H866-H854)*6/12</f>
        <v>4755.455395</v>
      </c>
      <c r="I860" t="str">
        <f>_xlfn.XLOOKUP($A860,ALGLIB_SSA_XAUUSD!$J$2:$J$1000,ALGLIB_SSA_XAUUSD!$K$2:$K$1000,"",0)</f>
        <v>XAUUSD</v>
      </c>
      <c r="J860" t="str">
        <f>_xlfn.XLOOKUP($A860,ALGLIB_SSA_XAUUSD!$J$2:$J$1000,ALGLIB_SSA_XAUUSD!$L$2:$L$1000,"",0)</f>
        <v>M5</v>
      </c>
      <c r="K860">
        <f>_xlfn.XLOOKUP($A860,ALGLIB_SSA_XAUUSD!$J$2:$J$1000,ALGLIB_SSA_XAUUSD!$M$2:$M$1000,"",0)</f>
        <v>4783</v>
      </c>
      <c r="L860">
        <f>_xlfn.XLOOKUP($A860,ALGLIB_SSA_XAUUSD!$J$2:$J$1000,ALGLIB_SSA_XAUUSD!$N$2:$N$1000,"",0)</f>
        <v>4783.3597900000004</v>
      </c>
      <c r="M860">
        <f>_xlfn.XLOOKUP($A860,ALGLIB_SSA_XAUUSD!$J$2:$J$1000,ALGLIB_SSA_XAUUSD!$O$2:$O$1000,"",0)</f>
        <v>4786.8197700000001</v>
      </c>
      <c r="N860">
        <f>_xlfn.XLOOKUP($A860,ALGLIB_SSA_XAUUSD!$J$2:$J$1000,ALGLIB_SSA_XAUUSD!$P$2:$P$1000,"",0)</f>
        <v>4791.2545600000003</v>
      </c>
      <c r="O860">
        <f>_xlfn.XLOOKUP($A860,ALGLIB_SSA_XAUUSD!$J$2:$J$1000,ALGLIB_SSA_XAUUSD!$Q$2:$Q$1000,"",0)</f>
        <v>4778.3766800000003</v>
      </c>
      <c r="R860">
        <f t="shared" si="143"/>
        <v>1775655000</v>
      </c>
      <c r="S860" t="str">
        <f t="shared" si="144"/>
        <v>XAUUSD</v>
      </c>
      <c r="T860" t="str">
        <f t="shared" si="145"/>
        <v>M5</v>
      </c>
      <c r="U860">
        <f t="shared" si="146"/>
        <v>4783</v>
      </c>
      <c r="V860">
        <v>4772.5148300000001</v>
      </c>
      <c r="W860">
        <v>4778.8554999999997</v>
      </c>
      <c r="X860">
        <v>4783.3597900000004</v>
      </c>
      <c r="Y860">
        <v>4786.8197700000001</v>
      </c>
      <c r="Z860">
        <f t="shared" si="147"/>
        <v>4795.0076499999996</v>
      </c>
      <c r="AA860">
        <f t="shared" si="148"/>
        <v>4791.2545600000003</v>
      </c>
      <c r="AB860">
        <f t="shared" si="149"/>
        <v>4755.455395</v>
      </c>
      <c r="AC860">
        <f t="shared" si="150"/>
        <v>4778.3766800000003</v>
      </c>
      <c r="AF860">
        <f t="shared" si="151"/>
        <v>4783.3597900000004</v>
      </c>
      <c r="AG860">
        <f t="shared" si="152"/>
        <v>4795.0076499999996</v>
      </c>
      <c r="AH860">
        <f t="shared" si="153"/>
        <v>4755.455395</v>
      </c>
    </row>
    <row r="861" spans="1:34" x14ac:dyDescent="0.55000000000000004">
      <c r="A861">
        <f>ALGLIB_SSA_XAUUSD!J861</f>
        <v>1775655300</v>
      </c>
      <c r="B861" t="str">
        <f>_xlfn.XLOOKUP($A861,ALGLIB_SSA_XAUUSD!$A$2:$A$1000,ALGLIB_SSA_XAUUSD!$B$2:$B$1000,"",0)</f>
        <v/>
      </c>
      <c r="C861" t="str">
        <f>_xlfn.XLOOKUP($A861,ALGLIB_SSA_XAUUSD!$A$2:$A$1000,ALGLIB_SSA_XAUUSD!$C$2:$C$1000,"",0)</f>
        <v/>
      </c>
      <c r="D861" s="1">
        <f>D854+(D866-D854)*7/12</f>
        <v>4753.8908333333329</v>
      </c>
      <c r="E861" s="1">
        <f>E854+(E866-E854)*7/12</f>
        <v>4771.7120441666666</v>
      </c>
      <c r="F861" s="1">
        <f>F854+(F866-F854)*7/12</f>
        <v>4778.2356508333332</v>
      </c>
      <c r="G861" s="1">
        <f>G854+(G866-G854)*7/12</f>
        <v>4794.2764666666662</v>
      </c>
      <c r="H861" s="1">
        <f>H854+(H866-H854)*7/12</f>
        <v>4754.7797058333335</v>
      </c>
      <c r="I861" t="str">
        <f>_xlfn.XLOOKUP($A861,ALGLIB_SSA_XAUUSD!$J$2:$J$1000,ALGLIB_SSA_XAUUSD!$K$2:$K$1000,"",0)</f>
        <v>XAUUSD</v>
      </c>
      <c r="J861" t="str">
        <f>_xlfn.XLOOKUP($A861,ALGLIB_SSA_XAUUSD!$J$2:$J$1000,ALGLIB_SSA_XAUUSD!$L$2:$L$1000,"",0)</f>
        <v>M5</v>
      </c>
      <c r="K861">
        <f>_xlfn.XLOOKUP($A861,ALGLIB_SSA_XAUUSD!$J$2:$J$1000,ALGLIB_SSA_XAUUSD!$M$2:$M$1000,"",0)</f>
        <v>4776.87</v>
      </c>
      <c r="L861">
        <f>_xlfn.XLOOKUP($A861,ALGLIB_SSA_XAUUSD!$J$2:$J$1000,ALGLIB_SSA_XAUUSD!$N$2:$N$1000,"",0)</f>
        <v>4780.9129300000004</v>
      </c>
      <c r="M861">
        <f>_xlfn.XLOOKUP($A861,ALGLIB_SSA_XAUUSD!$J$2:$J$1000,ALGLIB_SSA_XAUUSD!$O$2:$O$1000,"",0)</f>
        <v>4783.8663500000002</v>
      </c>
      <c r="N861">
        <f>_xlfn.XLOOKUP($A861,ALGLIB_SSA_XAUUSD!$J$2:$J$1000,ALGLIB_SSA_XAUUSD!$P$2:$P$1000,"",0)</f>
        <v>4788.8460100000002</v>
      </c>
      <c r="O861">
        <f>_xlfn.XLOOKUP($A861,ALGLIB_SSA_XAUUSD!$J$2:$J$1000,ALGLIB_SSA_XAUUSD!$Q$2:$Q$1000,"",0)</f>
        <v>4775.2587899999999</v>
      </c>
      <c r="R861">
        <f t="shared" si="143"/>
        <v>1775655300</v>
      </c>
      <c r="S861" t="str">
        <f t="shared" si="144"/>
        <v>XAUUSD</v>
      </c>
      <c r="T861" t="str">
        <f t="shared" si="145"/>
        <v>M5</v>
      </c>
      <c r="U861">
        <f t="shared" si="146"/>
        <v>4776.87</v>
      </c>
      <c r="V861">
        <v>4771.7120400000003</v>
      </c>
      <c r="W861">
        <v>4778.2356499999996</v>
      </c>
      <c r="X861">
        <v>4780.9129300000004</v>
      </c>
      <c r="Y861">
        <v>4783.8663500000002</v>
      </c>
      <c r="Z861">
        <f t="shared" si="147"/>
        <v>4794.2764666666662</v>
      </c>
      <c r="AA861">
        <f t="shared" si="148"/>
        <v>4788.8460100000002</v>
      </c>
      <c r="AB861">
        <f t="shared" si="149"/>
        <v>4754.7797058333335</v>
      </c>
      <c r="AC861">
        <f t="shared" si="150"/>
        <v>4775.2587899999999</v>
      </c>
      <c r="AF861">
        <f t="shared" si="151"/>
        <v>4780.9129300000004</v>
      </c>
      <c r="AG861">
        <f t="shared" si="152"/>
        <v>4794.2764666666662</v>
      </c>
      <c r="AH861">
        <f t="shared" si="153"/>
        <v>4754.7797058333335</v>
      </c>
    </row>
    <row r="862" spans="1:34" x14ac:dyDescent="0.55000000000000004">
      <c r="A862">
        <f>ALGLIB_SSA_XAUUSD!J862</f>
        <v>1775655600</v>
      </c>
      <c r="B862" t="str">
        <f>_xlfn.XLOOKUP($A862,ALGLIB_SSA_XAUUSD!$A$2:$A$1000,ALGLIB_SSA_XAUUSD!$B$2:$B$1000,"",0)</f>
        <v/>
      </c>
      <c r="C862" t="str">
        <f>_xlfn.XLOOKUP($A862,ALGLIB_SSA_XAUUSD!$A$2:$A$1000,ALGLIB_SSA_XAUUSD!$C$2:$C$1000,"",0)</f>
        <v/>
      </c>
      <c r="D862" s="1">
        <f>D854+(D866-D854)*8/12</f>
        <v>4750.4266666666663</v>
      </c>
      <c r="E862" s="1">
        <f>E854+(E866-E854)*8/12</f>
        <v>4770.9092633333339</v>
      </c>
      <c r="F862" s="1">
        <f>F854+(F866-F854)*8/12</f>
        <v>4777.6157966666669</v>
      </c>
      <c r="G862" s="1">
        <f>G854+(G866-G854)*8/12</f>
        <v>4793.5452833333329</v>
      </c>
      <c r="H862" s="1">
        <f>H854+(H866-H854)*8/12</f>
        <v>4754.1040166666662</v>
      </c>
      <c r="I862" t="str">
        <f>_xlfn.XLOOKUP($A862,ALGLIB_SSA_XAUUSD!$J$2:$J$1000,ALGLIB_SSA_XAUUSD!$K$2:$K$1000,"",0)</f>
        <v>XAUUSD</v>
      </c>
      <c r="J862" t="str">
        <f>_xlfn.XLOOKUP($A862,ALGLIB_SSA_XAUUSD!$J$2:$J$1000,ALGLIB_SSA_XAUUSD!$L$2:$L$1000,"",0)</f>
        <v>M5</v>
      </c>
      <c r="K862">
        <f>_xlfn.XLOOKUP($A862,ALGLIB_SSA_XAUUSD!$J$2:$J$1000,ALGLIB_SSA_XAUUSD!$M$2:$M$1000,"",0)</f>
        <v>4774.7</v>
      </c>
      <c r="L862">
        <f>_xlfn.XLOOKUP($A862,ALGLIB_SSA_XAUUSD!$J$2:$J$1000,ALGLIB_SSA_XAUUSD!$N$2:$N$1000,"",0)</f>
        <v>4779.6740099999997</v>
      </c>
      <c r="M862">
        <f>_xlfn.XLOOKUP($A862,ALGLIB_SSA_XAUUSD!$J$2:$J$1000,ALGLIB_SSA_XAUUSD!$O$2:$O$1000,"",0)</f>
        <v>4781.7701800000004</v>
      </c>
      <c r="N862">
        <f>_xlfn.XLOOKUP($A862,ALGLIB_SSA_XAUUSD!$J$2:$J$1000,ALGLIB_SSA_XAUUSD!$P$2:$P$1000,"",0)</f>
        <v>4787.3112300000003</v>
      </c>
      <c r="O862">
        <f>_xlfn.XLOOKUP($A862,ALGLIB_SSA_XAUUSD!$J$2:$J$1000,ALGLIB_SSA_XAUUSD!$Q$2:$Q$1000,"",0)</f>
        <v>4773.4138199999998</v>
      </c>
      <c r="R862">
        <f t="shared" si="143"/>
        <v>1775655600</v>
      </c>
      <c r="S862" t="str">
        <f t="shared" si="144"/>
        <v>XAUUSD</v>
      </c>
      <c r="T862" t="str">
        <f t="shared" si="145"/>
        <v>M5</v>
      </c>
      <c r="U862">
        <f t="shared" si="146"/>
        <v>4774.7</v>
      </c>
      <c r="V862">
        <v>4770.9092600000004</v>
      </c>
      <c r="W862">
        <v>4777.6157999999996</v>
      </c>
      <c r="X862">
        <v>4779.6740099999997</v>
      </c>
      <c r="Y862">
        <v>4781.7701800000004</v>
      </c>
      <c r="Z862">
        <f t="shared" si="147"/>
        <v>4793.5452833333329</v>
      </c>
      <c r="AA862">
        <f t="shared" si="148"/>
        <v>4787.3112300000003</v>
      </c>
      <c r="AB862">
        <f t="shared" si="149"/>
        <v>4754.1040166666662</v>
      </c>
      <c r="AC862">
        <f t="shared" si="150"/>
        <v>4773.4138199999998</v>
      </c>
      <c r="AF862">
        <f t="shared" si="151"/>
        <v>4779.6740099999997</v>
      </c>
      <c r="AG862">
        <f t="shared" si="152"/>
        <v>4793.5452833333329</v>
      </c>
      <c r="AH862">
        <f t="shared" si="153"/>
        <v>4754.1040166666662</v>
      </c>
    </row>
    <row r="863" spans="1:34" x14ac:dyDescent="0.55000000000000004">
      <c r="A863">
        <f>ALGLIB_SSA_XAUUSD!J863</f>
        <v>1775655900</v>
      </c>
      <c r="B863" t="str">
        <f>_xlfn.XLOOKUP($A863,ALGLIB_SSA_XAUUSD!$A$2:$A$1000,ALGLIB_SSA_XAUUSD!$B$2:$B$1000,"",0)</f>
        <v/>
      </c>
      <c r="C863" t="str">
        <f>_xlfn.XLOOKUP($A863,ALGLIB_SSA_XAUUSD!$A$2:$A$1000,ALGLIB_SSA_XAUUSD!$C$2:$C$1000,"",0)</f>
        <v/>
      </c>
      <c r="D863" s="1">
        <f>D854+(D866-D854)*9/12</f>
        <v>4746.9624999999996</v>
      </c>
      <c r="E863" s="1">
        <f>E854+(E866-E854)*9/12</f>
        <v>4770.1064825000003</v>
      </c>
      <c r="F863" s="1">
        <f>F854+(F866-F854)*9/12</f>
        <v>4776.9959424999997</v>
      </c>
      <c r="G863" s="1">
        <f>G854+(G866-G854)*9/12</f>
        <v>4792.8140999999996</v>
      </c>
      <c r="H863" s="1">
        <f>H854+(H866-H854)*9/12</f>
        <v>4753.4283274999998</v>
      </c>
      <c r="I863" t="str">
        <f>_xlfn.XLOOKUP($A863,ALGLIB_SSA_XAUUSD!$J$2:$J$1000,ALGLIB_SSA_XAUUSD!$K$2:$K$1000,"",0)</f>
        <v>XAUUSD</v>
      </c>
      <c r="J863" t="str">
        <f>_xlfn.XLOOKUP($A863,ALGLIB_SSA_XAUUSD!$J$2:$J$1000,ALGLIB_SSA_XAUUSD!$L$2:$L$1000,"",0)</f>
        <v>M5</v>
      </c>
      <c r="K863">
        <f>_xlfn.XLOOKUP($A863,ALGLIB_SSA_XAUUSD!$J$2:$J$1000,ALGLIB_SSA_XAUUSD!$M$2:$M$1000,"",0)</f>
        <v>4788.33</v>
      </c>
      <c r="L863">
        <f>_xlfn.XLOOKUP($A863,ALGLIB_SSA_XAUUSD!$J$2:$J$1000,ALGLIB_SSA_XAUUSD!$N$2:$N$1000,"",0)</f>
        <v>4779.5494200000003</v>
      </c>
      <c r="M863">
        <f>_xlfn.XLOOKUP($A863,ALGLIB_SSA_XAUUSD!$J$2:$J$1000,ALGLIB_SSA_XAUUSD!$O$2:$O$1000,"",0)</f>
        <v>4780.6598000000004</v>
      </c>
      <c r="N863">
        <f>_xlfn.XLOOKUP($A863,ALGLIB_SSA_XAUUSD!$J$2:$J$1000,ALGLIB_SSA_XAUUSD!$P$2:$P$1000,"",0)</f>
        <v>4786.7996199999998</v>
      </c>
      <c r="O863">
        <f>_xlfn.XLOOKUP($A863,ALGLIB_SSA_XAUUSD!$J$2:$J$1000,ALGLIB_SSA_XAUUSD!$Q$2:$Q$1000,"",0)</f>
        <v>4772.7595499999998</v>
      </c>
      <c r="R863">
        <f t="shared" si="143"/>
        <v>1775655900</v>
      </c>
      <c r="S863" t="str">
        <f t="shared" si="144"/>
        <v>XAUUSD</v>
      </c>
      <c r="T863" t="str">
        <f t="shared" si="145"/>
        <v>M5</v>
      </c>
      <c r="U863">
        <f t="shared" si="146"/>
        <v>4788.33</v>
      </c>
      <c r="V863">
        <v>4770.1064800000004</v>
      </c>
      <c r="W863">
        <v>4776.9959399999998</v>
      </c>
      <c r="X863">
        <v>4779.5494200000003</v>
      </c>
      <c r="Y863">
        <v>4780.6598000000004</v>
      </c>
      <c r="Z863">
        <f t="shared" si="147"/>
        <v>4792.8140999999996</v>
      </c>
      <c r="AA863">
        <f t="shared" si="148"/>
        <v>4786.7996199999998</v>
      </c>
      <c r="AB863">
        <f t="shared" si="149"/>
        <v>4753.4283274999998</v>
      </c>
      <c r="AC863">
        <f t="shared" si="150"/>
        <v>4772.7595499999998</v>
      </c>
      <c r="AF863">
        <f t="shared" si="151"/>
        <v>4779.5494200000003</v>
      </c>
      <c r="AG863">
        <f t="shared" si="152"/>
        <v>4792.8140999999996</v>
      </c>
      <c r="AH863">
        <f t="shared" si="153"/>
        <v>4753.4283274999998</v>
      </c>
    </row>
    <row r="864" spans="1:34" x14ac:dyDescent="0.55000000000000004">
      <c r="A864">
        <f>ALGLIB_SSA_XAUUSD!J864</f>
        <v>1775656200</v>
      </c>
      <c r="B864" t="str">
        <f>_xlfn.XLOOKUP($A864,ALGLIB_SSA_XAUUSD!$A$2:$A$1000,ALGLIB_SSA_XAUUSD!$B$2:$B$1000,"",0)</f>
        <v/>
      </c>
      <c r="C864" t="str">
        <f>_xlfn.XLOOKUP($A864,ALGLIB_SSA_XAUUSD!$A$2:$A$1000,ALGLIB_SSA_XAUUSD!$C$2:$C$1000,"",0)</f>
        <v/>
      </c>
      <c r="D864" s="1">
        <f>D854+(D866-D854)*10/12</f>
        <v>4743.498333333333</v>
      </c>
      <c r="E864" s="1">
        <f>E854+(E866-E854)*10/12</f>
        <v>4769.3037016666667</v>
      </c>
      <c r="F864" s="1">
        <f>F854+(F866-F854)*10/12</f>
        <v>4776.3760883333334</v>
      </c>
      <c r="G864" s="1">
        <f>G854+(G866-G854)*10/12</f>
        <v>4792.0829166666663</v>
      </c>
      <c r="H864" s="1">
        <f>H854+(H866-H854)*10/12</f>
        <v>4752.7526383333334</v>
      </c>
      <c r="I864" t="str">
        <f>_xlfn.XLOOKUP($A864,ALGLIB_SSA_XAUUSD!$J$2:$J$1000,ALGLIB_SSA_XAUUSD!$K$2:$K$1000,"",0)</f>
        <v>XAUUSD</v>
      </c>
      <c r="J864" t="str">
        <f>_xlfn.XLOOKUP($A864,ALGLIB_SSA_XAUUSD!$J$2:$J$1000,ALGLIB_SSA_XAUUSD!$L$2:$L$1000,"",0)</f>
        <v>M5</v>
      </c>
      <c r="K864">
        <f>_xlfn.XLOOKUP($A864,ALGLIB_SSA_XAUUSD!$J$2:$J$1000,ALGLIB_SSA_XAUUSD!$M$2:$M$1000,"",0)</f>
        <v>4772.01</v>
      </c>
      <c r="L864">
        <f>_xlfn.XLOOKUP($A864,ALGLIB_SSA_XAUUSD!$J$2:$J$1000,ALGLIB_SSA_XAUUSD!$N$2:$N$1000,"",0)</f>
        <v>4779.8642</v>
      </c>
      <c r="M864">
        <f>_xlfn.XLOOKUP($A864,ALGLIB_SSA_XAUUSD!$J$2:$J$1000,ALGLIB_SSA_XAUUSD!$O$2:$O$1000,"",0)</f>
        <v>4780.2619999999997</v>
      </c>
      <c r="N864">
        <f>_xlfn.XLOOKUP($A864,ALGLIB_SSA_XAUUSD!$J$2:$J$1000,ALGLIB_SSA_XAUUSD!$P$2:$P$1000,"",0)</f>
        <v>4786.9199099999996</v>
      </c>
      <c r="O864">
        <f>_xlfn.XLOOKUP($A864,ALGLIB_SSA_XAUUSD!$J$2:$J$1000,ALGLIB_SSA_XAUUSD!$Q$2:$Q$1000,"",0)</f>
        <v>4773.0124800000003</v>
      </c>
      <c r="R864">
        <f t="shared" si="143"/>
        <v>1775656200</v>
      </c>
      <c r="S864" t="str">
        <f t="shared" si="144"/>
        <v>XAUUSD</v>
      </c>
      <c r="T864" t="str">
        <f t="shared" si="145"/>
        <v>M5</v>
      </c>
      <c r="U864">
        <f t="shared" si="146"/>
        <v>4772.01</v>
      </c>
      <c r="V864">
        <v>4769.3037000000004</v>
      </c>
      <c r="W864">
        <v>4776.3760899999997</v>
      </c>
      <c r="X864">
        <v>4779.8642</v>
      </c>
      <c r="Y864">
        <v>4780.2619999999997</v>
      </c>
      <c r="Z864">
        <f t="shared" si="147"/>
        <v>4792.0829166666663</v>
      </c>
      <c r="AA864">
        <f t="shared" si="148"/>
        <v>4786.9199099999996</v>
      </c>
      <c r="AB864">
        <f t="shared" si="149"/>
        <v>4752.7526383333334</v>
      </c>
      <c r="AC864">
        <f t="shared" si="150"/>
        <v>4773.0124800000003</v>
      </c>
      <c r="AF864">
        <f t="shared" si="151"/>
        <v>4779.8642</v>
      </c>
      <c r="AG864">
        <f t="shared" si="152"/>
        <v>4792.0829166666663</v>
      </c>
      <c r="AH864">
        <f t="shared" si="153"/>
        <v>4752.7526383333334</v>
      </c>
    </row>
    <row r="865" spans="1:34" x14ac:dyDescent="0.55000000000000004">
      <c r="A865">
        <f>ALGLIB_SSA_XAUUSD!J865</f>
        <v>1775656500</v>
      </c>
      <c r="B865" t="str">
        <f>_xlfn.XLOOKUP($A865,ALGLIB_SSA_XAUUSD!$A$2:$A$1000,ALGLIB_SSA_XAUUSD!$B$2:$B$1000,"",0)</f>
        <v/>
      </c>
      <c r="C865" t="str">
        <f>_xlfn.XLOOKUP($A865,ALGLIB_SSA_XAUUSD!$A$2:$A$1000,ALGLIB_SSA_XAUUSD!$C$2:$C$1000,"",0)</f>
        <v/>
      </c>
      <c r="D865" s="1">
        <f>D854+(D866-D854)*11/12</f>
        <v>4740.0341666666664</v>
      </c>
      <c r="E865" s="1">
        <f>E854+(E866-E854)*11/12</f>
        <v>4768.500920833334</v>
      </c>
      <c r="F865" s="1">
        <f>F854+(F866-F854)*11/12</f>
        <v>4775.7562341666662</v>
      </c>
      <c r="G865" s="1">
        <f>G854+(G866-G854)*11/12</f>
        <v>4791.351733333333</v>
      </c>
      <c r="H865" s="1">
        <f>H854+(H866-H854)*11/12</f>
        <v>4752.0769491666661</v>
      </c>
      <c r="I865" t="str">
        <f>_xlfn.XLOOKUP($A865,ALGLIB_SSA_XAUUSD!$J$2:$J$1000,ALGLIB_SSA_XAUUSD!$K$2:$K$1000,"",0)</f>
        <v>XAUUSD</v>
      </c>
      <c r="J865" t="str">
        <f>_xlfn.XLOOKUP($A865,ALGLIB_SSA_XAUUSD!$J$2:$J$1000,ALGLIB_SSA_XAUUSD!$L$2:$L$1000,"",0)</f>
        <v>M5</v>
      </c>
      <c r="K865">
        <f>_xlfn.XLOOKUP($A865,ALGLIB_SSA_XAUUSD!$J$2:$J$1000,ALGLIB_SSA_XAUUSD!$M$2:$M$1000,"",0)</f>
        <v>4778.1400000000003</v>
      </c>
      <c r="L865">
        <f>_xlfn.XLOOKUP($A865,ALGLIB_SSA_XAUUSD!$J$2:$J$1000,ALGLIB_SSA_XAUUSD!$N$2:$N$1000,"",0)</f>
        <v>4780.5861000000004</v>
      </c>
      <c r="M865">
        <f>_xlfn.XLOOKUP($A865,ALGLIB_SSA_XAUUSD!$J$2:$J$1000,ALGLIB_SSA_XAUUSD!$O$2:$O$1000,"",0)</f>
        <v>4780.4240499999996</v>
      </c>
      <c r="N865">
        <f>_xlfn.XLOOKUP($A865,ALGLIB_SSA_XAUUSD!$J$2:$J$1000,ALGLIB_SSA_XAUUSD!$P$2:$P$1000,"",0)</f>
        <v>4787.3093399999998</v>
      </c>
      <c r="O865">
        <f>_xlfn.XLOOKUP($A865,ALGLIB_SSA_XAUUSD!$J$2:$J$1000,ALGLIB_SSA_XAUUSD!$Q$2:$Q$1000,"",0)</f>
        <v>4773.8096400000004</v>
      </c>
      <c r="R865">
        <f t="shared" si="143"/>
        <v>1775656500</v>
      </c>
      <c r="S865" t="str">
        <f t="shared" si="144"/>
        <v>XAUUSD</v>
      </c>
      <c r="T865" t="str">
        <f t="shared" si="145"/>
        <v>M5</v>
      </c>
      <c r="U865">
        <f t="shared" si="146"/>
        <v>4778.1400000000003</v>
      </c>
      <c r="V865">
        <v>4768.5009200000004</v>
      </c>
      <c r="W865">
        <v>4775.75623</v>
      </c>
      <c r="X865">
        <v>4780.5861000000004</v>
      </c>
      <c r="Y865">
        <v>4780.4240499999996</v>
      </c>
      <c r="Z865">
        <f t="shared" si="147"/>
        <v>4791.351733333333</v>
      </c>
      <c r="AA865">
        <f t="shared" si="148"/>
        <v>4787.3093399999998</v>
      </c>
      <c r="AB865">
        <f t="shared" si="149"/>
        <v>4752.0769491666661</v>
      </c>
      <c r="AC865">
        <f t="shared" si="150"/>
        <v>4773.8096400000004</v>
      </c>
      <c r="AF865">
        <f t="shared" si="151"/>
        <v>4780.5861000000004</v>
      </c>
      <c r="AG865">
        <f t="shared" si="152"/>
        <v>4791.351733333333</v>
      </c>
      <c r="AH865">
        <f t="shared" si="153"/>
        <v>4752.0769491666661</v>
      </c>
    </row>
    <row r="866" spans="1:34" x14ac:dyDescent="0.55000000000000004">
      <c r="A866">
        <f>ALGLIB_SSA_XAUUSD!J866</f>
        <v>1775656800</v>
      </c>
      <c r="B866" t="str">
        <f>_xlfn.XLOOKUP($A866,ALGLIB_SSA_XAUUSD!$A$2:$A$1000,ALGLIB_SSA_XAUUSD!$B$2:$B$1000,"",0)</f>
        <v>XAUUSD</v>
      </c>
      <c r="C866" t="str">
        <f>_xlfn.XLOOKUP($A866,ALGLIB_SSA_XAUUSD!$A$2:$A$1000,ALGLIB_SSA_XAUUSD!$C$2:$C$1000,"",0)</f>
        <v>H1</v>
      </c>
      <c r="D866" s="2">
        <f>_xlfn.XLOOKUP($A866,ALGLIB_SSA_XAUUSD!$A$2:$A$1000,ALGLIB_SSA_XAUUSD!$D$2:$D$1000,"",0)</f>
        <v>4736.57</v>
      </c>
      <c r="E866" s="2">
        <f>_xlfn.XLOOKUP($A866,ALGLIB_SSA_XAUUSD!$A$2:$A$1000,ALGLIB_SSA_XAUUSD!$E$2:$E$1000,"",0)</f>
        <v>4767.6981400000004</v>
      </c>
      <c r="F866" s="2">
        <f>_xlfn.XLOOKUP($A866,ALGLIB_SSA_XAUUSD!$A$2:$A$1000,ALGLIB_SSA_XAUUSD!$F$2:$F$1000,"",0)</f>
        <v>4775.1363799999999</v>
      </c>
      <c r="G866" s="2">
        <f>_xlfn.XLOOKUP($A866,ALGLIB_SSA_XAUUSD!$A$2:$A$1000,ALGLIB_SSA_XAUUSD!$G$2:$G$1000,"",0)</f>
        <v>4790.6205499999996</v>
      </c>
      <c r="H866" s="2">
        <f>_xlfn.XLOOKUP($A866,ALGLIB_SSA_XAUUSD!$A$2:$A$1000,ALGLIB_SSA_XAUUSD!$H$2:$H$1000,"",0)</f>
        <v>4751.4012599999996</v>
      </c>
      <c r="I866" t="str">
        <f>_xlfn.XLOOKUP($A866,ALGLIB_SSA_XAUUSD!$J$2:$J$1000,ALGLIB_SSA_XAUUSD!$K$2:$K$1000,"",0)</f>
        <v>XAUUSD</v>
      </c>
      <c r="J866" t="str">
        <f>_xlfn.XLOOKUP($A866,ALGLIB_SSA_XAUUSD!$J$2:$J$1000,ALGLIB_SSA_XAUUSD!$L$2:$L$1000,"",0)</f>
        <v>M5</v>
      </c>
      <c r="K866">
        <f>_xlfn.XLOOKUP($A866,ALGLIB_SSA_XAUUSD!$J$2:$J$1000,ALGLIB_SSA_XAUUSD!$M$2:$M$1000,"",0)</f>
        <v>4785.59</v>
      </c>
      <c r="L866">
        <f>_xlfn.XLOOKUP($A866,ALGLIB_SSA_XAUUSD!$J$2:$J$1000,ALGLIB_SSA_XAUUSD!$N$2:$N$1000,"",0)</f>
        <v>4781.0780699999996</v>
      </c>
      <c r="M866">
        <f>_xlfn.XLOOKUP($A866,ALGLIB_SSA_XAUUSD!$J$2:$J$1000,ALGLIB_SSA_XAUUSD!$O$2:$O$1000,"",0)</f>
        <v>4780.7510599999996</v>
      </c>
      <c r="N866">
        <f>_xlfn.XLOOKUP($A866,ALGLIB_SSA_XAUUSD!$J$2:$J$1000,ALGLIB_SSA_XAUUSD!$P$2:$P$1000,"",0)</f>
        <v>4787.7329600000003</v>
      </c>
      <c r="O866">
        <f>_xlfn.XLOOKUP($A866,ALGLIB_SSA_XAUUSD!$J$2:$J$1000,ALGLIB_SSA_XAUUSD!$Q$2:$Q$1000,"",0)</f>
        <v>4774.7159300000003</v>
      </c>
      <c r="R866">
        <f t="shared" si="143"/>
        <v>1775656800</v>
      </c>
      <c r="S866" t="str">
        <f t="shared" si="144"/>
        <v>XAUUSD</v>
      </c>
      <c r="T866" t="str">
        <f t="shared" si="145"/>
        <v>M5</v>
      </c>
      <c r="U866">
        <f t="shared" si="146"/>
        <v>4785.59</v>
      </c>
      <c r="V866">
        <v>4767.6981400000004</v>
      </c>
      <c r="W866">
        <v>4775.1363799999999</v>
      </c>
      <c r="X866">
        <v>4781.0780699999996</v>
      </c>
      <c r="Y866">
        <v>4780.7510599999996</v>
      </c>
      <c r="Z866">
        <f t="shared" si="147"/>
        <v>4790.6205499999996</v>
      </c>
      <c r="AA866">
        <f t="shared" si="148"/>
        <v>4787.7329600000003</v>
      </c>
      <c r="AB866">
        <f t="shared" si="149"/>
        <v>4751.4012599999996</v>
      </c>
      <c r="AC866">
        <f t="shared" si="150"/>
        <v>4774.7159300000003</v>
      </c>
      <c r="AF866">
        <f t="shared" si="151"/>
        <v>4781.0780699999996</v>
      </c>
      <c r="AG866">
        <f t="shared" si="152"/>
        <v>4790.6205499999996</v>
      </c>
      <c r="AH866">
        <f t="shared" si="153"/>
        <v>4751.4012599999996</v>
      </c>
    </row>
    <row r="867" spans="1:34" x14ac:dyDescent="0.55000000000000004">
      <c r="A867">
        <f>ALGLIB_SSA_XAUUSD!J867</f>
        <v>1775657100</v>
      </c>
      <c r="B867" t="str">
        <f>_xlfn.XLOOKUP($A867,ALGLIB_SSA_XAUUSD!$A$2:$A$1000,ALGLIB_SSA_XAUUSD!$B$2:$B$1000,"",0)</f>
        <v/>
      </c>
      <c r="C867" t="str">
        <f>_xlfn.XLOOKUP($A867,ALGLIB_SSA_XAUUSD!$A$2:$A$1000,ALGLIB_SSA_XAUUSD!$C$2:$C$1000,"",0)</f>
        <v/>
      </c>
      <c r="D867" s="1">
        <f>D866+(D878-D866)*1/12</f>
        <v>4738.246666666666</v>
      </c>
      <c r="E867" s="1">
        <f>E866+(E878-E866)*1/12</f>
        <v>4766.8183875000004</v>
      </c>
      <c r="F867" s="1">
        <f>F866+(F878-F866)*1/12</f>
        <v>4774.3865774999995</v>
      </c>
      <c r="G867" s="1">
        <f>G866+(G878-G866)*1/12</f>
        <v>4789.6710599999997</v>
      </c>
      <c r="H867" s="1">
        <f>H866+(H878-H866)*1/12</f>
        <v>4750.6854041666666</v>
      </c>
      <c r="I867" t="str">
        <f>_xlfn.XLOOKUP($A867,ALGLIB_SSA_XAUUSD!$J$2:$J$1000,ALGLIB_SSA_XAUUSD!$K$2:$K$1000,"",0)</f>
        <v>XAUUSD</v>
      </c>
      <c r="J867" t="str">
        <f>_xlfn.XLOOKUP($A867,ALGLIB_SSA_XAUUSD!$J$2:$J$1000,ALGLIB_SSA_XAUUSD!$L$2:$L$1000,"",0)</f>
        <v>M5</v>
      </c>
      <c r="K867">
        <f>_xlfn.XLOOKUP($A867,ALGLIB_SSA_XAUUSD!$J$2:$J$1000,ALGLIB_SSA_XAUUSD!$M$2:$M$1000,"",0)</f>
        <v>4786.4399999999996</v>
      </c>
      <c r="L867">
        <f>_xlfn.XLOOKUP($A867,ALGLIB_SSA_XAUUSD!$J$2:$J$1000,ALGLIB_SSA_XAUUSD!$N$2:$N$1000,"",0)</f>
        <v>4780.7162799999996</v>
      </c>
      <c r="M867">
        <f>_xlfn.XLOOKUP($A867,ALGLIB_SSA_XAUUSD!$J$2:$J$1000,ALGLIB_SSA_XAUUSD!$O$2:$O$1000,"",0)</f>
        <v>4780.7336699999996</v>
      </c>
      <c r="N867">
        <f>_xlfn.XLOOKUP($A867,ALGLIB_SSA_XAUUSD!$J$2:$J$1000,ALGLIB_SSA_XAUUSD!$P$2:$P$1000,"",0)</f>
        <v>4787.52657</v>
      </c>
      <c r="O867">
        <f>_xlfn.XLOOKUP($A867,ALGLIB_SSA_XAUUSD!$J$2:$J$1000,ALGLIB_SSA_XAUUSD!$Q$2:$Q$1000,"",0)</f>
        <v>4775.03971</v>
      </c>
      <c r="R867">
        <f t="shared" si="143"/>
        <v>1775657100</v>
      </c>
      <c r="S867" t="str">
        <f t="shared" si="144"/>
        <v>XAUUSD</v>
      </c>
      <c r="T867" t="str">
        <f t="shared" si="145"/>
        <v>M5</v>
      </c>
      <c r="U867">
        <f t="shared" si="146"/>
        <v>4786.4399999999996</v>
      </c>
      <c r="V867">
        <v>4766.8183900000004</v>
      </c>
      <c r="W867">
        <v>4774.3865800000003</v>
      </c>
      <c r="X867">
        <v>4780.7162799999996</v>
      </c>
      <c r="Y867">
        <v>4780.7336699999996</v>
      </c>
      <c r="Z867">
        <f t="shared" si="147"/>
        <v>4789.6710599999997</v>
      </c>
      <c r="AA867">
        <f t="shared" si="148"/>
        <v>4787.52657</v>
      </c>
      <c r="AB867">
        <f t="shared" si="149"/>
        <v>4750.6854041666666</v>
      </c>
      <c r="AC867">
        <f t="shared" si="150"/>
        <v>4775.03971</v>
      </c>
      <c r="AF867">
        <f t="shared" si="151"/>
        <v>4780.7162799999996</v>
      </c>
      <c r="AG867">
        <f t="shared" si="152"/>
        <v>4789.6710599999997</v>
      </c>
      <c r="AH867">
        <f t="shared" si="153"/>
        <v>4750.6854041666666</v>
      </c>
    </row>
    <row r="868" spans="1:34" x14ac:dyDescent="0.55000000000000004">
      <c r="A868">
        <f>ALGLIB_SSA_XAUUSD!J868</f>
        <v>1775657400</v>
      </c>
      <c r="B868" t="str">
        <f>_xlfn.XLOOKUP($A868,ALGLIB_SSA_XAUUSD!$A$2:$A$1000,ALGLIB_SSA_XAUUSD!$B$2:$B$1000,"",0)</f>
        <v/>
      </c>
      <c r="C868" t="str">
        <f>_xlfn.XLOOKUP($A868,ALGLIB_SSA_XAUUSD!$A$2:$A$1000,ALGLIB_SSA_XAUUSD!$C$2:$C$1000,"",0)</f>
        <v/>
      </c>
      <c r="D868" s="1">
        <f>D866+(D878-D866)*2/12</f>
        <v>4739.9233333333332</v>
      </c>
      <c r="E868" s="1">
        <f>E866+(E878-E866)*2/12</f>
        <v>4765.9386350000004</v>
      </c>
      <c r="F868" s="1">
        <f>F866+(F878-F866)*2/12</f>
        <v>4773.6367749999999</v>
      </c>
      <c r="G868" s="1">
        <f>G866+(G878-G866)*2/12</f>
        <v>4788.7215699999997</v>
      </c>
      <c r="H868" s="1">
        <f>H866+(H878-H866)*2/12</f>
        <v>4749.9695483333326</v>
      </c>
      <c r="I868" t="str">
        <f>_xlfn.XLOOKUP($A868,ALGLIB_SSA_XAUUSD!$J$2:$J$1000,ALGLIB_SSA_XAUUSD!$K$2:$K$1000,"",0)</f>
        <v>XAUUSD</v>
      </c>
      <c r="J868" t="str">
        <f>_xlfn.XLOOKUP($A868,ALGLIB_SSA_XAUUSD!$J$2:$J$1000,ALGLIB_SSA_XAUUSD!$L$2:$L$1000,"",0)</f>
        <v>M5</v>
      </c>
      <c r="K868">
        <f>_xlfn.XLOOKUP($A868,ALGLIB_SSA_XAUUSD!$J$2:$J$1000,ALGLIB_SSA_XAUUSD!$M$2:$M$1000,"",0)</f>
        <v>4780.25</v>
      </c>
      <c r="L868">
        <f>_xlfn.XLOOKUP($A868,ALGLIB_SSA_XAUUSD!$J$2:$J$1000,ALGLIB_SSA_XAUUSD!$N$2:$N$1000,"",0)</f>
        <v>4779.1966400000001</v>
      </c>
      <c r="M868">
        <f>_xlfn.XLOOKUP($A868,ALGLIB_SSA_XAUUSD!$J$2:$J$1000,ALGLIB_SSA_XAUUSD!$O$2:$O$1000,"",0)</f>
        <v>4779.9651599999997</v>
      </c>
      <c r="N868">
        <f>_xlfn.XLOOKUP($A868,ALGLIB_SSA_XAUUSD!$J$2:$J$1000,ALGLIB_SSA_XAUUSD!$P$2:$P$1000,"",0)</f>
        <v>4786.3918299999996</v>
      </c>
      <c r="O868">
        <f>_xlfn.XLOOKUP($A868,ALGLIB_SSA_XAUUSD!$J$2:$J$1000,ALGLIB_SSA_XAUUSD!$Q$2:$Q$1000,"",0)</f>
        <v>4774.3681500000002</v>
      </c>
      <c r="R868">
        <f t="shared" si="143"/>
        <v>1775657400</v>
      </c>
      <c r="S868" t="str">
        <f t="shared" si="144"/>
        <v>XAUUSD</v>
      </c>
      <c r="T868" t="str">
        <f t="shared" si="145"/>
        <v>M5</v>
      </c>
      <c r="U868">
        <f t="shared" si="146"/>
        <v>4780.25</v>
      </c>
      <c r="V868">
        <v>4765.9386400000003</v>
      </c>
      <c r="W868">
        <v>4773.6367799999998</v>
      </c>
      <c r="X868">
        <v>4779.1966400000001</v>
      </c>
      <c r="Y868">
        <v>4779.9651599999997</v>
      </c>
      <c r="Z868">
        <f t="shared" si="147"/>
        <v>4788.7215699999997</v>
      </c>
      <c r="AA868">
        <f t="shared" si="148"/>
        <v>4786.3918299999996</v>
      </c>
      <c r="AB868">
        <f t="shared" si="149"/>
        <v>4749.9695483333326</v>
      </c>
      <c r="AC868">
        <f t="shared" si="150"/>
        <v>4774.3681500000002</v>
      </c>
      <c r="AF868">
        <f t="shared" si="151"/>
        <v>4779.1966400000001</v>
      </c>
      <c r="AG868">
        <f t="shared" si="152"/>
        <v>4788.7215699999997</v>
      </c>
      <c r="AH868">
        <f t="shared" si="153"/>
        <v>4749.9695483333326</v>
      </c>
    </row>
    <row r="869" spans="1:34" x14ac:dyDescent="0.55000000000000004">
      <c r="A869">
        <f>ALGLIB_SSA_XAUUSD!J869</f>
        <v>1775657700</v>
      </c>
      <c r="B869" t="str">
        <f>_xlfn.XLOOKUP($A869,ALGLIB_SSA_XAUUSD!$A$2:$A$1000,ALGLIB_SSA_XAUUSD!$B$2:$B$1000,"",0)</f>
        <v/>
      </c>
      <c r="C869" t="str">
        <f>_xlfn.XLOOKUP($A869,ALGLIB_SSA_XAUUSD!$A$2:$A$1000,ALGLIB_SSA_XAUUSD!$C$2:$C$1000,"",0)</f>
        <v/>
      </c>
      <c r="D869" s="1">
        <f>D866+(D878-D866)*3/12</f>
        <v>4741.5999999999995</v>
      </c>
      <c r="E869" s="1">
        <f>E866+(E878-E866)*3/12</f>
        <v>4765.0588825000004</v>
      </c>
      <c r="F869" s="1">
        <f>F866+(F878-F866)*3/12</f>
        <v>4772.8869725000004</v>
      </c>
      <c r="G869" s="1">
        <f>G866+(G878-G866)*3/12</f>
        <v>4787.7720799999997</v>
      </c>
      <c r="H869" s="1">
        <f>H866+(H878-H866)*3/12</f>
        <v>4749.2536924999995</v>
      </c>
      <c r="I869" t="str">
        <f>_xlfn.XLOOKUP($A869,ALGLIB_SSA_XAUUSD!$J$2:$J$1000,ALGLIB_SSA_XAUUSD!$K$2:$K$1000,"",0)</f>
        <v>XAUUSD</v>
      </c>
      <c r="J869" t="str">
        <f>_xlfn.XLOOKUP($A869,ALGLIB_SSA_XAUUSD!$J$2:$J$1000,ALGLIB_SSA_XAUUSD!$L$2:$L$1000,"",0)</f>
        <v>M5</v>
      </c>
      <c r="K869">
        <f>_xlfn.XLOOKUP($A869,ALGLIB_SSA_XAUUSD!$J$2:$J$1000,ALGLIB_SSA_XAUUSD!$M$2:$M$1000,"",0)</f>
        <v>4773.1400000000003</v>
      </c>
      <c r="L869">
        <f>_xlfn.XLOOKUP($A869,ALGLIB_SSA_XAUUSD!$J$2:$J$1000,ALGLIB_SSA_XAUUSD!$N$2:$N$1000,"",0)</f>
        <v>4776.5552900000002</v>
      </c>
      <c r="M869">
        <f>_xlfn.XLOOKUP($A869,ALGLIB_SSA_XAUUSD!$J$2:$J$1000,ALGLIB_SSA_XAUUSD!$O$2:$O$1000,"",0)</f>
        <v>4778.2602200000001</v>
      </c>
      <c r="N869">
        <f>_xlfn.XLOOKUP($A869,ALGLIB_SSA_XAUUSD!$J$2:$J$1000,ALGLIB_SSA_XAUUSD!$P$2:$P$1000,"",0)</f>
        <v>4784.2936399999999</v>
      </c>
      <c r="O869">
        <f>_xlfn.XLOOKUP($A869,ALGLIB_SSA_XAUUSD!$J$2:$J$1000,ALGLIB_SSA_XAUUSD!$Q$2:$Q$1000,"",0)</f>
        <v>4772.3850499999999</v>
      </c>
      <c r="R869">
        <f t="shared" si="143"/>
        <v>1775657700</v>
      </c>
      <c r="S869" t="str">
        <f t="shared" si="144"/>
        <v>XAUUSD</v>
      </c>
      <c r="T869" t="str">
        <f t="shared" si="145"/>
        <v>M5</v>
      </c>
      <c r="U869">
        <f t="shared" si="146"/>
        <v>4773.1400000000003</v>
      </c>
      <c r="V869">
        <v>4765.0588799999996</v>
      </c>
      <c r="W869">
        <v>4772.8869699999996</v>
      </c>
      <c r="X869">
        <v>4776.5552900000002</v>
      </c>
      <c r="Y869">
        <v>4778.2602200000001</v>
      </c>
      <c r="Z869">
        <f t="shared" si="147"/>
        <v>4787.7720799999997</v>
      </c>
      <c r="AA869">
        <f t="shared" si="148"/>
        <v>4784.2936399999999</v>
      </c>
      <c r="AB869">
        <f t="shared" si="149"/>
        <v>4749.2536924999995</v>
      </c>
      <c r="AC869">
        <f t="shared" si="150"/>
        <v>4772.3850499999999</v>
      </c>
      <c r="AF869">
        <f t="shared" si="151"/>
        <v>4776.5552900000002</v>
      </c>
      <c r="AG869">
        <f t="shared" si="152"/>
        <v>4787.7720799999997</v>
      </c>
      <c r="AH869">
        <f t="shared" si="153"/>
        <v>4749.2536924999995</v>
      </c>
    </row>
    <row r="870" spans="1:34" x14ac:dyDescent="0.55000000000000004">
      <c r="A870">
        <f>ALGLIB_SSA_XAUUSD!J870</f>
        <v>1775658000</v>
      </c>
      <c r="B870" t="str">
        <f>_xlfn.XLOOKUP($A870,ALGLIB_SSA_XAUUSD!$A$2:$A$1000,ALGLIB_SSA_XAUUSD!$B$2:$B$1000,"",0)</f>
        <v/>
      </c>
      <c r="C870" t="str">
        <f>_xlfn.XLOOKUP($A870,ALGLIB_SSA_XAUUSD!$A$2:$A$1000,ALGLIB_SSA_XAUUSD!$C$2:$C$1000,"",0)</f>
        <v/>
      </c>
      <c r="D870" s="1">
        <f>D866+(D878-D866)*4/12</f>
        <v>4743.2766666666666</v>
      </c>
      <c r="E870" s="1">
        <f>E866+(E878-E866)*4/12</f>
        <v>4764.1791300000004</v>
      </c>
      <c r="F870" s="1">
        <f>F866+(F878-F866)*4/12</f>
        <v>4772.13717</v>
      </c>
      <c r="G870" s="1">
        <f>G866+(G878-G866)*4/12</f>
        <v>4786.8225899999998</v>
      </c>
      <c r="H870" s="1">
        <f>H866+(H878-H866)*4/12</f>
        <v>4748.5378366666664</v>
      </c>
      <c r="I870" t="str">
        <f>_xlfn.XLOOKUP($A870,ALGLIB_SSA_XAUUSD!$J$2:$J$1000,ALGLIB_SSA_XAUUSD!$K$2:$K$1000,"",0)</f>
        <v>XAUUSD</v>
      </c>
      <c r="J870" t="str">
        <f>_xlfn.XLOOKUP($A870,ALGLIB_SSA_XAUUSD!$J$2:$J$1000,ALGLIB_SSA_XAUUSD!$L$2:$L$1000,"",0)</f>
        <v>M5</v>
      </c>
      <c r="K870">
        <f>_xlfn.XLOOKUP($A870,ALGLIB_SSA_XAUUSD!$J$2:$J$1000,ALGLIB_SSA_XAUUSD!$M$2:$M$1000,"",0)</f>
        <v>4774.4399999999996</v>
      </c>
      <c r="L870">
        <f>_xlfn.XLOOKUP($A870,ALGLIB_SSA_XAUUSD!$J$2:$J$1000,ALGLIB_SSA_XAUUSD!$N$2:$N$1000,"",0)</f>
        <v>4773.0015000000003</v>
      </c>
      <c r="M870">
        <f>_xlfn.XLOOKUP($A870,ALGLIB_SSA_XAUUSD!$J$2:$J$1000,ALGLIB_SSA_XAUUSD!$O$2:$O$1000,"",0)</f>
        <v>4775.6308600000002</v>
      </c>
      <c r="N870">
        <f>_xlfn.XLOOKUP($A870,ALGLIB_SSA_XAUUSD!$J$2:$J$1000,ALGLIB_SSA_XAUUSD!$P$2:$P$1000,"",0)</f>
        <v>4781.2337299999999</v>
      </c>
      <c r="O870">
        <f>_xlfn.XLOOKUP($A870,ALGLIB_SSA_XAUUSD!$J$2:$J$1000,ALGLIB_SSA_XAUUSD!$Q$2:$Q$1000,"",0)</f>
        <v>4769.16669</v>
      </c>
      <c r="R870">
        <f t="shared" si="143"/>
        <v>1775658000</v>
      </c>
      <c r="S870" t="str">
        <f t="shared" si="144"/>
        <v>XAUUSD</v>
      </c>
      <c r="T870" t="str">
        <f t="shared" si="145"/>
        <v>M5</v>
      </c>
      <c r="U870">
        <f t="shared" si="146"/>
        <v>4774.4399999999996</v>
      </c>
      <c r="V870">
        <v>4764.1791300000004</v>
      </c>
      <c r="W870">
        <v>4772.13717</v>
      </c>
      <c r="X870">
        <v>4773.0015000000003</v>
      </c>
      <c r="Y870">
        <v>4775.6308600000002</v>
      </c>
      <c r="Z870">
        <f t="shared" si="147"/>
        <v>4786.8225899999998</v>
      </c>
      <c r="AA870">
        <f t="shared" si="148"/>
        <v>4781.2337299999999</v>
      </c>
      <c r="AB870">
        <f t="shared" si="149"/>
        <v>4748.5378366666664</v>
      </c>
      <c r="AC870">
        <f t="shared" si="150"/>
        <v>4769.16669</v>
      </c>
      <c r="AF870">
        <f t="shared" si="151"/>
        <v>4773.0015000000003</v>
      </c>
      <c r="AG870">
        <f t="shared" si="152"/>
        <v>4786.8225899999998</v>
      </c>
      <c r="AH870">
        <f t="shared" si="153"/>
        <v>4748.5378366666664</v>
      </c>
    </row>
    <row r="871" spans="1:34" x14ac:dyDescent="0.55000000000000004">
      <c r="A871">
        <f>ALGLIB_SSA_XAUUSD!J871</f>
        <v>1775658300</v>
      </c>
      <c r="B871" t="str">
        <f>_xlfn.XLOOKUP($A871,ALGLIB_SSA_XAUUSD!$A$2:$A$1000,ALGLIB_SSA_XAUUSD!$B$2:$B$1000,"",0)</f>
        <v/>
      </c>
      <c r="C871" t="str">
        <f>_xlfn.XLOOKUP($A871,ALGLIB_SSA_XAUUSD!$A$2:$A$1000,ALGLIB_SSA_XAUUSD!$C$2:$C$1000,"",0)</f>
        <v/>
      </c>
      <c r="D871" s="1">
        <f>D866+(D878-D866)*5/12</f>
        <v>4744.9533333333329</v>
      </c>
      <c r="E871" s="1">
        <f>E866+(E878-E866)*5/12</f>
        <v>4763.2993775000004</v>
      </c>
      <c r="F871" s="1">
        <f>F866+(F878-F866)*5/12</f>
        <v>4771.3873674999995</v>
      </c>
      <c r="G871" s="1">
        <f>G866+(G878-G866)*5/12</f>
        <v>4785.8730999999998</v>
      </c>
      <c r="H871" s="1">
        <f>H866+(H878-H866)*5/12</f>
        <v>4747.8219808333333</v>
      </c>
      <c r="I871" t="str">
        <f>_xlfn.XLOOKUP($A871,ALGLIB_SSA_XAUUSD!$J$2:$J$1000,ALGLIB_SSA_XAUUSD!$K$2:$K$1000,"",0)</f>
        <v>XAUUSD</v>
      </c>
      <c r="J871" t="str">
        <f>_xlfn.XLOOKUP($A871,ALGLIB_SSA_XAUUSD!$J$2:$J$1000,ALGLIB_SSA_XAUUSD!$L$2:$L$1000,"",0)</f>
        <v>M5</v>
      </c>
      <c r="K871">
        <f>_xlfn.XLOOKUP($A871,ALGLIB_SSA_XAUUSD!$J$2:$J$1000,ALGLIB_SSA_XAUUSD!$M$2:$M$1000,"",0)</f>
        <v>4767.49</v>
      </c>
      <c r="L871">
        <f>_xlfn.XLOOKUP($A871,ALGLIB_SSA_XAUUSD!$J$2:$J$1000,ALGLIB_SSA_XAUUSD!$N$2:$N$1000,"",0)</f>
        <v>4768.6520200000004</v>
      </c>
      <c r="M871">
        <f>_xlfn.XLOOKUP($A871,ALGLIB_SSA_XAUUSD!$J$2:$J$1000,ALGLIB_SSA_XAUUSD!$O$2:$O$1000,"",0)</f>
        <v>4772.1414400000003</v>
      </c>
      <c r="N871">
        <f>_xlfn.XLOOKUP($A871,ALGLIB_SSA_XAUUSD!$J$2:$J$1000,ALGLIB_SSA_XAUUSD!$P$2:$P$1000,"",0)</f>
        <v>4777.4163200000003</v>
      </c>
      <c r="O871">
        <f>_xlfn.XLOOKUP($A871,ALGLIB_SSA_XAUUSD!$J$2:$J$1000,ALGLIB_SSA_XAUUSD!$Q$2:$Q$1000,"",0)</f>
        <v>4764.8182900000002</v>
      </c>
      <c r="R871">
        <f t="shared" si="143"/>
        <v>1775658300</v>
      </c>
      <c r="S871" t="str">
        <f t="shared" si="144"/>
        <v>XAUUSD</v>
      </c>
      <c r="T871" t="str">
        <f t="shared" si="145"/>
        <v>M5</v>
      </c>
      <c r="U871">
        <f t="shared" si="146"/>
        <v>4767.49</v>
      </c>
      <c r="V871">
        <v>4763.2993800000004</v>
      </c>
      <c r="W871">
        <v>4771.3873700000004</v>
      </c>
      <c r="X871">
        <v>4768.6520200000004</v>
      </c>
      <c r="Y871">
        <v>4772.1414400000003</v>
      </c>
      <c r="Z871">
        <f t="shared" si="147"/>
        <v>4785.8730999999998</v>
      </c>
      <c r="AA871">
        <f t="shared" si="148"/>
        <v>4777.4163200000003</v>
      </c>
      <c r="AB871">
        <f t="shared" si="149"/>
        <v>4747.8219808333333</v>
      </c>
      <c r="AC871">
        <f t="shared" si="150"/>
        <v>4764.8182900000002</v>
      </c>
      <c r="AF871">
        <f t="shared" si="151"/>
        <v>4768.6520200000004</v>
      </c>
      <c r="AG871">
        <f t="shared" si="152"/>
        <v>4785.8730999999998</v>
      </c>
      <c r="AH871">
        <f t="shared" si="153"/>
        <v>4747.8219808333333</v>
      </c>
    </row>
    <row r="872" spans="1:34" x14ac:dyDescent="0.55000000000000004">
      <c r="A872">
        <f>ALGLIB_SSA_XAUUSD!J872</f>
        <v>1775658600</v>
      </c>
      <c r="B872" t="str">
        <f>_xlfn.XLOOKUP($A872,ALGLIB_SSA_XAUUSD!$A$2:$A$1000,ALGLIB_SSA_XAUUSD!$B$2:$B$1000,"",0)</f>
        <v/>
      </c>
      <c r="C872" t="str">
        <f>_xlfn.XLOOKUP($A872,ALGLIB_SSA_XAUUSD!$A$2:$A$1000,ALGLIB_SSA_XAUUSD!$C$2:$C$1000,"",0)</f>
        <v/>
      </c>
      <c r="D872" s="1">
        <f>D866+(D878-D866)*6/12</f>
        <v>4746.6299999999992</v>
      </c>
      <c r="E872" s="1">
        <f>E866+(E878-E866)*6/12</f>
        <v>4762.4196250000005</v>
      </c>
      <c r="F872" s="1">
        <f>F866+(F878-F866)*6/12</f>
        <v>4770.637565</v>
      </c>
      <c r="G872" s="1">
        <f>G866+(G878-G866)*6/12</f>
        <v>4784.9236099999998</v>
      </c>
      <c r="H872" s="1">
        <f>H866+(H878-H866)*6/12</f>
        <v>4747.1061250000002</v>
      </c>
      <c r="I872" t="str">
        <f>_xlfn.XLOOKUP($A872,ALGLIB_SSA_XAUUSD!$J$2:$J$1000,ALGLIB_SSA_XAUUSD!$K$2:$K$1000,"",0)</f>
        <v>XAUUSD</v>
      </c>
      <c r="J872" t="str">
        <f>_xlfn.XLOOKUP($A872,ALGLIB_SSA_XAUUSD!$J$2:$J$1000,ALGLIB_SSA_XAUUSD!$L$2:$L$1000,"",0)</f>
        <v>M5</v>
      </c>
      <c r="K872">
        <f>_xlfn.XLOOKUP($A872,ALGLIB_SSA_XAUUSD!$J$2:$J$1000,ALGLIB_SSA_XAUUSD!$M$2:$M$1000,"",0)</f>
        <v>4754.29</v>
      </c>
      <c r="L872">
        <f>_xlfn.XLOOKUP($A872,ALGLIB_SSA_XAUUSD!$J$2:$J$1000,ALGLIB_SSA_XAUUSD!$N$2:$N$1000,"",0)</f>
        <v>4763.91338</v>
      </c>
      <c r="M872">
        <f>_xlfn.XLOOKUP($A872,ALGLIB_SSA_XAUUSD!$J$2:$J$1000,ALGLIB_SSA_XAUUSD!$O$2:$O$1000,"",0)</f>
        <v>4768.0274099999997</v>
      </c>
      <c r="N872">
        <f>_xlfn.XLOOKUP($A872,ALGLIB_SSA_XAUUSD!$J$2:$J$1000,ALGLIB_SSA_XAUUSD!$P$2:$P$1000,"",0)</f>
        <v>4773.1450299999997</v>
      </c>
      <c r="O872">
        <f>_xlfn.XLOOKUP($A872,ALGLIB_SSA_XAUUSD!$J$2:$J$1000,ALGLIB_SSA_XAUUSD!$Q$2:$Q$1000,"",0)</f>
        <v>4759.83104</v>
      </c>
      <c r="R872">
        <f t="shared" si="143"/>
        <v>1775658600</v>
      </c>
      <c r="S872" t="str">
        <f t="shared" si="144"/>
        <v>XAUUSD</v>
      </c>
      <c r="T872" t="str">
        <f t="shared" si="145"/>
        <v>M5</v>
      </c>
      <c r="U872">
        <f t="shared" si="146"/>
        <v>4754.29</v>
      </c>
      <c r="V872">
        <v>4762.4196300000003</v>
      </c>
      <c r="W872">
        <v>4770.6375699999999</v>
      </c>
      <c r="X872">
        <v>4763.91338</v>
      </c>
      <c r="Y872">
        <v>4768.0274099999997</v>
      </c>
      <c r="Z872">
        <f t="shared" si="147"/>
        <v>4784.9236099999998</v>
      </c>
      <c r="AA872">
        <f t="shared" si="148"/>
        <v>4773.1450299999997</v>
      </c>
      <c r="AB872">
        <f t="shared" si="149"/>
        <v>4747.1061250000002</v>
      </c>
      <c r="AC872">
        <f t="shared" si="150"/>
        <v>4759.83104</v>
      </c>
      <c r="AF872">
        <f t="shared" si="151"/>
        <v>4763.91338</v>
      </c>
      <c r="AG872">
        <f t="shared" si="152"/>
        <v>4784.9236099999998</v>
      </c>
      <c r="AH872">
        <f t="shared" si="153"/>
        <v>4747.1061250000002</v>
      </c>
    </row>
    <row r="873" spans="1:34" x14ac:dyDescent="0.55000000000000004">
      <c r="A873">
        <f>ALGLIB_SSA_XAUUSD!J873</f>
        <v>1775658900</v>
      </c>
      <c r="B873" t="str">
        <f>_xlfn.XLOOKUP($A873,ALGLIB_SSA_XAUUSD!$A$2:$A$1000,ALGLIB_SSA_XAUUSD!$B$2:$B$1000,"",0)</f>
        <v/>
      </c>
      <c r="C873" t="str">
        <f>_xlfn.XLOOKUP($A873,ALGLIB_SSA_XAUUSD!$A$2:$A$1000,ALGLIB_SSA_XAUUSD!$C$2:$C$1000,"",0)</f>
        <v/>
      </c>
      <c r="D873" s="1">
        <f>D866+(D878-D866)*7/12</f>
        <v>4748.3066666666664</v>
      </c>
      <c r="E873" s="1">
        <f>E866+(E878-E866)*7/12</f>
        <v>4761.5398724999995</v>
      </c>
      <c r="F873" s="1">
        <f>F866+(F878-F866)*7/12</f>
        <v>4769.8877625000005</v>
      </c>
      <c r="G873" s="1">
        <f>G866+(G878-G866)*7/12</f>
        <v>4783.9741199999999</v>
      </c>
      <c r="H873" s="1">
        <f>H866+(H878-H866)*7/12</f>
        <v>4746.3902691666663</v>
      </c>
      <c r="I873" t="str">
        <f>_xlfn.XLOOKUP($A873,ALGLIB_SSA_XAUUSD!$J$2:$J$1000,ALGLIB_SSA_XAUUSD!$K$2:$K$1000,"",0)</f>
        <v>XAUUSD</v>
      </c>
      <c r="J873" t="str">
        <f>_xlfn.XLOOKUP($A873,ALGLIB_SSA_XAUUSD!$J$2:$J$1000,ALGLIB_SSA_XAUUSD!$L$2:$L$1000,"",0)</f>
        <v>M5</v>
      </c>
      <c r="K873">
        <f>_xlfn.XLOOKUP($A873,ALGLIB_SSA_XAUUSD!$J$2:$J$1000,ALGLIB_SSA_XAUUSD!$M$2:$M$1000,"",0)</f>
        <v>4760.95</v>
      </c>
      <c r="L873">
        <f>_xlfn.XLOOKUP($A873,ALGLIB_SSA_XAUUSD!$J$2:$J$1000,ALGLIB_SSA_XAUUSD!$N$2:$N$1000,"",0)</f>
        <v>4759.3684499999999</v>
      </c>
      <c r="M873">
        <f>_xlfn.XLOOKUP($A873,ALGLIB_SSA_XAUUSD!$J$2:$J$1000,ALGLIB_SSA_XAUUSD!$O$2:$O$1000,"",0)</f>
        <v>4763.6979300000003</v>
      </c>
      <c r="N873">
        <f>_xlfn.XLOOKUP($A873,ALGLIB_SSA_XAUUSD!$J$2:$J$1000,ALGLIB_SSA_XAUUSD!$P$2:$P$1000,"",0)</f>
        <v>4768.7472799999996</v>
      </c>
      <c r="O873">
        <f>_xlfn.XLOOKUP($A873,ALGLIB_SSA_XAUUSD!$J$2:$J$1000,ALGLIB_SSA_XAUUSD!$Q$2:$Q$1000,"",0)</f>
        <v>4754.7596000000003</v>
      </c>
      <c r="R873">
        <f t="shared" si="143"/>
        <v>1775658900</v>
      </c>
      <c r="S873" t="str">
        <f t="shared" si="144"/>
        <v>XAUUSD</v>
      </c>
      <c r="T873" t="str">
        <f t="shared" si="145"/>
        <v>M5</v>
      </c>
      <c r="U873">
        <f t="shared" si="146"/>
        <v>4760.95</v>
      </c>
      <c r="V873">
        <v>4761.5398699999996</v>
      </c>
      <c r="W873">
        <v>4769.8877599999996</v>
      </c>
      <c r="X873">
        <v>4759.3684499999999</v>
      </c>
      <c r="Y873">
        <v>4763.6979300000003</v>
      </c>
      <c r="Z873">
        <f t="shared" si="147"/>
        <v>4783.9741199999999</v>
      </c>
      <c r="AA873">
        <f t="shared" si="148"/>
        <v>4768.7472799999996</v>
      </c>
      <c r="AB873">
        <f t="shared" si="149"/>
        <v>4746.3902691666663</v>
      </c>
      <c r="AC873">
        <f t="shared" si="150"/>
        <v>4754.7596000000003</v>
      </c>
      <c r="AF873">
        <f t="shared" si="151"/>
        <v>4759.3684499999999</v>
      </c>
      <c r="AG873">
        <f t="shared" si="152"/>
        <v>4783.9741199999999</v>
      </c>
      <c r="AH873">
        <f t="shared" si="153"/>
        <v>4746.3902691666663</v>
      </c>
    </row>
    <row r="874" spans="1:34" x14ac:dyDescent="0.55000000000000004">
      <c r="A874">
        <f>ALGLIB_SSA_XAUUSD!J874</f>
        <v>1775659200</v>
      </c>
      <c r="B874" t="str">
        <f>_xlfn.XLOOKUP($A874,ALGLIB_SSA_XAUUSD!$A$2:$A$1000,ALGLIB_SSA_XAUUSD!$B$2:$B$1000,"",0)</f>
        <v/>
      </c>
      <c r="C874" t="str">
        <f>_xlfn.XLOOKUP($A874,ALGLIB_SSA_XAUUSD!$A$2:$A$1000,ALGLIB_SSA_XAUUSD!$C$2:$C$1000,"",0)</f>
        <v/>
      </c>
      <c r="D874" s="1">
        <f>D866+(D878-D866)*8/12</f>
        <v>4749.9833333333327</v>
      </c>
      <c r="E874" s="1">
        <f>E866+(E878-E866)*8/12</f>
        <v>4760.6601199999996</v>
      </c>
      <c r="F874" s="1">
        <f>F866+(F878-F866)*8/12</f>
        <v>4769.13796</v>
      </c>
      <c r="G874" s="1">
        <f>G866+(G878-G866)*8/12</f>
        <v>4783.0246299999999</v>
      </c>
      <c r="H874" s="1">
        <f>H866+(H878-H866)*8/12</f>
        <v>4745.6744133333332</v>
      </c>
      <c r="I874" t="str">
        <f>_xlfn.XLOOKUP($A874,ALGLIB_SSA_XAUUSD!$J$2:$J$1000,ALGLIB_SSA_XAUUSD!$K$2:$K$1000,"",0)</f>
        <v>XAUUSD</v>
      </c>
      <c r="J874" t="str">
        <f>_xlfn.XLOOKUP($A874,ALGLIB_SSA_XAUUSD!$J$2:$J$1000,ALGLIB_SSA_XAUUSD!$L$2:$L$1000,"",0)</f>
        <v>M5</v>
      </c>
      <c r="K874">
        <f>_xlfn.XLOOKUP($A874,ALGLIB_SSA_XAUUSD!$J$2:$J$1000,ALGLIB_SSA_XAUUSD!$M$2:$M$1000,"",0)</f>
        <v>4760.2700000000004</v>
      </c>
      <c r="L874">
        <f>_xlfn.XLOOKUP($A874,ALGLIB_SSA_XAUUSD!$J$2:$J$1000,ALGLIB_SSA_XAUUSD!$N$2:$N$1000,"",0)</f>
        <v>4755.0691999999999</v>
      </c>
      <c r="M874">
        <f>_xlfn.XLOOKUP($A874,ALGLIB_SSA_XAUUSD!$J$2:$J$1000,ALGLIB_SSA_XAUUSD!$O$2:$O$1000,"",0)</f>
        <v>4759.38357</v>
      </c>
      <c r="N874">
        <f>_xlfn.XLOOKUP($A874,ALGLIB_SSA_XAUUSD!$J$2:$J$1000,ALGLIB_SSA_XAUUSD!$P$2:$P$1000,"",0)</f>
        <v>4764.4327999999996</v>
      </c>
      <c r="O874">
        <f>_xlfn.XLOOKUP($A874,ALGLIB_SSA_XAUUSD!$J$2:$J$1000,ALGLIB_SSA_XAUUSD!$Q$2:$Q$1000,"",0)</f>
        <v>4749.9035299999996</v>
      </c>
      <c r="R874">
        <f t="shared" si="143"/>
        <v>1775659200</v>
      </c>
      <c r="S874" t="str">
        <f t="shared" si="144"/>
        <v>XAUUSD</v>
      </c>
      <c r="T874" t="str">
        <f t="shared" si="145"/>
        <v>M5</v>
      </c>
      <c r="U874">
        <f t="shared" si="146"/>
        <v>4760.2700000000004</v>
      </c>
      <c r="V874">
        <v>4760.6601199999996</v>
      </c>
      <c r="W874">
        <v>4769.13796</v>
      </c>
      <c r="X874">
        <v>4755.0691999999999</v>
      </c>
      <c r="Y874">
        <v>4759.38357</v>
      </c>
      <c r="Z874">
        <f t="shared" si="147"/>
        <v>4783.0246299999999</v>
      </c>
      <c r="AA874">
        <f t="shared" si="148"/>
        <v>4764.4327999999996</v>
      </c>
      <c r="AB874">
        <f t="shared" si="149"/>
        <v>4745.6744133333332</v>
      </c>
      <c r="AC874">
        <f t="shared" si="150"/>
        <v>4749.9035299999996</v>
      </c>
      <c r="AF874">
        <f t="shared" si="151"/>
        <v>4755.0691999999999</v>
      </c>
      <c r="AG874">
        <f t="shared" si="152"/>
        <v>4783.0246299999999</v>
      </c>
      <c r="AH874">
        <f t="shared" si="153"/>
        <v>4745.6744133333332</v>
      </c>
    </row>
    <row r="875" spans="1:34" x14ac:dyDescent="0.55000000000000004">
      <c r="A875">
        <f>ALGLIB_SSA_XAUUSD!J875</f>
        <v>1775659500</v>
      </c>
      <c r="B875" t="str">
        <f>_xlfn.XLOOKUP($A875,ALGLIB_SSA_XAUUSD!$A$2:$A$1000,ALGLIB_SSA_XAUUSD!$B$2:$B$1000,"",0)</f>
        <v/>
      </c>
      <c r="C875" t="str">
        <f>_xlfn.XLOOKUP($A875,ALGLIB_SSA_XAUUSD!$A$2:$A$1000,ALGLIB_SSA_XAUUSD!$C$2:$C$1000,"",0)</f>
        <v/>
      </c>
      <c r="D875" s="1">
        <f>D866+(D878-D866)*9/12</f>
        <v>4751.66</v>
      </c>
      <c r="E875" s="1">
        <f>E866+(E878-E866)*9/12</f>
        <v>4759.7803674999996</v>
      </c>
      <c r="F875" s="1">
        <f>F866+(F878-F866)*9/12</f>
        <v>4768.3881574999996</v>
      </c>
      <c r="G875" s="1">
        <f>G866+(G878-G866)*9/12</f>
        <v>4782.0751399999999</v>
      </c>
      <c r="H875" s="1">
        <f>H866+(H878-H866)*9/12</f>
        <v>4744.9585575000001</v>
      </c>
      <c r="I875" t="str">
        <f>_xlfn.XLOOKUP($A875,ALGLIB_SSA_XAUUSD!$J$2:$J$1000,ALGLIB_SSA_XAUUSD!$K$2:$K$1000,"",0)</f>
        <v>XAUUSD</v>
      </c>
      <c r="J875" t="str">
        <f>_xlfn.XLOOKUP($A875,ALGLIB_SSA_XAUUSD!$J$2:$J$1000,ALGLIB_SSA_XAUUSD!$L$2:$L$1000,"",0)</f>
        <v>M5</v>
      </c>
      <c r="K875">
        <f>_xlfn.XLOOKUP($A875,ALGLIB_SSA_XAUUSD!$J$2:$J$1000,ALGLIB_SSA_XAUUSD!$M$2:$M$1000,"",0)</f>
        <v>4755.47</v>
      </c>
      <c r="L875">
        <f>_xlfn.XLOOKUP($A875,ALGLIB_SSA_XAUUSD!$J$2:$J$1000,ALGLIB_SSA_XAUUSD!$N$2:$N$1000,"",0)</f>
        <v>4751.2044999999998</v>
      </c>
      <c r="M875">
        <f>_xlfn.XLOOKUP($A875,ALGLIB_SSA_XAUUSD!$J$2:$J$1000,ALGLIB_SSA_XAUUSD!$O$2:$O$1000,"",0)</f>
        <v>4755.29403</v>
      </c>
      <c r="N875">
        <f>_xlfn.XLOOKUP($A875,ALGLIB_SSA_XAUUSD!$J$2:$J$1000,ALGLIB_SSA_XAUUSD!$P$2:$P$1000,"",0)</f>
        <v>4760.2536300000002</v>
      </c>
      <c r="O875">
        <f>_xlfn.XLOOKUP($A875,ALGLIB_SSA_XAUUSD!$J$2:$J$1000,ALGLIB_SSA_XAUUSD!$Q$2:$Q$1000,"",0)</f>
        <v>4745.3897800000004</v>
      </c>
      <c r="R875">
        <f t="shared" si="143"/>
        <v>1775659500</v>
      </c>
      <c r="S875" t="str">
        <f t="shared" si="144"/>
        <v>XAUUSD</v>
      </c>
      <c r="T875" t="str">
        <f t="shared" si="145"/>
        <v>M5</v>
      </c>
      <c r="U875">
        <f t="shared" si="146"/>
        <v>4755.47</v>
      </c>
      <c r="V875">
        <v>4759.7803700000004</v>
      </c>
      <c r="W875">
        <v>4768.3881600000004</v>
      </c>
      <c r="X875">
        <v>4751.2044999999998</v>
      </c>
      <c r="Y875">
        <v>4755.29403</v>
      </c>
      <c r="Z875">
        <f t="shared" si="147"/>
        <v>4782.0751399999999</v>
      </c>
      <c r="AA875">
        <f t="shared" si="148"/>
        <v>4760.2536300000002</v>
      </c>
      <c r="AB875">
        <f t="shared" si="149"/>
        <v>4744.9585575000001</v>
      </c>
      <c r="AC875">
        <f t="shared" si="150"/>
        <v>4745.3897800000004</v>
      </c>
      <c r="AF875">
        <f t="shared" si="151"/>
        <v>4751.2044999999998</v>
      </c>
      <c r="AG875">
        <f t="shared" si="152"/>
        <v>4782.0751399999999</v>
      </c>
      <c r="AH875">
        <f t="shared" si="153"/>
        <v>4744.9585575000001</v>
      </c>
    </row>
    <row r="876" spans="1:34" x14ac:dyDescent="0.55000000000000004">
      <c r="A876">
        <f>ALGLIB_SSA_XAUUSD!J876</f>
        <v>1775659800</v>
      </c>
      <c r="B876" t="str">
        <f>_xlfn.XLOOKUP($A876,ALGLIB_SSA_XAUUSD!$A$2:$A$1000,ALGLIB_SSA_XAUUSD!$B$2:$B$1000,"",0)</f>
        <v/>
      </c>
      <c r="C876" t="str">
        <f>_xlfn.XLOOKUP($A876,ALGLIB_SSA_XAUUSD!$A$2:$A$1000,ALGLIB_SSA_XAUUSD!$C$2:$C$1000,"",0)</f>
        <v/>
      </c>
      <c r="D876" s="1">
        <f>D866+(D878-D866)*10/12</f>
        <v>4753.3366666666661</v>
      </c>
      <c r="E876" s="1">
        <f>E866+(E878-E866)*10/12</f>
        <v>4758.9006149999996</v>
      </c>
      <c r="F876" s="1">
        <f>F866+(F878-F866)*10/12</f>
        <v>4767.638355</v>
      </c>
      <c r="G876" s="1">
        <f>G866+(G878-G866)*10/12</f>
        <v>4781.12565</v>
      </c>
      <c r="H876" s="1">
        <f>H866+(H878-H866)*10/12</f>
        <v>4744.2427016666661</v>
      </c>
      <c r="I876" t="str">
        <f>_xlfn.XLOOKUP($A876,ALGLIB_SSA_XAUUSD!$J$2:$J$1000,ALGLIB_SSA_XAUUSD!$K$2:$K$1000,"",0)</f>
        <v>XAUUSD</v>
      </c>
      <c r="J876" t="str">
        <f>_xlfn.XLOOKUP($A876,ALGLIB_SSA_XAUUSD!$J$2:$J$1000,ALGLIB_SSA_XAUUSD!$L$2:$L$1000,"",0)</f>
        <v>M5</v>
      </c>
      <c r="K876">
        <f>_xlfn.XLOOKUP($A876,ALGLIB_SSA_XAUUSD!$J$2:$J$1000,ALGLIB_SSA_XAUUSD!$M$2:$M$1000,"",0)</f>
        <v>4753.1400000000003</v>
      </c>
      <c r="L876">
        <f>_xlfn.XLOOKUP($A876,ALGLIB_SSA_XAUUSD!$J$2:$J$1000,ALGLIB_SSA_XAUUSD!$N$2:$N$1000,"",0)</f>
        <v>4748.0845799999997</v>
      </c>
      <c r="M876">
        <f>_xlfn.XLOOKUP($A876,ALGLIB_SSA_XAUUSD!$J$2:$J$1000,ALGLIB_SSA_XAUUSD!$O$2:$O$1000,"",0)</f>
        <v>4751.6893099999998</v>
      </c>
      <c r="N876">
        <f>_xlfn.XLOOKUP($A876,ALGLIB_SSA_XAUUSD!$J$2:$J$1000,ALGLIB_SSA_XAUUSD!$P$2:$P$1000,"",0)</f>
        <v>4756.4945600000001</v>
      </c>
      <c r="O876">
        <f>_xlfn.XLOOKUP($A876,ALGLIB_SSA_XAUUSD!$J$2:$J$1000,ALGLIB_SSA_XAUUSD!$Q$2:$Q$1000,"",0)</f>
        <v>4741.6944899999999</v>
      </c>
      <c r="R876">
        <f t="shared" si="143"/>
        <v>1775659800</v>
      </c>
      <c r="S876" t="str">
        <f t="shared" si="144"/>
        <v>XAUUSD</v>
      </c>
      <c r="T876" t="str">
        <f t="shared" si="145"/>
        <v>M5</v>
      </c>
      <c r="U876">
        <f t="shared" si="146"/>
        <v>4753.1400000000003</v>
      </c>
      <c r="V876">
        <v>4758.9006099999997</v>
      </c>
      <c r="W876">
        <v>4767.6383599999999</v>
      </c>
      <c r="X876">
        <v>4748.0845799999997</v>
      </c>
      <c r="Y876">
        <v>4751.6893099999998</v>
      </c>
      <c r="Z876">
        <f t="shared" si="147"/>
        <v>4781.12565</v>
      </c>
      <c r="AA876">
        <f t="shared" si="148"/>
        <v>4756.4945600000001</v>
      </c>
      <c r="AB876">
        <f t="shared" si="149"/>
        <v>4744.2427016666661</v>
      </c>
      <c r="AC876">
        <f t="shared" si="150"/>
        <v>4741.6944899999999</v>
      </c>
      <c r="AF876">
        <f t="shared" si="151"/>
        <v>4748.0845799999997</v>
      </c>
      <c r="AG876">
        <f t="shared" si="152"/>
        <v>4781.12565</v>
      </c>
      <c r="AH876">
        <f t="shared" si="153"/>
        <v>4744.2427016666661</v>
      </c>
    </row>
    <row r="877" spans="1:34" x14ac:dyDescent="0.55000000000000004">
      <c r="A877">
        <f>ALGLIB_SSA_XAUUSD!J877</f>
        <v>1775660100</v>
      </c>
      <c r="B877" t="str">
        <f>_xlfn.XLOOKUP($A877,ALGLIB_SSA_XAUUSD!$A$2:$A$1000,ALGLIB_SSA_XAUUSD!$B$2:$B$1000,"",0)</f>
        <v/>
      </c>
      <c r="C877" t="str">
        <f>_xlfn.XLOOKUP($A877,ALGLIB_SSA_XAUUSD!$A$2:$A$1000,ALGLIB_SSA_XAUUSD!$C$2:$C$1000,"",0)</f>
        <v/>
      </c>
      <c r="D877" s="1">
        <f>D866+(D878-D866)*11/12</f>
        <v>4755.0133333333333</v>
      </c>
      <c r="E877" s="1">
        <f>E866+(E878-E866)*11/12</f>
        <v>4758.0208624999996</v>
      </c>
      <c r="F877" s="1">
        <f>F866+(F878-F866)*11/12</f>
        <v>4766.8885525000005</v>
      </c>
      <c r="G877" s="1">
        <f>G866+(G878-G866)*11/12</f>
        <v>4780.17616</v>
      </c>
      <c r="H877" s="1">
        <f>H866+(H878-H866)*11/12</f>
        <v>4743.526845833333</v>
      </c>
      <c r="I877" t="str">
        <f>_xlfn.XLOOKUP($A877,ALGLIB_SSA_XAUUSD!$J$2:$J$1000,ALGLIB_SSA_XAUUSD!$K$2:$K$1000,"",0)</f>
        <v>XAUUSD</v>
      </c>
      <c r="J877" t="str">
        <f>_xlfn.XLOOKUP($A877,ALGLIB_SSA_XAUUSD!$J$2:$J$1000,ALGLIB_SSA_XAUUSD!$L$2:$L$1000,"",0)</f>
        <v>M5</v>
      </c>
      <c r="K877">
        <f>_xlfn.XLOOKUP($A877,ALGLIB_SSA_XAUUSD!$J$2:$J$1000,ALGLIB_SSA_XAUUSD!$M$2:$M$1000,"",0)</f>
        <v>4736.57</v>
      </c>
      <c r="L877">
        <f>_xlfn.XLOOKUP($A877,ALGLIB_SSA_XAUUSD!$J$2:$J$1000,ALGLIB_SSA_XAUUSD!$N$2:$N$1000,"",0)</f>
        <v>4745.9402200000004</v>
      </c>
      <c r="M877">
        <f>_xlfn.XLOOKUP($A877,ALGLIB_SSA_XAUUSD!$J$2:$J$1000,ALGLIB_SSA_XAUUSD!$O$2:$O$1000,"",0)</f>
        <v>4748.8147600000002</v>
      </c>
      <c r="N877">
        <f>_xlfn.XLOOKUP($A877,ALGLIB_SSA_XAUUSD!$J$2:$J$1000,ALGLIB_SSA_XAUUSD!$P$2:$P$1000,"",0)</f>
        <v>4753.5464599999996</v>
      </c>
      <c r="O877">
        <f>_xlfn.XLOOKUP($A877,ALGLIB_SSA_XAUUSD!$J$2:$J$1000,ALGLIB_SSA_XAUUSD!$Q$2:$Q$1000,"",0)</f>
        <v>4739.1613500000003</v>
      </c>
      <c r="R877">
        <f t="shared" si="143"/>
        <v>1775660100</v>
      </c>
      <c r="S877" t="str">
        <f t="shared" si="144"/>
        <v>XAUUSD</v>
      </c>
      <c r="T877" t="str">
        <f t="shared" si="145"/>
        <v>M5</v>
      </c>
      <c r="U877">
        <f t="shared" si="146"/>
        <v>4736.57</v>
      </c>
      <c r="V877">
        <v>4758.0208599999996</v>
      </c>
      <c r="W877">
        <v>4766.8885499999997</v>
      </c>
      <c r="X877">
        <v>4745.9402200000004</v>
      </c>
      <c r="Y877">
        <v>4748.8147600000002</v>
      </c>
      <c r="Z877">
        <f t="shared" si="147"/>
        <v>4780.17616</v>
      </c>
      <c r="AA877">
        <f t="shared" si="148"/>
        <v>4753.5464599999996</v>
      </c>
      <c r="AB877">
        <f t="shared" si="149"/>
        <v>4743.526845833333</v>
      </c>
      <c r="AC877">
        <f t="shared" si="150"/>
        <v>4739.1613500000003</v>
      </c>
      <c r="AF877">
        <f t="shared" si="151"/>
        <v>4745.9402200000004</v>
      </c>
      <c r="AG877">
        <f t="shared" si="152"/>
        <v>4780.17616</v>
      </c>
      <c r="AH877">
        <f t="shared" si="153"/>
        <v>4743.526845833333</v>
      </c>
    </row>
    <row r="878" spans="1:34" x14ac:dyDescent="0.55000000000000004">
      <c r="A878">
        <f>ALGLIB_SSA_XAUUSD!J878</f>
        <v>1775660400</v>
      </c>
      <c r="B878" t="str">
        <f>_xlfn.XLOOKUP($A878,ALGLIB_SSA_XAUUSD!$A$2:$A$1000,ALGLIB_SSA_XAUUSD!$B$2:$B$1000,"",0)</f>
        <v>XAUUSD</v>
      </c>
      <c r="C878" t="str">
        <f>_xlfn.XLOOKUP($A878,ALGLIB_SSA_XAUUSD!$A$2:$A$1000,ALGLIB_SSA_XAUUSD!$C$2:$C$1000,"",0)</f>
        <v>H1</v>
      </c>
      <c r="D878" s="2">
        <f>_xlfn.XLOOKUP($A878,ALGLIB_SSA_XAUUSD!$A$2:$A$1000,ALGLIB_SSA_XAUUSD!$D$2:$D$1000,"",0)</f>
        <v>4756.6899999999996</v>
      </c>
      <c r="E878" s="2">
        <f>_xlfn.XLOOKUP($A878,ALGLIB_SSA_XAUUSD!$A$2:$A$1000,ALGLIB_SSA_XAUUSD!$E$2:$E$1000,"",0)</f>
        <v>4757.1411099999996</v>
      </c>
      <c r="F878" s="2">
        <f>_xlfn.XLOOKUP($A878,ALGLIB_SSA_XAUUSD!$A$2:$A$1000,ALGLIB_SSA_XAUUSD!$F$2:$F$1000,"",0)</f>
        <v>4766.1387500000001</v>
      </c>
      <c r="G878" s="2">
        <f>_xlfn.XLOOKUP($A878,ALGLIB_SSA_XAUUSD!$A$2:$A$1000,ALGLIB_SSA_XAUUSD!$G$2:$G$1000,"",0)</f>
        <v>4779.22667</v>
      </c>
      <c r="H878" s="2">
        <f>_xlfn.XLOOKUP($A878,ALGLIB_SSA_XAUUSD!$A$2:$A$1000,ALGLIB_SSA_XAUUSD!$H$2:$H$1000,"",0)</f>
        <v>4742.8109899999999</v>
      </c>
      <c r="I878" t="str">
        <f>_xlfn.XLOOKUP($A878,ALGLIB_SSA_XAUUSD!$J$2:$J$1000,ALGLIB_SSA_XAUUSD!$K$2:$K$1000,"",0)</f>
        <v>XAUUSD</v>
      </c>
      <c r="J878" t="str">
        <f>_xlfn.XLOOKUP($A878,ALGLIB_SSA_XAUUSD!$J$2:$J$1000,ALGLIB_SSA_XAUUSD!$L$2:$L$1000,"",0)</f>
        <v>M5</v>
      </c>
      <c r="K878">
        <f>_xlfn.XLOOKUP($A878,ALGLIB_SSA_XAUUSD!$J$2:$J$1000,ALGLIB_SSA_XAUUSD!$M$2:$M$1000,"",0)</f>
        <v>4747.03</v>
      </c>
      <c r="L878">
        <f>_xlfn.XLOOKUP($A878,ALGLIB_SSA_XAUUSD!$J$2:$J$1000,ALGLIB_SSA_XAUUSD!$N$2:$N$1000,"",0)</f>
        <v>4745.2252900000003</v>
      </c>
      <c r="M878">
        <f>_xlfn.XLOOKUP($A878,ALGLIB_SSA_XAUUSD!$J$2:$J$1000,ALGLIB_SSA_XAUUSD!$O$2:$O$1000,"",0)</f>
        <v>4747.0200199999999</v>
      </c>
      <c r="N878">
        <f>_xlfn.XLOOKUP($A878,ALGLIB_SSA_XAUUSD!$J$2:$J$1000,ALGLIB_SSA_XAUUSD!$P$2:$P$1000,"",0)</f>
        <v>4751.6367799999998</v>
      </c>
      <c r="O878">
        <f>_xlfn.XLOOKUP($A878,ALGLIB_SSA_XAUUSD!$J$2:$J$1000,ALGLIB_SSA_XAUUSD!$Q$2:$Q$1000,"",0)</f>
        <v>4738.2095799999997</v>
      </c>
      <c r="R878">
        <f t="shared" si="143"/>
        <v>1775660400</v>
      </c>
      <c r="S878" t="str">
        <f t="shared" si="144"/>
        <v>XAUUSD</v>
      </c>
      <c r="T878" t="str">
        <f t="shared" si="145"/>
        <v>M5</v>
      </c>
      <c r="U878">
        <f t="shared" si="146"/>
        <v>4747.03</v>
      </c>
      <c r="V878">
        <v>4757.1411099999996</v>
      </c>
      <c r="W878">
        <v>4766.1387500000001</v>
      </c>
      <c r="X878">
        <v>4745.2252900000003</v>
      </c>
      <c r="Y878">
        <v>4747.0200199999999</v>
      </c>
      <c r="Z878">
        <f t="shared" si="147"/>
        <v>4779.22667</v>
      </c>
      <c r="AA878">
        <f t="shared" si="148"/>
        <v>4751.6367799999998</v>
      </c>
      <c r="AB878">
        <f t="shared" si="149"/>
        <v>4742.8109899999999</v>
      </c>
      <c r="AC878">
        <f t="shared" si="150"/>
        <v>4738.2095799999997</v>
      </c>
      <c r="AF878">
        <f t="shared" si="151"/>
        <v>4745.2252900000003</v>
      </c>
      <c r="AG878">
        <f t="shared" si="152"/>
        <v>4779.22667</v>
      </c>
      <c r="AH878">
        <f t="shared" si="153"/>
        <v>4742.8109899999999</v>
      </c>
    </row>
    <row r="879" spans="1:34" x14ac:dyDescent="0.55000000000000004">
      <c r="A879">
        <f>ALGLIB_SSA_XAUUSD!J879</f>
        <v>1775660700</v>
      </c>
      <c r="B879" t="str">
        <f>_xlfn.XLOOKUP($A879,ALGLIB_SSA_XAUUSD!$A$2:$A$1000,ALGLIB_SSA_XAUUSD!$B$2:$B$1000,"",0)</f>
        <v/>
      </c>
      <c r="C879" t="str">
        <f>_xlfn.XLOOKUP($A879,ALGLIB_SSA_XAUUSD!$A$2:$A$1000,ALGLIB_SSA_XAUUSD!$C$2:$C$1000,"",0)</f>
        <v/>
      </c>
      <c r="D879" s="1">
        <f>D878+(D890-D878)*1/12</f>
        <v>4757.0099999999993</v>
      </c>
      <c r="E879" s="1">
        <f>E878+(E890-E878)*1/12</f>
        <v>4756.1574241666658</v>
      </c>
      <c r="F879" s="1">
        <f>F878+(F890-F878)*1/12</f>
        <v>4765.2720049999998</v>
      </c>
      <c r="G879" s="1">
        <f>G878+(G890-G878)*1/12</f>
        <v>4778.1927066666667</v>
      </c>
      <c r="H879" s="1">
        <f>H878+(H890-H878)*1/12</f>
        <v>4742.0556699999997</v>
      </c>
      <c r="I879" t="str">
        <f>_xlfn.XLOOKUP($A879,ALGLIB_SSA_XAUUSD!$J$2:$J$1000,ALGLIB_SSA_XAUUSD!$K$2:$K$1000,"",0)</f>
        <v>XAUUSD</v>
      </c>
      <c r="J879" t="str">
        <f>_xlfn.XLOOKUP($A879,ALGLIB_SSA_XAUUSD!$J$2:$J$1000,ALGLIB_SSA_XAUUSD!$L$2:$L$1000,"",0)</f>
        <v>M5</v>
      </c>
      <c r="K879">
        <f>_xlfn.XLOOKUP($A879,ALGLIB_SSA_XAUUSD!$J$2:$J$1000,ALGLIB_SSA_XAUUSD!$M$2:$M$1000,"",0)</f>
        <v>4742.59</v>
      </c>
      <c r="L879">
        <f>_xlfn.XLOOKUP($A879,ALGLIB_SSA_XAUUSD!$J$2:$J$1000,ALGLIB_SSA_XAUUSD!$N$2:$N$1000,"",0)</f>
        <v>4745.6107099999999</v>
      </c>
      <c r="M879">
        <f>_xlfn.XLOOKUP($A879,ALGLIB_SSA_XAUUSD!$J$2:$J$1000,ALGLIB_SSA_XAUUSD!$O$2:$O$1000,"",0)</f>
        <v>4746.3153700000003</v>
      </c>
      <c r="N879">
        <f>_xlfn.XLOOKUP($A879,ALGLIB_SSA_XAUUSD!$J$2:$J$1000,ALGLIB_SSA_XAUUSD!$P$2:$P$1000,"",0)</f>
        <v>4750.9037200000002</v>
      </c>
      <c r="O879">
        <f>_xlfn.XLOOKUP($A879,ALGLIB_SSA_XAUUSD!$J$2:$J$1000,ALGLIB_SSA_XAUUSD!$Q$2:$Q$1000,"",0)</f>
        <v>4738.7066500000001</v>
      </c>
      <c r="R879">
        <f t="shared" si="143"/>
        <v>1775660700</v>
      </c>
      <c r="S879" t="str">
        <f t="shared" si="144"/>
        <v>XAUUSD</v>
      </c>
      <c r="T879" t="str">
        <f t="shared" si="145"/>
        <v>M5</v>
      </c>
      <c r="U879">
        <f t="shared" si="146"/>
        <v>4742.59</v>
      </c>
      <c r="V879">
        <v>4756.1574199999995</v>
      </c>
      <c r="W879">
        <v>4765.2720099999997</v>
      </c>
      <c r="X879">
        <v>4745.6107099999999</v>
      </c>
      <c r="Y879">
        <v>4746.3153700000003</v>
      </c>
      <c r="Z879">
        <f t="shared" si="147"/>
        <v>4778.1927066666667</v>
      </c>
      <c r="AA879">
        <f t="shared" si="148"/>
        <v>4750.9037200000002</v>
      </c>
      <c r="AB879">
        <f t="shared" si="149"/>
        <v>4742.0556699999997</v>
      </c>
      <c r="AC879">
        <f t="shared" si="150"/>
        <v>4738.7066500000001</v>
      </c>
      <c r="AF879">
        <f t="shared" si="151"/>
        <v>4745.6107099999999</v>
      </c>
      <c r="AG879">
        <f t="shared" si="152"/>
        <v>4778.1927066666667</v>
      </c>
      <c r="AH879">
        <f t="shared" si="153"/>
        <v>4742.0556699999997</v>
      </c>
    </row>
    <row r="880" spans="1:34" x14ac:dyDescent="0.55000000000000004">
      <c r="A880">
        <f>ALGLIB_SSA_XAUUSD!J880</f>
        <v>1775661000</v>
      </c>
      <c r="B880" t="str">
        <f>_xlfn.XLOOKUP($A880,ALGLIB_SSA_XAUUSD!$A$2:$A$1000,ALGLIB_SSA_XAUUSD!$B$2:$B$1000,"",0)</f>
        <v/>
      </c>
      <c r="C880" t="str">
        <f>_xlfn.XLOOKUP($A880,ALGLIB_SSA_XAUUSD!$A$2:$A$1000,ALGLIB_SSA_XAUUSD!$C$2:$C$1000,"",0)</f>
        <v/>
      </c>
      <c r="D880" s="1">
        <f>D878+(D890-D878)*2/12</f>
        <v>4757.33</v>
      </c>
      <c r="E880" s="1">
        <f>E878+(E890-E878)*2/12</f>
        <v>4755.1737383333329</v>
      </c>
      <c r="F880" s="1">
        <f>F878+(F890-F878)*2/12</f>
        <v>4764.4052599999995</v>
      </c>
      <c r="G880" s="1">
        <f>G878+(G890-G878)*2/12</f>
        <v>4777.1587433333334</v>
      </c>
      <c r="H880" s="1">
        <f>H878+(H890-H878)*2/12</f>
        <v>4741.3003499999995</v>
      </c>
      <c r="I880" t="str">
        <f>_xlfn.XLOOKUP($A880,ALGLIB_SSA_XAUUSD!$J$2:$J$1000,ALGLIB_SSA_XAUUSD!$K$2:$K$1000,"",0)</f>
        <v>XAUUSD</v>
      </c>
      <c r="J880" t="str">
        <f>_xlfn.XLOOKUP($A880,ALGLIB_SSA_XAUUSD!$J$2:$J$1000,ALGLIB_SSA_XAUUSD!$L$2:$L$1000,"",0)</f>
        <v>M5</v>
      </c>
      <c r="K880">
        <f>_xlfn.XLOOKUP($A880,ALGLIB_SSA_XAUUSD!$J$2:$J$1000,ALGLIB_SSA_XAUUSD!$M$2:$M$1000,"",0)</f>
        <v>4743.45</v>
      </c>
      <c r="L880">
        <f>_xlfn.XLOOKUP($A880,ALGLIB_SSA_XAUUSD!$J$2:$J$1000,ALGLIB_SSA_XAUUSD!$N$2:$N$1000,"",0)</f>
        <v>4747.0558099999998</v>
      </c>
      <c r="M880">
        <f>_xlfn.XLOOKUP($A880,ALGLIB_SSA_XAUUSD!$J$2:$J$1000,ALGLIB_SSA_XAUUSD!$O$2:$O$1000,"",0)</f>
        <v>4746.68559</v>
      </c>
      <c r="N880">
        <f>_xlfn.XLOOKUP($A880,ALGLIB_SSA_XAUUSD!$J$2:$J$1000,ALGLIB_SSA_XAUUSD!$P$2:$P$1000,"",0)</f>
        <v>4751.2569199999998</v>
      </c>
      <c r="O880">
        <f>_xlfn.XLOOKUP($A880,ALGLIB_SSA_XAUUSD!$J$2:$J$1000,ALGLIB_SSA_XAUUSD!$Q$2:$Q$1000,"",0)</f>
        <v>4740.3443799999995</v>
      </c>
      <c r="R880">
        <f t="shared" si="143"/>
        <v>1775661000</v>
      </c>
      <c r="S880" t="str">
        <f t="shared" si="144"/>
        <v>XAUUSD</v>
      </c>
      <c r="T880" t="str">
        <f t="shared" si="145"/>
        <v>M5</v>
      </c>
      <c r="U880">
        <f t="shared" si="146"/>
        <v>4743.45</v>
      </c>
      <c r="V880">
        <v>4755.1737400000002</v>
      </c>
      <c r="W880">
        <v>4764.4052600000005</v>
      </c>
      <c r="X880">
        <v>4747.0558099999998</v>
      </c>
      <c r="Y880">
        <v>4746.68559</v>
      </c>
      <c r="Z880">
        <f t="shared" si="147"/>
        <v>4777.1587433333334</v>
      </c>
      <c r="AA880">
        <f t="shared" si="148"/>
        <v>4751.2569199999998</v>
      </c>
      <c r="AB880">
        <f t="shared" si="149"/>
        <v>4741.3003499999995</v>
      </c>
      <c r="AC880">
        <f t="shared" si="150"/>
        <v>4740.3443799999995</v>
      </c>
      <c r="AF880">
        <f t="shared" si="151"/>
        <v>4747.0558099999998</v>
      </c>
      <c r="AG880">
        <f t="shared" si="152"/>
        <v>4777.1587433333334</v>
      </c>
      <c r="AH880">
        <f t="shared" si="153"/>
        <v>4741.3003499999995</v>
      </c>
    </row>
    <row r="881" spans="1:34" x14ac:dyDescent="0.55000000000000004">
      <c r="A881">
        <f>ALGLIB_SSA_XAUUSD!J881</f>
        <v>1775661300</v>
      </c>
      <c r="B881" t="str">
        <f>_xlfn.XLOOKUP($A881,ALGLIB_SSA_XAUUSD!$A$2:$A$1000,ALGLIB_SSA_XAUUSD!$B$2:$B$1000,"",0)</f>
        <v/>
      </c>
      <c r="C881" t="str">
        <f>_xlfn.XLOOKUP($A881,ALGLIB_SSA_XAUUSD!$A$2:$A$1000,ALGLIB_SSA_XAUUSD!$C$2:$C$1000,"",0)</f>
        <v/>
      </c>
      <c r="D881" s="1">
        <f>D878+(D890-D878)*3/12</f>
        <v>4757.6499999999996</v>
      </c>
      <c r="E881" s="1">
        <f>E878+(E890-E878)*3/12</f>
        <v>4754.1900525000001</v>
      </c>
      <c r="F881" s="1">
        <f>F878+(F890-F878)*3/12</f>
        <v>4763.5385150000002</v>
      </c>
      <c r="G881" s="1">
        <f>G878+(G890-G878)*3/12</f>
        <v>4776.1247800000001</v>
      </c>
      <c r="H881" s="1">
        <f>H878+(H890-H878)*3/12</f>
        <v>4740.5450300000002</v>
      </c>
      <c r="I881" t="str">
        <f>_xlfn.XLOOKUP($A881,ALGLIB_SSA_XAUUSD!$J$2:$J$1000,ALGLIB_SSA_XAUUSD!$K$2:$K$1000,"",0)</f>
        <v>XAUUSD</v>
      </c>
      <c r="J881" t="str">
        <f>_xlfn.XLOOKUP($A881,ALGLIB_SSA_XAUUSD!$J$2:$J$1000,ALGLIB_SSA_XAUUSD!$L$2:$L$1000,"",0)</f>
        <v>M5</v>
      </c>
      <c r="K881">
        <f>_xlfn.XLOOKUP($A881,ALGLIB_SSA_XAUUSD!$J$2:$J$1000,ALGLIB_SSA_XAUUSD!$M$2:$M$1000,"",0)</f>
        <v>4754.3500000000004</v>
      </c>
      <c r="L881">
        <f>_xlfn.XLOOKUP($A881,ALGLIB_SSA_XAUUSD!$J$2:$J$1000,ALGLIB_SSA_XAUUSD!$N$2:$N$1000,"",0)</f>
        <v>4749.3001599999998</v>
      </c>
      <c r="M881">
        <f>_xlfn.XLOOKUP($A881,ALGLIB_SSA_XAUUSD!$J$2:$J$1000,ALGLIB_SSA_XAUUSD!$O$2:$O$1000,"",0)</f>
        <v>4747.99287</v>
      </c>
      <c r="N881">
        <f>_xlfn.XLOOKUP($A881,ALGLIB_SSA_XAUUSD!$J$2:$J$1000,ALGLIB_SSA_XAUUSD!$P$2:$P$1000,"",0)</f>
        <v>4752.5824400000001</v>
      </c>
      <c r="O881">
        <f>_xlfn.XLOOKUP($A881,ALGLIB_SSA_XAUUSD!$J$2:$J$1000,ALGLIB_SSA_XAUUSD!$Q$2:$Q$1000,"",0)</f>
        <v>4743.0517</v>
      </c>
      <c r="R881">
        <f t="shared" si="143"/>
        <v>1775661300</v>
      </c>
      <c r="S881" t="str">
        <f t="shared" si="144"/>
        <v>XAUUSD</v>
      </c>
      <c r="T881" t="str">
        <f t="shared" si="145"/>
        <v>M5</v>
      </c>
      <c r="U881">
        <f t="shared" si="146"/>
        <v>4754.3500000000004</v>
      </c>
      <c r="V881">
        <v>4754.1900500000002</v>
      </c>
      <c r="W881">
        <v>4763.5385200000001</v>
      </c>
      <c r="X881">
        <v>4749.3001599999998</v>
      </c>
      <c r="Y881">
        <v>4747.99287</v>
      </c>
      <c r="Z881">
        <f t="shared" si="147"/>
        <v>4776.1247800000001</v>
      </c>
      <c r="AA881">
        <f t="shared" si="148"/>
        <v>4752.5824400000001</v>
      </c>
      <c r="AB881">
        <f t="shared" si="149"/>
        <v>4740.5450300000002</v>
      </c>
      <c r="AC881">
        <f t="shared" si="150"/>
        <v>4743.0517</v>
      </c>
      <c r="AF881">
        <f t="shared" si="151"/>
        <v>4749.3001599999998</v>
      </c>
      <c r="AG881">
        <f t="shared" si="152"/>
        <v>4776.1247800000001</v>
      </c>
      <c r="AH881">
        <f t="shared" si="153"/>
        <v>4740.5450300000002</v>
      </c>
    </row>
    <row r="882" spans="1:34" x14ac:dyDescent="0.55000000000000004">
      <c r="A882">
        <f>ALGLIB_SSA_XAUUSD!J882</f>
        <v>1775661600</v>
      </c>
      <c r="B882" t="str">
        <f>_xlfn.XLOOKUP($A882,ALGLIB_SSA_XAUUSD!$A$2:$A$1000,ALGLIB_SSA_XAUUSD!$B$2:$B$1000,"",0)</f>
        <v/>
      </c>
      <c r="C882" t="str">
        <f>_xlfn.XLOOKUP($A882,ALGLIB_SSA_XAUUSD!$A$2:$A$1000,ALGLIB_SSA_XAUUSD!$C$2:$C$1000,"",0)</f>
        <v/>
      </c>
      <c r="D882" s="1">
        <f>D878+(D890-D878)*4/12</f>
        <v>4757.9699999999993</v>
      </c>
      <c r="E882" s="1">
        <f>E878+(E890-E878)*4/12</f>
        <v>4753.2063666666663</v>
      </c>
      <c r="F882" s="1">
        <f>F878+(F890-F878)*4/12</f>
        <v>4762.6717699999999</v>
      </c>
      <c r="G882" s="1">
        <f>G878+(G890-G878)*4/12</f>
        <v>4775.0908166666668</v>
      </c>
      <c r="H882" s="1">
        <f>H878+(H890-H878)*4/12</f>
        <v>4739.78971</v>
      </c>
      <c r="I882" t="str">
        <f>_xlfn.XLOOKUP($A882,ALGLIB_SSA_XAUUSD!$J$2:$J$1000,ALGLIB_SSA_XAUUSD!$K$2:$K$1000,"",0)</f>
        <v>XAUUSD</v>
      </c>
      <c r="J882" t="str">
        <f>_xlfn.XLOOKUP($A882,ALGLIB_SSA_XAUUSD!$J$2:$J$1000,ALGLIB_SSA_XAUUSD!$L$2:$L$1000,"",0)</f>
        <v>M5</v>
      </c>
      <c r="K882">
        <f>_xlfn.XLOOKUP($A882,ALGLIB_SSA_XAUUSD!$J$2:$J$1000,ALGLIB_SSA_XAUUSD!$M$2:$M$1000,"",0)</f>
        <v>4755.17</v>
      </c>
      <c r="L882">
        <f>_xlfn.XLOOKUP($A882,ALGLIB_SSA_XAUUSD!$J$2:$J$1000,ALGLIB_SSA_XAUUSD!$N$2:$N$1000,"",0)</f>
        <v>4751.7798199999997</v>
      </c>
      <c r="M882">
        <f>_xlfn.XLOOKUP($A882,ALGLIB_SSA_XAUUSD!$J$2:$J$1000,ALGLIB_SSA_XAUUSD!$O$2:$O$1000,"",0)</f>
        <v>4749.8863499999998</v>
      </c>
      <c r="N882">
        <f>_xlfn.XLOOKUP($A882,ALGLIB_SSA_XAUUSD!$J$2:$J$1000,ALGLIB_SSA_XAUUSD!$P$2:$P$1000,"",0)</f>
        <v>4754.4687400000003</v>
      </c>
      <c r="O882">
        <f>_xlfn.XLOOKUP($A882,ALGLIB_SSA_XAUUSD!$J$2:$J$1000,ALGLIB_SSA_XAUUSD!$Q$2:$Q$1000,"",0)</f>
        <v>4746.3049000000001</v>
      </c>
      <c r="R882">
        <f t="shared" si="143"/>
        <v>1775661600</v>
      </c>
      <c r="S882" t="str">
        <f t="shared" si="144"/>
        <v>XAUUSD</v>
      </c>
      <c r="T882" t="str">
        <f t="shared" si="145"/>
        <v>M5</v>
      </c>
      <c r="U882">
        <f t="shared" si="146"/>
        <v>4755.17</v>
      </c>
      <c r="V882">
        <v>4753.2063699999999</v>
      </c>
      <c r="W882">
        <v>4762.6717699999999</v>
      </c>
      <c r="X882">
        <v>4751.7798199999997</v>
      </c>
      <c r="Y882">
        <v>4749.8863499999998</v>
      </c>
      <c r="Z882">
        <f t="shared" si="147"/>
        <v>4775.0908166666668</v>
      </c>
      <c r="AA882">
        <f t="shared" si="148"/>
        <v>4754.4687400000003</v>
      </c>
      <c r="AB882">
        <f t="shared" si="149"/>
        <v>4739.78971</v>
      </c>
      <c r="AC882">
        <f t="shared" si="150"/>
        <v>4746.3049000000001</v>
      </c>
      <c r="AF882">
        <f t="shared" si="151"/>
        <v>4751.7798199999997</v>
      </c>
      <c r="AG882">
        <f t="shared" si="152"/>
        <v>4775.0908166666668</v>
      </c>
      <c r="AH882">
        <f t="shared" si="153"/>
        <v>4739.78971</v>
      </c>
    </row>
    <row r="883" spans="1:34" x14ac:dyDescent="0.55000000000000004">
      <c r="A883">
        <f>ALGLIB_SSA_XAUUSD!J883</f>
        <v>1775661900</v>
      </c>
      <c r="B883" t="str">
        <f>_xlfn.XLOOKUP($A883,ALGLIB_SSA_XAUUSD!$A$2:$A$1000,ALGLIB_SSA_XAUUSD!$B$2:$B$1000,"",0)</f>
        <v/>
      </c>
      <c r="C883" t="str">
        <f>_xlfn.XLOOKUP($A883,ALGLIB_SSA_XAUUSD!$A$2:$A$1000,ALGLIB_SSA_XAUUSD!$C$2:$C$1000,"",0)</f>
        <v/>
      </c>
      <c r="D883" s="1">
        <f>D878+(D890-D878)*5/12</f>
        <v>4758.29</v>
      </c>
      <c r="E883" s="1">
        <f>E878+(E890-E878)*5/12</f>
        <v>4752.2226808333326</v>
      </c>
      <c r="F883" s="1">
        <f>F878+(F890-F878)*5/12</f>
        <v>4761.8050249999997</v>
      </c>
      <c r="G883" s="1">
        <f>G878+(G890-G878)*5/12</f>
        <v>4774.0568533333335</v>
      </c>
      <c r="H883" s="1">
        <f>H878+(H890-H878)*5/12</f>
        <v>4739.0343899999998</v>
      </c>
      <c r="I883" t="str">
        <f>_xlfn.XLOOKUP($A883,ALGLIB_SSA_XAUUSD!$J$2:$J$1000,ALGLIB_SSA_XAUUSD!$K$2:$K$1000,"",0)</f>
        <v>XAUUSD</v>
      </c>
      <c r="J883" t="str">
        <f>_xlfn.XLOOKUP($A883,ALGLIB_SSA_XAUUSD!$J$2:$J$1000,ALGLIB_SSA_XAUUSD!$L$2:$L$1000,"",0)</f>
        <v>M5</v>
      </c>
      <c r="K883">
        <f>_xlfn.XLOOKUP($A883,ALGLIB_SSA_XAUUSD!$J$2:$J$1000,ALGLIB_SSA_XAUUSD!$M$2:$M$1000,"",0)</f>
        <v>4751.04</v>
      </c>
      <c r="L883">
        <f>_xlfn.XLOOKUP($A883,ALGLIB_SSA_XAUUSD!$J$2:$J$1000,ALGLIB_SSA_XAUUSD!$N$2:$N$1000,"",0)</f>
        <v>4754.1936599999999</v>
      </c>
      <c r="M883">
        <f>_xlfn.XLOOKUP($A883,ALGLIB_SSA_XAUUSD!$J$2:$J$1000,ALGLIB_SSA_XAUUSD!$O$2:$O$1000,"",0)</f>
        <v>4752.04</v>
      </c>
      <c r="N883">
        <f>_xlfn.XLOOKUP($A883,ALGLIB_SSA_XAUUSD!$J$2:$J$1000,ALGLIB_SSA_XAUUSD!$P$2:$P$1000,"",0)</f>
        <v>4756.5646100000004</v>
      </c>
      <c r="O883">
        <f>_xlfn.XLOOKUP($A883,ALGLIB_SSA_XAUUSD!$J$2:$J$1000,ALGLIB_SSA_XAUUSD!$Q$2:$Q$1000,"",0)</f>
        <v>4749.5138100000004</v>
      </c>
      <c r="R883">
        <f t="shared" si="143"/>
        <v>1775661900</v>
      </c>
      <c r="S883" t="str">
        <f t="shared" si="144"/>
        <v>XAUUSD</v>
      </c>
      <c r="T883" t="str">
        <f t="shared" si="145"/>
        <v>M5</v>
      </c>
      <c r="U883">
        <f t="shared" si="146"/>
        <v>4751.04</v>
      </c>
      <c r="V883">
        <v>4752.2226799999999</v>
      </c>
      <c r="W883">
        <v>4761.8050199999998</v>
      </c>
      <c r="X883">
        <v>4754.1936599999999</v>
      </c>
      <c r="Y883">
        <v>4752.04</v>
      </c>
      <c r="Z883">
        <f t="shared" si="147"/>
        <v>4774.0568533333335</v>
      </c>
      <c r="AA883">
        <f t="shared" si="148"/>
        <v>4756.5646100000004</v>
      </c>
      <c r="AB883">
        <f t="shared" si="149"/>
        <v>4739.0343899999998</v>
      </c>
      <c r="AC883">
        <f t="shared" si="150"/>
        <v>4749.5138100000004</v>
      </c>
      <c r="AF883">
        <f t="shared" si="151"/>
        <v>4754.1936599999999</v>
      </c>
      <c r="AG883">
        <f t="shared" si="152"/>
        <v>4774.0568533333335</v>
      </c>
      <c r="AH883">
        <f t="shared" si="153"/>
        <v>4739.0343899999998</v>
      </c>
    </row>
    <row r="884" spans="1:34" x14ac:dyDescent="0.55000000000000004">
      <c r="A884">
        <f>ALGLIB_SSA_XAUUSD!J884</f>
        <v>1775662200</v>
      </c>
      <c r="B884" t="str">
        <f>_xlfn.XLOOKUP($A884,ALGLIB_SSA_XAUUSD!$A$2:$A$1000,ALGLIB_SSA_XAUUSD!$B$2:$B$1000,"",0)</f>
        <v/>
      </c>
      <c r="C884" t="str">
        <f>_xlfn.XLOOKUP($A884,ALGLIB_SSA_XAUUSD!$A$2:$A$1000,ALGLIB_SSA_XAUUSD!$C$2:$C$1000,"",0)</f>
        <v/>
      </c>
      <c r="D884" s="1">
        <f>D878+(D890-D878)*6/12</f>
        <v>4758.6099999999997</v>
      </c>
      <c r="E884" s="1">
        <f>E878+(E890-E878)*6/12</f>
        <v>4751.2389949999997</v>
      </c>
      <c r="F884" s="1">
        <f>F878+(F890-F878)*6/12</f>
        <v>4760.9382800000003</v>
      </c>
      <c r="G884" s="1">
        <f>G878+(G890-G878)*6/12</f>
        <v>4773.0228900000002</v>
      </c>
      <c r="H884" s="1">
        <f>H878+(H890-H878)*6/12</f>
        <v>4738.2790700000005</v>
      </c>
      <c r="I884" t="str">
        <f>_xlfn.XLOOKUP($A884,ALGLIB_SSA_XAUUSD!$J$2:$J$1000,ALGLIB_SSA_XAUUSD!$K$2:$K$1000,"",0)</f>
        <v>XAUUSD</v>
      </c>
      <c r="J884" t="str">
        <f>_xlfn.XLOOKUP($A884,ALGLIB_SSA_XAUUSD!$J$2:$J$1000,ALGLIB_SSA_XAUUSD!$L$2:$L$1000,"",0)</f>
        <v>M5</v>
      </c>
      <c r="K884">
        <f>_xlfn.XLOOKUP($A884,ALGLIB_SSA_XAUUSD!$J$2:$J$1000,ALGLIB_SSA_XAUUSD!$M$2:$M$1000,"",0)</f>
        <v>4757.01</v>
      </c>
      <c r="L884">
        <f>_xlfn.XLOOKUP($A884,ALGLIB_SSA_XAUUSD!$J$2:$J$1000,ALGLIB_SSA_XAUUSD!$N$2:$N$1000,"",0)</f>
        <v>4756.3999400000002</v>
      </c>
      <c r="M884">
        <f>_xlfn.XLOOKUP($A884,ALGLIB_SSA_XAUUSD!$J$2:$J$1000,ALGLIB_SSA_XAUUSD!$O$2:$O$1000,"",0)</f>
        <v>4754.2199700000001</v>
      </c>
      <c r="N884">
        <f>_xlfn.XLOOKUP($A884,ALGLIB_SSA_XAUUSD!$J$2:$J$1000,ALGLIB_SSA_XAUUSD!$P$2:$P$1000,"",0)</f>
        <v>4758.6167800000003</v>
      </c>
      <c r="O884">
        <f>_xlfn.XLOOKUP($A884,ALGLIB_SSA_XAUUSD!$J$2:$J$1000,ALGLIB_SSA_XAUUSD!$Q$2:$Q$1000,"",0)</f>
        <v>4752.4543899999999</v>
      </c>
      <c r="R884">
        <f t="shared" si="143"/>
        <v>1775662200</v>
      </c>
      <c r="S884" t="str">
        <f t="shared" si="144"/>
        <v>XAUUSD</v>
      </c>
      <c r="T884" t="str">
        <f t="shared" si="145"/>
        <v>M5</v>
      </c>
      <c r="U884">
        <f t="shared" si="146"/>
        <v>4757.01</v>
      </c>
      <c r="V884">
        <v>4751.2389999999996</v>
      </c>
      <c r="W884">
        <v>4760.9382800000003</v>
      </c>
      <c r="X884">
        <v>4756.3999400000002</v>
      </c>
      <c r="Y884">
        <v>4754.2199700000001</v>
      </c>
      <c r="Z884">
        <f t="shared" si="147"/>
        <v>4773.0228900000002</v>
      </c>
      <c r="AA884">
        <f t="shared" si="148"/>
        <v>4758.6167800000003</v>
      </c>
      <c r="AB884">
        <f t="shared" si="149"/>
        <v>4738.2790700000005</v>
      </c>
      <c r="AC884">
        <f t="shared" si="150"/>
        <v>4752.4543899999999</v>
      </c>
      <c r="AF884">
        <f t="shared" si="151"/>
        <v>4756.3999400000002</v>
      </c>
      <c r="AG884">
        <f t="shared" si="152"/>
        <v>4773.0228900000002</v>
      </c>
      <c r="AH884">
        <f t="shared" si="153"/>
        <v>4738.2790700000005</v>
      </c>
    </row>
    <row r="885" spans="1:34" x14ac:dyDescent="0.55000000000000004">
      <c r="A885">
        <f>ALGLIB_SSA_XAUUSD!J885</f>
        <v>1775662500</v>
      </c>
      <c r="B885" t="str">
        <f>_xlfn.XLOOKUP($A885,ALGLIB_SSA_XAUUSD!$A$2:$A$1000,ALGLIB_SSA_XAUUSD!$B$2:$B$1000,"",0)</f>
        <v/>
      </c>
      <c r="C885" t="str">
        <f>_xlfn.XLOOKUP($A885,ALGLIB_SSA_XAUUSD!$A$2:$A$1000,ALGLIB_SSA_XAUUSD!$C$2:$C$1000,"",0)</f>
        <v/>
      </c>
      <c r="D885" s="1">
        <f>D878+(D890-D878)*7/12</f>
        <v>4758.9299999999994</v>
      </c>
      <c r="E885" s="1">
        <f>E878+(E890-E878)*7/12</f>
        <v>4750.2553091666668</v>
      </c>
      <c r="F885" s="1">
        <f>F878+(F890-F878)*7/12</f>
        <v>4760.071535</v>
      </c>
      <c r="G885" s="1">
        <f>G878+(G890-G878)*7/12</f>
        <v>4771.9889266666669</v>
      </c>
      <c r="H885" s="1">
        <f>H878+(H890-H878)*7/12</f>
        <v>4737.5237500000003</v>
      </c>
      <c r="I885" t="str">
        <f>_xlfn.XLOOKUP($A885,ALGLIB_SSA_XAUUSD!$J$2:$J$1000,ALGLIB_SSA_XAUUSD!$K$2:$K$1000,"",0)</f>
        <v>XAUUSD</v>
      </c>
      <c r="J885" t="str">
        <f>_xlfn.XLOOKUP($A885,ALGLIB_SSA_XAUUSD!$J$2:$J$1000,ALGLIB_SSA_XAUUSD!$L$2:$L$1000,"",0)</f>
        <v>M5</v>
      </c>
      <c r="K885">
        <f>_xlfn.XLOOKUP($A885,ALGLIB_SSA_XAUUSD!$J$2:$J$1000,ALGLIB_SSA_XAUUSD!$M$2:$M$1000,"",0)</f>
        <v>4760.29</v>
      </c>
      <c r="L885">
        <f>_xlfn.XLOOKUP($A885,ALGLIB_SSA_XAUUSD!$J$2:$J$1000,ALGLIB_SSA_XAUUSD!$N$2:$N$1000,"",0)</f>
        <v>4758.02477</v>
      </c>
      <c r="M885">
        <f>_xlfn.XLOOKUP($A885,ALGLIB_SSA_XAUUSD!$J$2:$J$1000,ALGLIB_SSA_XAUUSD!$O$2:$O$1000,"",0)</f>
        <v>4756.12237</v>
      </c>
      <c r="N885">
        <f>_xlfn.XLOOKUP($A885,ALGLIB_SSA_XAUUSD!$J$2:$J$1000,ALGLIB_SSA_XAUUSD!$P$2:$P$1000,"",0)</f>
        <v>4760.3887400000003</v>
      </c>
      <c r="O885">
        <f>_xlfn.XLOOKUP($A885,ALGLIB_SSA_XAUUSD!$J$2:$J$1000,ALGLIB_SSA_XAUUSD!$Q$2:$Q$1000,"",0)</f>
        <v>4754.8770100000002</v>
      </c>
      <c r="R885">
        <f t="shared" si="143"/>
        <v>1775662500</v>
      </c>
      <c r="S885" t="str">
        <f t="shared" si="144"/>
        <v>XAUUSD</v>
      </c>
      <c r="T885" t="str">
        <f t="shared" si="145"/>
        <v>M5</v>
      </c>
      <c r="U885">
        <f t="shared" si="146"/>
        <v>4760.29</v>
      </c>
      <c r="V885">
        <v>4750.2553099999996</v>
      </c>
      <c r="W885">
        <v>4760.0715399999999</v>
      </c>
      <c r="X885">
        <v>4758.02477</v>
      </c>
      <c r="Y885">
        <v>4756.12237</v>
      </c>
      <c r="Z885">
        <f t="shared" si="147"/>
        <v>4771.9889266666669</v>
      </c>
      <c r="AA885">
        <f t="shared" si="148"/>
        <v>4760.3887400000003</v>
      </c>
      <c r="AB885">
        <f t="shared" si="149"/>
        <v>4737.5237500000003</v>
      </c>
      <c r="AC885">
        <f t="shared" si="150"/>
        <v>4754.8770100000002</v>
      </c>
      <c r="AF885">
        <f t="shared" si="151"/>
        <v>4758.02477</v>
      </c>
      <c r="AG885">
        <f t="shared" si="152"/>
        <v>4771.9889266666669</v>
      </c>
      <c r="AH885">
        <f t="shared" si="153"/>
        <v>4737.5237500000003</v>
      </c>
    </row>
    <row r="886" spans="1:34" x14ac:dyDescent="0.55000000000000004">
      <c r="A886">
        <f>ALGLIB_SSA_XAUUSD!J886</f>
        <v>1775662800</v>
      </c>
      <c r="B886" t="str">
        <f>_xlfn.XLOOKUP($A886,ALGLIB_SSA_XAUUSD!$A$2:$A$1000,ALGLIB_SSA_XAUUSD!$B$2:$B$1000,"",0)</f>
        <v/>
      </c>
      <c r="C886" t="str">
        <f>_xlfn.XLOOKUP($A886,ALGLIB_SSA_XAUUSD!$A$2:$A$1000,ALGLIB_SSA_XAUUSD!$C$2:$C$1000,"",0)</f>
        <v/>
      </c>
      <c r="D886" s="1">
        <f>D878+(D890-D878)*8/12</f>
        <v>4759.25</v>
      </c>
      <c r="E886" s="1">
        <f>E878+(E890-E878)*8/12</f>
        <v>4749.2716233333331</v>
      </c>
      <c r="F886" s="1">
        <f>F878+(F890-F878)*8/12</f>
        <v>4759.2047899999998</v>
      </c>
      <c r="G886" s="1">
        <f>G878+(G890-G878)*8/12</f>
        <v>4770.9549633333336</v>
      </c>
      <c r="H886" s="1">
        <f>H878+(H890-H878)*8/12</f>
        <v>4736.7684300000001</v>
      </c>
      <c r="I886" t="str">
        <f>_xlfn.XLOOKUP($A886,ALGLIB_SSA_XAUUSD!$J$2:$J$1000,ALGLIB_SSA_XAUUSD!$K$2:$K$1000,"",0)</f>
        <v>XAUUSD</v>
      </c>
      <c r="J886" t="str">
        <f>_xlfn.XLOOKUP($A886,ALGLIB_SSA_XAUUSD!$J$2:$J$1000,ALGLIB_SSA_XAUUSD!$L$2:$L$1000,"",0)</f>
        <v>M5</v>
      </c>
      <c r="K886">
        <f>_xlfn.XLOOKUP($A886,ALGLIB_SSA_XAUUSD!$J$2:$J$1000,ALGLIB_SSA_XAUUSD!$M$2:$M$1000,"",0)</f>
        <v>4755.8500000000004</v>
      </c>
      <c r="L886">
        <f>_xlfn.XLOOKUP($A886,ALGLIB_SSA_XAUUSD!$J$2:$J$1000,ALGLIB_SSA_XAUUSD!$N$2:$N$1000,"",0)</f>
        <v>4758.8605299999999</v>
      </c>
      <c r="M886">
        <f>_xlfn.XLOOKUP($A886,ALGLIB_SSA_XAUUSD!$J$2:$J$1000,ALGLIB_SSA_XAUUSD!$O$2:$O$1000,"",0)</f>
        <v>4757.4914500000004</v>
      </c>
      <c r="N886">
        <f>_xlfn.XLOOKUP($A886,ALGLIB_SSA_XAUUSD!$J$2:$J$1000,ALGLIB_SSA_XAUUSD!$P$2:$P$1000,"",0)</f>
        <v>4761.6063100000001</v>
      </c>
      <c r="O886">
        <f>_xlfn.XLOOKUP($A886,ALGLIB_SSA_XAUUSD!$J$2:$J$1000,ALGLIB_SSA_XAUUSD!$Q$2:$Q$1000,"",0)</f>
        <v>4756.4587799999999</v>
      </c>
      <c r="R886">
        <f t="shared" si="143"/>
        <v>1775662800</v>
      </c>
      <c r="S886" t="str">
        <f t="shared" si="144"/>
        <v>XAUUSD</v>
      </c>
      <c r="T886" t="str">
        <f t="shared" si="145"/>
        <v>M5</v>
      </c>
      <c r="U886">
        <f t="shared" si="146"/>
        <v>4755.8500000000004</v>
      </c>
      <c r="V886">
        <v>4749.2716200000004</v>
      </c>
      <c r="W886">
        <v>4759.2047899999998</v>
      </c>
      <c r="X886">
        <v>4758.8605299999999</v>
      </c>
      <c r="Y886">
        <v>4757.4914500000004</v>
      </c>
      <c r="Z886">
        <f t="shared" si="147"/>
        <v>4770.9549633333336</v>
      </c>
      <c r="AA886">
        <f t="shared" si="148"/>
        <v>4761.6063100000001</v>
      </c>
      <c r="AB886">
        <f t="shared" si="149"/>
        <v>4736.7684300000001</v>
      </c>
      <c r="AC886">
        <f t="shared" si="150"/>
        <v>4756.4587799999999</v>
      </c>
      <c r="AF886">
        <f t="shared" si="151"/>
        <v>4758.8605299999999</v>
      </c>
      <c r="AG886">
        <f t="shared" si="152"/>
        <v>4770.9549633333336</v>
      </c>
      <c r="AH886">
        <f t="shared" si="153"/>
        <v>4736.7684300000001</v>
      </c>
    </row>
    <row r="887" spans="1:34" x14ac:dyDescent="0.55000000000000004">
      <c r="A887">
        <f>ALGLIB_SSA_XAUUSD!J887</f>
        <v>1775663100</v>
      </c>
      <c r="B887" t="str">
        <f>_xlfn.XLOOKUP($A887,ALGLIB_SSA_XAUUSD!$A$2:$A$1000,ALGLIB_SSA_XAUUSD!$B$2:$B$1000,"",0)</f>
        <v/>
      </c>
      <c r="C887" t="str">
        <f>_xlfn.XLOOKUP($A887,ALGLIB_SSA_XAUUSD!$A$2:$A$1000,ALGLIB_SSA_XAUUSD!$C$2:$C$1000,"",0)</f>
        <v/>
      </c>
      <c r="D887" s="1">
        <f>D878+(D890-D878)*9/12</f>
        <v>4759.57</v>
      </c>
      <c r="E887" s="1">
        <f>E878+(E890-E878)*9/12</f>
        <v>4748.2879374999993</v>
      </c>
      <c r="F887" s="1">
        <f>F878+(F890-F878)*9/12</f>
        <v>4758.3380449999995</v>
      </c>
      <c r="G887" s="1">
        <f>G878+(G890-G878)*9/12</f>
        <v>4769.9210000000003</v>
      </c>
      <c r="H887" s="1">
        <f>H878+(H890-H878)*9/12</f>
        <v>4736.0131099999999</v>
      </c>
      <c r="I887" t="str">
        <f>_xlfn.XLOOKUP($A887,ALGLIB_SSA_XAUUSD!$J$2:$J$1000,ALGLIB_SSA_XAUUSD!$K$2:$K$1000,"",0)</f>
        <v>XAUUSD</v>
      </c>
      <c r="J887" t="str">
        <f>_xlfn.XLOOKUP($A887,ALGLIB_SSA_XAUUSD!$J$2:$J$1000,ALGLIB_SSA_XAUUSD!$L$2:$L$1000,"",0)</f>
        <v>M5</v>
      </c>
      <c r="K887">
        <f>_xlfn.XLOOKUP($A887,ALGLIB_SSA_XAUUSD!$J$2:$J$1000,ALGLIB_SSA_XAUUSD!$M$2:$M$1000,"",0)</f>
        <v>4758.88</v>
      </c>
      <c r="L887">
        <f>_xlfn.XLOOKUP($A887,ALGLIB_SSA_XAUUSD!$J$2:$J$1000,ALGLIB_SSA_XAUUSD!$N$2:$N$1000,"",0)</f>
        <v>4758.9981699999998</v>
      </c>
      <c r="M887">
        <f>_xlfn.XLOOKUP($A887,ALGLIB_SSA_XAUUSD!$J$2:$J$1000,ALGLIB_SSA_XAUUSD!$O$2:$O$1000,"",0)</f>
        <v>4758.2448100000001</v>
      </c>
      <c r="N887">
        <f>_xlfn.XLOOKUP($A887,ALGLIB_SSA_XAUUSD!$J$2:$J$1000,ALGLIB_SSA_XAUUSD!$P$2:$P$1000,"",0)</f>
        <v>4762.1689200000001</v>
      </c>
      <c r="O887">
        <f>_xlfn.XLOOKUP($A887,ALGLIB_SSA_XAUUSD!$J$2:$J$1000,ALGLIB_SSA_XAUUSD!$Q$2:$Q$1000,"",0)</f>
        <v>4757.1681200000003</v>
      </c>
      <c r="R887">
        <f t="shared" si="143"/>
        <v>1775663100</v>
      </c>
      <c r="S887" t="str">
        <f t="shared" si="144"/>
        <v>XAUUSD</v>
      </c>
      <c r="T887" t="str">
        <f t="shared" si="145"/>
        <v>M5</v>
      </c>
      <c r="U887">
        <f t="shared" si="146"/>
        <v>4758.88</v>
      </c>
      <c r="V887">
        <v>4748.2879400000002</v>
      </c>
      <c r="W887">
        <v>4758.3380399999996</v>
      </c>
      <c r="X887">
        <v>4758.9981699999998</v>
      </c>
      <c r="Y887">
        <v>4758.2448100000001</v>
      </c>
      <c r="Z887">
        <f t="shared" si="147"/>
        <v>4769.9210000000003</v>
      </c>
      <c r="AA887">
        <f t="shared" si="148"/>
        <v>4762.1689200000001</v>
      </c>
      <c r="AB887">
        <f t="shared" si="149"/>
        <v>4736.0131099999999</v>
      </c>
      <c r="AC887">
        <f t="shared" si="150"/>
        <v>4757.1681200000003</v>
      </c>
      <c r="AF887">
        <f t="shared" si="151"/>
        <v>4758.9981699999998</v>
      </c>
      <c r="AG887">
        <f t="shared" si="152"/>
        <v>4769.9210000000003</v>
      </c>
      <c r="AH887">
        <f t="shared" si="153"/>
        <v>4736.0131099999999</v>
      </c>
    </row>
    <row r="888" spans="1:34" x14ac:dyDescent="0.55000000000000004">
      <c r="A888">
        <f>ALGLIB_SSA_XAUUSD!J888</f>
        <v>1775663400</v>
      </c>
      <c r="B888" t="str">
        <f>_xlfn.XLOOKUP($A888,ALGLIB_SSA_XAUUSD!$A$2:$A$1000,ALGLIB_SSA_XAUUSD!$B$2:$B$1000,"",0)</f>
        <v/>
      </c>
      <c r="C888" t="str">
        <f>_xlfn.XLOOKUP($A888,ALGLIB_SSA_XAUUSD!$A$2:$A$1000,ALGLIB_SSA_XAUUSD!$C$2:$C$1000,"",0)</f>
        <v/>
      </c>
      <c r="D888" s="1">
        <f>D878+(D890-D878)*10/12</f>
        <v>4759.8899999999994</v>
      </c>
      <c r="E888" s="1">
        <f>E878+(E890-E878)*10/12</f>
        <v>4747.3042516666665</v>
      </c>
      <c r="F888" s="1">
        <f>F878+(F890-F878)*10/12</f>
        <v>4757.4712999999992</v>
      </c>
      <c r="G888" s="1">
        <f>G878+(G890-G878)*10/12</f>
        <v>4768.887036666667</v>
      </c>
      <c r="H888" s="1">
        <f>H878+(H890-H878)*10/12</f>
        <v>4735.2577899999997</v>
      </c>
      <c r="I888" t="str">
        <f>_xlfn.XLOOKUP($A888,ALGLIB_SSA_XAUUSD!$J$2:$J$1000,ALGLIB_SSA_XAUUSD!$K$2:$K$1000,"",0)</f>
        <v>XAUUSD</v>
      </c>
      <c r="J888" t="str">
        <f>_xlfn.XLOOKUP($A888,ALGLIB_SSA_XAUUSD!$J$2:$J$1000,ALGLIB_SSA_XAUUSD!$L$2:$L$1000,"",0)</f>
        <v>M5</v>
      </c>
      <c r="K888">
        <f>_xlfn.XLOOKUP($A888,ALGLIB_SSA_XAUUSD!$J$2:$J$1000,ALGLIB_SSA_XAUUSD!$M$2:$M$1000,"",0)</f>
        <v>4757.54</v>
      </c>
      <c r="L888">
        <f>_xlfn.XLOOKUP($A888,ALGLIB_SSA_XAUUSD!$J$2:$J$1000,ALGLIB_SSA_XAUUSD!$N$2:$N$1000,"",0)</f>
        <v>4758.4406799999997</v>
      </c>
      <c r="M888">
        <f>_xlfn.XLOOKUP($A888,ALGLIB_SSA_XAUUSD!$J$2:$J$1000,ALGLIB_SSA_XAUUSD!$O$2:$O$1000,"",0)</f>
        <v>4758.3427499999998</v>
      </c>
      <c r="N888">
        <f>_xlfn.XLOOKUP($A888,ALGLIB_SSA_XAUUSD!$J$2:$J$1000,ALGLIB_SSA_XAUUSD!$P$2:$P$1000,"",0)</f>
        <v>4762.1080700000002</v>
      </c>
      <c r="O888">
        <f>_xlfn.XLOOKUP($A888,ALGLIB_SSA_XAUUSD!$J$2:$J$1000,ALGLIB_SSA_XAUUSD!$Q$2:$Q$1000,"",0)</f>
        <v>4757.0175900000004</v>
      </c>
      <c r="R888">
        <f t="shared" si="143"/>
        <v>1775663400</v>
      </c>
      <c r="S888" t="str">
        <f t="shared" si="144"/>
        <v>XAUUSD</v>
      </c>
      <c r="T888" t="str">
        <f t="shared" si="145"/>
        <v>M5</v>
      </c>
      <c r="U888">
        <f t="shared" si="146"/>
        <v>4757.54</v>
      </c>
      <c r="V888">
        <v>4747.3042500000001</v>
      </c>
      <c r="W888">
        <v>4757.4713000000002</v>
      </c>
      <c r="X888">
        <v>4758.4406799999997</v>
      </c>
      <c r="Y888">
        <v>4758.3427499999998</v>
      </c>
      <c r="Z888">
        <f t="shared" si="147"/>
        <v>4768.887036666667</v>
      </c>
      <c r="AA888">
        <f t="shared" si="148"/>
        <v>4762.1080700000002</v>
      </c>
      <c r="AB888">
        <f t="shared" si="149"/>
        <v>4735.2577899999997</v>
      </c>
      <c r="AC888">
        <f t="shared" si="150"/>
        <v>4757.0175900000004</v>
      </c>
      <c r="AF888">
        <f t="shared" si="151"/>
        <v>4758.4406799999997</v>
      </c>
      <c r="AG888">
        <f t="shared" si="152"/>
        <v>4768.887036666667</v>
      </c>
      <c r="AH888">
        <f t="shared" si="153"/>
        <v>4735.2577899999997</v>
      </c>
    </row>
    <row r="889" spans="1:34" x14ac:dyDescent="0.55000000000000004">
      <c r="A889">
        <f>ALGLIB_SSA_XAUUSD!J889</f>
        <v>1775663700</v>
      </c>
      <c r="B889" t="str">
        <f>_xlfn.XLOOKUP($A889,ALGLIB_SSA_XAUUSD!$A$2:$A$1000,ALGLIB_SSA_XAUUSD!$B$2:$B$1000,"",0)</f>
        <v/>
      </c>
      <c r="C889" t="str">
        <f>_xlfn.XLOOKUP($A889,ALGLIB_SSA_XAUUSD!$A$2:$A$1000,ALGLIB_SSA_XAUUSD!$C$2:$C$1000,"",0)</f>
        <v/>
      </c>
      <c r="D889" s="1">
        <f>D878+(D890-D878)*11/12</f>
        <v>4760.21</v>
      </c>
      <c r="E889" s="1">
        <f>E878+(E890-E878)*11/12</f>
        <v>4746.3205658333336</v>
      </c>
      <c r="F889" s="1">
        <f>F878+(F890-F878)*11/12</f>
        <v>4756.6045549999999</v>
      </c>
      <c r="G889" s="1">
        <f>G878+(G890-G878)*11/12</f>
        <v>4767.8530733333337</v>
      </c>
      <c r="H889" s="1">
        <f>H878+(H890-H878)*11/12</f>
        <v>4734.5024700000004</v>
      </c>
      <c r="I889" t="str">
        <f>_xlfn.XLOOKUP($A889,ALGLIB_SSA_XAUUSD!$J$2:$J$1000,ALGLIB_SSA_XAUUSD!$K$2:$K$1000,"",0)</f>
        <v>XAUUSD</v>
      </c>
      <c r="J889" t="str">
        <f>_xlfn.XLOOKUP($A889,ALGLIB_SSA_XAUUSD!$J$2:$J$1000,ALGLIB_SSA_XAUUSD!$L$2:$L$1000,"",0)</f>
        <v>M5</v>
      </c>
      <c r="K889">
        <f>_xlfn.XLOOKUP($A889,ALGLIB_SSA_XAUUSD!$J$2:$J$1000,ALGLIB_SSA_XAUUSD!$M$2:$M$1000,"",0)</f>
        <v>4756.6899999999996</v>
      </c>
      <c r="L889">
        <f>_xlfn.XLOOKUP($A889,ALGLIB_SSA_XAUUSD!$J$2:$J$1000,ALGLIB_SSA_XAUUSD!$N$2:$N$1000,"",0)</f>
        <v>4757.3560399999997</v>
      </c>
      <c r="M889">
        <f>_xlfn.XLOOKUP($A889,ALGLIB_SSA_XAUUSD!$J$2:$J$1000,ALGLIB_SSA_XAUUSD!$O$2:$O$1000,"",0)</f>
        <v>4757.8493900000003</v>
      </c>
      <c r="N889">
        <f>_xlfn.XLOOKUP($A889,ALGLIB_SSA_XAUUSD!$J$2:$J$1000,ALGLIB_SSA_XAUUSD!$P$2:$P$1000,"",0)</f>
        <v>4761.4162200000001</v>
      </c>
      <c r="O889">
        <f>_xlfn.XLOOKUP($A889,ALGLIB_SSA_XAUUSD!$J$2:$J$1000,ALGLIB_SSA_XAUUSD!$Q$2:$Q$1000,"",0)</f>
        <v>4756.0412100000003</v>
      </c>
      <c r="R889">
        <f t="shared" si="143"/>
        <v>1775663700</v>
      </c>
      <c r="S889" t="str">
        <f t="shared" si="144"/>
        <v>XAUUSD</v>
      </c>
      <c r="T889" t="str">
        <f t="shared" si="145"/>
        <v>M5</v>
      </c>
      <c r="U889">
        <f t="shared" si="146"/>
        <v>4756.6899999999996</v>
      </c>
      <c r="V889">
        <v>4746.3205699999999</v>
      </c>
      <c r="W889">
        <v>4756.6045599999998</v>
      </c>
      <c r="X889">
        <v>4757.3560399999997</v>
      </c>
      <c r="Y889">
        <v>4757.8493900000003</v>
      </c>
      <c r="Z889">
        <f t="shared" si="147"/>
        <v>4767.8530733333337</v>
      </c>
      <c r="AA889">
        <f t="shared" si="148"/>
        <v>4761.4162200000001</v>
      </c>
      <c r="AB889">
        <f t="shared" si="149"/>
        <v>4734.5024700000004</v>
      </c>
      <c r="AC889">
        <f t="shared" si="150"/>
        <v>4756.0412100000003</v>
      </c>
      <c r="AF889">
        <f t="shared" si="151"/>
        <v>4757.3560399999997</v>
      </c>
      <c r="AG889">
        <f t="shared" si="152"/>
        <v>4767.8530733333337</v>
      </c>
      <c r="AH889">
        <f t="shared" si="153"/>
        <v>4734.5024700000004</v>
      </c>
    </row>
    <row r="890" spans="1:34" x14ac:dyDescent="0.55000000000000004">
      <c r="A890">
        <f>ALGLIB_SSA_XAUUSD!J890</f>
        <v>1775664000</v>
      </c>
      <c r="B890" t="str">
        <f>_xlfn.XLOOKUP($A890,ALGLIB_SSA_XAUUSD!$A$2:$A$1000,ALGLIB_SSA_XAUUSD!$B$2:$B$1000,"",0)</f>
        <v>XAUUSD</v>
      </c>
      <c r="C890" t="str">
        <f>_xlfn.XLOOKUP($A890,ALGLIB_SSA_XAUUSD!$A$2:$A$1000,ALGLIB_SSA_XAUUSD!$C$2:$C$1000,"",0)</f>
        <v>H1</v>
      </c>
      <c r="D890" s="2">
        <f>_xlfn.XLOOKUP($A890,ALGLIB_SSA_XAUUSD!$A$2:$A$1000,ALGLIB_SSA_XAUUSD!$D$2:$D$1000,"",0)</f>
        <v>4760.53</v>
      </c>
      <c r="E890" s="2">
        <f>_xlfn.XLOOKUP($A890,ALGLIB_SSA_XAUUSD!$A$2:$A$1000,ALGLIB_SSA_XAUUSD!$E$2:$E$1000,"",0)</f>
        <v>4745.3368799999998</v>
      </c>
      <c r="F890" s="2">
        <f>_xlfn.XLOOKUP($A890,ALGLIB_SSA_XAUUSD!$A$2:$A$1000,ALGLIB_SSA_XAUUSD!$F$2:$F$1000,"",0)</f>
        <v>4755.7378099999996</v>
      </c>
      <c r="G890" s="2">
        <f>_xlfn.XLOOKUP($A890,ALGLIB_SSA_XAUUSD!$A$2:$A$1000,ALGLIB_SSA_XAUUSD!$G$2:$G$1000,"",0)</f>
        <v>4766.8191100000004</v>
      </c>
      <c r="H890" s="2">
        <f>_xlfn.XLOOKUP($A890,ALGLIB_SSA_XAUUSD!$A$2:$A$1000,ALGLIB_SSA_XAUUSD!$H$2:$H$1000,"",0)</f>
        <v>4733.7471500000001</v>
      </c>
      <c r="I890" t="str">
        <f>_xlfn.XLOOKUP($A890,ALGLIB_SSA_XAUUSD!$J$2:$J$1000,ALGLIB_SSA_XAUUSD!$K$2:$K$1000,"",0)</f>
        <v>XAUUSD</v>
      </c>
      <c r="J890" t="str">
        <f>_xlfn.XLOOKUP($A890,ALGLIB_SSA_XAUUSD!$J$2:$J$1000,ALGLIB_SSA_XAUUSD!$L$2:$L$1000,"",0)</f>
        <v>M5</v>
      </c>
      <c r="K890">
        <f>_xlfn.XLOOKUP($A890,ALGLIB_SSA_XAUUSD!$J$2:$J$1000,ALGLIB_SSA_XAUUSD!$M$2:$M$1000,"",0)</f>
        <v>4757.55</v>
      </c>
      <c r="L890">
        <f>_xlfn.XLOOKUP($A890,ALGLIB_SSA_XAUUSD!$J$2:$J$1000,ALGLIB_SSA_XAUUSD!$N$2:$N$1000,"",0)</f>
        <v>4755.9663099999998</v>
      </c>
      <c r="M890">
        <f>_xlfn.XLOOKUP($A890,ALGLIB_SSA_XAUUSD!$J$2:$J$1000,ALGLIB_SSA_XAUUSD!$O$2:$O$1000,"",0)</f>
        <v>4756.9078499999996</v>
      </c>
      <c r="N890">
        <f>_xlfn.XLOOKUP($A890,ALGLIB_SSA_XAUUSD!$J$2:$J$1000,ALGLIB_SSA_XAUUSD!$P$2:$P$1000,"",0)</f>
        <v>4760.3182100000004</v>
      </c>
      <c r="O890">
        <f>_xlfn.XLOOKUP($A890,ALGLIB_SSA_XAUUSD!$J$2:$J$1000,ALGLIB_SSA_XAUUSD!$Q$2:$Q$1000,"",0)</f>
        <v>4754.49118</v>
      </c>
      <c r="R890">
        <f t="shared" si="143"/>
        <v>1775664000</v>
      </c>
      <c r="S890" t="str">
        <f t="shared" si="144"/>
        <v>XAUUSD</v>
      </c>
      <c r="T890" t="str">
        <f t="shared" si="145"/>
        <v>M5</v>
      </c>
      <c r="U890">
        <f t="shared" si="146"/>
        <v>4757.55</v>
      </c>
      <c r="V890">
        <v>4745.3368799999998</v>
      </c>
      <c r="W890">
        <v>4755.7378099999996</v>
      </c>
      <c r="X890">
        <v>4755.9663099999998</v>
      </c>
      <c r="Y890">
        <v>4756.9078499999996</v>
      </c>
      <c r="Z890">
        <f t="shared" si="147"/>
        <v>4766.8191100000004</v>
      </c>
      <c r="AA890">
        <f t="shared" si="148"/>
        <v>4760.3182100000004</v>
      </c>
      <c r="AB890">
        <f t="shared" si="149"/>
        <v>4733.7471500000001</v>
      </c>
      <c r="AC890">
        <f t="shared" si="150"/>
        <v>4754.49118</v>
      </c>
      <c r="AF890">
        <f t="shared" si="151"/>
        <v>4755.9663099999998</v>
      </c>
      <c r="AG890">
        <f t="shared" si="152"/>
        <v>4766.8191100000004</v>
      </c>
      <c r="AH890">
        <f t="shared" si="153"/>
        <v>4733.7471500000001</v>
      </c>
    </row>
    <row r="891" spans="1:34" x14ac:dyDescent="0.55000000000000004">
      <c r="A891">
        <f>ALGLIB_SSA_XAUUSD!J891</f>
        <v>1775664300</v>
      </c>
      <c r="B891" t="str">
        <f>_xlfn.XLOOKUP($A891,ALGLIB_SSA_XAUUSD!$A$2:$A$1000,ALGLIB_SSA_XAUUSD!$B$2:$B$1000,"",0)</f>
        <v/>
      </c>
      <c r="C891" t="str">
        <f>_xlfn.XLOOKUP($A891,ALGLIB_SSA_XAUUSD!$A$2:$A$1000,ALGLIB_SSA_XAUUSD!$C$2:$C$1000,"",0)</f>
        <v/>
      </c>
      <c r="D891" s="1">
        <f>D890+(D902-D890)*1/12</f>
        <v>4758.3033333333333</v>
      </c>
      <c r="E891" s="1">
        <f>E890+(E902-E890)*1/12</f>
        <v>4744.3089041666663</v>
      </c>
      <c r="F891" s="1">
        <f>F890+(F902-F890)*1/12</f>
        <v>4754.7904499999995</v>
      </c>
      <c r="G891" s="1">
        <f>G890+(G902-G890)*1/12</f>
        <v>4765.7813483333339</v>
      </c>
      <c r="H891" s="1">
        <f>H890+(H902-H890)*1/12</f>
        <v>4732.9317016666664</v>
      </c>
      <c r="I891" t="str">
        <f>_xlfn.XLOOKUP($A891,ALGLIB_SSA_XAUUSD!$J$2:$J$1000,ALGLIB_SSA_XAUUSD!$K$2:$K$1000,"",0)</f>
        <v>XAUUSD</v>
      </c>
      <c r="J891" t="str">
        <f>_xlfn.XLOOKUP($A891,ALGLIB_SSA_XAUUSD!$J$2:$J$1000,ALGLIB_SSA_XAUUSD!$L$2:$L$1000,"",0)</f>
        <v>M5</v>
      </c>
      <c r="K891">
        <f>_xlfn.XLOOKUP($A891,ALGLIB_SSA_XAUUSD!$J$2:$J$1000,ALGLIB_SSA_XAUUSD!$M$2:$M$1000,"",0)</f>
        <v>4757.8999999999996</v>
      </c>
      <c r="L891">
        <f>_xlfn.XLOOKUP($A891,ALGLIB_SSA_XAUUSD!$J$2:$J$1000,ALGLIB_SSA_XAUUSD!$N$2:$N$1000,"",0)</f>
        <v>4754.4944400000004</v>
      </c>
      <c r="M891">
        <f>_xlfn.XLOOKUP($A891,ALGLIB_SSA_XAUUSD!$J$2:$J$1000,ALGLIB_SSA_XAUUSD!$O$2:$O$1000,"",0)</f>
        <v>4755.7011499999999</v>
      </c>
      <c r="N891">
        <f>_xlfn.XLOOKUP($A891,ALGLIB_SSA_XAUUSD!$J$2:$J$1000,ALGLIB_SSA_XAUUSD!$P$2:$P$1000,"",0)</f>
        <v>4758.9178599999996</v>
      </c>
      <c r="O891">
        <f>_xlfn.XLOOKUP($A891,ALGLIB_SSA_XAUUSD!$J$2:$J$1000,ALGLIB_SSA_XAUUSD!$Q$2:$Q$1000,"",0)</f>
        <v>4752.6206899999997</v>
      </c>
      <c r="R891">
        <f t="shared" si="143"/>
        <v>1775664300</v>
      </c>
      <c r="S891" t="str">
        <f t="shared" si="144"/>
        <v>XAUUSD</v>
      </c>
      <c r="T891" t="str">
        <f t="shared" si="145"/>
        <v>M5</v>
      </c>
      <c r="U891">
        <f t="shared" si="146"/>
        <v>4757.8999999999996</v>
      </c>
      <c r="V891">
        <v>4744.3089</v>
      </c>
      <c r="W891">
        <v>4754.7904500000004</v>
      </c>
      <c r="X891">
        <v>4754.4944400000004</v>
      </c>
      <c r="Y891">
        <v>4755.7011499999999</v>
      </c>
      <c r="Z891">
        <f t="shared" si="147"/>
        <v>4765.7813483333339</v>
      </c>
      <c r="AA891">
        <f t="shared" si="148"/>
        <v>4758.9178599999996</v>
      </c>
      <c r="AB891">
        <f t="shared" si="149"/>
        <v>4732.9317016666664</v>
      </c>
      <c r="AC891">
        <f t="shared" si="150"/>
        <v>4752.6206899999997</v>
      </c>
      <c r="AF891">
        <f t="shared" si="151"/>
        <v>4754.4944400000004</v>
      </c>
      <c r="AG891">
        <f t="shared" si="152"/>
        <v>4765.7813483333339</v>
      </c>
      <c r="AH891">
        <f t="shared" si="153"/>
        <v>4732.9317016666664</v>
      </c>
    </row>
    <row r="892" spans="1:34" x14ac:dyDescent="0.55000000000000004">
      <c r="A892">
        <f>ALGLIB_SSA_XAUUSD!J892</f>
        <v>1775664600</v>
      </c>
      <c r="B892" t="str">
        <f>_xlfn.XLOOKUP($A892,ALGLIB_SSA_XAUUSD!$A$2:$A$1000,ALGLIB_SSA_XAUUSD!$B$2:$B$1000,"",0)</f>
        <v/>
      </c>
      <c r="C892" t="str">
        <f>_xlfn.XLOOKUP($A892,ALGLIB_SSA_XAUUSD!$A$2:$A$1000,ALGLIB_SSA_XAUUSD!$C$2:$C$1000,"",0)</f>
        <v/>
      </c>
      <c r="D892" s="1">
        <f>D890+(D902-D890)*2/12</f>
        <v>4756.0766666666668</v>
      </c>
      <c r="E892" s="1">
        <f>E890+(E902-E890)*2/12</f>
        <v>4743.2809283333336</v>
      </c>
      <c r="F892" s="1">
        <f>F890+(F902-F890)*2/12</f>
        <v>4753.8430899999994</v>
      </c>
      <c r="G892" s="1">
        <f>G890+(G902-G890)*2/12</f>
        <v>4764.7435866666674</v>
      </c>
      <c r="H892" s="1">
        <f>H890+(H902-H890)*2/12</f>
        <v>4732.1162533333336</v>
      </c>
      <c r="I892" t="str">
        <f>_xlfn.XLOOKUP($A892,ALGLIB_SSA_XAUUSD!$J$2:$J$1000,ALGLIB_SSA_XAUUSD!$K$2:$K$1000,"",0)</f>
        <v>XAUUSD</v>
      </c>
      <c r="J892" t="str">
        <f>_xlfn.XLOOKUP($A892,ALGLIB_SSA_XAUUSD!$J$2:$J$1000,ALGLIB_SSA_XAUUSD!$L$2:$L$1000,"",0)</f>
        <v>M5</v>
      </c>
      <c r="K892">
        <f>_xlfn.XLOOKUP($A892,ALGLIB_SSA_XAUUSD!$J$2:$J$1000,ALGLIB_SSA_XAUUSD!$M$2:$M$1000,"",0)</f>
        <v>4753.96</v>
      </c>
      <c r="L892">
        <f>_xlfn.XLOOKUP($A892,ALGLIB_SSA_XAUUSD!$J$2:$J$1000,ALGLIB_SSA_XAUUSD!$N$2:$N$1000,"",0)</f>
        <v>4753.1947700000001</v>
      </c>
      <c r="M892">
        <f>_xlfn.XLOOKUP($A892,ALGLIB_SSA_XAUUSD!$J$2:$J$1000,ALGLIB_SSA_XAUUSD!$O$2:$O$1000,"",0)</f>
        <v>4754.4479600000004</v>
      </c>
      <c r="N892">
        <f>_xlfn.XLOOKUP($A892,ALGLIB_SSA_XAUUSD!$J$2:$J$1000,ALGLIB_SSA_XAUUSD!$P$2:$P$1000,"",0)</f>
        <v>4757.5323900000003</v>
      </c>
      <c r="O892">
        <f>_xlfn.XLOOKUP($A892,ALGLIB_SSA_XAUUSD!$J$2:$J$1000,ALGLIB_SSA_XAUUSD!$Q$2:$Q$1000,"",0)</f>
        <v>4750.7725399999999</v>
      </c>
      <c r="R892">
        <f t="shared" si="143"/>
        <v>1775664600</v>
      </c>
      <c r="S892" t="str">
        <f t="shared" si="144"/>
        <v>XAUUSD</v>
      </c>
      <c r="T892" t="str">
        <f t="shared" si="145"/>
        <v>M5</v>
      </c>
      <c r="U892">
        <f t="shared" si="146"/>
        <v>4753.96</v>
      </c>
      <c r="V892">
        <v>4743.2809299999999</v>
      </c>
      <c r="W892">
        <v>4753.8430900000003</v>
      </c>
      <c r="X892">
        <v>4753.1947700000001</v>
      </c>
      <c r="Y892">
        <v>4754.4479600000004</v>
      </c>
      <c r="Z892">
        <f t="shared" si="147"/>
        <v>4764.7435866666674</v>
      </c>
      <c r="AA892">
        <f t="shared" si="148"/>
        <v>4757.5323900000003</v>
      </c>
      <c r="AB892">
        <f t="shared" si="149"/>
        <v>4732.1162533333336</v>
      </c>
      <c r="AC892">
        <f t="shared" si="150"/>
        <v>4750.7725399999999</v>
      </c>
      <c r="AF892">
        <f t="shared" si="151"/>
        <v>4753.1947700000001</v>
      </c>
      <c r="AG892">
        <f t="shared" si="152"/>
        <v>4764.7435866666674</v>
      </c>
      <c r="AH892">
        <f t="shared" si="153"/>
        <v>4732.1162533333336</v>
      </c>
    </row>
    <row r="893" spans="1:34" x14ac:dyDescent="0.55000000000000004">
      <c r="A893">
        <f>ALGLIB_SSA_XAUUSD!J893</f>
        <v>1775664900</v>
      </c>
      <c r="B893" t="str">
        <f>_xlfn.XLOOKUP($A893,ALGLIB_SSA_XAUUSD!$A$2:$A$1000,ALGLIB_SSA_XAUUSD!$B$2:$B$1000,"",0)</f>
        <v/>
      </c>
      <c r="C893" t="str">
        <f>_xlfn.XLOOKUP($A893,ALGLIB_SSA_XAUUSD!$A$2:$A$1000,ALGLIB_SSA_XAUUSD!$C$2:$C$1000,"",0)</f>
        <v/>
      </c>
      <c r="D893" s="1">
        <f>D890+(D902-D890)*3/12</f>
        <v>4753.8500000000004</v>
      </c>
      <c r="E893" s="1">
        <f>E890+(E902-E890)*3/12</f>
        <v>4742.2529525</v>
      </c>
      <c r="F893" s="1">
        <f>F890+(F902-F890)*3/12</f>
        <v>4752.8957300000002</v>
      </c>
      <c r="G893" s="1">
        <f>G890+(G902-G890)*3/12</f>
        <v>4763.705825</v>
      </c>
      <c r="H893" s="1">
        <f>H890+(H902-H890)*3/12</f>
        <v>4731.3008049999999</v>
      </c>
      <c r="I893" t="str">
        <f>_xlfn.XLOOKUP($A893,ALGLIB_SSA_XAUUSD!$J$2:$J$1000,ALGLIB_SSA_XAUUSD!$K$2:$K$1000,"",0)</f>
        <v>XAUUSD</v>
      </c>
      <c r="J893" t="str">
        <f>_xlfn.XLOOKUP($A893,ALGLIB_SSA_XAUUSD!$J$2:$J$1000,ALGLIB_SSA_XAUUSD!$L$2:$L$1000,"",0)</f>
        <v>M5</v>
      </c>
      <c r="K893">
        <f>_xlfn.XLOOKUP($A893,ALGLIB_SSA_XAUUSD!$J$2:$J$1000,ALGLIB_SSA_XAUUSD!$M$2:$M$1000,"",0)</f>
        <v>4748.21</v>
      </c>
      <c r="L893">
        <f>_xlfn.XLOOKUP($A893,ALGLIB_SSA_XAUUSD!$J$2:$J$1000,ALGLIB_SSA_XAUUSD!$N$2:$N$1000,"",0)</f>
        <v>4752.3955699999997</v>
      </c>
      <c r="M893">
        <f>_xlfn.XLOOKUP($A893,ALGLIB_SSA_XAUUSD!$J$2:$J$1000,ALGLIB_SSA_XAUUSD!$O$2:$O$1000,"",0)</f>
        <v>4753.4217699999999</v>
      </c>
      <c r="N893">
        <f>_xlfn.XLOOKUP($A893,ALGLIB_SSA_XAUUSD!$J$2:$J$1000,ALGLIB_SSA_XAUUSD!$P$2:$P$1000,"",0)</f>
        <v>4756.3640299999997</v>
      </c>
      <c r="O893">
        <f>_xlfn.XLOOKUP($A893,ALGLIB_SSA_XAUUSD!$J$2:$J$1000,ALGLIB_SSA_XAUUSD!$Q$2:$Q$1000,"",0)</f>
        <v>4749.3087400000004</v>
      </c>
      <c r="R893">
        <f t="shared" si="143"/>
        <v>1775664900</v>
      </c>
      <c r="S893" t="str">
        <f t="shared" si="144"/>
        <v>XAUUSD</v>
      </c>
      <c r="T893" t="str">
        <f t="shared" si="145"/>
        <v>M5</v>
      </c>
      <c r="U893">
        <f t="shared" si="146"/>
        <v>4748.21</v>
      </c>
      <c r="V893">
        <v>4742.2529500000001</v>
      </c>
      <c r="W893">
        <v>4752.8957300000002</v>
      </c>
      <c r="X893">
        <v>4752.3955699999997</v>
      </c>
      <c r="Y893">
        <v>4753.4217699999999</v>
      </c>
      <c r="Z893">
        <f t="shared" si="147"/>
        <v>4763.705825</v>
      </c>
      <c r="AA893">
        <f t="shared" si="148"/>
        <v>4756.3640299999997</v>
      </c>
      <c r="AB893">
        <f t="shared" si="149"/>
        <v>4731.3008049999999</v>
      </c>
      <c r="AC893">
        <f t="shared" si="150"/>
        <v>4749.3087400000004</v>
      </c>
      <c r="AF893">
        <f t="shared" si="151"/>
        <v>4752.3955699999997</v>
      </c>
      <c r="AG893">
        <f t="shared" si="152"/>
        <v>4763.705825</v>
      </c>
      <c r="AH893">
        <f t="shared" si="153"/>
        <v>4731.3008049999999</v>
      </c>
    </row>
    <row r="894" spans="1:34" x14ac:dyDescent="0.55000000000000004">
      <c r="A894">
        <f>ALGLIB_SSA_XAUUSD!J894</f>
        <v>1775665200</v>
      </c>
      <c r="B894" t="str">
        <f>_xlfn.XLOOKUP($A894,ALGLIB_SSA_XAUUSD!$A$2:$A$1000,ALGLIB_SSA_XAUUSD!$B$2:$B$1000,"",0)</f>
        <v/>
      </c>
      <c r="C894" t="str">
        <f>_xlfn.XLOOKUP($A894,ALGLIB_SSA_XAUUSD!$A$2:$A$1000,ALGLIB_SSA_XAUUSD!$C$2:$C$1000,"",0)</f>
        <v/>
      </c>
      <c r="D894" s="1">
        <f>D890+(D902-D890)*4/12</f>
        <v>4751.623333333333</v>
      </c>
      <c r="E894" s="1">
        <f>E890+(E902-E890)*4/12</f>
        <v>4741.2249766666664</v>
      </c>
      <c r="F894" s="1">
        <f>F890+(F902-F890)*4/12</f>
        <v>4751.9483700000001</v>
      </c>
      <c r="G894" s="1">
        <f>G890+(G902-G890)*4/12</f>
        <v>4762.6680633333335</v>
      </c>
      <c r="H894" s="1">
        <f>H890+(H902-H890)*4/12</f>
        <v>4730.485356666667</v>
      </c>
      <c r="I894" t="str">
        <f>_xlfn.XLOOKUP($A894,ALGLIB_SSA_XAUUSD!$J$2:$J$1000,ALGLIB_SSA_XAUUSD!$K$2:$K$1000,"",0)</f>
        <v>XAUUSD</v>
      </c>
      <c r="J894" t="str">
        <f>_xlfn.XLOOKUP($A894,ALGLIB_SSA_XAUUSD!$J$2:$J$1000,ALGLIB_SSA_XAUUSD!$L$2:$L$1000,"",0)</f>
        <v>M5</v>
      </c>
      <c r="K894">
        <f>_xlfn.XLOOKUP($A894,ALGLIB_SSA_XAUUSD!$J$2:$J$1000,ALGLIB_SSA_XAUUSD!$M$2:$M$1000,"",0)</f>
        <v>4752.6499999999996</v>
      </c>
      <c r="L894">
        <f>_xlfn.XLOOKUP($A894,ALGLIB_SSA_XAUUSD!$J$2:$J$1000,ALGLIB_SSA_XAUUSD!$N$2:$N$1000,"",0)</f>
        <v>4752.3754099999996</v>
      </c>
      <c r="M894">
        <f>_xlfn.XLOOKUP($A894,ALGLIB_SSA_XAUUSD!$J$2:$J$1000,ALGLIB_SSA_XAUUSD!$O$2:$O$1000,"",0)</f>
        <v>4752.8985899999998</v>
      </c>
      <c r="N894">
        <f>_xlfn.XLOOKUP($A894,ALGLIB_SSA_XAUUSD!$J$2:$J$1000,ALGLIB_SSA_XAUUSD!$P$2:$P$1000,"",0)</f>
        <v>4755.7324200000003</v>
      </c>
      <c r="O894">
        <f>_xlfn.XLOOKUP($A894,ALGLIB_SSA_XAUUSD!$J$2:$J$1000,ALGLIB_SSA_XAUUSD!$Q$2:$Q$1000,"",0)</f>
        <v>4748.7007800000001</v>
      </c>
      <c r="R894">
        <f t="shared" si="143"/>
        <v>1775665200</v>
      </c>
      <c r="S894" t="str">
        <f t="shared" si="144"/>
        <v>XAUUSD</v>
      </c>
      <c r="T894" t="str">
        <f t="shared" si="145"/>
        <v>M5</v>
      </c>
      <c r="U894">
        <f t="shared" si="146"/>
        <v>4752.6499999999996</v>
      </c>
      <c r="V894">
        <v>4741.22498</v>
      </c>
      <c r="W894">
        <v>4751.9483700000001</v>
      </c>
      <c r="X894">
        <v>4752.3754099999996</v>
      </c>
      <c r="Y894">
        <v>4752.8985899999998</v>
      </c>
      <c r="Z894">
        <f t="shared" si="147"/>
        <v>4762.6680633333335</v>
      </c>
      <c r="AA894">
        <f t="shared" si="148"/>
        <v>4755.7324200000003</v>
      </c>
      <c r="AB894">
        <f t="shared" si="149"/>
        <v>4730.485356666667</v>
      </c>
      <c r="AC894">
        <f t="shared" si="150"/>
        <v>4748.7007800000001</v>
      </c>
      <c r="AF894">
        <f t="shared" si="151"/>
        <v>4752.3754099999996</v>
      </c>
      <c r="AG894">
        <f t="shared" si="152"/>
        <v>4762.6680633333335</v>
      </c>
      <c r="AH894">
        <f t="shared" si="153"/>
        <v>4730.485356666667</v>
      </c>
    </row>
    <row r="895" spans="1:34" x14ac:dyDescent="0.55000000000000004">
      <c r="A895">
        <f>ALGLIB_SSA_XAUUSD!J895</f>
        <v>1775665500</v>
      </c>
      <c r="B895" t="str">
        <f>_xlfn.XLOOKUP($A895,ALGLIB_SSA_XAUUSD!$A$2:$A$1000,ALGLIB_SSA_XAUUSD!$B$2:$B$1000,"",0)</f>
        <v/>
      </c>
      <c r="C895" t="str">
        <f>_xlfn.XLOOKUP($A895,ALGLIB_SSA_XAUUSD!$A$2:$A$1000,ALGLIB_SSA_XAUUSD!$C$2:$C$1000,"",0)</f>
        <v/>
      </c>
      <c r="D895" s="1">
        <f>D890+(D902-D890)*5/12</f>
        <v>4749.3966666666665</v>
      </c>
      <c r="E895" s="1">
        <f>E890+(E902-E890)*5/12</f>
        <v>4740.1970008333328</v>
      </c>
      <c r="F895" s="1">
        <f>F890+(F902-F890)*5/12</f>
        <v>4751.00101</v>
      </c>
      <c r="G895" s="1">
        <f>G890+(G902-G890)*5/12</f>
        <v>4761.630301666667</v>
      </c>
      <c r="H895" s="1">
        <f>H890+(H902-H890)*5/12</f>
        <v>4729.6699083333333</v>
      </c>
      <c r="I895" t="str">
        <f>_xlfn.XLOOKUP($A895,ALGLIB_SSA_XAUUSD!$J$2:$J$1000,ALGLIB_SSA_XAUUSD!$K$2:$K$1000,"",0)</f>
        <v>XAUUSD</v>
      </c>
      <c r="J895" t="str">
        <f>_xlfn.XLOOKUP($A895,ALGLIB_SSA_XAUUSD!$J$2:$J$1000,ALGLIB_SSA_XAUUSD!$L$2:$L$1000,"",0)</f>
        <v>M5</v>
      </c>
      <c r="K895">
        <f>_xlfn.XLOOKUP($A895,ALGLIB_SSA_XAUUSD!$J$2:$J$1000,ALGLIB_SSA_XAUUSD!$M$2:$M$1000,"",0)</f>
        <v>4750.1899999999996</v>
      </c>
      <c r="L895">
        <f>_xlfn.XLOOKUP($A895,ALGLIB_SSA_XAUUSD!$J$2:$J$1000,ALGLIB_SSA_XAUUSD!$N$2:$N$1000,"",0)</f>
        <v>4753.0935099999997</v>
      </c>
      <c r="M895">
        <f>_xlfn.XLOOKUP($A895,ALGLIB_SSA_XAUUSD!$J$2:$J$1000,ALGLIB_SSA_XAUUSD!$O$2:$O$1000,"",0)</f>
        <v>4752.9960499999997</v>
      </c>
      <c r="N895">
        <f>_xlfn.XLOOKUP($A895,ALGLIB_SSA_XAUUSD!$J$2:$J$1000,ALGLIB_SSA_XAUUSD!$P$2:$P$1000,"",0)</f>
        <v>4755.8103199999996</v>
      </c>
      <c r="O895">
        <f>_xlfn.XLOOKUP($A895,ALGLIB_SSA_XAUUSD!$J$2:$J$1000,ALGLIB_SSA_XAUUSD!$Q$2:$Q$1000,"",0)</f>
        <v>4749.0671400000001</v>
      </c>
      <c r="R895">
        <f t="shared" si="143"/>
        <v>1775665500</v>
      </c>
      <c r="S895" t="str">
        <f t="shared" si="144"/>
        <v>XAUUSD</v>
      </c>
      <c r="T895" t="str">
        <f t="shared" si="145"/>
        <v>M5</v>
      </c>
      <c r="U895">
        <f t="shared" si="146"/>
        <v>4750.1899999999996</v>
      </c>
      <c r="V895">
        <v>4740.1970000000001</v>
      </c>
      <c r="W895">
        <v>4751.00101</v>
      </c>
      <c r="X895">
        <v>4753.0935099999997</v>
      </c>
      <c r="Y895">
        <v>4752.9960499999997</v>
      </c>
      <c r="Z895">
        <f t="shared" si="147"/>
        <v>4761.630301666667</v>
      </c>
      <c r="AA895">
        <f t="shared" si="148"/>
        <v>4755.8103199999996</v>
      </c>
      <c r="AB895">
        <f t="shared" si="149"/>
        <v>4729.6699083333333</v>
      </c>
      <c r="AC895">
        <f t="shared" si="150"/>
        <v>4749.0671400000001</v>
      </c>
      <c r="AF895">
        <f t="shared" si="151"/>
        <v>4753.0935099999997</v>
      </c>
      <c r="AG895">
        <f t="shared" si="152"/>
        <v>4761.630301666667</v>
      </c>
      <c r="AH895">
        <f t="shared" si="153"/>
        <v>4729.6699083333333</v>
      </c>
    </row>
    <row r="896" spans="1:34" x14ac:dyDescent="0.55000000000000004">
      <c r="A896">
        <f>ALGLIB_SSA_XAUUSD!J896</f>
        <v>1775665800</v>
      </c>
      <c r="B896" t="str">
        <f>_xlfn.XLOOKUP($A896,ALGLIB_SSA_XAUUSD!$A$2:$A$1000,ALGLIB_SSA_XAUUSD!$B$2:$B$1000,"",0)</f>
        <v/>
      </c>
      <c r="C896" t="str">
        <f>_xlfn.XLOOKUP($A896,ALGLIB_SSA_XAUUSD!$A$2:$A$1000,ALGLIB_SSA_XAUUSD!$C$2:$C$1000,"",0)</f>
        <v/>
      </c>
      <c r="D896" s="1">
        <f>D890+(D902-D890)*6/12</f>
        <v>4747.17</v>
      </c>
      <c r="E896" s="1">
        <f>E890+(E902-E890)*6/12</f>
        <v>4739.1690249999992</v>
      </c>
      <c r="F896" s="1">
        <f>F890+(F902-F890)*6/12</f>
        <v>4750.0536499999998</v>
      </c>
      <c r="G896" s="1">
        <f>G890+(G902-G890)*6/12</f>
        <v>4760.5925399999996</v>
      </c>
      <c r="H896" s="1">
        <f>H890+(H902-H890)*6/12</f>
        <v>4728.8544600000005</v>
      </c>
      <c r="I896" t="str">
        <f>_xlfn.XLOOKUP($A896,ALGLIB_SSA_XAUUSD!$J$2:$J$1000,ALGLIB_SSA_XAUUSD!$K$2:$K$1000,"",0)</f>
        <v>XAUUSD</v>
      </c>
      <c r="J896" t="str">
        <f>_xlfn.XLOOKUP($A896,ALGLIB_SSA_XAUUSD!$J$2:$J$1000,ALGLIB_SSA_XAUUSD!$L$2:$L$1000,"",0)</f>
        <v>M5</v>
      </c>
      <c r="K896">
        <f>_xlfn.XLOOKUP($A896,ALGLIB_SSA_XAUUSD!$J$2:$J$1000,ALGLIB_SSA_XAUUSD!$M$2:$M$1000,"",0)</f>
        <v>4755.95</v>
      </c>
      <c r="L896">
        <f>_xlfn.XLOOKUP($A896,ALGLIB_SSA_XAUUSD!$J$2:$J$1000,ALGLIB_SSA_XAUUSD!$N$2:$N$1000,"",0)</f>
        <v>4754.5471799999996</v>
      </c>
      <c r="M896">
        <f>_xlfn.XLOOKUP($A896,ALGLIB_SSA_XAUUSD!$J$2:$J$1000,ALGLIB_SSA_XAUUSD!$O$2:$O$1000,"",0)</f>
        <v>4753.7716200000004</v>
      </c>
      <c r="N896">
        <f>_xlfn.XLOOKUP($A896,ALGLIB_SSA_XAUUSD!$J$2:$J$1000,ALGLIB_SSA_XAUUSD!$P$2:$P$1000,"",0)</f>
        <v>4756.6235699999997</v>
      </c>
      <c r="O896">
        <f>_xlfn.XLOOKUP($A896,ALGLIB_SSA_XAUUSD!$J$2:$J$1000,ALGLIB_SSA_XAUUSD!$Q$2:$Q$1000,"",0)</f>
        <v>4750.3724099999999</v>
      </c>
      <c r="R896">
        <f t="shared" si="143"/>
        <v>1775665800</v>
      </c>
      <c r="S896" t="str">
        <f t="shared" si="144"/>
        <v>XAUUSD</v>
      </c>
      <c r="T896" t="str">
        <f t="shared" si="145"/>
        <v>M5</v>
      </c>
      <c r="U896">
        <f t="shared" si="146"/>
        <v>4755.95</v>
      </c>
      <c r="V896">
        <v>4739.1690200000003</v>
      </c>
      <c r="W896">
        <v>4750.0536499999998</v>
      </c>
      <c r="X896">
        <v>4754.5471799999996</v>
      </c>
      <c r="Y896">
        <v>4753.7716200000004</v>
      </c>
      <c r="Z896">
        <f t="shared" si="147"/>
        <v>4760.5925399999996</v>
      </c>
      <c r="AA896">
        <f t="shared" si="148"/>
        <v>4756.6235699999997</v>
      </c>
      <c r="AB896">
        <f t="shared" si="149"/>
        <v>4728.8544600000005</v>
      </c>
      <c r="AC896">
        <f t="shared" si="150"/>
        <v>4750.3724099999999</v>
      </c>
      <c r="AF896">
        <f t="shared" si="151"/>
        <v>4754.5471799999996</v>
      </c>
      <c r="AG896">
        <f t="shared" si="152"/>
        <v>4760.5925399999996</v>
      </c>
      <c r="AH896">
        <f t="shared" si="153"/>
        <v>4728.8544600000005</v>
      </c>
    </row>
    <row r="897" spans="1:34" x14ac:dyDescent="0.55000000000000004">
      <c r="A897">
        <f>ALGLIB_SSA_XAUUSD!J897</f>
        <v>1775666100</v>
      </c>
      <c r="B897" t="str">
        <f>_xlfn.XLOOKUP($A897,ALGLIB_SSA_XAUUSD!$A$2:$A$1000,ALGLIB_SSA_XAUUSD!$B$2:$B$1000,"",0)</f>
        <v/>
      </c>
      <c r="C897" t="str">
        <f>_xlfn.XLOOKUP($A897,ALGLIB_SSA_XAUUSD!$A$2:$A$1000,ALGLIB_SSA_XAUUSD!$C$2:$C$1000,"",0)</f>
        <v/>
      </c>
      <c r="D897" s="1">
        <f>D890+(D902-D890)*7/12</f>
        <v>4744.9433333333336</v>
      </c>
      <c r="E897" s="1">
        <f>E890+(E902-E890)*7/12</f>
        <v>4738.1410491666666</v>
      </c>
      <c r="F897" s="1">
        <f>F890+(F902-F890)*7/12</f>
        <v>4749.1062899999997</v>
      </c>
      <c r="G897" s="1">
        <f>G890+(G902-G890)*7/12</f>
        <v>4759.5547783333332</v>
      </c>
      <c r="H897" s="1">
        <f>H890+(H902-H890)*7/12</f>
        <v>4728.0390116666667</v>
      </c>
      <c r="I897" t="str">
        <f>_xlfn.XLOOKUP($A897,ALGLIB_SSA_XAUUSD!$J$2:$J$1000,ALGLIB_SSA_XAUUSD!$K$2:$K$1000,"",0)</f>
        <v>XAUUSD</v>
      </c>
      <c r="J897" t="str">
        <f>_xlfn.XLOOKUP($A897,ALGLIB_SSA_XAUUSD!$J$2:$J$1000,ALGLIB_SSA_XAUUSD!$L$2:$L$1000,"",0)</f>
        <v>M5</v>
      </c>
      <c r="K897">
        <f>_xlfn.XLOOKUP($A897,ALGLIB_SSA_XAUUSD!$J$2:$J$1000,ALGLIB_SSA_XAUUSD!$M$2:$M$1000,"",0)</f>
        <v>4759.13</v>
      </c>
      <c r="L897">
        <f>_xlfn.XLOOKUP($A897,ALGLIB_SSA_XAUUSD!$J$2:$J$1000,ALGLIB_SSA_XAUUSD!$N$2:$N$1000,"",0)</f>
        <v>4756.4169700000002</v>
      </c>
      <c r="M897">
        <f>_xlfn.XLOOKUP($A897,ALGLIB_SSA_XAUUSD!$J$2:$J$1000,ALGLIB_SSA_XAUUSD!$O$2:$O$1000,"",0)</f>
        <v>4755.09429</v>
      </c>
      <c r="N897">
        <f>_xlfn.XLOOKUP($A897,ALGLIB_SSA_XAUUSD!$J$2:$J$1000,ALGLIB_SSA_XAUUSD!$P$2:$P$1000,"",0)</f>
        <v>4757.9876700000004</v>
      </c>
      <c r="O897">
        <f>_xlfn.XLOOKUP($A897,ALGLIB_SSA_XAUUSD!$J$2:$J$1000,ALGLIB_SSA_XAUUSD!$Q$2:$Q$1000,"",0)</f>
        <v>4752.4690099999998</v>
      </c>
      <c r="R897">
        <f t="shared" si="143"/>
        <v>1775666100</v>
      </c>
      <c r="S897" t="str">
        <f t="shared" si="144"/>
        <v>XAUUSD</v>
      </c>
      <c r="T897" t="str">
        <f t="shared" si="145"/>
        <v>M5</v>
      </c>
      <c r="U897">
        <f t="shared" si="146"/>
        <v>4759.13</v>
      </c>
      <c r="V897">
        <v>4738.1410500000002</v>
      </c>
      <c r="W897">
        <v>4749.1062899999997</v>
      </c>
      <c r="X897">
        <v>4756.4169700000002</v>
      </c>
      <c r="Y897">
        <v>4755.09429</v>
      </c>
      <c r="Z897">
        <f t="shared" si="147"/>
        <v>4759.5547783333332</v>
      </c>
      <c r="AA897">
        <f t="shared" si="148"/>
        <v>4757.9876700000004</v>
      </c>
      <c r="AB897">
        <f t="shared" si="149"/>
        <v>4728.0390116666667</v>
      </c>
      <c r="AC897">
        <f t="shared" si="150"/>
        <v>4752.4690099999998</v>
      </c>
      <c r="AF897">
        <f t="shared" si="151"/>
        <v>4756.4169700000002</v>
      </c>
      <c r="AG897">
        <f t="shared" si="152"/>
        <v>4759.5547783333332</v>
      </c>
      <c r="AH897">
        <f t="shared" si="153"/>
        <v>4728.0390116666667</v>
      </c>
    </row>
    <row r="898" spans="1:34" x14ac:dyDescent="0.55000000000000004">
      <c r="A898">
        <f>ALGLIB_SSA_XAUUSD!J898</f>
        <v>1775666400</v>
      </c>
      <c r="B898" t="str">
        <f>_xlfn.XLOOKUP($A898,ALGLIB_SSA_XAUUSD!$A$2:$A$1000,ALGLIB_SSA_XAUUSD!$B$2:$B$1000,"",0)</f>
        <v/>
      </c>
      <c r="C898" t="str">
        <f>_xlfn.XLOOKUP($A898,ALGLIB_SSA_XAUUSD!$A$2:$A$1000,ALGLIB_SSA_XAUUSD!$C$2:$C$1000,"",0)</f>
        <v/>
      </c>
      <c r="D898" s="1">
        <f>D890+(D902-D890)*8/12</f>
        <v>4742.7166666666672</v>
      </c>
      <c r="E898" s="1">
        <f>E890+(E902-E890)*8/12</f>
        <v>4737.113073333333</v>
      </c>
      <c r="F898" s="1">
        <f>F890+(F902-F890)*8/12</f>
        <v>4748.1589299999996</v>
      </c>
      <c r="G898" s="1">
        <f>G890+(G902-G890)*8/12</f>
        <v>4758.5170166666667</v>
      </c>
      <c r="H898" s="1">
        <f>H890+(H902-H890)*8/12</f>
        <v>4727.223563333333</v>
      </c>
      <c r="I898" t="str">
        <f>_xlfn.XLOOKUP($A898,ALGLIB_SSA_XAUUSD!$J$2:$J$1000,ALGLIB_SSA_XAUUSD!$K$2:$K$1000,"",0)</f>
        <v>XAUUSD</v>
      </c>
      <c r="J898" t="str">
        <f>_xlfn.XLOOKUP($A898,ALGLIB_SSA_XAUUSD!$J$2:$J$1000,ALGLIB_SSA_XAUUSD!$L$2:$L$1000,"",0)</f>
        <v>M5</v>
      </c>
      <c r="K898">
        <f>_xlfn.XLOOKUP($A898,ALGLIB_SSA_XAUUSD!$J$2:$J$1000,ALGLIB_SSA_XAUUSD!$M$2:$M$1000,"",0)</f>
        <v>4758.58</v>
      </c>
      <c r="L898">
        <f>_xlfn.XLOOKUP($A898,ALGLIB_SSA_XAUUSD!$J$2:$J$1000,ALGLIB_SSA_XAUUSD!$N$2:$N$1000,"",0)</f>
        <v>4758.3676800000003</v>
      </c>
      <c r="M898">
        <f>_xlfn.XLOOKUP($A898,ALGLIB_SSA_XAUUSD!$J$2:$J$1000,ALGLIB_SSA_XAUUSD!$O$2:$O$1000,"",0)</f>
        <v>4756.73099</v>
      </c>
      <c r="N898">
        <f>_xlfn.XLOOKUP($A898,ALGLIB_SSA_XAUUSD!$J$2:$J$1000,ALGLIB_SSA_XAUUSD!$P$2:$P$1000,"",0)</f>
        <v>4759.6947899999996</v>
      </c>
      <c r="O898">
        <f>_xlfn.XLOOKUP($A898,ALGLIB_SSA_XAUUSD!$J$2:$J$1000,ALGLIB_SSA_XAUUSD!$Q$2:$Q$1000,"",0)</f>
        <v>4754.9252299999998</v>
      </c>
      <c r="R898">
        <f t="shared" si="143"/>
        <v>1775666400</v>
      </c>
      <c r="S898" t="str">
        <f t="shared" si="144"/>
        <v>XAUUSD</v>
      </c>
      <c r="T898" t="str">
        <f t="shared" si="145"/>
        <v>M5</v>
      </c>
      <c r="U898">
        <f t="shared" si="146"/>
        <v>4758.58</v>
      </c>
      <c r="V898">
        <v>4737.1130700000003</v>
      </c>
      <c r="W898">
        <v>4748.1589299999996</v>
      </c>
      <c r="X898">
        <v>4758.3676800000003</v>
      </c>
      <c r="Y898">
        <v>4756.73099</v>
      </c>
      <c r="Z898">
        <f t="shared" si="147"/>
        <v>4758.5170166666667</v>
      </c>
      <c r="AA898">
        <f t="shared" si="148"/>
        <v>4759.6947899999996</v>
      </c>
      <c r="AB898">
        <f t="shared" si="149"/>
        <v>4727.223563333333</v>
      </c>
      <c r="AC898">
        <f t="shared" si="150"/>
        <v>4754.9252299999998</v>
      </c>
      <c r="AF898">
        <f t="shared" si="151"/>
        <v>4758.3676800000003</v>
      </c>
      <c r="AG898">
        <f t="shared" si="152"/>
        <v>4758.5170166666667</v>
      </c>
      <c r="AH898">
        <f t="shared" si="153"/>
        <v>4727.223563333333</v>
      </c>
    </row>
    <row r="899" spans="1:34" x14ac:dyDescent="0.55000000000000004">
      <c r="A899">
        <f>ALGLIB_SSA_XAUUSD!J899</f>
        <v>1775666700</v>
      </c>
      <c r="B899" t="str">
        <f>_xlfn.XLOOKUP($A899,ALGLIB_SSA_XAUUSD!$A$2:$A$1000,ALGLIB_SSA_XAUUSD!$B$2:$B$1000,"",0)</f>
        <v/>
      </c>
      <c r="C899" t="str">
        <f>_xlfn.XLOOKUP($A899,ALGLIB_SSA_XAUUSD!$A$2:$A$1000,ALGLIB_SSA_XAUUSD!$C$2:$C$1000,"",0)</f>
        <v/>
      </c>
      <c r="D899" s="1">
        <f>D890+(D902-D890)*9/12</f>
        <v>4740.49</v>
      </c>
      <c r="E899" s="1">
        <f>E890+(E902-E890)*9/12</f>
        <v>4736.0850974999994</v>
      </c>
      <c r="F899" s="1">
        <f>F890+(F902-F890)*9/12</f>
        <v>4747.2115699999995</v>
      </c>
      <c r="G899" s="1">
        <f>G890+(G902-G890)*9/12</f>
        <v>4757.4792550000002</v>
      </c>
      <c r="H899" s="1">
        <f>H890+(H902-H890)*9/12</f>
        <v>4726.4081150000002</v>
      </c>
      <c r="I899" t="str">
        <f>_xlfn.XLOOKUP($A899,ALGLIB_SSA_XAUUSD!$J$2:$J$1000,ALGLIB_SSA_XAUUSD!$K$2:$K$1000,"",0)</f>
        <v>XAUUSD</v>
      </c>
      <c r="J899" t="str">
        <f>_xlfn.XLOOKUP($A899,ALGLIB_SSA_XAUUSD!$J$2:$J$1000,ALGLIB_SSA_XAUUSD!$L$2:$L$1000,"",0)</f>
        <v>M5</v>
      </c>
      <c r="K899">
        <f>_xlfn.XLOOKUP($A899,ALGLIB_SSA_XAUUSD!$J$2:$J$1000,ALGLIB_SSA_XAUUSD!$M$2:$M$1000,"",0)</f>
        <v>4760.8900000000003</v>
      </c>
      <c r="L899">
        <f>_xlfn.XLOOKUP($A899,ALGLIB_SSA_XAUUSD!$J$2:$J$1000,ALGLIB_SSA_XAUUSD!$N$2:$N$1000,"",0)</f>
        <v>4760.1383400000004</v>
      </c>
      <c r="M899">
        <f>_xlfn.XLOOKUP($A899,ALGLIB_SSA_XAUUSD!$J$2:$J$1000,ALGLIB_SSA_XAUUSD!$O$2:$O$1000,"",0)</f>
        <v>4758.4346599999999</v>
      </c>
      <c r="N899">
        <f>_xlfn.XLOOKUP($A899,ALGLIB_SSA_XAUUSD!$J$2:$J$1000,ALGLIB_SSA_XAUUSD!$P$2:$P$1000,"",0)</f>
        <v>4761.49755</v>
      </c>
      <c r="O899">
        <f>_xlfn.XLOOKUP($A899,ALGLIB_SSA_XAUUSD!$J$2:$J$1000,ALGLIB_SSA_XAUUSD!$Q$2:$Q$1000,"",0)</f>
        <v>4757.2662499999997</v>
      </c>
      <c r="R899">
        <f t="shared" ref="R899:R962" si="154">A899</f>
        <v>1775666700</v>
      </c>
      <c r="S899" t="str">
        <f t="shared" ref="S899:S962" si="155">I899</f>
        <v>XAUUSD</v>
      </c>
      <c r="T899" t="str">
        <f t="shared" ref="T899:T962" si="156">J899</f>
        <v>M5</v>
      </c>
      <c r="U899">
        <f t="shared" ref="U899:U962" si="157">K899</f>
        <v>4760.8900000000003</v>
      </c>
      <c r="V899">
        <v>4736.0851000000002</v>
      </c>
      <c r="W899">
        <v>4747.2115700000004</v>
      </c>
      <c r="X899">
        <v>4760.1383400000004</v>
      </c>
      <c r="Y899">
        <v>4758.4346599999999</v>
      </c>
      <c r="Z899">
        <f t="shared" ref="Z899:Z962" si="158">G899</f>
        <v>4757.4792550000002</v>
      </c>
      <c r="AA899">
        <f t="shared" ref="AA899:AA962" si="159">N899</f>
        <v>4761.49755</v>
      </c>
      <c r="AB899">
        <f t="shared" ref="AB899:AB962" si="160">H899</f>
        <v>4726.4081150000002</v>
      </c>
      <c r="AC899">
        <f t="shared" ref="AC899:AC962" si="161">O899</f>
        <v>4757.2662499999997</v>
      </c>
      <c r="AF899">
        <f t="shared" ref="AF899:AF962" si="162">X899</f>
        <v>4760.1383400000004</v>
      </c>
      <c r="AG899">
        <f t="shared" ref="AG899:AG962" si="163">Z899</f>
        <v>4757.4792550000002</v>
      </c>
      <c r="AH899">
        <f t="shared" ref="AH899:AH962" si="164">AB899</f>
        <v>4726.4081150000002</v>
      </c>
    </row>
    <row r="900" spans="1:34" x14ac:dyDescent="0.55000000000000004">
      <c r="A900">
        <f>ALGLIB_SSA_XAUUSD!J900</f>
        <v>1775667000</v>
      </c>
      <c r="B900" t="str">
        <f>_xlfn.XLOOKUP($A900,ALGLIB_SSA_XAUUSD!$A$2:$A$1000,ALGLIB_SSA_XAUUSD!$B$2:$B$1000,"",0)</f>
        <v/>
      </c>
      <c r="C900" t="str">
        <f>_xlfn.XLOOKUP($A900,ALGLIB_SSA_XAUUSD!$A$2:$A$1000,ALGLIB_SSA_XAUUSD!$C$2:$C$1000,"",0)</f>
        <v/>
      </c>
      <c r="D900" s="1">
        <f>D890+(D902-D890)*10/12</f>
        <v>4738.2633333333333</v>
      </c>
      <c r="E900" s="1">
        <f>E890+(E902-E890)*10/12</f>
        <v>4735.0571216666667</v>
      </c>
      <c r="F900" s="1">
        <f>F890+(F902-F890)*10/12</f>
        <v>4746.2642100000003</v>
      </c>
      <c r="G900" s="1">
        <f>G890+(G902-G890)*10/12</f>
        <v>4756.4414933333337</v>
      </c>
      <c r="H900" s="1">
        <f>H890+(H902-H890)*10/12</f>
        <v>4725.5926666666664</v>
      </c>
      <c r="I900" t="str">
        <f>_xlfn.XLOOKUP($A900,ALGLIB_SSA_XAUUSD!$J$2:$J$1000,ALGLIB_SSA_XAUUSD!$K$2:$K$1000,"",0)</f>
        <v>XAUUSD</v>
      </c>
      <c r="J900" t="str">
        <f>_xlfn.XLOOKUP($A900,ALGLIB_SSA_XAUUSD!$J$2:$J$1000,ALGLIB_SSA_XAUUSD!$L$2:$L$1000,"",0)</f>
        <v>M5</v>
      </c>
      <c r="K900">
        <f>_xlfn.XLOOKUP($A900,ALGLIB_SSA_XAUUSD!$J$2:$J$1000,ALGLIB_SSA_XAUUSD!$M$2:$M$1000,"",0)</f>
        <v>4760.8900000000003</v>
      </c>
      <c r="L900">
        <f>_xlfn.XLOOKUP($A900,ALGLIB_SSA_XAUUSD!$J$2:$J$1000,ALGLIB_SSA_XAUUSD!$N$2:$N$1000,"",0)</f>
        <v>4761.4058999999997</v>
      </c>
      <c r="M900">
        <f>_xlfn.XLOOKUP($A900,ALGLIB_SSA_XAUUSD!$J$2:$J$1000,ALGLIB_SSA_XAUUSD!$O$2:$O$1000,"",0)</f>
        <v>4759.9202800000003</v>
      </c>
      <c r="N900">
        <f>_xlfn.XLOOKUP($A900,ALGLIB_SSA_XAUUSD!$J$2:$J$1000,ALGLIB_SSA_XAUUSD!$P$2:$P$1000,"",0)</f>
        <v>4763.09969</v>
      </c>
      <c r="O900">
        <f>_xlfn.XLOOKUP($A900,ALGLIB_SSA_XAUUSD!$J$2:$J$1000,ALGLIB_SSA_XAUUSD!$Q$2:$Q$1000,"",0)</f>
        <v>4759.1095999999998</v>
      </c>
      <c r="R900">
        <f t="shared" si="154"/>
        <v>1775667000</v>
      </c>
      <c r="S900" t="str">
        <f t="shared" si="155"/>
        <v>XAUUSD</v>
      </c>
      <c r="T900" t="str">
        <f t="shared" si="156"/>
        <v>M5</v>
      </c>
      <c r="U900">
        <f t="shared" si="157"/>
        <v>4760.8900000000003</v>
      </c>
      <c r="V900">
        <v>4735.0571200000004</v>
      </c>
      <c r="W900">
        <v>4746.2642100000003</v>
      </c>
      <c r="X900">
        <v>4761.4058999999997</v>
      </c>
      <c r="Y900">
        <v>4759.9202800000003</v>
      </c>
      <c r="Z900">
        <f t="shared" si="158"/>
        <v>4756.4414933333337</v>
      </c>
      <c r="AA900">
        <f t="shared" si="159"/>
        <v>4763.09969</v>
      </c>
      <c r="AB900">
        <f t="shared" si="160"/>
        <v>4725.5926666666664</v>
      </c>
      <c r="AC900">
        <f t="shared" si="161"/>
        <v>4759.1095999999998</v>
      </c>
      <c r="AF900">
        <f t="shared" si="162"/>
        <v>4761.4058999999997</v>
      </c>
      <c r="AG900">
        <f t="shared" si="163"/>
        <v>4756.4414933333337</v>
      </c>
      <c r="AH900">
        <f t="shared" si="164"/>
        <v>4725.5926666666664</v>
      </c>
    </row>
    <row r="901" spans="1:34" x14ac:dyDescent="0.55000000000000004">
      <c r="A901">
        <f>ALGLIB_SSA_XAUUSD!J901</f>
        <v>1775667300</v>
      </c>
      <c r="B901" t="str">
        <f>_xlfn.XLOOKUP($A901,ALGLIB_SSA_XAUUSD!$A$2:$A$1000,ALGLIB_SSA_XAUUSD!$B$2:$B$1000,"",0)</f>
        <v/>
      </c>
      <c r="C901" t="str">
        <f>_xlfn.XLOOKUP($A901,ALGLIB_SSA_XAUUSD!$A$2:$A$1000,ALGLIB_SSA_XAUUSD!$C$2:$C$1000,"",0)</f>
        <v/>
      </c>
      <c r="D901" s="1">
        <f>D890+(D902-D890)*11/12</f>
        <v>4736.0366666666669</v>
      </c>
      <c r="E901" s="1">
        <f>E890+(E902-E890)*11/12</f>
        <v>4734.0291458333331</v>
      </c>
      <c r="F901" s="1">
        <f>F890+(F902-F890)*11/12</f>
        <v>4745.3168500000002</v>
      </c>
      <c r="G901" s="1">
        <f>G890+(G902-G890)*11/12</f>
        <v>4755.4037316666663</v>
      </c>
      <c r="H901" s="1">
        <f>H890+(H902-H890)*11/12</f>
        <v>4724.7772183333336</v>
      </c>
      <c r="I901" t="str">
        <f>_xlfn.XLOOKUP($A901,ALGLIB_SSA_XAUUSD!$J$2:$J$1000,ALGLIB_SSA_XAUUSD!$K$2:$K$1000,"",0)</f>
        <v>XAUUSD</v>
      </c>
      <c r="J901" t="str">
        <f>_xlfn.XLOOKUP($A901,ALGLIB_SSA_XAUUSD!$J$2:$J$1000,ALGLIB_SSA_XAUUSD!$L$2:$L$1000,"",0)</f>
        <v>M5</v>
      </c>
      <c r="K901">
        <f>_xlfn.XLOOKUP($A901,ALGLIB_SSA_XAUUSD!$J$2:$J$1000,ALGLIB_SSA_XAUUSD!$M$2:$M$1000,"",0)</f>
        <v>4760.53</v>
      </c>
      <c r="L901">
        <f>_xlfn.XLOOKUP($A901,ALGLIB_SSA_XAUUSD!$J$2:$J$1000,ALGLIB_SSA_XAUUSD!$N$2:$N$1000,"",0)</f>
        <v>4761.9163799999997</v>
      </c>
      <c r="M901">
        <f>_xlfn.XLOOKUP($A901,ALGLIB_SSA_XAUUSD!$J$2:$J$1000,ALGLIB_SSA_XAUUSD!$O$2:$O$1000,"",0)</f>
        <v>4760.9183300000004</v>
      </c>
      <c r="N901">
        <f>_xlfn.XLOOKUP($A901,ALGLIB_SSA_XAUUSD!$J$2:$J$1000,ALGLIB_SSA_XAUUSD!$P$2:$P$1000,"",0)</f>
        <v>4764.1753699999999</v>
      </c>
      <c r="O901">
        <f>_xlfn.XLOOKUP($A901,ALGLIB_SSA_XAUUSD!$J$2:$J$1000,ALGLIB_SSA_XAUUSD!$Q$2:$Q$1000,"",0)</f>
        <v>4760.0306</v>
      </c>
      <c r="R901">
        <f t="shared" si="154"/>
        <v>1775667300</v>
      </c>
      <c r="S901" t="str">
        <f t="shared" si="155"/>
        <v>XAUUSD</v>
      </c>
      <c r="T901" t="str">
        <f t="shared" si="156"/>
        <v>M5</v>
      </c>
      <c r="U901">
        <f t="shared" si="157"/>
        <v>4760.53</v>
      </c>
      <c r="V901">
        <v>4734.0291500000003</v>
      </c>
      <c r="W901">
        <v>4745.3168500000002</v>
      </c>
      <c r="X901">
        <v>4761.9163799999997</v>
      </c>
      <c r="Y901">
        <v>4760.9183300000004</v>
      </c>
      <c r="Z901">
        <f t="shared" si="158"/>
        <v>4755.4037316666663</v>
      </c>
      <c r="AA901">
        <f t="shared" si="159"/>
        <v>4764.1753699999999</v>
      </c>
      <c r="AB901">
        <f t="shared" si="160"/>
        <v>4724.7772183333336</v>
      </c>
      <c r="AC901">
        <f t="shared" si="161"/>
        <v>4760.0306</v>
      </c>
      <c r="AF901">
        <f t="shared" si="162"/>
        <v>4761.9163799999997</v>
      </c>
      <c r="AG901">
        <f t="shared" si="163"/>
        <v>4755.4037316666663</v>
      </c>
      <c r="AH901">
        <f t="shared" si="164"/>
        <v>4724.7772183333336</v>
      </c>
    </row>
    <row r="902" spans="1:34" x14ac:dyDescent="0.55000000000000004">
      <c r="A902">
        <f>ALGLIB_SSA_XAUUSD!J902</f>
        <v>1775667600</v>
      </c>
      <c r="B902" t="str">
        <f>_xlfn.XLOOKUP($A902,ALGLIB_SSA_XAUUSD!$A$2:$A$1000,ALGLIB_SSA_XAUUSD!$B$2:$B$1000,"",0)</f>
        <v>XAUUSD</v>
      </c>
      <c r="C902" t="str">
        <f>_xlfn.XLOOKUP($A902,ALGLIB_SSA_XAUUSD!$A$2:$A$1000,ALGLIB_SSA_XAUUSD!$C$2:$C$1000,"",0)</f>
        <v>H1</v>
      </c>
      <c r="D902" s="2">
        <f>_xlfn.XLOOKUP($A902,ALGLIB_SSA_XAUUSD!$A$2:$A$1000,ALGLIB_SSA_XAUUSD!$D$2:$D$1000,"",0)</f>
        <v>4733.8100000000004</v>
      </c>
      <c r="E902" s="2">
        <f>_xlfn.XLOOKUP($A902,ALGLIB_SSA_XAUUSD!$A$2:$A$1000,ALGLIB_SSA_XAUUSD!$E$2:$E$1000,"",0)</f>
        <v>4733.0011699999995</v>
      </c>
      <c r="F902" s="2">
        <f>_xlfn.XLOOKUP($A902,ALGLIB_SSA_XAUUSD!$A$2:$A$1000,ALGLIB_SSA_XAUUSD!$F$2:$F$1000,"",0)</f>
        <v>4744.36949</v>
      </c>
      <c r="G902" s="2">
        <f>_xlfn.XLOOKUP($A902,ALGLIB_SSA_XAUUSD!$A$2:$A$1000,ALGLIB_SSA_XAUUSD!$G$2:$G$1000,"",0)</f>
        <v>4754.3659699999998</v>
      </c>
      <c r="H902" s="2">
        <f>_xlfn.XLOOKUP($A902,ALGLIB_SSA_XAUUSD!$A$2:$A$1000,ALGLIB_SSA_XAUUSD!$H$2:$H$1000,"",0)</f>
        <v>4723.9617699999999</v>
      </c>
      <c r="I902" t="str">
        <f>_xlfn.XLOOKUP($A902,ALGLIB_SSA_XAUUSD!$J$2:$J$1000,ALGLIB_SSA_XAUUSD!$K$2:$K$1000,"",0)</f>
        <v>XAUUSD</v>
      </c>
      <c r="J902" t="str">
        <f>_xlfn.XLOOKUP($A902,ALGLIB_SSA_XAUUSD!$J$2:$J$1000,ALGLIB_SSA_XAUUSD!$L$2:$L$1000,"",0)</f>
        <v>M5</v>
      </c>
      <c r="K902">
        <f>_xlfn.XLOOKUP($A902,ALGLIB_SSA_XAUUSD!$J$2:$J$1000,ALGLIB_SSA_XAUUSD!$M$2:$M$1000,"",0)</f>
        <v>4760.3900000000003</v>
      </c>
      <c r="L902">
        <f>_xlfn.XLOOKUP($A902,ALGLIB_SSA_XAUUSD!$J$2:$J$1000,ALGLIB_SSA_XAUUSD!$N$2:$N$1000,"",0)</f>
        <v>4761.4969899999996</v>
      </c>
      <c r="M902">
        <f>_xlfn.XLOOKUP($A902,ALGLIB_SSA_XAUUSD!$J$2:$J$1000,ALGLIB_SSA_XAUUSD!$O$2:$O$1000,"",0)</f>
        <v>4761.20766</v>
      </c>
      <c r="N902">
        <f>_xlfn.XLOOKUP($A902,ALGLIB_SSA_XAUUSD!$J$2:$J$1000,ALGLIB_SSA_XAUUSD!$P$2:$P$1000,"",0)</f>
        <v>4764.5694700000004</v>
      </c>
      <c r="O902">
        <f>_xlfn.XLOOKUP($A902,ALGLIB_SSA_XAUUSD!$J$2:$J$1000,ALGLIB_SSA_XAUUSD!$Q$2:$Q$1000,"",0)</f>
        <v>4759.8199100000002</v>
      </c>
      <c r="R902">
        <f t="shared" si="154"/>
        <v>1775667600</v>
      </c>
      <c r="S902" t="str">
        <f t="shared" si="155"/>
        <v>XAUUSD</v>
      </c>
      <c r="T902" t="str">
        <f t="shared" si="156"/>
        <v>M5</v>
      </c>
      <c r="U902">
        <f t="shared" si="157"/>
        <v>4760.3900000000003</v>
      </c>
      <c r="V902">
        <v>4733.0011699999995</v>
      </c>
      <c r="W902">
        <v>4744.36949</v>
      </c>
      <c r="X902">
        <v>4761.4969899999996</v>
      </c>
      <c r="Y902">
        <v>4761.20766</v>
      </c>
      <c r="Z902">
        <f t="shared" si="158"/>
        <v>4754.3659699999998</v>
      </c>
      <c r="AA902">
        <f t="shared" si="159"/>
        <v>4764.5694700000004</v>
      </c>
      <c r="AB902">
        <f t="shared" si="160"/>
        <v>4723.9617699999999</v>
      </c>
      <c r="AC902">
        <f t="shared" si="161"/>
        <v>4759.8199100000002</v>
      </c>
      <c r="AF902">
        <f t="shared" si="162"/>
        <v>4761.4969899999996</v>
      </c>
      <c r="AG902">
        <f t="shared" si="163"/>
        <v>4754.3659699999998</v>
      </c>
      <c r="AH902">
        <f t="shared" si="164"/>
        <v>4723.9617699999999</v>
      </c>
    </row>
    <row r="903" spans="1:34" x14ac:dyDescent="0.55000000000000004">
      <c r="A903">
        <f>ALGLIB_SSA_XAUUSD!J903</f>
        <v>1775667900</v>
      </c>
      <c r="B903" t="str">
        <f>_xlfn.XLOOKUP($A903,ALGLIB_SSA_XAUUSD!$A$2:$A$1000,ALGLIB_SSA_XAUUSD!$B$2:$B$1000,"",0)</f>
        <v/>
      </c>
      <c r="C903" t="str">
        <f>_xlfn.XLOOKUP($A903,ALGLIB_SSA_XAUUSD!$A$2:$A$1000,ALGLIB_SSA_XAUUSD!$C$2:$C$1000,"",0)</f>
        <v/>
      </c>
      <c r="D903" s="1">
        <f>D902+(D914-D902)*1/12</f>
        <v>4731.4558333333334</v>
      </c>
      <c r="E903" s="1">
        <f>E902+(E914-E902)*1/12</f>
        <v>4732.1243516666664</v>
      </c>
      <c r="F903" s="1">
        <f>F902+(F914-F902)*1/12</f>
        <v>4743.4574008333329</v>
      </c>
      <c r="G903" s="1">
        <f>G902+(G914-G902)*1/12</f>
        <v>4753.4083891666669</v>
      </c>
      <c r="H903" s="1">
        <f>H902+(H914-H902)*1/12</f>
        <v>4723.1710883333335</v>
      </c>
      <c r="I903" t="str">
        <f>_xlfn.XLOOKUP($A903,ALGLIB_SSA_XAUUSD!$J$2:$J$1000,ALGLIB_SSA_XAUUSD!$K$2:$K$1000,"",0)</f>
        <v>XAUUSD</v>
      </c>
      <c r="J903" t="str">
        <f>_xlfn.XLOOKUP($A903,ALGLIB_SSA_XAUUSD!$J$2:$J$1000,ALGLIB_SSA_XAUUSD!$L$2:$L$1000,"",0)</f>
        <v>M5</v>
      </c>
      <c r="K903">
        <f>_xlfn.XLOOKUP($A903,ALGLIB_SSA_XAUUSD!$J$2:$J$1000,ALGLIB_SSA_XAUUSD!$M$2:$M$1000,"",0)</f>
        <v>4758.01</v>
      </c>
      <c r="L903">
        <f>_xlfn.XLOOKUP($A903,ALGLIB_SSA_XAUUSD!$J$2:$J$1000,ALGLIB_SSA_XAUUSD!$N$2:$N$1000,"",0)</f>
        <v>4760.0564899999999</v>
      </c>
      <c r="M903">
        <f>_xlfn.XLOOKUP($A903,ALGLIB_SSA_XAUUSD!$J$2:$J$1000,ALGLIB_SSA_XAUUSD!$O$2:$O$1000,"",0)</f>
        <v>4760.6320699999997</v>
      </c>
      <c r="N903">
        <f>_xlfn.XLOOKUP($A903,ALGLIB_SSA_XAUUSD!$J$2:$J$1000,ALGLIB_SSA_XAUUSD!$P$2:$P$1000,"",0)</f>
        <v>4764.0593399999998</v>
      </c>
      <c r="O903">
        <f>_xlfn.XLOOKUP($A903,ALGLIB_SSA_XAUUSD!$J$2:$J$1000,ALGLIB_SSA_XAUUSD!$Q$2:$Q$1000,"",0)</f>
        <v>4758.41338</v>
      </c>
      <c r="R903">
        <f t="shared" si="154"/>
        <v>1775667900</v>
      </c>
      <c r="S903" t="str">
        <f t="shared" si="155"/>
        <v>XAUUSD</v>
      </c>
      <c r="T903" t="str">
        <f t="shared" si="156"/>
        <v>M5</v>
      </c>
      <c r="U903">
        <f t="shared" si="157"/>
        <v>4758.01</v>
      </c>
      <c r="V903">
        <v>4732.12435</v>
      </c>
      <c r="W903">
        <v>4743.4574000000002</v>
      </c>
      <c r="X903">
        <v>4760.0564899999999</v>
      </c>
      <c r="Y903">
        <v>4760.6320699999997</v>
      </c>
      <c r="Z903">
        <f t="shared" si="158"/>
        <v>4753.4083891666669</v>
      </c>
      <c r="AA903">
        <f t="shared" si="159"/>
        <v>4764.0593399999998</v>
      </c>
      <c r="AB903">
        <f t="shared" si="160"/>
        <v>4723.1710883333335</v>
      </c>
      <c r="AC903">
        <f t="shared" si="161"/>
        <v>4758.41338</v>
      </c>
      <c r="AF903">
        <f t="shared" si="162"/>
        <v>4760.0564899999999</v>
      </c>
      <c r="AG903">
        <f t="shared" si="163"/>
        <v>4753.4083891666669</v>
      </c>
      <c r="AH903">
        <f t="shared" si="164"/>
        <v>4723.1710883333335</v>
      </c>
    </row>
    <row r="904" spans="1:34" x14ac:dyDescent="0.55000000000000004">
      <c r="A904">
        <f>ALGLIB_SSA_XAUUSD!J904</f>
        <v>1775668200</v>
      </c>
      <c r="B904" t="str">
        <f>_xlfn.XLOOKUP($A904,ALGLIB_SSA_XAUUSD!$A$2:$A$1000,ALGLIB_SSA_XAUUSD!$B$2:$B$1000,"",0)</f>
        <v/>
      </c>
      <c r="C904" t="str">
        <f>_xlfn.XLOOKUP($A904,ALGLIB_SSA_XAUUSD!$A$2:$A$1000,ALGLIB_SSA_XAUUSD!$C$2:$C$1000,"",0)</f>
        <v/>
      </c>
      <c r="D904" s="1">
        <f>D902+(D914-D902)*2/12</f>
        <v>4729.1016666666674</v>
      </c>
      <c r="E904" s="1">
        <f>E902+(E914-E902)*2/12</f>
        <v>4731.2475333333332</v>
      </c>
      <c r="F904" s="1">
        <f>F902+(F914-F902)*2/12</f>
        <v>4742.5453116666667</v>
      </c>
      <c r="G904" s="1">
        <f>G902+(G914-G902)*2/12</f>
        <v>4752.450808333333</v>
      </c>
      <c r="H904" s="1">
        <f>H902+(H914-H902)*2/12</f>
        <v>4722.3804066666662</v>
      </c>
      <c r="I904" t="str">
        <f>_xlfn.XLOOKUP($A904,ALGLIB_SSA_XAUUSD!$J$2:$J$1000,ALGLIB_SSA_XAUUSD!$K$2:$K$1000,"",0)</f>
        <v>XAUUSD</v>
      </c>
      <c r="J904" t="str">
        <f>_xlfn.XLOOKUP($A904,ALGLIB_SSA_XAUUSD!$J$2:$J$1000,ALGLIB_SSA_XAUUSD!$L$2:$L$1000,"",0)</f>
        <v>M5</v>
      </c>
      <c r="K904">
        <f>_xlfn.XLOOKUP($A904,ALGLIB_SSA_XAUUSD!$J$2:$J$1000,ALGLIB_SSA_XAUUSD!$M$2:$M$1000,"",0)</f>
        <v>4760.8100000000004</v>
      </c>
      <c r="L904">
        <f>_xlfn.XLOOKUP($A904,ALGLIB_SSA_XAUUSD!$J$2:$J$1000,ALGLIB_SSA_XAUUSD!$N$2:$N$1000,"",0)</f>
        <v>4757.6555799999996</v>
      </c>
      <c r="M904">
        <f>_xlfn.XLOOKUP($A904,ALGLIB_SSA_XAUUSD!$J$2:$J$1000,ALGLIB_SSA_XAUUSD!$O$2:$O$1000,"",0)</f>
        <v>4759.14383</v>
      </c>
      <c r="N904">
        <f>_xlfn.XLOOKUP($A904,ALGLIB_SSA_XAUUSD!$J$2:$J$1000,ALGLIB_SSA_XAUUSD!$P$2:$P$1000,"",0)</f>
        <v>4762.6329999999998</v>
      </c>
      <c r="O904">
        <f>_xlfn.XLOOKUP($A904,ALGLIB_SSA_XAUUSD!$J$2:$J$1000,ALGLIB_SSA_XAUUSD!$Q$2:$Q$1000,"",0)</f>
        <v>4755.9424600000002</v>
      </c>
      <c r="R904">
        <f t="shared" si="154"/>
        <v>1775668200</v>
      </c>
      <c r="S904" t="str">
        <f t="shared" si="155"/>
        <v>XAUUSD</v>
      </c>
      <c r="T904" t="str">
        <f t="shared" si="156"/>
        <v>M5</v>
      </c>
      <c r="U904">
        <f t="shared" si="157"/>
        <v>4760.8100000000004</v>
      </c>
      <c r="V904">
        <v>4731.2475299999996</v>
      </c>
      <c r="W904">
        <v>4742.5453100000004</v>
      </c>
      <c r="X904">
        <v>4757.6555799999996</v>
      </c>
      <c r="Y904">
        <v>4759.14383</v>
      </c>
      <c r="Z904">
        <f t="shared" si="158"/>
        <v>4752.450808333333</v>
      </c>
      <c r="AA904">
        <f t="shared" si="159"/>
        <v>4762.6329999999998</v>
      </c>
      <c r="AB904">
        <f t="shared" si="160"/>
        <v>4722.3804066666662</v>
      </c>
      <c r="AC904">
        <f t="shared" si="161"/>
        <v>4755.9424600000002</v>
      </c>
      <c r="AF904">
        <f t="shared" si="162"/>
        <v>4757.6555799999996</v>
      </c>
      <c r="AG904">
        <f t="shared" si="163"/>
        <v>4752.450808333333</v>
      </c>
      <c r="AH904">
        <f t="shared" si="164"/>
        <v>4722.3804066666662</v>
      </c>
    </row>
    <row r="905" spans="1:34" x14ac:dyDescent="0.55000000000000004">
      <c r="A905">
        <f>ALGLIB_SSA_XAUUSD!J905</f>
        <v>1775668500</v>
      </c>
      <c r="B905" t="str">
        <f>_xlfn.XLOOKUP($A905,ALGLIB_SSA_XAUUSD!$A$2:$A$1000,ALGLIB_SSA_XAUUSD!$B$2:$B$1000,"",0)</f>
        <v/>
      </c>
      <c r="C905" t="str">
        <f>_xlfn.XLOOKUP($A905,ALGLIB_SSA_XAUUSD!$A$2:$A$1000,ALGLIB_SSA_XAUUSD!$C$2:$C$1000,"",0)</f>
        <v/>
      </c>
      <c r="D905" s="1">
        <f>D902+(D914-D902)*3/12</f>
        <v>4726.7475000000004</v>
      </c>
      <c r="E905" s="1">
        <f>E902+(E914-E902)*3/12</f>
        <v>4730.3707149999991</v>
      </c>
      <c r="F905" s="1">
        <f>F902+(F914-F902)*3/12</f>
        <v>4741.6332225000006</v>
      </c>
      <c r="G905" s="1">
        <f>G902+(G914-G902)*3/12</f>
        <v>4751.4932275000001</v>
      </c>
      <c r="H905" s="1">
        <f>H902+(H914-H902)*3/12</f>
        <v>4721.5897249999998</v>
      </c>
      <c r="I905" t="str">
        <f>_xlfn.XLOOKUP($A905,ALGLIB_SSA_XAUUSD!$J$2:$J$1000,ALGLIB_SSA_XAUUSD!$K$2:$K$1000,"",0)</f>
        <v>XAUUSD</v>
      </c>
      <c r="J905" t="str">
        <f>_xlfn.XLOOKUP($A905,ALGLIB_SSA_XAUUSD!$J$2:$J$1000,ALGLIB_SSA_XAUUSD!$L$2:$L$1000,"",0)</f>
        <v>M5</v>
      </c>
      <c r="K905">
        <f>_xlfn.XLOOKUP($A905,ALGLIB_SSA_XAUUSD!$J$2:$J$1000,ALGLIB_SSA_XAUUSD!$M$2:$M$1000,"",0)</f>
        <v>4755.49</v>
      </c>
      <c r="L905">
        <f>_xlfn.XLOOKUP($A905,ALGLIB_SSA_XAUUSD!$J$2:$J$1000,ALGLIB_SSA_XAUUSD!$N$2:$N$1000,"",0)</f>
        <v>4754.3743899999999</v>
      </c>
      <c r="M905">
        <f>_xlfn.XLOOKUP($A905,ALGLIB_SSA_XAUUSD!$J$2:$J$1000,ALGLIB_SSA_XAUUSD!$O$2:$O$1000,"",0)</f>
        <v>4756.75911</v>
      </c>
      <c r="N905">
        <f>_xlfn.XLOOKUP($A905,ALGLIB_SSA_XAUUSD!$J$2:$J$1000,ALGLIB_SSA_XAUUSD!$P$2:$P$1000,"",0)</f>
        <v>4760.2546400000001</v>
      </c>
      <c r="O905">
        <f>_xlfn.XLOOKUP($A905,ALGLIB_SSA_XAUUSD!$J$2:$J$1000,ALGLIB_SSA_XAUUSD!$Q$2:$Q$1000,"",0)</f>
        <v>4752.5824199999997</v>
      </c>
      <c r="R905">
        <f t="shared" si="154"/>
        <v>1775668500</v>
      </c>
      <c r="S905" t="str">
        <f t="shared" si="155"/>
        <v>XAUUSD</v>
      </c>
      <c r="T905" t="str">
        <f t="shared" si="156"/>
        <v>M5</v>
      </c>
      <c r="U905">
        <f t="shared" si="157"/>
        <v>4755.49</v>
      </c>
      <c r="V905">
        <v>4730.3707100000001</v>
      </c>
      <c r="W905">
        <v>4741.6332199999997</v>
      </c>
      <c r="X905">
        <v>4754.3743899999999</v>
      </c>
      <c r="Y905">
        <v>4756.75911</v>
      </c>
      <c r="Z905">
        <f t="shared" si="158"/>
        <v>4751.4932275000001</v>
      </c>
      <c r="AA905">
        <f t="shared" si="159"/>
        <v>4760.2546400000001</v>
      </c>
      <c r="AB905">
        <f t="shared" si="160"/>
        <v>4721.5897249999998</v>
      </c>
      <c r="AC905">
        <f t="shared" si="161"/>
        <v>4752.5824199999997</v>
      </c>
      <c r="AF905">
        <f t="shared" si="162"/>
        <v>4754.3743899999999</v>
      </c>
      <c r="AG905">
        <f t="shared" si="163"/>
        <v>4751.4932275000001</v>
      </c>
      <c r="AH905">
        <f t="shared" si="164"/>
        <v>4721.5897249999998</v>
      </c>
    </row>
    <row r="906" spans="1:34" x14ac:dyDescent="0.55000000000000004">
      <c r="A906">
        <f>ALGLIB_SSA_XAUUSD!J906</f>
        <v>1775668800</v>
      </c>
      <c r="B906" t="str">
        <f>_xlfn.XLOOKUP($A906,ALGLIB_SSA_XAUUSD!$A$2:$A$1000,ALGLIB_SSA_XAUUSD!$B$2:$B$1000,"",0)</f>
        <v/>
      </c>
      <c r="C906" t="str">
        <f>_xlfn.XLOOKUP($A906,ALGLIB_SSA_XAUUSD!$A$2:$A$1000,ALGLIB_SSA_XAUUSD!$C$2:$C$1000,"",0)</f>
        <v/>
      </c>
      <c r="D906" s="1">
        <f>D902+(D914-D902)*4/12</f>
        <v>4724.3933333333334</v>
      </c>
      <c r="E906" s="1">
        <f>E902+(E914-E902)*4/12</f>
        <v>4729.4938966666659</v>
      </c>
      <c r="F906" s="1">
        <f>F902+(F914-F902)*4/12</f>
        <v>4740.7211333333335</v>
      </c>
      <c r="G906" s="1">
        <f>G902+(G914-G902)*4/12</f>
        <v>4750.5356466666663</v>
      </c>
      <c r="H906" s="1">
        <f>H902+(H914-H902)*4/12</f>
        <v>4720.7990433333334</v>
      </c>
      <c r="I906" t="str">
        <f>_xlfn.XLOOKUP($A906,ALGLIB_SSA_XAUUSD!$J$2:$J$1000,ALGLIB_SSA_XAUUSD!$K$2:$K$1000,"",0)</f>
        <v>XAUUSD</v>
      </c>
      <c r="J906" t="str">
        <f>_xlfn.XLOOKUP($A906,ALGLIB_SSA_XAUUSD!$J$2:$J$1000,ALGLIB_SSA_XAUUSD!$L$2:$L$1000,"",0)</f>
        <v>M5</v>
      </c>
      <c r="K906">
        <f>_xlfn.XLOOKUP($A906,ALGLIB_SSA_XAUUSD!$J$2:$J$1000,ALGLIB_SSA_XAUUSD!$M$2:$M$1000,"",0)</f>
        <v>4747.9799999999996</v>
      </c>
      <c r="L906">
        <f>_xlfn.XLOOKUP($A906,ALGLIB_SSA_XAUUSD!$J$2:$J$1000,ALGLIB_SSA_XAUUSD!$N$2:$N$1000,"",0)</f>
        <v>4750.6161700000002</v>
      </c>
      <c r="M906">
        <f>_xlfn.XLOOKUP($A906,ALGLIB_SSA_XAUUSD!$J$2:$J$1000,ALGLIB_SSA_XAUUSD!$O$2:$O$1000,"",0)</f>
        <v>4753.6876400000001</v>
      </c>
      <c r="N906">
        <f>_xlfn.XLOOKUP($A906,ALGLIB_SSA_XAUUSD!$J$2:$J$1000,ALGLIB_SSA_XAUUSD!$P$2:$P$1000,"",0)</f>
        <v>4757.0490099999997</v>
      </c>
      <c r="O906">
        <f>_xlfn.XLOOKUP($A906,ALGLIB_SSA_XAUUSD!$J$2:$J$1000,ALGLIB_SSA_XAUUSD!$Q$2:$Q$1000,"",0)</f>
        <v>4748.7293499999996</v>
      </c>
      <c r="R906">
        <f t="shared" si="154"/>
        <v>1775668800</v>
      </c>
      <c r="S906" t="str">
        <f t="shared" si="155"/>
        <v>XAUUSD</v>
      </c>
      <c r="T906" t="str">
        <f t="shared" si="156"/>
        <v>M5</v>
      </c>
      <c r="U906">
        <f t="shared" si="157"/>
        <v>4747.9799999999996</v>
      </c>
      <c r="V906">
        <v>4729.4939000000004</v>
      </c>
      <c r="W906">
        <v>4740.7211299999999</v>
      </c>
      <c r="X906">
        <v>4750.6161700000002</v>
      </c>
      <c r="Y906">
        <v>4753.6876400000001</v>
      </c>
      <c r="Z906">
        <f t="shared" si="158"/>
        <v>4750.5356466666663</v>
      </c>
      <c r="AA906">
        <f t="shared" si="159"/>
        <v>4757.0490099999997</v>
      </c>
      <c r="AB906">
        <f t="shared" si="160"/>
        <v>4720.7990433333334</v>
      </c>
      <c r="AC906">
        <f t="shared" si="161"/>
        <v>4748.7293499999996</v>
      </c>
      <c r="AF906">
        <f t="shared" si="162"/>
        <v>4750.6161700000002</v>
      </c>
      <c r="AG906">
        <f t="shared" si="163"/>
        <v>4750.5356466666663</v>
      </c>
      <c r="AH906">
        <f t="shared" si="164"/>
        <v>4720.7990433333334</v>
      </c>
    </row>
    <row r="907" spans="1:34" x14ac:dyDescent="0.55000000000000004">
      <c r="A907">
        <f>ALGLIB_SSA_XAUUSD!J907</f>
        <v>1775669100</v>
      </c>
      <c r="B907" t="str">
        <f>_xlfn.XLOOKUP($A907,ALGLIB_SSA_XAUUSD!$A$2:$A$1000,ALGLIB_SSA_XAUUSD!$B$2:$B$1000,"",0)</f>
        <v/>
      </c>
      <c r="C907" t="str">
        <f>_xlfn.XLOOKUP($A907,ALGLIB_SSA_XAUUSD!$A$2:$A$1000,ALGLIB_SSA_XAUUSD!$C$2:$C$1000,"",0)</f>
        <v/>
      </c>
      <c r="D907" s="1">
        <f>D902+(D914-D902)*5/12</f>
        <v>4722.0391666666674</v>
      </c>
      <c r="E907" s="1">
        <f>E902+(E914-E902)*5/12</f>
        <v>4728.6170783333328</v>
      </c>
      <c r="F907" s="1">
        <f>F902+(F914-F902)*5/12</f>
        <v>4739.8090441666664</v>
      </c>
      <c r="G907" s="1">
        <f>G902+(G914-G902)*5/12</f>
        <v>4749.5780658333333</v>
      </c>
      <c r="H907" s="1">
        <f>H902+(H914-H902)*5/12</f>
        <v>4720.0083616666661</v>
      </c>
      <c r="I907" t="str">
        <f>_xlfn.XLOOKUP($A907,ALGLIB_SSA_XAUUSD!$J$2:$J$1000,ALGLIB_SSA_XAUUSD!$K$2:$K$1000,"",0)</f>
        <v>XAUUSD</v>
      </c>
      <c r="J907" t="str">
        <f>_xlfn.XLOOKUP($A907,ALGLIB_SSA_XAUUSD!$J$2:$J$1000,ALGLIB_SSA_XAUUSD!$L$2:$L$1000,"",0)</f>
        <v>M5</v>
      </c>
      <c r="K907">
        <f>_xlfn.XLOOKUP($A907,ALGLIB_SSA_XAUUSD!$J$2:$J$1000,ALGLIB_SSA_XAUUSD!$M$2:$M$1000,"",0)</f>
        <v>4751.07</v>
      </c>
      <c r="L907">
        <f>_xlfn.XLOOKUP($A907,ALGLIB_SSA_XAUUSD!$J$2:$J$1000,ALGLIB_SSA_XAUUSD!$N$2:$N$1000,"",0)</f>
        <v>4746.9087099999997</v>
      </c>
      <c r="M907">
        <f>_xlfn.XLOOKUP($A907,ALGLIB_SSA_XAUUSD!$J$2:$J$1000,ALGLIB_SSA_XAUUSD!$O$2:$O$1000,"",0)</f>
        <v>4750.29817</v>
      </c>
      <c r="N907">
        <f>_xlfn.XLOOKUP($A907,ALGLIB_SSA_XAUUSD!$J$2:$J$1000,ALGLIB_SSA_XAUUSD!$P$2:$P$1000,"",0)</f>
        <v>4753.4196400000001</v>
      </c>
      <c r="O907">
        <f>_xlfn.XLOOKUP($A907,ALGLIB_SSA_XAUUSD!$J$2:$J$1000,ALGLIB_SSA_XAUUSD!$Q$2:$Q$1000,"",0)</f>
        <v>4744.9340599999996</v>
      </c>
      <c r="R907">
        <f t="shared" si="154"/>
        <v>1775669100</v>
      </c>
      <c r="S907" t="str">
        <f t="shared" si="155"/>
        <v>XAUUSD</v>
      </c>
      <c r="T907" t="str">
        <f t="shared" si="156"/>
        <v>M5</v>
      </c>
      <c r="U907">
        <f t="shared" si="157"/>
        <v>4751.07</v>
      </c>
      <c r="V907">
        <v>4728.61708</v>
      </c>
      <c r="W907">
        <v>4739.8090400000001</v>
      </c>
      <c r="X907">
        <v>4746.9087099999997</v>
      </c>
      <c r="Y907">
        <v>4750.29817</v>
      </c>
      <c r="Z907">
        <f t="shared" si="158"/>
        <v>4749.5780658333333</v>
      </c>
      <c r="AA907">
        <f t="shared" si="159"/>
        <v>4753.4196400000001</v>
      </c>
      <c r="AB907">
        <f t="shared" si="160"/>
        <v>4720.0083616666661</v>
      </c>
      <c r="AC907">
        <f t="shared" si="161"/>
        <v>4744.9340599999996</v>
      </c>
      <c r="AF907">
        <f t="shared" si="162"/>
        <v>4746.9087099999997</v>
      </c>
      <c r="AG907">
        <f t="shared" si="163"/>
        <v>4749.5780658333333</v>
      </c>
      <c r="AH907">
        <f t="shared" si="164"/>
        <v>4720.0083616666661</v>
      </c>
    </row>
    <row r="908" spans="1:34" x14ac:dyDescent="0.55000000000000004">
      <c r="A908">
        <f>ALGLIB_SSA_XAUUSD!J908</f>
        <v>1775669400</v>
      </c>
      <c r="B908" t="str">
        <f>_xlfn.XLOOKUP($A908,ALGLIB_SSA_XAUUSD!$A$2:$A$1000,ALGLIB_SSA_XAUUSD!$B$2:$B$1000,"",0)</f>
        <v/>
      </c>
      <c r="C908" t="str">
        <f>_xlfn.XLOOKUP($A908,ALGLIB_SSA_XAUUSD!$A$2:$A$1000,ALGLIB_SSA_XAUUSD!$C$2:$C$1000,"",0)</f>
        <v/>
      </c>
      <c r="D908" s="1">
        <f>D902+(D914-D902)*6/12</f>
        <v>4719.6850000000004</v>
      </c>
      <c r="E908" s="1">
        <f>E902+(E914-E902)*6/12</f>
        <v>4727.7402599999996</v>
      </c>
      <c r="F908" s="1">
        <f>F902+(F914-F902)*6/12</f>
        <v>4738.8969550000002</v>
      </c>
      <c r="G908" s="1">
        <f>G902+(G914-G902)*6/12</f>
        <v>4748.6204849999995</v>
      </c>
      <c r="H908" s="1">
        <f>H902+(H914-H902)*6/12</f>
        <v>4719.2176799999997</v>
      </c>
      <c r="I908" t="str">
        <f>_xlfn.XLOOKUP($A908,ALGLIB_SSA_XAUUSD!$J$2:$J$1000,ALGLIB_SSA_XAUUSD!$K$2:$K$1000,"",0)</f>
        <v>XAUUSD</v>
      </c>
      <c r="J908" t="str">
        <f>_xlfn.XLOOKUP($A908,ALGLIB_SSA_XAUUSD!$J$2:$J$1000,ALGLIB_SSA_XAUUSD!$L$2:$L$1000,"",0)</f>
        <v>M5</v>
      </c>
      <c r="K908">
        <f>_xlfn.XLOOKUP($A908,ALGLIB_SSA_XAUUSD!$J$2:$J$1000,ALGLIB_SSA_XAUUSD!$M$2:$M$1000,"",0)</f>
        <v>4744.8</v>
      </c>
      <c r="L908">
        <f>_xlfn.XLOOKUP($A908,ALGLIB_SSA_XAUUSD!$J$2:$J$1000,ALGLIB_SSA_XAUUSD!$N$2:$N$1000,"",0)</f>
        <v>4743.5295599999999</v>
      </c>
      <c r="M908">
        <f>_xlfn.XLOOKUP($A908,ALGLIB_SSA_XAUUSD!$J$2:$J$1000,ALGLIB_SSA_XAUUSD!$O$2:$O$1000,"",0)</f>
        <v>4746.9138700000003</v>
      </c>
      <c r="N908">
        <f>_xlfn.XLOOKUP($A908,ALGLIB_SSA_XAUUSD!$J$2:$J$1000,ALGLIB_SSA_XAUUSD!$P$2:$P$1000,"",0)</f>
        <v>4749.7783499999996</v>
      </c>
      <c r="O908">
        <f>_xlfn.XLOOKUP($A908,ALGLIB_SSA_XAUUSD!$J$2:$J$1000,ALGLIB_SSA_XAUUSD!$Q$2:$Q$1000,"",0)</f>
        <v>4741.5344699999996</v>
      </c>
      <c r="R908">
        <f t="shared" si="154"/>
        <v>1775669400</v>
      </c>
      <c r="S908" t="str">
        <f t="shared" si="155"/>
        <v>XAUUSD</v>
      </c>
      <c r="T908" t="str">
        <f t="shared" si="156"/>
        <v>M5</v>
      </c>
      <c r="U908">
        <f t="shared" si="157"/>
        <v>4744.8</v>
      </c>
      <c r="V908">
        <v>4727.7402599999996</v>
      </c>
      <c r="W908">
        <v>4738.89696</v>
      </c>
      <c r="X908">
        <v>4743.5295599999999</v>
      </c>
      <c r="Y908">
        <v>4746.9138700000003</v>
      </c>
      <c r="Z908">
        <f t="shared" si="158"/>
        <v>4748.6204849999995</v>
      </c>
      <c r="AA908">
        <f t="shared" si="159"/>
        <v>4749.7783499999996</v>
      </c>
      <c r="AB908">
        <f t="shared" si="160"/>
        <v>4719.2176799999997</v>
      </c>
      <c r="AC908">
        <f t="shared" si="161"/>
        <v>4741.5344699999996</v>
      </c>
      <c r="AF908">
        <f t="shared" si="162"/>
        <v>4743.5295599999999</v>
      </c>
      <c r="AG908">
        <f t="shared" si="163"/>
        <v>4748.6204849999995</v>
      </c>
      <c r="AH908">
        <f t="shared" si="164"/>
        <v>4719.2176799999997</v>
      </c>
    </row>
    <row r="909" spans="1:34" x14ac:dyDescent="0.55000000000000004">
      <c r="A909">
        <f>ALGLIB_SSA_XAUUSD!J909</f>
        <v>1775669700</v>
      </c>
      <c r="B909" t="str">
        <f>_xlfn.XLOOKUP($A909,ALGLIB_SSA_XAUUSD!$A$2:$A$1000,ALGLIB_SSA_XAUUSD!$B$2:$B$1000,"",0)</f>
        <v/>
      </c>
      <c r="C909" t="str">
        <f>_xlfn.XLOOKUP($A909,ALGLIB_SSA_XAUUSD!$A$2:$A$1000,ALGLIB_SSA_XAUUSD!$C$2:$C$1000,"",0)</f>
        <v/>
      </c>
      <c r="D909" s="1">
        <f>D902+(D914-D902)*7/12</f>
        <v>4717.3308333333334</v>
      </c>
      <c r="E909" s="1">
        <f>E902+(E914-E902)*7/12</f>
        <v>4726.8634416666664</v>
      </c>
      <c r="F909" s="1">
        <f>F902+(F914-F902)*7/12</f>
        <v>4737.984865833334</v>
      </c>
      <c r="G909" s="1">
        <f>G902+(G914-G902)*7/12</f>
        <v>4747.6629041666665</v>
      </c>
      <c r="H909" s="1">
        <f>H902+(H914-H902)*7/12</f>
        <v>4718.4269983333334</v>
      </c>
      <c r="I909" t="str">
        <f>_xlfn.XLOOKUP($A909,ALGLIB_SSA_XAUUSD!$J$2:$J$1000,ALGLIB_SSA_XAUUSD!$K$2:$K$1000,"",0)</f>
        <v>XAUUSD</v>
      </c>
      <c r="J909" t="str">
        <f>_xlfn.XLOOKUP($A909,ALGLIB_SSA_XAUUSD!$J$2:$J$1000,ALGLIB_SSA_XAUUSD!$L$2:$L$1000,"",0)</f>
        <v>M5</v>
      </c>
      <c r="K909">
        <f>_xlfn.XLOOKUP($A909,ALGLIB_SSA_XAUUSD!$J$2:$J$1000,ALGLIB_SSA_XAUUSD!$M$2:$M$1000,"",0)</f>
        <v>4736.8900000000003</v>
      </c>
      <c r="L909">
        <f>_xlfn.XLOOKUP($A909,ALGLIB_SSA_XAUUSD!$J$2:$J$1000,ALGLIB_SSA_XAUUSD!$N$2:$N$1000,"",0)</f>
        <v>4740.8916200000003</v>
      </c>
      <c r="M909">
        <f>_xlfn.XLOOKUP($A909,ALGLIB_SSA_XAUUSD!$J$2:$J$1000,ALGLIB_SSA_XAUUSD!$O$2:$O$1000,"",0)</f>
        <v>4743.9027400000004</v>
      </c>
      <c r="N909">
        <f>_xlfn.XLOOKUP($A909,ALGLIB_SSA_XAUUSD!$J$2:$J$1000,ALGLIB_SSA_XAUUSD!$P$2:$P$1000,"",0)</f>
        <v>4746.4559399999998</v>
      </c>
      <c r="O909">
        <f>_xlfn.XLOOKUP($A909,ALGLIB_SSA_XAUUSD!$J$2:$J$1000,ALGLIB_SSA_XAUUSD!$Q$2:$Q$1000,"",0)</f>
        <v>4738.78424</v>
      </c>
      <c r="R909">
        <f t="shared" si="154"/>
        <v>1775669700</v>
      </c>
      <c r="S909" t="str">
        <f t="shared" si="155"/>
        <v>XAUUSD</v>
      </c>
      <c r="T909" t="str">
        <f t="shared" si="156"/>
        <v>M5</v>
      </c>
      <c r="U909">
        <f t="shared" si="157"/>
        <v>4736.8900000000003</v>
      </c>
      <c r="V909">
        <v>4726.8634400000001</v>
      </c>
      <c r="W909">
        <v>4737.9848700000002</v>
      </c>
      <c r="X909">
        <v>4740.8916200000003</v>
      </c>
      <c r="Y909">
        <v>4743.9027400000004</v>
      </c>
      <c r="Z909">
        <f t="shared" si="158"/>
        <v>4747.6629041666665</v>
      </c>
      <c r="AA909">
        <f t="shared" si="159"/>
        <v>4746.4559399999998</v>
      </c>
      <c r="AB909">
        <f t="shared" si="160"/>
        <v>4718.4269983333334</v>
      </c>
      <c r="AC909">
        <f t="shared" si="161"/>
        <v>4738.78424</v>
      </c>
      <c r="AF909">
        <f t="shared" si="162"/>
        <v>4740.8916200000003</v>
      </c>
      <c r="AG909">
        <f t="shared" si="163"/>
        <v>4747.6629041666665</v>
      </c>
      <c r="AH909">
        <f t="shared" si="164"/>
        <v>4718.4269983333334</v>
      </c>
    </row>
    <row r="910" spans="1:34" x14ac:dyDescent="0.55000000000000004">
      <c r="A910">
        <f>ALGLIB_SSA_XAUUSD!J910</f>
        <v>1775670000</v>
      </c>
      <c r="B910" t="str">
        <f>_xlfn.XLOOKUP($A910,ALGLIB_SSA_XAUUSD!$A$2:$A$1000,ALGLIB_SSA_XAUUSD!$B$2:$B$1000,"",0)</f>
        <v/>
      </c>
      <c r="C910" t="str">
        <f>_xlfn.XLOOKUP($A910,ALGLIB_SSA_XAUUSD!$A$2:$A$1000,ALGLIB_SSA_XAUUSD!$C$2:$C$1000,"",0)</f>
        <v/>
      </c>
      <c r="D910" s="1">
        <f>D902+(D914-D902)*8/12</f>
        <v>4714.9766666666674</v>
      </c>
      <c r="E910" s="1">
        <f>E902+(E914-E902)*8/12</f>
        <v>4725.9866233333332</v>
      </c>
      <c r="F910" s="1">
        <f>F902+(F914-F902)*8/12</f>
        <v>4737.0727766666669</v>
      </c>
      <c r="G910" s="1">
        <f>G902+(G914-G902)*8/12</f>
        <v>4746.7053233333336</v>
      </c>
      <c r="H910" s="1">
        <f>H902+(H914-H902)*8/12</f>
        <v>4717.6363166666661</v>
      </c>
      <c r="I910" t="str">
        <f>_xlfn.XLOOKUP($A910,ALGLIB_SSA_XAUUSD!$J$2:$J$1000,ALGLIB_SSA_XAUUSD!$K$2:$K$1000,"",0)</f>
        <v>XAUUSD</v>
      </c>
      <c r="J910" t="str">
        <f>_xlfn.XLOOKUP($A910,ALGLIB_SSA_XAUUSD!$J$2:$J$1000,ALGLIB_SSA_XAUUSD!$L$2:$L$1000,"",0)</f>
        <v>M5</v>
      </c>
      <c r="K910">
        <f>_xlfn.XLOOKUP($A910,ALGLIB_SSA_XAUUSD!$J$2:$J$1000,ALGLIB_SSA_XAUUSD!$M$2:$M$1000,"",0)</f>
        <v>4740.7</v>
      </c>
      <c r="L910">
        <f>_xlfn.XLOOKUP($A910,ALGLIB_SSA_XAUUSD!$J$2:$J$1000,ALGLIB_SSA_XAUUSD!$N$2:$N$1000,"",0)</f>
        <v>4739.3208299999997</v>
      </c>
      <c r="M910">
        <f>_xlfn.XLOOKUP($A910,ALGLIB_SSA_XAUUSD!$J$2:$J$1000,ALGLIB_SSA_XAUUSD!$O$2:$O$1000,"",0)</f>
        <v>4741.6117899999999</v>
      </c>
      <c r="N910">
        <f>_xlfn.XLOOKUP($A910,ALGLIB_SSA_XAUUSD!$J$2:$J$1000,ALGLIB_SSA_XAUUSD!$P$2:$P$1000,"",0)</f>
        <v>4743.9384099999997</v>
      </c>
      <c r="O910">
        <f>_xlfn.XLOOKUP($A910,ALGLIB_SSA_XAUUSD!$J$2:$J$1000,ALGLIB_SSA_XAUUSD!$Q$2:$Q$1000,"",0)</f>
        <v>4736.8762500000003</v>
      </c>
      <c r="R910">
        <f t="shared" si="154"/>
        <v>1775670000</v>
      </c>
      <c r="S910" t="str">
        <f t="shared" si="155"/>
        <v>XAUUSD</v>
      </c>
      <c r="T910" t="str">
        <f t="shared" si="156"/>
        <v>M5</v>
      </c>
      <c r="U910">
        <f t="shared" si="157"/>
        <v>4740.7</v>
      </c>
      <c r="V910">
        <v>4725.9866199999997</v>
      </c>
      <c r="W910">
        <v>4737.0727800000004</v>
      </c>
      <c r="X910">
        <v>4739.3208299999997</v>
      </c>
      <c r="Y910">
        <v>4741.6117899999999</v>
      </c>
      <c r="Z910">
        <f t="shared" si="158"/>
        <v>4746.7053233333336</v>
      </c>
      <c r="AA910">
        <f t="shared" si="159"/>
        <v>4743.9384099999997</v>
      </c>
      <c r="AB910">
        <f t="shared" si="160"/>
        <v>4717.6363166666661</v>
      </c>
      <c r="AC910">
        <f t="shared" si="161"/>
        <v>4736.8762500000003</v>
      </c>
      <c r="AF910">
        <f t="shared" si="162"/>
        <v>4739.3208299999997</v>
      </c>
      <c r="AG910">
        <f t="shared" si="163"/>
        <v>4746.7053233333336</v>
      </c>
      <c r="AH910">
        <f t="shared" si="164"/>
        <v>4717.6363166666661</v>
      </c>
    </row>
    <row r="911" spans="1:34" x14ac:dyDescent="0.55000000000000004">
      <c r="A911">
        <f>ALGLIB_SSA_XAUUSD!J911</f>
        <v>1775670300</v>
      </c>
      <c r="B911" t="str">
        <f>_xlfn.XLOOKUP($A911,ALGLIB_SSA_XAUUSD!$A$2:$A$1000,ALGLIB_SSA_XAUUSD!$B$2:$B$1000,"",0)</f>
        <v/>
      </c>
      <c r="C911" t="str">
        <f>_xlfn.XLOOKUP($A911,ALGLIB_SSA_XAUUSD!$A$2:$A$1000,ALGLIB_SSA_XAUUSD!$C$2:$C$1000,"",0)</f>
        <v/>
      </c>
      <c r="D911" s="1">
        <f>D902+(D914-D902)*9/12</f>
        <v>4712.6225000000004</v>
      </c>
      <c r="E911" s="1">
        <f>E902+(E914-E902)*9/12</f>
        <v>4725.1098050000001</v>
      </c>
      <c r="F911" s="1">
        <f>F902+(F914-F902)*9/12</f>
        <v>4736.1606874999998</v>
      </c>
      <c r="G911" s="1">
        <f>G902+(G914-G902)*9/12</f>
        <v>4745.7477424999997</v>
      </c>
      <c r="H911" s="1">
        <f>H902+(H914-H902)*9/12</f>
        <v>4716.8456349999997</v>
      </c>
      <c r="I911" t="str">
        <f>_xlfn.XLOOKUP($A911,ALGLIB_SSA_XAUUSD!$J$2:$J$1000,ALGLIB_SSA_XAUUSD!$K$2:$K$1000,"",0)</f>
        <v>XAUUSD</v>
      </c>
      <c r="J911" t="str">
        <f>_xlfn.XLOOKUP($A911,ALGLIB_SSA_XAUUSD!$J$2:$J$1000,ALGLIB_SSA_XAUUSD!$L$2:$L$1000,"",0)</f>
        <v>M5</v>
      </c>
      <c r="K911">
        <f>_xlfn.XLOOKUP($A911,ALGLIB_SSA_XAUUSD!$J$2:$J$1000,ALGLIB_SSA_XAUUSD!$M$2:$M$1000,"",0)</f>
        <v>4738.24</v>
      </c>
      <c r="L911">
        <f>_xlfn.XLOOKUP($A911,ALGLIB_SSA_XAUUSD!$J$2:$J$1000,ALGLIB_SSA_XAUUSD!$N$2:$N$1000,"",0)</f>
        <v>4738.6278899999998</v>
      </c>
      <c r="M911">
        <f>_xlfn.XLOOKUP($A911,ALGLIB_SSA_XAUUSD!$J$2:$J$1000,ALGLIB_SSA_XAUUSD!$O$2:$O$1000,"",0)</f>
        <v>4740.1198400000003</v>
      </c>
      <c r="N911">
        <f>_xlfn.XLOOKUP($A911,ALGLIB_SSA_XAUUSD!$J$2:$J$1000,ALGLIB_SSA_XAUUSD!$P$2:$P$1000,"",0)</f>
        <v>4742.3985400000001</v>
      </c>
      <c r="O911">
        <f>_xlfn.XLOOKUP($A911,ALGLIB_SSA_XAUUSD!$J$2:$J$1000,ALGLIB_SSA_XAUUSD!$Q$2:$Q$1000,"",0)</f>
        <v>4735.7069600000004</v>
      </c>
      <c r="R911">
        <f t="shared" si="154"/>
        <v>1775670300</v>
      </c>
      <c r="S911" t="str">
        <f t="shared" si="155"/>
        <v>XAUUSD</v>
      </c>
      <c r="T911" t="str">
        <f t="shared" si="156"/>
        <v>M5</v>
      </c>
      <c r="U911">
        <f t="shared" si="157"/>
        <v>4738.24</v>
      </c>
      <c r="V911">
        <v>4725.1098099999999</v>
      </c>
      <c r="W911">
        <v>4736.1606899999997</v>
      </c>
      <c r="X911">
        <v>4738.6278899999998</v>
      </c>
      <c r="Y911">
        <v>4740.1198400000003</v>
      </c>
      <c r="Z911">
        <f t="shared" si="158"/>
        <v>4745.7477424999997</v>
      </c>
      <c r="AA911">
        <f t="shared" si="159"/>
        <v>4742.3985400000001</v>
      </c>
      <c r="AB911">
        <f t="shared" si="160"/>
        <v>4716.8456349999997</v>
      </c>
      <c r="AC911">
        <f t="shared" si="161"/>
        <v>4735.7069600000004</v>
      </c>
      <c r="AF911">
        <f t="shared" si="162"/>
        <v>4738.6278899999998</v>
      </c>
      <c r="AG911">
        <f t="shared" si="163"/>
        <v>4745.7477424999997</v>
      </c>
      <c r="AH911">
        <f t="shared" si="164"/>
        <v>4716.8456349999997</v>
      </c>
    </row>
    <row r="912" spans="1:34" x14ac:dyDescent="0.55000000000000004">
      <c r="A912">
        <f>ALGLIB_SSA_XAUUSD!J912</f>
        <v>1775670600</v>
      </c>
      <c r="B912" t="str">
        <f>_xlfn.XLOOKUP($A912,ALGLIB_SSA_XAUUSD!$A$2:$A$1000,ALGLIB_SSA_XAUUSD!$B$2:$B$1000,"",0)</f>
        <v/>
      </c>
      <c r="C912" t="str">
        <f>_xlfn.XLOOKUP($A912,ALGLIB_SSA_XAUUSD!$A$2:$A$1000,ALGLIB_SSA_XAUUSD!$C$2:$C$1000,"",0)</f>
        <v/>
      </c>
      <c r="D912" s="1">
        <f>D902+(D914-D902)*10/12</f>
        <v>4710.2683333333334</v>
      </c>
      <c r="E912" s="1">
        <f>E902+(E914-E902)*10/12</f>
        <v>4724.232986666666</v>
      </c>
      <c r="F912" s="1">
        <f>F902+(F914-F902)*10/12</f>
        <v>4735.2485983333336</v>
      </c>
      <c r="G912" s="1">
        <f>G902+(G914-G902)*10/12</f>
        <v>4744.7901616666668</v>
      </c>
      <c r="H912" s="1">
        <f>H902+(H914-H902)*10/12</f>
        <v>4716.0549533333333</v>
      </c>
      <c r="I912" t="str">
        <f>_xlfn.XLOOKUP($A912,ALGLIB_SSA_XAUUSD!$J$2:$J$1000,ALGLIB_SSA_XAUUSD!$K$2:$K$1000,"",0)</f>
        <v>XAUUSD</v>
      </c>
      <c r="J912" t="str">
        <f>_xlfn.XLOOKUP($A912,ALGLIB_SSA_XAUUSD!$J$2:$J$1000,ALGLIB_SSA_XAUUSD!$L$2:$L$1000,"",0)</f>
        <v>M5</v>
      </c>
      <c r="K912">
        <f>_xlfn.XLOOKUP($A912,ALGLIB_SSA_XAUUSD!$J$2:$J$1000,ALGLIB_SSA_XAUUSD!$M$2:$M$1000,"",0)</f>
        <v>4736.63</v>
      </c>
      <c r="L912">
        <f>_xlfn.XLOOKUP($A912,ALGLIB_SSA_XAUUSD!$J$2:$J$1000,ALGLIB_SSA_XAUUSD!$N$2:$N$1000,"",0)</f>
        <v>4738.5807599999998</v>
      </c>
      <c r="M912">
        <f>_xlfn.XLOOKUP($A912,ALGLIB_SSA_XAUUSD!$J$2:$J$1000,ALGLIB_SSA_XAUUSD!$O$2:$O$1000,"",0)</f>
        <v>4739.3503000000001</v>
      </c>
      <c r="N912">
        <f>_xlfn.XLOOKUP($A912,ALGLIB_SSA_XAUUSD!$J$2:$J$1000,ALGLIB_SSA_XAUUSD!$P$2:$P$1000,"",0)</f>
        <v>4741.7460600000004</v>
      </c>
      <c r="O912">
        <f>_xlfn.XLOOKUP($A912,ALGLIB_SSA_XAUUSD!$J$2:$J$1000,ALGLIB_SSA_XAUUSD!$Q$2:$Q$1000,"",0)</f>
        <v>4735.00342</v>
      </c>
      <c r="R912">
        <f t="shared" si="154"/>
        <v>1775670600</v>
      </c>
      <c r="S912" t="str">
        <f t="shared" si="155"/>
        <v>XAUUSD</v>
      </c>
      <c r="T912" t="str">
        <f t="shared" si="156"/>
        <v>M5</v>
      </c>
      <c r="U912">
        <f t="shared" si="157"/>
        <v>4736.63</v>
      </c>
      <c r="V912">
        <v>4724.2329900000004</v>
      </c>
      <c r="W912">
        <v>4735.2485999999999</v>
      </c>
      <c r="X912">
        <v>4738.5807599999998</v>
      </c>
      <c r="Y912">
        <v>4739.3503000000001</v>
      </c>
      <c r="Z912">
        <f t="shared" si="158"/>
        <v>4744.7901616666668</v>
      </c>
      <c r="AA912">
        <f t="shared" si="159"/>
        <v>4741.7460600000004</v>
      </c>
      <c r="AB912">
        <f t="shared" si="160"/>
        <v>4716.0549533333333</v>
      </c>
      <c r="AC912">
        <f t="shared" si="161"/>
        <v>4735.00342</v>
      </c>
      <c r="AF912">
        <f t="shared" si="162"/>
        <v>4738.5807599999998</v>
      </c>
      <c r="AG912">
        <f t="shared" si="163"/>
        <v>4744.7901616666668</v>
      </c>
      <c r="AH912">
        <f t="shared" si="164"/>
        <v>4716.0549533333333</v>
      </c>
    </row>
    <row r="913" spans="1:34" x14ac:dyDescent="0.55000000000000004">
      <c r="A913">
        <f>ALGLIB_SSA_XAUUSD!J913</f>
        <v>1775670900</v>
      </c>
      <c r="B913" t="str">
        <f>_xlfn.XLOOKUP($A913,ALGLIB_SSA_XAUUSD!$A$2:$A$1000,ALGLIB_SSA_XAUUSD!$B$2:$B$1000,"",0)</f>
        <v/>
      </c>
      <c r="C913" t="str">
        <f>_xlfn.XLOOKUP($A913,ALGLIB_SSA_XAUUSD!$A$2:$A$1000,ALGLIB_SSA_XAUUSD!$C$2:$C$1000,"",0)</f>
        <v/>
      </c>
      <c r="D913" s="1">
        <f>D902+(D914-D902)*11/12</f>
        <v>4707.9141666666674</v>
      </c>
      <c r="E913" s="1">
        <f>E902+(E914-E902)*11/12</f>
        <v>4723.3561683333328</v>
      </c>
      <c r="F913" s="1">
        <f>F902+(F914-F902)*11/12</f>
        <v>4734.3365091666674</v>
      </c>
      <c r="G913" s="1">
        <f>G902+(G914-G902)*11/12</f>
        <v>4743.8325808333329</v>
      </c>
      <c r="H913" s="1">
        <f>H902+(H914-H902)*11/12</f>
        <v>4715.264271666666</v>
      </c>
      <c r="I913" t="str">
        <f>_xlfn.XLOOKUP($A913,ALGLIB_SSA_XAUUSD!$J$2:$J$1000,ALGLIB_SSA_XAUUSD!$K$2:$K$1000,"",0)</f>
        <v>XAUUSD</v>
      </c>
      <c r="J913" t="str">
        <f>_xlfn.XLOOKUP($A913,ALGLIB_SSA_XAUUSD!$J$2:$J$1000,ALGLIB_SSA_XAUUSD!$L$2:$L$1000,"",0)</f>
        <v>M5</v>
      </c>
      <c r="K913">
        <f>_xlfn.XLOOKUP($A913,ALGLIB_SSA_XAUUSD!$J$2:$J$1000,ALGLIB_SSA_XAUUSD!$M$2:$M$1000,"",0)</f>
        <v>4733.8100000000004</v>
      </c>
      <c r="L913">
        <f>_xlfn.XLOOKUP($A913,ALGLIB_SSA_XAUUSD!$J$2:$J$1000,ALGLIB_SSA_XAUUSD!$N$2:$N$1000,"",0)</f>
        <v>4738.7985200000003</v>
      </c>
      <c r="M913">
        <f>_xlfn.XLOOKUP($A913,ALGLIB_SSA_XAUUSD!$J$2:$J$1000,ALGLIB_SSA_XAUUSD!$O$2:$O$1000,"",0)</f>
        <v>4739.0744100000002</v>
      </c>
      <c r="N913">
        <f>_xlfn.XLOOKUP($A913,ALGLIB_SSA_XAUUSD!$J$2:$J$1000,ALGLIB_SSA_XAUUSD!$P$2:$P$1000,"",0)</f>
        <v>4741.6778599999998</v>
      </c>
      <c r="O913">
        <f>_xlfn.XLOOKUP($A913,ALGLIB_SSA_XAUUSD!$J$2:$J$1000,ALGLIB_SSA_XAUUSD!$Q$2:$Q$1000,"",0)</f>
        <v>4734.4044999999996</v>
      </c>
      <c r="R913">
        <f t="shared" si="154"/>
        <v>1775670900</v>
      </c>
      <c r="S913" t="str">
        <f t="shared" si="155"/>
        <v>XAUUSD</v>
      </c>
      <c r="T913" t="str">
        <f t="shared" si="156"/>
        <v>M5</v>
      </c>
      <c r="U913">
        <f t="shared" si="157"/>
        <v>4733.8100000000004</v>
      </c>
      <c r="V913">
        <v>4723.35617</v>
      </c>
      <c r="W913">
        <v>4734.3365100000001</v>
      </c>
      <c r="X913">
        <v>4738.7985200000003</v>
      </c>
      <c r="Y913">
        <v>4739.0744100000002</v>
      </c>
      <c r="Z913">
        <f t="shared" si="158"/>
        <v>4743.8325808333329</v>
      </c>
      <c r="AA913">
        <f t="shared" si="159"/>
        <v>4741.6778599999998</v>
      </c>
      <c r="AB913">
        <f t="shared" si="160"/>
        <v>4715.264271666666</v>
      </c>
      <c r="AC913">
        <f t="shared" si="161"/>
        <v>4734.4044999999996</v>
      </c>
      <c r="AF913">
        <f t="shared" si="162"/>
        <v>4738.7985200000003</v>
      </c>
      <c r="AG913">
        <f t="shared" si="163"/>
        <v>4743.8325808333329</v>
      </c>
      <c r="AH913">
        <f t="shared" si="164"/>
        <v>4715.264271666666</v>
      </c>
    </row>
    <row r="914" spans="1:34" x14ac:dyDescent="0.55000000000000004">
      <c r="A914">
        <f>ALGLIB_SSA_XAUUSD!J914</f>
        <v>1775671200</v>
      </c>
      <c r="B914" t="str">
        <f>_xlfn.XLOOKUP($A914,ALGLIB_SSA_XAUUSD!$A$2:$A$1000,ALGLIB_SSA_XAUUSD!$B$2:$B$1000,"",0)</f>
        <v>XAUUSD</v>
      </c>
      <c r="C914" t="str">
        <f>_xlfn.XLOOKUP($A914,ALGLIB_SSA_XAUUSD!$A$2:$A$1000,ALGLIB_SSA_XAUUSD!$C$2:$C$1000,"",0)</f>
        <v>H1</v>
      </c>
      <c r="D914" s="2">
        <f>_xlfn.XLOOKUP($A914,ALGLIB_SSA_XAUUSD!$A$2:$A$1000,ALGLIB_SSA_XAUUSD!$D$2:$D$1000,"",0)</f>
        <v>4705.5600000000004</v>
      </c>
      <c r="E914" s="2">
        <f>_xlfn.XLOOKUP($A914,ALGLIB_SSA_XAUUSD!$A$2:$A$1000,ALGLIB_SSA_XAUUSD!$E$2:$E$1000,"",0)</f>
        <v>4722.4793499999996</v>
      </c>
      <c r="F914" s="2">
        <f>_xlfn.XLOOKUP($A914,ALGLIB_SSA_XAUUSD!$A$2:$A$1000,ALGLIB_SSA_XAUUSD!$F$2:$F$1000,"",0)</f>
        <v>4733.4244200000003</v>
      </c>
      <c r="G914" s="2">
        <f>_xlfn.XLOOKUP($A914,ALGLIB_SSA_XAUUSD!$A$2:$A$1000,ALGLIB_SSA_XAUUSD!$G$2:$G$1000,"",0)</f>
        <v>4742.875</v>
      </c>
      <c r="H914" s="2">
        <f>_xlfn.XLOOKUP($A914,ALGLIB_SSA_XAUUSD!$A$2:$A$1000,ALGLIB_SSA_XAUUSD!$H$2:$H$1000,"",0)</f>
        <v>4714.4735899999996</v>
      </c>
      <c r="I914" t="str">
        <f>_xlfn.XLOOKUP($A914,ALGLIB_SSA_XAUUSD!$J$2:$J$1000,ALGLIB_SSA_XAUUSD!$K$2:$K$1000,"",0)</f>
        <v>XAUUSD</v>
      </c>
      <c r="J914" t="str">
        <f>_xlfn.XLOOKUP($A914,ALGLIB_SSA_XAUUSD!$J$2:$J$1000,ALGLIB_SSA_XAUUSD!$L$2:$L$1000,"",0)</f>
        <v>M5</v>
      </c>
      <c r="K914">
        <f>_xlfn.XLOOKUP($A914,ALGLIB_SSA_XAUUSD!$J$2:$J$1000,ALGLIB_SSA_XAUUSD!$M$2:$M$1000,"",0)</f>
        <v>4740.16</v>
      </c>
      <c r="L914">
        <f>_xlfn.XLOOKUP($A914,ALGLIB_SSA_XAUUSD!$J$2:$J$1000,ALGLIB_SSA_XAUUSD!$N$2:$N$1000,"",0)</f>
        <v>4738.8696799999998</v>
      </c>
      <c r="M914">
        <f>_xlfn.XLOOKUP($A914,ALGLIB_SSA_XAUUSD!$J$2:$J$1000,ALGLIB_SSA_XAUUSD!$O$2:$O$1000,"",0)</f>
        <v>4738.9720399999997</v>
      </c>
      <c r="N914">
        <f>_xlfn.XLOOKUP($A914,ALGLIB_SSA_XAUUSD!$J$2:$J$1000,ALGLIB_SSA_XAUUSD!$P$2:$P$1000,"",0)</f>
        <v>4741.85286</v>
      </c>
      <c r="O914">
        <f>_xlfn.XLOOKUP($A914,ALGLIB_SSA_XAUUSD!$J$2:$J$1000,ALGLIB_SSA_XAUUSD!$Q$2:$Q$1000,"",0)</f>
        <v>4733.6543099999999</v>
      </c>
      <c r="R914">
        <f t="shared" si="154"/>
        <v>1775671200</v>
      </c>
      <c r="S914" t="str">
        <f t="shared" si="155"/>
        <v>XAUUSD</v>
      </c>
      <c r="T914" t="str">
        <f t="shared" si="156"/>
        <v>M5</v>
      </c>
      <c r="U914">
        <f t="shared" si="157"/>
        <v>4740.16</v>
      </c>
      <c r="V914">
        <v>4722.4793499999996</v>
      </c>
      <c r="W914">
        <v>4733.4244200000003</v>
      </c>
      <c r="X914">
        <v>4738.8696799999998</v>
      </c>
      <c r="Y914">
        <v>4738.9720399999997</v>
      </c>
      <c r="Z914">
        <f t="shared" si="158"/>
        <v>4742.875</v>
      </c>
      <c r="AA914">
        <f t="shared" si="159"/>
        <v>4741.85286</v>
      </c>
      <c r="AB914">
        <f t="shared" si="160"/>
        <v>4714.4735899999996</v>
      </c>
      <c r="AC914">
        <f t="shared" si="161"/>
        <v>4733.6543099999999</v>
      </c>
      <c r="AF914">
        <f t="shared" si="162"/>
        <v>4738.8696799999998</v>
      </c>
      <c r="AG914">
        <f t="shared" si="163"/>
        <v>4742.875</v>
      </c>
      <c r="AH914">
        <f t="shared" si="164"/>
        <v>4714.4735899999996</v>
      </c>
    </row>
    <row r="915" spans="1:34" x14ac:dyDescent="0.55000000000000004">
      <c r="A915">
        <f>ALGLIB_SSA_XAUUSD!J915</f>
        <v>1775671500</v>
      </c>
      <c r="B915" t="str">
        <f>_xlfn.XLOOKUP($A915,ALGLIB_SSA_XAUUSD!$A$2:$A$1000,ALGLIB_SSA_XAUUSD!$B$2:$B$1000,"",0)</f>
        <v/>
      </c>
      <c r="C915" t="str">
        <f>_xlfn.XLOOKUP($A915,ALGLIB_SSA_XAUUSD!$A$2:$A$1000,ALGLIB_SSA_XAUUSD!$C$2:$C$1000,"",0)</f>
        <v/>
      </c>
      <c r="D915" s="1">
        <f>D914+(D926-D914)*1/12</f>
        <v>4707.6750000000002</v>
      </c>
      <c r="E915" s="1">
        <f>E914+(E926-E914)*1/12</f>
        <v>4721.9535208333327</v>
      </c>
      <c r="F915" s="1">
        <f>F914+(F926-F914)*1/12</f>
        <v>4732.7054608333337</v>
      </c>
      <c r="G915" s="1">
        <f>G914+(G926-G914)*1/12</f>
        <v>4742.1315008333331</v>
      </c>
      <c r="H915" s="1">
        <f>H914+(H926-H914)*1/12</f>
        <v>4713.884960833333</v>
      </c>
      <c r="I915" t="str">
        <f>_xlfn.XLOOKUP($A915,ALGLIB_SSA_XAUUSD!$J$2:$J$1000,ALGLIB_SSA_XAUUSD!$K$2:$K$1000,"",0)</f>
        <v>XAUUSD</v>
      </c>
      <c r="J915" t="str">
        <f>_xlfn.XLOOKUP($A915,ALGLIB_SSA_XAUUSD!$J$2:$J$1000,ALGLIB_SSA_XAUUSD!$L$2:$L$1000,"",0)</f>
        <v>M5</v>
      </c>
      <c r="K915">
        <f>_xlfn.XLOOKUP($A915,ALGLIB_SSA_XAUUSD!$J$2:$J$1000,ALGLIB_SSA_XAUUSD!$M$2:$M$1000,"",0)</f>
        <v>4743.38</v>
      </c>
      <c r="L915">
        <f>_xlfn.XLOOKUP($A915,ALGLIB_SSA_XAUUSD!$J$2:$J$1000,ALGLIB_SSA_XAUUSD!$N$2:$N$1000,"",0)</f>
        <v>4738.1550500000003</v>
      </c>
      <c r="M915">
        <f>_xlfn.XLOOKUP($A915,ALGLIB_SSA_XAUUSD!$J$2:$J$1000,ALGLIB_SSA_XAUUSD!$O$2:$O$1000,"",0)</f>
        <v>4738.5635499999999</v>
      </c>
      <c r="N915">
        <f>_xlfn.XLOOKUP($A915,ALGLIB_SSA_XAUUSD!$J$2:$J$1000,ALGLIB_SSA_XAUUSD!$P$2:$P$1000,"",0)</f>
        <v>4741.7247600000001</v>
      </c>
      <c r="O915">
        <f>_xlfn.XLOOKUP($A915,ALGLIB_SSA_XAUUSD!$J$2:$J$1000,ALGLIB_SSA_XAUUSD!$Q$2:$Q$1000,"",0)</f>
        <v>4732.5059700000002</v>
      </c>
      <c r="R915">
        <f t="shared" si="154"/>
        <v>1775671500</v>
      </c>
      <c r="S915" t="str">
        <f t="shared" si="155"/>
        <v>XAUUSD</v>
      </c>
      <c r="T915" t="str">
        <f t="shared" si="156"/>
        <v>M5</v>
      </c>
      <c r="U915">
        <f t="shared" si="157"/>
        <v>4743.38</v>
      </c>
      <c r="V915">
        <v>4721.95352</v>
      </c>
      <c r="W915">
        <v>4732.7054600000001</v>
      </c>
      <c r="X915">
        <v>4738.1550500000003</v>
      </c>
      <c r="Y915">
        <v>4738.5635499999999</v>
      </c>
      <c r="Z915">
        <f t="shared" si="158"/>
        <v>4742.1315008333331</v>
      </c>
      <c r="AA915">
        <f t="shared" si="159"/>
        <v>4741.7247600000001</v>
      </c>
      <c r="AB915">
        <f t="shared" si="160"/>
        <v>4713.884960833333</v>
      </c>
      <c r="AC915">
        <f t="shared" si="161"/>
        <v>4732.5059700000002</v>
      </c>
      <c r="AF915">
        <f t="shared" si="162"/>
        <v>4738.1550500000003</v>
      </c>
      <c r="AG915">
        <f t="shared" si="163"/>
        <v>4742.1315008333331</v>
      </c>
      <c r="AH915">
        <f t="shared" si="164"/>
        <v>4713.884960833333</v>
      </c>
    </row>
    <row r="916" spans="1:34" x14ac:dyDescent="0.55000000000000004">
      <c r="A916">
        <f>ALGLIB_SSA_XAUUSD!J916</f>
        <v>1775671800</v>
      </c>
      <c r="B916" t="str">
        <f>_xlfn.XLOOKUP($A916,ALGLIB_SSA_XAUUSD!$A$2:$A$1000,ALGLIB_SSA_XAUUSD!$B$2:$B$1000,"",0)</f>
        <v/>
      </c>
      <c r="C916" t="str">
        <f>_xlfn.XLOOKUP($A916,ALGLIB_SSA_XAUUSD!$A$2:$A$1000,ALGLIB_SSA_XAUUSD!$C$2:$C$1000,"",0)</f>
        <v/>
      </c>
      <c r="D916" s="1">
        <f>D914+(D926-D914)*2/12</f>
        <v>4709.79</v>
      </c>
      <c r="E916" s="1">
        <f>E914+(E926-E914)*2/12</f>
        <v>4721.4276916666659</v>
      </c>
      <c r="F916" s="1">
        <f>F914+(F926-F914)*2/12</f>
        <v>4731.9865016666672</v>
      </c>
      <c r="G916" s="1">
        <f>G914+(G926-G914)*2/12</f>
        <v>4741.3880016666662</v>
      </c>
      <c r="H916" s="1">
        <f>H914+(H926-H914)*2/12</f>
        <v>4713.2963316666664</v>
      </c>
      <c r="I916" t="str">
        <f>_xlfn.XLOOKUP($A916,ALGLIB_SSA_XAUUSD!$J$2:$J$1000,ALGLIB_SSA_XAUUSD!$K$2:$K$1000,"",0)</f>
        <v>XAUUSD</v>
      </c>
      <c r="J916" t="str">
        <f>_xlfn.XLOOKUP($A916,ALGLIB_SSA_XAUUSD!$J$2:$J$1000,ALGLIB_SSA_XAUUSD!$L$2:$L$1000,"",0)</f>
        <v>M5</v>
      </c>
      <c r="K916">
        <f>_xlfn.XLOOKUP($A916,ALGLIB_SSA_XAUUSD!$J$2:$J$1000,ALGLIB_SSA_XAUUSD!$M$2:$M$1000,"",0)</f>
        <v>4743.7700000000004</v>
      </c>
      <c r="L916">
        <f>_xlfn.XLOOKUP($A916,ALGLIB_SSA_XAUUSD!$J$2:$J$1000,ALGLIB_SSA_XAUUSD!$N$2:$N$1000,"",0)</f>
        <v>4736.2323699999997</v>
      </c>
      <c r="M916">
        <f>_xlfn.XLOOKUP($A916,ALGLIB_SSA_XAUUSD!$J$2:$J$1000,ALGLIB_SSA_XAUUSD!$O$2:$O$1000,"",0)</f>
        <v>4737.3979600000002</v>
      </c>
      <c r="N916">
        <f>_xlfn.XLOOKUP($A916,ALGLIB_SSA_XAUUSD!$J$2:$J$1000,ALGLIB_SSA_XAUUSD!$P$2:$P$1000,"",0)</f>
        <v>4740.7529699999996</v>
      </c>
      <c r="O916">
        <f>_xlfn.XLOOKUP($A916,ALGLIB_SSA_XAUUSD!$J$2:$J$1000,ALGLIB_SSA_XAUUSD!$Q$2:$Q$1000,"",0)</f>
        <v>4730.4583199999997</v>
      </c>
      <c r="R916">
        <f t="shared" si="154"/>
        <v>1775671800</v>
      </c>
      <c r="S916" t="str">
        <f t="shared" si="155"/>
        <v>XAUUSD</v>
      </c>
      <c r="T916" t="str">
        <f t="shared" si="156"/>
        <v>M5</v>
      </c>
      <c r="U916">
        <f t="shared" si="157"/>
        <v>4743.7700000000004</v>
      </c>
      <c r="V916">
        <v>4721.4276900000004</v>
      </c>
      <c r="W916">
        <v>4731.9865</v>
      </c>
      <c r="X916">
        <v>4736.2323699999997</v>
      </c>
      <c r="Y916">
        <v>4737.3979600000002</v>
      </c>
      <c r="Z916">
        <f t="shared" si="158"/>
        <v>4741.3880016666662</v>
      </c>
      <c r="AA916">
        <f t="shared" si="159"/>
        <v>4740.7529699999996</v>
      </c>
      <c r="AB916">
        <f t="shared" si="160"/>
        <v>4713.2963316666664</v>
      </c>
      <c r="AC916">
        <f t="shared" si="161"/>
        <v>4730.4583199999997</v>
      </c>
      <c r="AF916">
        <f t="shared" si="162"/>
        <v>4736.2323699999997</v>
      </c>
      <c r="AG916">
        <f t="shared" si="163"/>
        <v>4741.3880016666662</v>
      </c>
      <c r="AH916">
        <f t="shared" si="164"/>
        <v>4713.2963316666664</v>
      </c>
    </row>
    <row r="917" spans="1:34" x14ac:dyDescent="0.55000000000000004">
      <c r="A917">
        <f>ALGLIB_SSA_XAUUSD!J917</f>
        <v>1775672100</v>
      </c>
      <c r="B917" t="str">
        <f>_xlfn.XLOOKUP($A917,ALGLIB_SSA_XAUUSD!$A$2:$A$1000,ALGLIB_SSA_XAUUSD!$B$2:$B$1000,"",0)</f>
        <v/>
      </c>
      <c r="C917" t="str">
        <f>_xlfn.XLOOKUP($A917,ALGLIB_SSA_XAUUSD!$A$2:$A$1000,ALGLIB_SSA_XAUUSD!$C$2:$C$1000,"",0)</f>
        <v/>
      </c>
      <c r="D917" s="1">
        <f>D914+(D926-D914)*3/12</f>
        <v>4711.9050000000007</v>
      </c>
      <c r="E917" s="1">
        <f>E914+(E926-E914)*3/12</f>
        <v>4720.9018624999999</v>
      </c>
      <c r="F917" s="1">
        <f>F914+(F926-F914)*3/12</f>
        <v>4731.2675424999998</v>
      </c>
      <c r="G917" s="1">
        <f>G914+(G926-G914)*3/12</f>
        <v>4740.6445025000003</v>
      </c>
      <c r="H917" s="1">
        <f>H914+(H926-H914)*3/12</f>
        <v>4712.7077024999999</v>
      </c>
      <c r="I917" t="str">
        <f>_xlfn.XLOOKUP($A917,ALGLIB_SSA_XAUUSD!$J$2:$J$1000,ALGLIB_SSA_XAUUSD!$K$2:$K$1000,"",0)</f>
        <v>XAUUSD</v>
      </c>
      <c r="J917" t="str">
        <f>_xlfn.XLOOKUP($A917,ALGLIB_SSA_XAUUSD!$J$2:$J$1000,ALGLIB_SSA_XAUUSD!$L$2:$L$1000,"",0)</f>
        <v>M5</v>
      </c>
      <c r="K917">
        <f>_xlfn.XLOOKUP($A917,ALGLIB_SSA_XAUUSD!$J$2:$J$1000,ALGLIB_SSA_XAUUSD!$M$2:$M$1000,"",0)</f>
        <v>4729.57</v>
      </c>
      <c r="L917">
        <f>_xlfn.XLOOKUP($A917,ALGLIB_SSA_XAUUSD!$J$2:$J$1000,ALGLIB_SSA_XAUUSD!$N$2:$N$1000,"",0)</f>
        <v>4732.9853400000002</v>
      </c>
      <c r="M917">
        <f>_xlfn.XLOOKUP($A917,ALGLIB_SSA_XAUUSD!$J$2:$J$1000,ALGLIB_SSA_XAUUSD!$O$2:$O$1000,"",0)</f>
        <v>4735.1916499999998</v>
      </c>
      <c r="N917">
        <f>_xlfn.XLOOKUP($A917,ALGLIB_SSA_XAUUSD!$J$2:$J$1000,ALGLIB_SSA_XAUUSD!$P$2:$P$1000,"",0)</f>
        <v>4738.6187799999998</v>
      </c>
      <c r="O917">
        <f>_xlfn.XLOOKUP($A917,ALGLIB_SSA_XAUUSD!$J$2:$J$1000,ALGLIB_SSA_XAUUSD!$Q$2:$Q$1000,"",0)</f>
        <v>4727.3951800000004</v>
      </c>
      <c r="R917">
        <f t="shared" si="154"/>
        <v>1775672100</v>
      </c>
      <c r="S917" t="str">
        <f t="shared" si="155"/>
        <v>XAUUSD</v>
      </c>
      <c r="T917" t="str">
        <f t="shared" si="156"/>
        <v>M5</v>
      </c>
      <c r="U917">
        <f t="shared" si="157"/>
        <v>4729.57</v>
      </c>
      <c r="V917">
        <v>4720.9018599999999</v>
      </c>
      <c r="W917">
        <v>4731.2675399999998</v>
      </c>
      <c r="X917">
        <v>4732.9853400000002</v>
      </c>
      <c r="Y917">
        <v>4735.1916499999998</v>
      </c>
      <c r="Z917">
        <f t="shared" si="158"/>
        <v>4740.6445025000003</v>
      </c>
      <c r="AA917">
        <f t="shared" si="159"/>
        <v>4738.6187799999998</v>
      </c>
      <c r="AB917">
        <f t="shared" si="160"/>
        <v>4712.7077024999999</v>
      </c>
      <c r="AC917">
        <f t="shared" si="161"/>
        <v>4727.3951800000004</v>
      </c>
      <c r="AF917">
        <f t="shared" si="162"/>
        <v>4732.9853400000002</v>
      </c>
      <c r="AG917">
        <f t="shared" si="163"/>
        <v>4740.6445025000003</v>
      </c>
      <c r="AH917">
        <f t="shared" si="164"/>
        <v>4712.7077024999999</v>
      </c>
    </row>
    <row r="918" spans="1:34" x14ac:dyDescent="0.55000000000000004">
      <c r="A918">
        <f>ALGLIB_SSA_XAUUSD!J918</f>
        <v>1775672400</v>
      </c>
      <c r="B918" t="str">
        <f>_xlfn.XLOOKUP($A918,ALGLIB_SSA_XAUUSD!$A$2:$A$1000,ALGLIB_SSA_XAUUSD!$B$2:$B$1000,"",0)</f>
        <v/>
      </c>
      <c r="C918" t="str">
        <f>_xlfn.XLOOKUP($A918,ALGLIB_SSA_XAUUSD!$A$2:$A$1000,ALGLIB_SSA_XAUUSD!$C$2:$C$1000,"",0)</f>
        <v/>
      </c>
      <c r="D918" s="1">
        <f>D914+(D926-D914)*4/12</f>
        <v>4714.0200000000004</v>
      </c>
      <c r="E918" s="1">
        <f>E914+(E926-E914)*4/12</f>
        <v>4720.376033333333</v>
      </c>
      <c r="F918" s="1">
        <f>F914+(F926-F914)*4/12</f>
        <v>4730.5485833333332</v>
      </c>
      <c r="G918" s="1">
        <f>G914+(G926-G914)*4/12</f>
        <v>4739.9010033333334</v>
      </c>
      <c r="H918" s="1">
        <f>H914+(H926-H914)*4/12</f>
        <v>4712.1190733333333</v>
      </c>
      <c r="I918" t="str">
        <f>_xlfn.XLOOKUP($A918,ALGLIB_SSA_XAUUSD!$J$2:$J$1000,ALGLIB_SSA_XAUUSD!$K$2:$K$1000,"",0)</f>
        <v>XAUUSD</v>
      </c>
      <c r="J918" t="str">
        <f>_xlfn.XLOOKUP($A918,ALGLIB_SSA_XAUUSD!$J$2:$J$1000,ALGLIB_SSA_XAUUSD!$L$2:$L$1000,"",0)</f>
        <v>M5</v>
      </c>
      <c r="K918">
        <f>_xlfn.XLOOKUP($A918,ALGLIB_SSA_XAUUSD!$J$2:$J$1000,ALGLIB_SSA_XAUUSD!$M$2:$M$1000,"",0)</f>
        <v>4723.7</v>
      </c>
      <c r="L918">
        <f>_xlfn.XLOOKUP($A918,ALGLIB_SSA_XAUUSD!$J$2:$J$1000,ALGLIB_SSA_XAUUSD!$N$2:$N$1000,"",0)</f>
        <v>4728.8832300000004</v>
      </c>
      <c r="M918">
        <f>_xlfn.XLOOKUP($A918,ALGLIB_SSA_XAUUSD!$J$2:$J$1000,ALGLIB_SSA_XAUUSD!$O$2:$O$1000,"",0)</f>
        <v>4732.0374400000001</v>
      </c>
      <c r="N918">
        <f>_xlfn.XLOOKUP($A918,ALGLIB_SSA_XAUUSD!$J$2:$J$1000,ALGLIB_SSA_XAUUSD!$P$2:$P$1000,"",0)</f>
        <v>4735.2424199999996</v>
      </c>
      <c r="O918">
        <f>_xlfn.XLOOKUP($A918,ALGLIB_SSA_XAUUSD!$J$2:$J$1000,ALGLIB_SSA_XAUUSD!$Q$2:$Q$1000,"",0)</f>
        <v>4723.9827999999998</v>
      </c>
      <c r="R918">
        <f t="shared" si="154"/>
        <v>1775672400</v>
      </c>
      <c r="S918" t="str">
        <f t="shared" si="155"/>
        <v>XAUUSD</v>
      </c>
      <c r="T918" t="str">
        <f t="shared" si="156"/>
        <v>M5</v>
      </c>
      <c r="U918">
        <f t="shared" si="157"/>
        <v>4723.7</v>
      </c>
      <c r="V918">
        <v>4720.3760300000004</v>
      </c>
      <c r="W918">
        <v>4730.5485799999997</v>
      </c>
      <c r="X918">
        <v>4728.8832300000004</v>
      </c>
      <c r="Y918">
        <v>4732.0374400000001</v>
      </c>
      <c r="Z918">
        <f t="shared" si="158"/>
        <v>4739.9010033333334</v>
      </c>
      <c r="AA918">
        <f t="shared" si="159"/>
        <v>4735.2424199999996</v>
      </c>
      <c r="AB918">
        <f t="shared" si="160"/>
        <v>4712.1190733333333</v>
      </c>
      <c r="AC918">
        <f t="shared" si="161"/>
        <v>4723.9827999999998</v>
      </c>
      <c r="AF918">
        <f t="shared" si="162"/>
        <v>4728.8832300000004</v>
      </c>
      <c r="AG918">
        <f t="shared" si="163"/>
        <v>4739.9010033333334</v>
      </c>
      <c r="AH918">
        <f t="shared" si="164"/>
        <v>4712.1190733333333</v>
      </c>
    </row>
    <row r="919" spans="1:34" x14ac:dyDescent="0.55000000000000004">
      <c r="A919">
        <f>ALGLIB_SSA_XAUUSD!J919</f>
        <v>1775672700</v>
      </c>
      <c r="B919" t="str">
        <f>_xlfn.XLOOKUP($A919,ALGLIB_SSA_XAUUSD!$A$2:$A$1000,ALGLIB_SSA_XAUUSD!$B$2:$B$1000,"",0)</f>
        <v/>
      </c>
      <c r="C919" t="str">
        <f>_xlfn.XLOOKUP($A919,ALGLIB_SSA_XAUUSD!$A$2:$A$1000,ALGLIB_SSA_XAUUSD!$C$2:$C$1000,"",0)</f>
        <v/>
      </c>
      <c r="D919" s="1">
        <f>D914+(D926-D914)*5/12</f>
        <v>4716.1350000000002</v>
      </c>
      <c r="E919" s="1">
        <f>E914+(E926-E914)*5/12</f>
        <v>4719.8502041666661</v>
      </c>
      <c r="F919" s="1">
        <f>F914+(F926-F914)*5/12</f>
        <v>4729.8296241666667</v>
      </c>
      <c r="G919" s="1">
        <f>G914+(G926-G914)*5/12</f>
        <v>4739.1575041666665</v>
      </c>
      <c r="H919" s="1">
        <f>H914+(H926-H914)*5/12</f>
        <v>4711.5304441666667</v>
      </c>
      <c r="I919" t="str">
        <f>_xlfn.XLOOKUP($A919,ALGLIB_SSA_XAUUSD!$J$2:$J$1000,ALGLIB_SSA_XAUUSD!$K$2:$K$1000,"",0)</f>
        <v>XAUUSD</v>
      </c>
      <c r="J919" t="str">
        <f>_xlfn.XLOOKUP($A919,ALGLIB_SSA_XAUUSD!$J$2:$J$1000,ALGLIB_SSA_XAUUSD!$L$2:$L$1000,"",0)</f>
        <v>M5</v>
      </c>
      <c r="K919">
        <f>_xlfn.XLOOKUP($A919,ALGLIB_SSA_XAUUSD!$J$2:$J$1000,ALGLIB_SSA_XAUUSD!$M$2:$M$1000,"",0)</f>
        <v>4722.5600000000004</v>
      </c>
      <c r="L919">
        <f>_xlfn.XLOOKUP($A919,ALGLIB_SSA_XAUUSD!$J$2:$J$1000,ALGLIB_SSA_XAUUSD!$N$2:$N$1000,"",0)</f>
        <v>4724.3404399999999</v>
      </c>
      <c r="M919">
        <f>_xlfn.XLOOKUP($A919,ALGLIB_SSA_XAUUSD!$J$2:$J$1000,ALGLIB_SSA_XAUUSD!$O$2:$O$1000,"",0)</f>
        <v>4728.18894</v>
      </c>
      <c r="N919">
        <f>_xlfn.XLOOKUP($A919,ALGLIB_SSA_XAUUSD!$J$2:$J$1000,ALGLIB_SSA_XAUUSD!$P$2:$P$1000,"",0)</f>
        <v>4731.0687200000002</v>
      </c>
      <c r="O919">
        <f>_xlfn.XLOOKUP($A919,ALGLIB_SSA_XAUUSD!$J$2:$J$1000,ALGLIB_SSA_XAUUSD!$Q$2:$Q$1000,"",0)</f>
        <v>4720.2871299999997</v>
      </c>
      <c r="R919">
        <f t="shared" si="154"/>
        <v>1775672700</v>
      </c>
      <c r="S919" t="str">
        <f t="shared" si="155"/>
        <v>XAUUSD</v>
      </c>
      <c r="T919" t="str">
        <f t="shared" si="156"/>
        <v>M5</v>
      </c>
      <c r="U919">
        <f t="shared" si="157"/>
        <v>4722.5600000000004</v>
      </c>
      <c r="V919">
        <v>4719.8501999999999</v>
      </c>
      <c r="W919">
        <v>4729.8296200000004</v>
      </c>
      <c r="X919">
        <v>4724.3404399999999</v>
      </c>
      <c r="Y919">
        <v>4728.18894</v>
      </c>
      <c r="Z919">
        <f t="shared" si="158"/>
        <v>4739.1575041666665</v>
      </c>
      <c r="AA919">
        <f t="shared" si="159"/>
        <v>4731.0687200000002</v>
      </c>
      <c r="AB919">
        <f t="shared" si="160"/>
        <v>4711.5304441666667</v>
      </c>
      <c r="AC919">
        <f t="shared" si="161"/>
        <v>4720.2871299999997</v>
      </c>
      <c r="AF919">
        <f t="shared" si="162"/>
        <v>4724.3404399999999</v>
      </c>
      <c r="AG919">
        <f t="shared" si="163"/>
        <v>4739.1575041666665</v>
      </c>
      <c r="AH919">
        <f t="shared" si="164"/>
        <v>4711.5304441666667</v>
      </c>
    </row>
    <row r="920" spans="1:34" x14ac:dyDescent="0.55000000000000004">
      <c r="A920">
        <f>ALGLIB_SSA_XAUUSD!J920</f>
        <v>1775673000</v>
      </c>
      <c r="B920" t="str">
        <f>_xlfn.XLOOKUP($A920,ALGLIB_SSA_XAUUSD!$A$2:$A$1000,ALGLIB_SSA_XAUUSD!$B$2:$B$1000,"",0)</f>
        <v/>
      </c>
      <c r="C920" t="str">
        <f>_xlfn.XLOOKUP($A920,ALGLIB_SSA_XAUUSD!$A$2:$A$1000,ALGLIB_SSA_XAUUSD!$C$2:$C$1000,"",0)</f>
        <v/>
      </c>
      <c r="D920" s="1">
        <f>D914+(D926-D914)*6/12</f>
        <v>4718.25</v>
      </c>
      <c r="E920" s="1">
        <f>E914+(E926-E914)*6/12</f>
        <v>4719.3243750000001</v>
      </c>
      <c r="F920" s="1">
        <f>F914+(F926-F914)*6/12</f>
        <v>4729.1106650000002</v>
      </c>
      <c r="G920" s="1">
        <f>G914+(G926-G914)*6/12</f>
        <v>4738.4140050000005</v>
      </c>
      <c r="H920" s="1">
        <f>H914+(H926-H914)*6/12</f>
        <v>4710.9418150000001</v>
      </c>
      <c r="I920" t="str">
        <f>_xlfn.XLOOKUP($A920,ALGLIB_SSA_XAUUSD!$J$2:$J$1000,ALGLIB_SSA_XAUUSD!$K$2:$K$1000,"",0)</f>
        <v>XAUUSD</v>
      </c>
      <c r="J920" t="str">
        <f>_xlfn.XLOOKUP($A920,ALGLIB_SSA_XAUUSD!$J$2:$J$1000,ALGLIB_SSA_XAUUSD!$L$2:$L$1000,"",0)</f>
        <v>M5</v>
      </c>
      <c r="K920">
        <f>_xlfn.XLOOKUP($A920,ALGLIB_SSA_XAUUSD!$J$2:$J$1000,ALGLIB_SSA_XAUUSD!$M$2:$M$1000,"",0)</f>
        <v>4722.99</v>
      </c>
      <c r="L920">
        <f>_xlfn.XLOOKUP($A920,ALGLIB_SSA_XAUUSD!$J$2:$J$1000,ALGLIB_SSA_XAUUSD!$N$2:$N$1000,"",0)</f>
        <v>4719.7089100000003</v>
      </c>
      <c r="M920">
        <f>_xlfn.XLOOKUP($A920,ALGLIB_SSA_XAUUSD!$J$2:$J$1000,ALGLIB_SSA_XAUUSD!$O$2:$O$1000,"",0)</f>
        <v>4723.9489199999998</v>
      </c>
      <c r="N920">
        <f>_xlfn.XLOOKUP($A920,ALGLIB_SSA_XAUUSD!$J$2:$J$1000,ALGLIB_SSA_XAUUSD!$P$2:$P$1000,"",0)</f>
        <v>4726.5063399999999</v>
      </c>
      <c r="O920">
        <f>_xlfn.XLOOKUP($A920,ALGLIB_SSA_XAUUSD!$J$2:$J$1000,ALGLIB_SSA_XAUUSD!$Q$2:$Q$1000,"",0)</f>
        <v>4716.5681000000004</v>
      </c>
      <c r="R920">
        <f t="shared" si="154"/>
        <v>1775673000</v>
      </c>
      <c r="S920" t="str">
        <f t="shared" si="155"/>
        <v>XAUUSD</v>
      </c>
      <c r="T920" t="str">
        <f t="shared" si="156"/>
        <v>M5</v>
      </c>
      <c r="U920">
        <f t="shared" si="157"/>
        <v>4722.99</v>
      </c>
      <c r="V920">
        <v>4719.32438</v>
      </c>
      <c r="W920">
        <v>4729.11067</v>
      </c>
      <c r="X920">
        <v>4719.7089100000003</v>
      </c>
      <c r="Y920">
        <v>4723.9489199999998</v>
      </c>
      <c r="Z920">
        <f t="shared" si="158"/>
        <v>4738.4140050000005</v>
      </c>
      <c r="AA920">
        <f t="shared" si="159"/>
        <v>4726.5063399999999</v>
      </c>
      <c r="AB920">
        <f t="shared" si="160"/>
        <v>4710.9418150000001</v>
      </c>
      <c r="AC920">
        <f t="shared" si="161"/>
        <v>4716.5681000000004</v>
      </c>
      <c r="AF920">
        <f t="shared" si="162"/>
        <v>4719.7089100000003</v>
      </c>
      <c r="AG920">
        <f t="shared" si="163"/>
        <v>4738.4140050000005</v>
      </c>
      <c r="AH920">
        <f t="shared" si="164"/>
        <v>4710.9418150000001</v>
      </c>
    </row>
    <row r="921" spans="1:34" x14ac:dyDescent="0.55000000000000004">
      <c r="A921">
        <f>ALGLIB_SSA_XAUUSD!J921</f>
        <v>1775673300</v>
      </c>
      <c r="B921" t="str">
        <f>_xlfn.XLOOKUP($A921,ALGLIB_SSA_XAUUSD!$A$2:$A$1000,ALGLIB_SSA_XAUUSD!$B$2:$B$1000,"",0)</f>
        <v/>
      </c>
      <c r="C921" t="str">
        <f>_xlfn.XLOOKUP($A921,ALGLIB_SSA_XAUUSD!$A$2:$A$1000,ALGLIB_SSA_XAUUSD!$C$2:$C$1000,"",0)</f>
        <v/>
      </c>
      <c r="D921" s="1">
        <f>D914+(D926-D914)*7/12</f>
        <v>4720.3649999999998</v>
      </c>
      <c r="E921" s="1">
        <f>E914+(E926-E914)*7/12</f>
        <v>4718.7985458333333</v>
      </c>
      <c r="F921" s="1">
        <f>F914+(F926-F914)*7/12</f>
        <v>4728.3917058333336</v>
      </c>
      <c r="G921" s="1">
        <f>G914+(G926-G914)*7/12</f>
        <v>4737.6705058333337</v>
      </c>
      <c r="H921" s="1">
        <f>H914+(H926-H914)*7/12</f>
        <v>4710.3531858333326</v>
      </c>
      <c r="I921" t="str">
        <f>_xlfn.XLOOKUP($A921,ALGLIB_SSA_XAUUSD!$J$2:$J$1000,ALGLIB_SSA_XAUUSD!$K$2:$K$1000,"",0)</f>
        <v>XAUUSD</v>
      </c>
      <c r="J921" t="str">
        <f>_xlfn.XLOOKUP($A921,ALGLIB_SSA_XAUUSD!$J$2:$J$1000,ALGLIB_SSA_XAUUSD!$L$2:$L$1000,"",0)</f>
        <v>M5</v>
      </c>
      <c r="K921">
        <f>_xlfn.XLOOKUP($A921,ALGLIB_SSA_XAUUSD!$J$2:$J$1000,ALGLIB_SSA_XAUUSD!$M$2:$M$1000,"",0)</f>
        <v>4714.91</v>
      </c>
      <c r="L921">
        <f>_xlfn.XLOOKUP($A921,ALGLIB_SSA_XAUUSD!$J$2:$J$1000,ALGLIB_SSA_XAUUSD!$N$2:$N$1000,"",0)</f>
        <v>4715.2878799999999</v>
      </c>
      <c r="M921">
        <f>_xlfn.XLOOKUP($A921,ALGLIB_SSA_XAUUSD!$J$2:$J$1000,ALGLIB_SSA_XAUUSD!$O$2:$O$1000,"",0)</f>
        <v>4719.6184000000003</v>
      </c>
      <c r="N921">
        <f>_xlfn.XLOOKUP($A921,ALGLIB_SSA_XAUUSD!$J$2:$J$1000,ALGLIB_SSA_XAUUSD!$P$2:$P$1000,"",0)</f>
        <v>4721.9145399999998</v>
      </c>
      <c r="O921">
        <f>_xlfn.XLOOKUP($A921,ALGLIB_SSA_XAUUSD!$J$2:$J$1000,ALGLIB_SSA_XAUUSD!$Q$2:$Q$1000,"",0)</f>
        <v>4712.9309800000001</v>
      </c>
      <c r="R921">
        <f t="shared" si="154"/>
        <v>1775673300</v>
      </c>
      <c r="S921" t="str">
        <f t="shared" si="155"/>
        <v>XAUUSD</v>
      </c>
      <c r="T921" t="str">
        <f t="shared" si="156"/>
        <v>M5</v>
      </c>
      <c r="U921">
        <f t="shared" si="157"/>
        <v>4714.91</v>
      </c>
      <c r="V921">
        <v>4718.7985500000004</v>
      </c>
      <c r="W921">
        <v>4728.3917099999999</v>
      </c>
      <c r="X921">
        <v>4715.2878799999999</v>
      </c>
      <c r="Y921">
        <v>4719.6184000000003</v>
      </c>
      <c r="Z921">
        <f t="shared" si="158"/>
        <v>4737.6705058333337</v>
      </c>
      <c r="AA921">
        <f t="shared" si="159"/>
        <v>4721.9145399999998</v>
      </c>
      <c r="AB921">
        <f t="shared" si="160"/>
        <v>4710.3531858333326</v>
      </c>
      <c r="AC921">
        <f t="shared" si="161"/>
        <v>4712.9309800000001</v>
      </c>
      <c r="AF921">
        <f t="shared" si="162"/>
        <v>4715.2878799999999</v>
      </c>
      <c r="AG921">
        <f t="shared" si="163"/>
        <v>4737.6705058333337</v>
      </c>
      <c r="AH921">
        <f t="shared" si="164"/>
        <v>4710.3531858333326</v>
      </c>
    </row>
    <row r="922" spans="1:34" x14ac:dyDescent="0.55000000000000004">
      <c r="A922">
        <f>ALGLIB_SSA_XAUUSD!J922</f>
        <v>1775673600</v>
      </c>
      <c r="B922" t="str">
        <f>_xlfn.XLOOKUP($A922,ALGLIB_SSA_XAUUSD!$A$2:$A$1000,ALGLIB_SSA_XAUUSD!$B$2:$B$1000,"",0)</f>
        <v/>
      </c>
      <c r="C922" t="str">
        <f>_xlfn.XLOOKUP($A922,ALGLIB_SSA_XAUUSD!$A$2:$A$1000,ALGLIB_SSA_XAUUSD!$C$2:$C$1000,"",0)</f>
        <v/>
      </c>
      <c r="D922" s="1">
        <f>D914+(D926-D914)*8/12</f>
        <v>4722.4799999999996</v>
      </c>
      <c r="E922" s="1">
        <f>E914+(E926-E914)*8/12</f>
        <v>4718.2727166666664</v>
      </c>
      <c r="F922" s="1">
        <f>F914+(F926-F914)*8/12</f>
        <v>4727.6727466666671</v>
      </c>
      <c r="G922" s="1">
        <f>G914+(G926-G914)*8/12</f>
        <v>4736.9270066666668</v>
      </c>
      <c r="H922" s="1">
        <f>H914+(H926-H914)*8/12</f>
        <v>4709.7645566666661</v>
      </c>
      <c r="I922" t="str">
        <f>_xlfn.XLOOKUP($A922,ALGLIB_SSA_XAUUSD!$J$2:$J$1000,ALGLIB_SSA_XAUUSD!$K$2:$K$1000,"",0)</f>
        <v>XAUUSD</v>
      </c>
      <c r="J922" t="str">
        <f>_xlfn.XLOOKUP($A922,ALGLIB_SSA_XAUUSD!$J$2:$J$1000,ALGLIB_SSA_XAUUSD!$L$2:$L$1000,"",0)</f>
        <v>M5</v>
      </c>
      <c r="K922">
        <f>_xlfn.XLOOKUP($A922,ALGLIB_SSA_XAUUSD!$J$2:$J$1000,ALGLIB_SSA_XAUUSD!$M$2:$M$1000,"",0)</f>
        <v>4709.6099999999997</v>
      </c>
      <c r="L922">
        <f>_xlfn.XLOOKUP($A922,ALGLIB_SSA_XAUUSD!$J$2:$J$1000,ALGLIB_SSA_XAUUSD!$N$2:$N$1000,"",0)</f>
        <v>4711.5570799999996</v>
      </c>
      <c r="M922">
        <f>_xlfn.XLOOKUP($A922,ALGLIB_SSA_XAUUSD!$J$2:$J$1000,ALGLIB_SSA_XAUUSD!$O$2:$O$1000,"",0)</f>
        <v>4715.5877399999999</v>
      </c>
      <c r="N922">
        <f>_xlfn.XLOOKUP($A922,ALGLIB_SSA_XAUUSD!$J$2:$J$1000,ALGLIB_SSA_XAUUSD!$P$2:$P$1000,"",0)</f>
        <v>4717.6855599999999</v>
      </c>
      <c r="O922">
        <f>_xlfn.XLOOKUP($A922,ALGLIB_SSA_XAUUSD!$J$2:$J$1000,ALGLIB_SSA_XAUUSD!$Q$2:$Q$1000,"",0)</f>
        <v>4709.6935400000002</v>
      </c>
      <c r="R922">
        <f t="shared" si="154"/>
        <v>1775673600</v>
      </c>
      <c r="S922" t="str">
        <f t="shared" si="155"/>
        <v>XAUUSD</v>
      </c>
      <c r="T922" t="str">
        <f t="shared" si="156"/>
        <v>M5</v>
      </c>
      <c r="U922">
        <f t="shared" si="157"/>
        <v>4709.6099999999997</v>
      </c>
      <c r="V922">
        <v>4718.2727199999999</v>
      </c>
      <c r="W922">
        <v>4727.6727499999997</v>
      </c>
      <c r="X922">
        <v>4711.5570799999996</v>
      </c>
      <c r="Y922">
        <v>4715.5877399999999</v>
      </c>
      <c r="Z922">
        <f t="shared" si="158"/>
        <v>4736.9270066666668</v>
      </c>
      <c r="AA922">
        <f t="shared" si="159"/>
        <v>4717.6855599999999</v>
      </c>
      <c r="AB922">
        <f t="shared" si="160"/>
        <v>4709.7645566666661</v>
      </c>
      <c r="AC922">
        <f t="shared" si="161"/>
        <v>4709.6935400000002</v>
      </c>
      <c r="AF922">
        <f t="shared" si="162"/>
        <v>4711.5570799999996</v>
      </c>
      <c r="AG922">
        <f t="shared" si="163"/>
        <v>4736.9270066666668</v>
      </c>
      <c r="AH922">
        <f t="shared" si="164"/>
        <v>4709.7645566666661</v>
      </c>
    </row>
    <row r="923" spans="1:34" x14ac:dyDescent="0.55000000000000004">
      <c r="A923">
        <f>ALGLIB_SSA_XAUUSD!J923</f>
        <v>1775673900</v>
      </c>
      <c r="B923" t="str">
        <f>_xlfn.XLOOKUP($A923,ALGLIB_SSA_XAUUSD!$A$2:$A$1000,ALGLIB_SSA_XAUUSD!$B$2:$B$1000,"",0)</f>
        <v/>
      </c>
      <c r="C923" t="str">
        <f>_xlfn.XLOOKUP($A923,ALGLIB_SSA_XAUUSD!$A$2:$A$1000,ALGLIB_SSA_XAUUSD!$C$2:$C$1000,"",0)</f>
        <v/>
      </c>
      <c r="D923" s="1">
        <f>D914+(D926-D914)*9/12</f>
        <v>4724.5949999999993</v>
      </c>
      <c r="E923" s="1">
        <f>E914+(E926-E914)*9/12</f>
        <v>4717.7468874999995</v>
      </c>
      <c r="F923" s="1">
        <f>F914+(F926-F914)*9/12</f>
        <v>4726.9537875000005</v>
      </c>
      <c r="G923" s="1">
        <f>G914+(G926-G914)*9/12</f>
        <v>4736.1835074999999</v>
      </c>
      <c r="H923" s="1">
        <f>H914+(H926-H914)*9/12</f>
        <v>4709.1759274999995</v>
      </c>
      <c r="I923" t="str">
        <f>_xlfn.XLOOKUP($A923,ALGLIB_SSA_XAUUSD!$J$2:$J$1000,ALGLIB_SSA_XAUUSD!$K$2:$K$1000,"",0)</f>
        <v>XAUUSD</v>
      </c>
      <c r="J923" t="str">
        <f>_xlfn.XLOOKUP($A923,ALGLIB_SSA_XAUUSD!$J$2:$J$1000,ALGLIB_SSA_XAUUSD!$L$2:$L$1000,"",0)</f>
        <v>M5</v>
      </c>
      <c r="K923">
        <f>_xlfn.XLOOKUP($A923,ALGLIB_SSA_XAUUSD!$J$2:$J$1000,ALGLIB_SSA_XAUUSD!$M$2:$M$1000,"",0)</f>
        <v>4710.46</v>
      </c>
      <c r="L923">
        <f>_xlfn.XLOOKUP($A923,ALGLIB_SSA_XAUUSD!$J$2:$J$1000,ALGLIB_SSA_XAUUSD!$N$2:$N$1000,"",0)</f>
        <v>4708.8234300000004</v>
      </c>
      <c r="M923">
        <f>_xlfn.XLOOKUP($A923,ALGLIB_SSA_XAUUSD!$J$2:$J$1000,ALGLIB_SSA_XAUUSD!$O$2:$O$1000,"",0)</f>
        <v>4712.2055799999998</v>
      </c>
      <c r="N923">
        <f>_xlfn.XLOOKUP($A923,ALGLIB_SSA_XAUUSD!$J$2:$J$1000,ALGLIB_SSA_XAUUSD!$P$2:$P$1000,"",0)</f>
        <v>4714.2567600000002</v>
      </c>
      <c r="O923">
        <f>_xlfn.XLOOKUP($A923,ALGLIB_SSA_XAUUSD!$J$2:$J$1000,ALGLIB_SSA_XAUUSD!$Q$2:$Q$1000,"",0)</f>
        <v>4707.0811999999996</v>
      </c>
      <c r="R923">
        <f t="shared" si="154"/>
        <v>1775673900</v>
      </c>
      <c r="S923" t="str">
        <f t="shared" si="155"/>
        <v>XAUUSD</v>
      </c>
      <c r="T923" t="str">
        <f t="shared" si="156"/>
        <v>M5</v>
      </c>
      <c r="U923">
        <f t="shared" si="157"/>
        <v>4710.46</v>
      </c>
      <c r="V923">
        <v>4717.7468900000003</v>
      </c>
      <c r="W923">
        <v>4726.9537899999996</v>
      </c>
      <c r="X923">
        <v>4708.8234300000004</v>
      </c>
      <c r="Y923">
        <v>4712.2055799999998</v>
      </c>
      <c r="Z923">
        <f t="shared" si="158"/>
        <v>4736.1835074999999</v>
      </c>
      <c r="AA923">
        <f t="shared" si="159"/>
        <v>4714.2567600000002</v>
      </c>
      <c r="AB923">
        <f t="shared" si="160"/>
        <v>4709.1759274999995</v>
      </c>
      <c r="AC923">
        <f t="shared" si="161"/>
        <v>4707.0811999999996</v>
      </c>
      <c r="AF923">
        <f t="shared" si="162"/>
        <v>4708.8234300000004</v>
      </c>
      <c r="AG923">
        <f t="shared" si="163"/>
        <v>4736.1835074999999</v>
      </c>
      <c r="AH923">
        <f t="shared" si="164"/>
        <v>4709.1759274999995</v>
      </c>
    </row>
    <row r="924" spans="1:34" x14ac:dyDescent="0.55000000000000004">
      <c r="A924">
        <f>ALGLIB_SSA_XAUUSD!J924</f>
        <v>1775674200</v>
      </c>
      <c r="B924" t="str">
        <f>_xlfn.XLOOKUP($A924,ALGLIB_SSA_XAUUSD!$A$2:$A$1000,ALGLIB_SSA_XAUUSD!$B$2:$B$1000,"",0)</f>
        <v/>
      </c>
      <c r="C924" t="str">
        <f>_xlfn.XLOOKUP($A924,ALGLIB_SSA_XAUUSD!$A$2:$A$1000,ALGLIB_SSA_XAUUSD!$C$2:$C$1000,"",0)</f>
        <v/>
      </c>
      <c r="D924" s="1">
        <f>D914+(D926-D914)*10/12</f>
        <v>4726.71</v>
      </c>
      <c r="E924" s="1">
        <f>E914+(E926-E914)*10/12</f>
        <v>4717.2210583333326</v>
      </c>
      <c r="F924" s="1">
        <f>F914+(F926-F914)*10/12</f>
        <v>4726.2348283333331</v>
      </c>
      <c r="G924" s="1">
        <f>G914+(G926-G914)*10/12</f>
        <v>4735.440008333333</v>
      </c>
      <c r="H924" s="1">
        <f>H914+(H926-H914)*10/12</f>
        <v>4708.5872983333329</v>
      </c>
      <c r="I924" t="str">
        <f>_xlfn.XLOOKUP($A924,ALGLIB_SSA_XAUUSD!$J$2:$J$1000,ALGLIB_SSA_XAUUSD!$K$2:$K$1000,"",0)</f>
        <v>XAUUSD</v>
      </c>
      <c r="J924" t="str">
        <f>_xlfn.XLOOKUP($A924,ALGLIB_SSA_XAUUSD!$J$2:$J$1000,ALGLIB_SSA_XAUUSD!$L$2:$L$1000,"",0)</f>
        <v>M5</v>
      </c>
      <c r="K924">
        <f>_xlfn.XLOOKUP($A924,ALGLIB_SSA_XAUUSD!$J$2:$J$1000,ALGLIB_SSA_XAUUSD!$M$2:$M$1000,"",0)</f>
        <v>4707.92</v>
      </c>
      <c r="L924">
        <f>_xlfn.XLOOKUP($A924,ALGLIB_SSA_XAUUSD!$J$2:$J$1000,ALGLIB_SSA_XAUUSD!$N$2:$N$1000,"",0)</f>
        <v>4707.0847999999996</v>
      </c>
      <c r="M924">
        <f>_xlfn.XLOOKUP($A924,ALGLIB_SSA_XAUUSD!$J$2:$J$1000,ALGLIB_SSA_XAUUSD!$O$2:$O$1000,"",0)</f>
        <v>4709.6451900000002</v>
      </c>
      <c r="N924">
        <f>_xlfn.XLOOKUP($A924,ALGLIB_SSA_XAUUSD!$J$2:$J$1000,ALGLIB_SSA_XAUUSD!$P$2:$P$1000,"",0)</f>
        <v>4711.7973199999997</v>
      </c>
      <c r="O924">
        <f>_xlfn.XLOOKUP($A924,ALGLIB_SSA_XAUUSD!$J$2:$J$1000,ALGLIB_SSA_XAUUSD!$Q$2:$Q$1000,"",0)</f>
        <v>4705.1236099999996</v>
      </c>
      <c r="R924">
        <f t="shared" si="154"/>
        <v>1775674200</v>
      </c>
      <c r="S924" t="str">
        <f t="shared" si="155"/>
        <v>XAUUSD</v>
      </c>
      <c r="T924" t="str">
        <f t="shared" si="156"/>
        <v>M5</v>
      </c>
      <c r="U924">
        <f t="shared" si="157"/>
        <v>4707.92</v>
      </c>
      <c r="V924">
        <v>4717.2210599999999</v>
      </c>
      <c r="W924">
        <v>4726.2348300000003</v>
      </c>
      <c r="X924">
        <v>4707.0847999999996</v>
      </c>
      <c r="Y924">
        <v>4709.6451900000002</v>
      </c>
      <c r="Z924">
        <f t="shared" si="158"/>
        <v>4735.440008333333</v>
      </c>
      <c r="AA924">
        <f t="shared" si="159"/>
        <v>4711.7973199999997</v>
      </c>
      <c r="AB924">
        <f t="shared" si="160"/>
        <v>4708.5872983333329</v>
      </c>
      <c r="AC924">
        <f t="shared" si="161"/>
        <v>4705.1236099999996</v>
      </c>
      <c r="AF924">
        <f t="shared" si="162"/>
        <v>4707.0847999999996</v>
      </c>
      <c r="AG924">
        <f t="shared" si="163"/>
        <v>4735.440008333333</v>
      </c>
      <c r="AH924">
        <f t="shared" si="164"/>
        <v>4708.5872983333329</v>
      </c>
    </row>
    <row r="925" spans="1:34" x14ac:dyDescent="0.55000000000000004">
      <c r="A925">
        <f>ALGLIB_SSA_XAUUSD!J925</f>
        <v>1775674500</v>
      </c>
      <c r="B925" t="str">
        <f>_xlfn.XLOOKUP($A925,ALGLIB_SSA_XAUUSD!$A$2:$A$1000,ALGLIB_SSA_XAUUSD!$B$2:$B$1000,"",0)</f>
        <v/>
      </c>
      <c r="C925" t="str">
        <f>_xlfn.XLOOKUP($A925,ALGLIB_SSA_XAUUSD!$A$2:$A$1000,ALGLIB_SSA_XAUUSD!$C$2:$C$1000,"",0)</f>
        <v/>
      </c>
      <c r="D925" s="1">
        <f>D914+(D926-D914)*11/12</f>
        <v>4728.8249999999998</v>
      </c>
      <c r="E925" s="1">
        <f>E914+(E926-E914)*11/12</f>
        <v>4716.6952291666666</v>
      </c>
      <c r="F925" s="1">
        <f>F914+(F926-F914)*11/12</f>
        <v>4725.5158691666666</v>
      </c>
      <c r="G925" s="1">
        <f>G914+(G926-G914)*11/12</f>
        <v>4734.6965091666671</v>
      </c>
      <c r="H925" s="1">
        <f>H914+(H926-H914)*11/12</f>
        <v>4707.9986691666663</v>
      </c>
      <c r="I925" t="str">
        <f>_xlfn.XLOOKUP($A925,ALGLIB_SSA_XAUUSD!$J$2:$J$1000,ALGLIB_SSA_XAUUSD!$K$2:$K$1000,"",0)</f>
        <v>XAUUSD</v>
      </c>
      <c r="J925" t="str">
        <f>_xlfn.XLOOKUP($A925,ALGLIB_SSA_XAUUSD!$J$2:$J$1000,ALGLIB_SSA_XAUUSD!$L$2:$L$1000,"",0)</f>
        <v>M5</v>
      </c>
      <c r="K925">
        <f>_xlfn.XLOOKUP($A925,ALGLIB_SSA_XAUUSD!$J$2:$J$1000,ALGLIB_SSA_XAUUSD!$M$2:$M$1000,"",0)</f>
        <v>4705.5600000000004</v>
      </c>
      <c r="L925">
        <f>_xlfn.XLOOKUP($A925,ALGLIB_SSA_XAUUSD!$J$2:$J$1000,ALGLIB_SSA_XAUUSD!$N$2:$N$1000,"",0)</f>
        <v>4706.30584</v>
      </c>
      <c r="M925">
        <f>_xlfn.XLOOKUP($A925,ALGLIB_SSA_XAUUSD!$J$2:$J$1000,ALGLIB_SSA_XAUUSD!$O$2:$O$1000,"",0)</f>
        <v>4707.97552</v>
      </c>
      <c r="N925">
        <f>_xlfn.XLOOKUP($A925,ALGLIB_SSA_XAUUSD!$J$2:$J$1000,ALGLIB_SSA_XAUUSD!$P$2:$P$1000,"",0)</f>
        <v>4710.4562500000002</v>
      </c>
      <c r="O925">
        <f>_xlfn.XLOOKUP($A925,ALGLIB_SSA_XAUUSD!$J$2:$J$1000,ALGLIB_SSA_XAUUSD!$Q$2:$Q$1000,"",0)</f>
        <v>4703.8876499999997</v>
      </c>
      <c r="R925">
        <f t="shared" si="154"/>
        <v>1775674500</v>
      </c>
      <c r="S925" t="str">
        <f t="shared" si="155"/>
        <v>XAUUSD</v>
      </c>
      <c r="T925" t="str">
        <f t="shared" si="156"/>
        <v>M5</v>
      </c>
      <c r="U925">
        <f t="shared" si="157"/>
        <v>4705.5600000000004</v>
      </c>
      <c r="V925">
        <v>4716.6952300000003</v>
      </c>
      <c r="W925">
        <v>4725.5158700000002</v>
      </c>
      <c r="X925">
        <v>4706.30584</v>
      </c>
      <c r="Y925">
        <v>4707.97552</v>
      </c>
      <c r="Z925">
        <f t="shared" si="158"/>
        <v>4734.6965091666671</v>
      </c>
      <c r="AA925">
        <f t="shared" si="159"/>
        <v>4710.4562500000002</v>
      </c>
      <c r="AB925">
        <f t="shared" si="160"/>
        <v>4707.9986691666663</v>
      </c>
      <c r="AC925">
        <f t="shared" si="161"/>
        <v>4703.8876499999997</v>
      </c>
      <c r="AF925">
        <f t="shared" si="162"/>
        <v>4706.30584</v>
      </c>
      <c r="AG925">
        <f t="shared" si="163"/>
        <v>4734.6965091666671</v>
      </c>
      <c r="AH925">
        <f t="shared" si="164"/>
        <v>4707.9986691666663</v>
      </c>
    </row>
    <row r="926" spans="1:34" x14ac:dyDescent="0.55000000000000004">
      <c r="A926">
        <f>ALGLIB_SSA_XAUUSD!J926</f>
        <v>1775674800</v>
      </c>
      <c r="B926" t="str">
        <f>_xlfn.XLOOKUP($A926,ALGLIB_SSA_XAUUSD!$A$2:$A$1000,ALGLIB_SSA_XAUUSD!$B$2:$B$1000,"",0)</f>
        <v>XAUUSD</v>
      </c>
      <c r="C926" t="str">
        <f>_xlfn.XLOOKUP($A926,ALGLIB_SSA_XAUUSD!$A$2:$A$1000,ALGLIB_SSA_XAUUSD!$C$2:$C$1000,"",0)</f>
        <v>H1</v>
      </c>
      <c r="D926" s="2">
        <f>_xlfn.XLOOKUP($A926,ALGLIB_SSA_XAUUSD!$A$2:$A$1000,ALGLIB_SSA_XAUUSD!$D$2:$D$1000,"",0)</f>
        <v>4730.9399999999996</v>
      </c>
      <c r="E926" s="2">
        <f>_xlfn.XLOOKUP($A926,ALGLIB_SSA_XAUUSD!$A$2:$A$1000,ALGLIB_SSA_XAUUSD!$E$2:$E$1000,"",0)</f>
        <v>4716.1693999999998</v>
      </c>
      <c r="F926" s="2">
        <f>_xlfn.XLOOKUP($A926,ALGLIB_SSA_XAUUSD!$A$2:$A$1000,ALGLIB_SSA_XAUUSD!$F$2:$F$1000,"",0)</f>
        <v>4724.79691</v>
      </c>
      <c r="G926" s="2">
        <f>_xlfn.XLOOKUP($A926,ALGLIB_SSA_XAUUSD!$A$2:$A$1000,ALGLIB_SSA_XAUUSD!$G$2:$G$1000,"",0)</f>
        <v>4733.9530100000002</v>
      </c>
      <c r="H926" s="2">
        <f>_xlfn.XLOOKUP($A926,ALGLIB_SSA_XAUUSD!$A$2:$A$1000,ALGLIB_SSA_XAUUSD!$H$2:$H$1000,"",0)</f>
        <v>4707.4100399999998</v>
      </c>
      <c r="I926" t="str">
        <f>_xlfn.XLOOKUP($A926,ALGLIB_SSA_XAUUSD!$J$2:$J$1000,ALGLIB_SSA_XAUUSD!$K$2:$K$1000,"",0)</f>
        <v>XAUUSD</v>
      </c>
      <c r="J926" t="str">
        <f>_xlfn.XLOOKUP($A926,ALGLIB_SSA_XAUUSD!$J$2:$J$1000,ALGLIB_SSA_XAUUSD!$L$2:$L$1000,"",0)</f>
        <v>M5</v>
      </c>
      <c r="K926">
        <f>_xlfn.XLOOKUP($A926,ALGLIB_SSA_XAUUSD!$J$2:$J$1000,ALGLIB_SSA_XAUUSD!$M$2:$M$1000,"",0)</f>
        <v>4702.2700000000004</v>
      </c>
      <c r="L926">
        <f>_xlfn.XLOOKUP($A926,ALGLIB_SSA_XAUUSD!$J$2:$J$1000,ALGLIB_SSA_XAUUSD!$N$2:$N$1000,"",0)</f>
        <v>4706.4017899999999</v>
      </c>
      <c r="M926">
        <f>_xlfn.XLOOKUP($A926,ALGLIB_SSA_XAUUSD!$J$2:$J$1000,ALGLIB_SSA_XAUUSD!$O$2:$O$1000,"",0)</f>
        <v>4707.1886599999998</v>
      </c>
      <c r="N926">
        <f>_xlfn.XLOOKUP($A926,ALGLIB_SSA_XAUUSD!$J$2:$J$1000,ALGLIB_SSA_XAUUSD!$P$2:$P$1000,"",0)</f>
        <v>4710.2202500000003</v>
      </c>
      <c r="O926">
        <f>_xlfn.XLOOKUP($A926,ALGLIB_SSA_XAUUSD!$J$2:$J$1000,ALGLIB_SSA_XAUUSD!$Q$2:$Q$1000,"",0)</f>
        <v>4703.3300099999997</v>
      </c>
      <c r="R926">
        <f t="shared" si="154"/>
        <v>1775674800</v>
      </c>
      <c r="S926" t="str">
        <f t="shared" si="155"/>
        <v>XAUUSD</v>
      </c>
      <c r="T926" t="str">
        <f t="shared" si="156"/>
        <v>M5</v>
      </c>
      <c r="U926">
        <f t="shared" si="157"/>
        <v>4702.2700000000004</v>
      </c>
      <c r="V926">
        <v>4716.1693999999998</v>
      </c>
      <c r="W926">
        <v>4724.79691</v>
      </c>
      <c r="X926">
        <v>4706.4017899999999</v>
      </c>
      <c r="Y926">
        <v>4707.1886599999998</v>
      </c>
      <c r="Z926">
        <f t="shared" si="158"/>
        <v>4733.9530100000002</v>
      </c>
      <c r="AA926">
        <f t="shared" si="159"/>
        <v>4710.2202500000003</v>
      </c>
      <c r="AB926">
        <f t="shared" si="160"/>
        <v>4707.4100399999998</v>
      </c>
      <c r="AC926">
        <f t="shared" si="161"/>
        <v>4703.3300099999997</v>
      </c>
      <c r="AF926">
        <f t="shared" si="162"/>
        <v>4706.4017899999999</v>
      </c>
      <c r="AG926">
        <f t="shared" si="163"/>
        <v>4733.9530100000002</v>
      </c>
      <c r="AH926">
        <f t="shared" si="164"/>
        <v>4707.4100399999998</v>
      </c>
    </row>
    <row r="927" spans="1:34" x14ac:dyDescent="0.55000000000000004">
      <c r="A927">
        <f>ALGLIB_SSA_XAUUSD!J927</f>
        <v>1775675100</v>
      </c>
      <c r="B927" t="str">
        <f>_xlfn.XLOOKUP($A927,ALGLIB_SSA_XAUUSD!$A$2:$A$1000,ALGLIB_SSA_XAUUSD!$B$2:$B$1000,"",0)</f>
        <v/>
      </c>
      <c r="C927" t="str">
        <f>_xlfn.XLOOKUP($A927,ALGLIB_SSA_XAUUSD!$A$2:$A$1000,ALGLIB_SSA_XAUUSD!$C$2:$C$1000,"",0)</f>
        <v/>
      </c>
      <c r="D927" s="1">
        <f>D926+(D938-D926)*1/12</f>
        <v>4729.9699999999993</v>
      </c>
      <c r="E927" s="1">
        <f>E926+(E938-E926)*1/12</f>
        <v>4715.9082866666668</v>
      </c>
      <c r="F927" s="1">
        <f>F926+(F938-F926)*1/12</f>
        <v>4724.306873333333</v>
      </c>
      <c r="G927" s="1">
        <f>G926+(G938-G926)*1/12</f>
        <v>4733.4963200000002</v>
      </c>
      <c r="H927" s="1">
        <f>H926+(H938-H926)*1/12</f>
        <v>4707.0889658333326</v>
      </c>
      <c r="I927" t="str">
        <f>_xlfn.XLOOKUP($A927,ALGLIB_SSA_XAUUSD!$J$2:$J$1000,ALGLIB_SSA_XAUUSD!$K$2:$K$1000,"",0)</f>
        <v>XAUUSD</v>
      </c>
      <c r="J927" t="str">
        <f>_xlfn.XLOOKUP($A927,ALGLIB_SSA_XAUUSD!$J$2:$J$1000,ALGLIB_SSA_XAUUSD!$L$2:$L$1000,"",0)</f>
        <v>M5</v>
      </c>
      <c r="K927">
        <f>_xlfn.XLOOKUP($A927,ALGLIB_SSA_XAUUSD!$J$2:$J$1000,ALGLIB_SSA_XAUUSD!$M$2:$M$1000,"",0)</f>
        <v>4707.91</v>
      </c>
      <c r="L927">
        <f>_xlfn.XLOOKUP($A927,ALGLIB_SSA_XAUUSD!$J$2:$J$1000,ALGLIB_SSA_XAUUSD!$N$2:$N$1000,"",0)</f>
        <v>4707.2879199999998</v>
      </c>
      <c r="M927">
        <f>_xlfn.XLOOKUP($A927,ALGLIB_SSA_XAUUSD!$J$2:$J$1000,ALGLIB_SSA_XAUUSD!$O$2:$O$1000,"",0)</f>
        <v>4707.2382900000002</v>
      </c>
      <c r="N927">
        <f>_xlfn.XLOOKUP($A927,ALGLIB_SSA_XAUUSD!$J$2:$J$1000,ALGLIB_SSA_XAUUSD!$P$2:$P$1000,"",0)</f>
        <v>4710.8704900000002</v>
      </c>
      <c r="O927">
        <f>_xlfn.XLOOKUP($A927,ALGLIB_SSA_XAUUSD!$J$2:$J$1000,ALGLIB_SSA_XAUUSD!$Q$2:$Q$1000,"",0)</f>
        <v>4703.4658099999997</v>
      </c>
      <c r="R927">
        <f t="shared" si="154"/>
        <v>1775675100</v>
      </c>
      <c r="S927" t="str">
        <f t="shared" si="155"/>
        <v>XAUUSD</v>
      </c>
      <c r="T927" t="str">
        <f t="shared" si="156"/>
        <v>M5</v>
      </c>
      <c r="U927">
        <f t="shared" si="157"/>
        <v>4707.91</v>
      </c>
      <c r="V927">
        <v>4715.9082900000003</v>
      </c>
      <c r="W927">
        <v>4724.3068700000003</v>
      </c>
      <c r="X927">
        <v>4707.2879199999998</v>
      </c>
      <c r="Y927">
        <v>4707.2382900000002</v>
      </c>
      <c r="Z927">
        <f t="shared" si="158"/>
        <v>4733.4963200000002</v>
      </c>
      <c r="AA927">
        <f t="shared" si="159"/>
        <v>4710.8704900000002</v>
      </c>
      <c r="AB927">
        <f t="shared" si="160"/>
        <v>4707.0889658333326</v>
      </c>
      <c r="AC927">
        <f t="shared" si="161"/>
        <v>4703.4658099999997</v>
      </c>
      <c r="AF927">
        <f t="shared" si="162"/>
        <v>4707.2879199999998</v>
      </c>
      <c r="AG927">
        <f t="shared" si="163"/>
        <v>4733.4963200000002</v>
      </c>
      <c r="AH927">
        <f t="shared" si="164"/>
        <v>4707.0889658333326</v>
      </c>
    </row>
    <row r="928" spans="1:34" x14ac:dyDescent="0.55000000000000004">
      <c r="A928">
        <f>ALGLIB_SSA_XAUUSD!J928</f>
        <v>1775675400</v>
      </c>
      <c r="B928" t="str">
        <f>_xlfn.XLOOKUP($A928,ALGLIB_SSA_XAUUSD!$A$2:$A$1000,ALGLIB_SSA_XAUUSD!$B$2:$B$1000,"",0)</f>
        <v/>
      </c>
      <c r="C928" t="str">
        <f>_xlfn.XLOOKUP($A928,ALGLIB_SSA_XAUUSD!$A$2:$A$1000,ALGLIB_SSA_XAUUSD!$C$2:$C$1000,"",0)</f>
        <v/>
      </c>
      <c r="D928" s="1">
        <f>D926+(D938-D926)*2/12</f>
        <v>4729</v>
      </c>
      <c r="E928" s="1">
        <f>E926+(E938-E926)*2/12</f>
        <v>4715.6471733333328</v>
      </c>
      <c r="F928" s="1">
        <f>F926+(F938-F926)*2/12</f>
        <v>4723.8168366666669</v>
      </c>
      <c r="G928" s="1">
        <f>G926+(G938-G926)*2/12</f>
        <v>4733.0396300000002</v>
      </c>
      <c r="H928" s="1">
        <f>H926+(H938-H926)*2/12</f>
        <v>4706.7678916666664</v>
      </c>
      <c r="I928" t="str">
        <f>_xlfn.XLOOKUP($A928,ALGLIB_SSA_XAUUSD!$J$2:$J$1000,ALGLIB_SSA_XAUUSD!$K$2:$K$1000,"",0)</f>
        <v>XAUUSD</v>
      </c>
      <c r="J928" t="str">
        <f>_xlfn.XLOOKUP($A928,ALGLIB_SSA_XAUUSD!$J$2:$J$1000,ALGLIB_SSA_XAUUSD!$L$2:$L$1000,"",0)</f>
        <v>M5</v>
      </c>
      <c r="K928">
        <f>_xlfn.XLOOKUP($A928,ALGLIB_SSA_XAUUSD!$J$2:$J$1000,ALGLIB_SSA_XAUUSD!$M$2:$M$1000,"",0)</f>
        <v>4715.71</v>
      </c>
      <c r="L928">
        <f>_xlfn.XLOOKUP($A928,ALGLIB_SSA_XAUUSD!$J$2:$J$1000,ALGLIB_SSA_XAUUSD!$N$2:$N$1000,"",0)</f>
        <v>4708.6880899999996</v>
      </c>
      <c r="M928">
        <f>_xlfn.XLOOKUP($A928,ALGLIB_SSA_XAUUSD!$J$2:$J$1000,ALGLIB_SSA_XAUUSD!$O$2:$O$1000,"",0)</f>
        <v>4707.9631900000004</v>
      </c>
      <c r="N928">
        <f>_xlfn.XLOOKUP($A928,ALGLIB_SSA_XAUUSD!$J$2:$J$1000,ALGLIB_SSA_XAUUSD!$P$2:$P$1000,"",0)</f>
        <v>4712.17994</v>
      </c>
      <c r="O928">
        <f>_xlfn.XLOOKUP($A928,ALGLIB_SSA_XAUUSD!$J$2:$J$1000,ALGLIB_SSA_XAUUSD!$Q$2:$Q$1000,"",0)</f>
        <v>4704.2980900000002</v>
      </c>
      <c r="R928">
        <f t="shared" si="154"/>
        <v>1775675400</v>
      </c>
      <c r="S928" t="str">
        <f t="shared" si="155"/>
        <v>XAUUSD</v>
      </c>
      <c r="T928" t="str">
        <f t="shared" si="156"/>
        <v>M5</v>
      </c>
      <c r="U928">
        <f t="shared" si="157"/>
        <v>4715.71</v>
      </c>
      <c r="V928">
        <v>4715.6471700000002</v>
      </c>
      <c r="W928">
        <v>4723.8168400000004</v>
      </c>
      <c r="X928">
        <v>4708.6880899999996</v>
      </c>
      <c r="Y928">
        <v>4707.9631900000004</v>
      </c>
      <c r="Z928">
        <f t="shared" si="158"/>
        <v>4733.0396300000002</v>
      </c>
      <c r="AA928">
        <f t="shared" si="159"/>
        <v>4712.17994</v>
      </c>
      <c r="AB928">
        <f t="shared" si="160"/>
        <v>4706.7678916666664</v>
      </c>
      <c r="AC928">
        <f t="shared" si="161"/>
        <v>4704.2980900000002</v>
      </c>
      <c r="AF928">
        <f t="shared" si="162"/>
        <v>4708.6880899999996</v>
      </c>
      <c r="AG928">
        <f t="shared" si="163"/>
        <v>4733.0396300000002</v>
      </c>
      <c r="AH928">
        <f t="shared" si="164"/>
        <v>4706.7678916666664</v>
      </c>
    </row>
    <row r="929" spans="1:34" x14ac:dyDescent="0.55000000000000004">
      <c r="A929">
        <f>ALGLIB_SSA_XAUUSD!J929</f>
        <v>1775675700</v>
      </c>
      <c r="B929" t="str">
        <f>_xlfn.XLOOKUP($A929,ALGLIB_SSA_XAUUSD!$A$2:$A$1000,ALGLIB_SSA_XAUUSD!$B$2:$B$1000,"",0)</f>
        <v/>
      </c>
      <c r="C929" t="str">
        <f>_xlfn.XLOOKUP($A929,ALGLIB_SSA_XAUUSD!$A$2:$A$1000,ALGLIB_SSA_XAUUSD!$C$2:$C$1000,"",0)</f>
        <v/>
      </c>
      <c r="D929" s="1">
        <f>D926+(D938-D926)*3/12</f>
        <v>4728.03</v>
      </c>
      <c r="E929" s="1">
        <f>E926+(E938-E926)*3/12</f>
        <v>4715.3860599999998</v>
      </c>
      <c r="F929" s="1">
        <f>F926+(F938-F926)*3/12</f>
        <v>4723.3267999999998</v>
      </c>
      <c r="G929" s="1">
        <f>G926+(G938-G926)*3/12</f>
        <v>4732.5829400000002</v>
      </c>
      <c r="H929" s="1">
        <f>H926+(H938-H926)*3/12</f>
        <v>4706.4468175000002</v>
      </c>
      <c r="I929" t="str">
        <f>_xlfn.XLOOKUP($A929,ALGLIB_SSA_XAUUSD!$J$2:$J$1000,ALGLIB_SSA_XAUUSD!$K$2:$K$1000,"",0)</f>
        <v>XAUUSD</v>
      </c>
      <c r="J929" t="str">
        <f>_xlfn.XLOOKUP($A929,ALGLIB_SSA_XAUUSD!$J$2:$J$1000,ALGLIB_SSA_XAUUSD!$L$2:$L$1000,"",0)</f>
        <v>M5</v>
      </c>
      <c r="K929">
        <f>_xlfn.XLOOKUP($A929,ALGLIB_SSA_XAUUSD!$J$2:$J$1000,ALGLIB_SSA_XAUUSD!$M$2:$M$1000,"",0)</f>
        <v>4711.33</v>
      </c>
      <c r="L929">
        <f>_xlfn.XLOOKUP($A929,ALGLIB_SSA_XAUUSD!$J$2:$J$1000,ALGLIB_SSA_XAUUSD!$N$2:$N$1000,"",0)</f>
        <v>4710.3393400000004</v>
      </c>
      <c r="M929">
        <f>_xlfn.XLOOKUP($A929,ALGLIB_SSA_XAUUSD!$J$2:$J$1000,ALGLIB_SSA_XAUUSD!$O$2:$O$1000,"",0)</f>
        <v>4709.1512599999996</v>
      </c>
      <c r="N929">
        <f>_xlfn.XLOOKUP($A929,ALGLIB_SSA_XAUUSD!$J$2:$J$1000,ALGLIB_SSA_XAUUSD!$P$2:$P$1000,"",0)</f>
        <v>4713.8054300000003</v>
      </c>
      <c r="O929">
        <f>_xlfn.XLOOKUP($A929,ALGLIB_SSA_XAUUSD!$J$2:$J$1000,ALGLIB_SSA_XAUUSD!$Q$2:$Q$1000,"",0)</f>
        <v>4705.6617100000003</v>
      </c>
      <c r="R929">
        <f t="shared" si="154"/>
        <v>1775675700</v>
      </c>
      <c r="S929" t="str">
        <f t="shared" si="155"/>
        <v>XAUUSD</v>
      </c>
      <c r="T929" t="str">
        <f t="shared" si="156"/>
        <v>M5</v>
      </c>
      <c r="U929">
        <f t="shared" si="157"/>
        <v>4711.33</v>
      </c>
      <c r="V929">
        <v>4715.3860599999998</v>
      </c>
      <c r="W929">
        <v>4723.3267999999998</v>
      </c>
      <c r="X929">
        <v>4710.3393400000004</v>
      </c>
      <c r="Y929">
        <v>4709.1512599999996</v>
      </c>
      <c r="Z929">
        <f t="shared" si="158"/>
        <v>4732.5829400000002</v>
      </c>
      <c r="AA929">
        <f t="shared" si="159"/>
        <v>4713.8054300000003</v>
      </c>
      <c r="AB929">
        <f t="shared" si="160"/>
        <v>4706.4468175000002</v>
      </c>
      <c r="AC929">
        <f t="shared" si="161"/>
        <v>4705.6617100000003</v>
      </c>
      <c r="AF929">
        <f t="shared" si="162"/>
        <v>4710.3393400000004</v>
      </c>
      <c r="AG929">
        <f t="shared" si="163"/>
        <v>4732.5829400000002</v>
      </c>
      <c r="AH929">
        <f t="shared" si="164"/>
        <v>4706.4468175000002</v>
      </c>
    </row>
    <row r="930" spans="1:34" x14ac:dyDescent="0.55000000000000004">
      <c r="A930">
        <f>ALGLIB_SSA_XAUUSD!J930</f>
        <v>1775676000</v>
      </c>
      <c r="B930" t="str">
        <f>_xlfn.XLOOKUP($A930,ALGLIB_SSA_XAUUSD!$A$2:$A$1000,ALGLIB_SSA_XAUUSD!$B$2:$B$1000,"",0)</f>
        <v/>
      </c>
      <c r="C930" t="str">
        <f>_xlfn.XLOOKUP($A930,ALGLIB_SSA_XAUUSD!$A$2:$A$1000,ALGLIB_SSA_XAUUSD!$C$2:$C$1000,"",0)</f>
        <v/>
      </c>
      <c r="D930" s="1">
        <f>D926+(D938-D926)*4/12</f>
        <v>4727.0599999999995</v>
      </c>
      <c r="E930" s="1">
        <f>E926+(E938-E926)*4/12</f>
        <v>4715.1249466666668</v>
      </c>
      <c r="F930" s="1">
        <f>F926+(F938-F926)*4/12</f>
        <v>4722.8367633333337</v>
      </c>
      <c r="G930" s="1">
        <f>G926+(G938-G926)*4/12</f>
        <v>4732.1262500000003</v>
      </c>
      <c r="H930" s="1">
        <f>H926+(H938-H926)*4/12</f>
        <v>4706.125743333333</v>
      </c>
      <c r="I930" t="str">
        <f>_xlfn.XLOOKUP($A930,ALGLIB_SSA_XAUUSD!$J$2:$J$1000,ALGLIB_SSA_XAUUSD!$K$2:$K$1000,"",0)</f>
        <v>XAUUSD</v>
      </c>
      <c r="J930" t="str">
        <f>_xlfn.XLOOKUP($A930,ALGLIB_SSA_XAUUSD!$J$2:$J$1000,ALGLIB_SSA_XAUUSD!$L$2:$L$1000,"",0)</f>
        <v>M5</v>
      </c>
      <c r="K930">
        <f>_xlfn.XLOOKUP($A930,ALGLIB_SSA_XAUUSD!$J$2:$J$1000,ALGLIB_SSA_XAUUSD!$M$2:$M$1000,"",0)</f>
        <v>4710.8599999999997</v>
      </c>
      <c r="L930">
        <f>_xlfn.XLOOKUP($A930,ALGLIB_SSA_XAUUSD!$J$2:$J$1000,ALGLIB_SSA_XAUUSD!$N$2:$N$1000,"",0)</f>
        <v>4712.35862</v>
      </c>
      <c r="M930">
        <f>_xlfn.XLOOKUP($A930,ALGLIB_SSA_XAUUSD!$J$2:$J$1000,ALGLIB_SSA_XAUUSD!$O$2:$O$1000,"",0)</f>
        <v>4710.7549399999998</v>
      </c>
      <c r="N930">
        <f>_xlfn.XLOOKUP($A930,ALGLIB_SSA_XAUUSD!$J$2:$J$1000,ALGLIB_SSA_XAUUSD!$P$2:$P$1000,"",0)</f>
        <v>4715.6234000000004</v>
      </c>
      <c r="O930">
        <f>_xlfn.XLOOKUP($A930,ALGLIB_SSA_XAUUSD!$J$2:$J$1000,ALGLIB_SSA_XAUUSD!$Q$2:$Q$1000,"",0)</f>
        <v>4707.48848</v>
      </c>
      <c r="R930">
        <f t="shared" si="154"/>
        <v>1775676000</v>
      </c>
      <c r="S930" t="str">
        <f t="shared" si="155"/>
        <v>XAUUSD</v>
      </c>
      <c r="T930" t="str">
        <f t="shared" si="156"/>
        <v>M5</v>
      </c>
      <c r="U930">
        <f t="shared" si="157"/>
        <v>4710.8599999999997</v>
      </c>
      <c r="V930">
        <v>4715.1249500000004</v>
      </c>
      <c r="W930">
        <v>4722.8367600000001</v>
      </c>
      <c r="X930">
        <v>4712.35862</v>
      </c>
      <c r="Y930">
        <v>4710.7549399999998</v>
      </c>
      <c r="Z930">
        <f t="shared" si="158"/>
        <v>4732.1262500000003</v>
      </c>
      <c r="AA930">
        <f t="shared" si="159"/>
        <v>4715.6234000000004</v>
      </c>
      <c r="AB930">
        <f t="shared" si="160"/>
        <v>4706.125743333333</v>
      </c>
      <c r="AC930">
        <f t="shared" si="161"/>
        <v>4707.48848</v>
      </c>
      <c r="AF930">
        <f t="shared" si="162"/>
        <v>4712.35862</v>
      </c>
      <c r="AG930">
        <f t="shared" si="163"/>
        <v>4732.1262500000003</v>
      </c>
      <c r="AH930">
        <f t="shared" si="164"/>
        <v>4706.125743333333</v>
      </c>
    </row>
    <row r="931" spans="1:34" x14ac:dyDescent="0.55000000000000004">
      <c r="A931">
        <f>ALGLIB_SSA_XAUUSD!J931</f>
        <v>1775676300</v>
      </c>
      <c r="B931" t="str">
        <f>_xlfn.XLOOKUP($A931,ALGLIB_SSA_XAUUSD!$A$2:$A$1000,ALGLIB_SSA_XAUUSD!$B$2:$B$1000,"",0)</f>
        <v/>
      </c>
      <c r="C931" t="str">
        <f>_xlfn.XLOOKUP($A931,ALGLIB_SSA_XAUUSD!$A$2:$A$1000,ALGLIB_SSA_XAUUSD!$C$2:$C$1000,"",0)</f>
        <v/>
      </c>
      <c r="D931" s="1">
        <f>D926+(D938-D926)*5/12</f>
        <v>4726.09</v>
      </c>
      <c r="E931" s="1">
        <f>E926+(E938-E926)*5/12</f>
        <v>4714.8638333333329</v>
      </c>
      <c r="F931" s="1">
        <f>F926+(F938-F926)*5/12</f>
        <v>4722.3467266666667</v>
      </c>
      <c r="G931" s="1">
        <f>G926+(G938-G926)*5/12</f>
        <v>4731.6695600000003</v>
      </c>
      <c r="H931" s="1">
        <f>H926+(H938-H926)*5/12</f>
        <v>4705.8046691666659</v>
      </c>
      <c r="I931" t="str">
        <f>_xlfn.XLOOKUP($A931,ALGLIB_SSA_XAUUSD!$J$2:$J$1000,ALGLIB_SSA_XAUUSD!$K$2:$K$1000,"",0)</f>
        <v>XAUUSD</v>
      </c>
      <c r="J931" t="str">
        <f>_xlfn.XLOOKUP($A931,ALGLIB_SSA_XAUUSD!$J$2:$J$1000,ALGLIB_SSA_XAUUSD!$L$2:$L$1000,"",0)</f>
        <v>M5</v>
      </c>
      <c r="K931">
        <f>_xlfn.XLOOKUP($A931,ALGLIB_SSA_XAUUSD!$J$2:$J$1000,ALGLIB_SSA_XAUUSD!$M$2:$M$1000,"",0)</f>
        <v>4708.8100000000004</v>
      </c>
      <c r="L931">
        <f>_xlfn.XLOOKUP($A931,ALGLIB_SSA_XAUUSD!$J$2:$J$1000,ALGLIB_SSA_XAUUSD!$N$2:$N$1000,"",0)</f>
        <v>4714.8035</v>
      </c>
      <c r="M931">
        <f>_xlfn.XLOOKUP($A931,ALGLIB_SSA_XAUUSD!$J$2:$J$1000,ALGLIB_SSA_XAUUSD!$O$2:$O$1000,"",0)</f>
        <v>4712.7792200000004</v>
      </c>
      <c r="N931">
        <f>_xlfn.XLOOKUP($A931,ALGLIB_SSA_XAUUSD!$J$2:$J$1000,ALGLIB_SSA_XAUUSD!$P$2:$P$1000,"",0)</f>
        <v>4717.7801600000003</v>
      </c>
      <c r="O931">
        <f>_xlfn.XLOOKUP($A931,ALGLIB_SSA_XAUUSD!$J$2:$J$1000,ALGLIB_SSA_XAUUSD!$Q$2:$Q$1000,"",0)</f>
        <v>4709.8533699999998</v>
      </c>
      <c r="R931">
        <f t="shared" si="154"/>
        <v>1775676300</v>
      </c>
      <c r="S931" t="str">
        <f t="shared" si="155"/>
        <v>XAUUSD</v>
      </c>
      <c r="T931" t="str">
        <f t="shared" si="156"/>
        <v>M5</v>
      </c>
      <c r="U931">
        <f t="shared" si="157"/>
        <v>4708.8100000000004</v>
      </c>
      <c r="V931">
        <v>4714.8638300000002</v>
      </c>
      <c r="W931">
        <v>4722.3467300000002</v>
      </c>
      <c r="X931">
        <v>4714.8035</v>
      </c>
      <c r="Y931">
        <v>4712.7792200000004</v>
      </c>
      <c r="Z931">
        <f t="shared" si="158"/>
        <v>4731.6695600000003</v>
      </c>
      <c r="AA931">
        <f t="shared" si="159"/>
        <v>4717.7801600000003</v>
      </c>
      <c r="AB931">
        <f t="shared" si="160"/>
        <v>4705.8046691666659</v>
      </c>
      <c r="AC931">
        <f t="shared" si="161"/>
        <v>4709.8533699999998</v>
      </c>
      <c r="AF931">
        <f t="shared" si="162"/>
        <v>4714.8035</v>
      </c>
      <c r="AG931">
        <f t="shared" si="163"/>
        <v>4731.6695600000003</v>
      </c>
      <c r="AH931">
        <f t="shared" si="164"/>
        <v>4705.8046691666659</v>
      </c>
    </row>
    <row r="932" spans="1:34" x14ac:dyDescent="0.55000000000000004">
      <c r="A932">
        <f>ALGLIB_SSA_XAUUSD!J932</f>
        <v>1775676600</v>
      </c>
      <c r="B932" t="str">
        <f>_xlfn.XLOOKUP($A932,ALGLIB_SSA_XAUUSD!$A$2:$A$1000,ALGLIB_SSA_XAUUSD!$B$2:$B$1000,"",0)</f>
        <v/>
      </c>
      <c r="C932" t="str">
        <f>_xlfn.XLOOKUP($A932,ALGLIB_SSA_XAUUSD!$A$2:$A$1000,ALGLIB_SSA_XAUUSD!$C$2:$C$1000,"",0)</f>
        <v/>
      </c>
      <c r="D932" s="1">
        <f>D926+(D938-D926)*6/12</f>
        <v>4725.12</v>
      </c>
      <c r="E932" s="1">
        <f>E926+(E938-E926)*6/12</f>
        <v>4714.6027199999999</v>
      </c>
      <c r="F932" s="1">
        <f>F926+(F938-F926)*6/12</f>
        <v>4721.8566900000005</v>
      </c>
      <c r="G932" s="1">
        <f>G926+(G938-G926)*6/12</f>
        <v>4731.2128700000003</v>
      </c>
      <c r="H932" s="1">
        <f>H926+(H938-H926)*6/12</f>
        <v>4705.4835949999997</v>
      </c>
      <c r="I932" t="str">
        <f>_xlfn.XLOOKUP($A932,ALGLIB_SSA_XAUUSD!$J$2:$J$1000,ALGLIB_SSA_XAUUSD!$K$2:$K$1000,"",0)</f>
        <v>XAUUSD</v>
      </c>
      <c r="J932" t="str">
        <f>_xlfn.XLOOKUP($A932,ALGLIB_SSA_XAUUSD!$J$2:$J$1000,ALGLIB_SSA_XAUUSD!$L$2:$L$1000,"",0)</f>
        <v>M5</v>
      </c>
      <c r="K932">
        <f>_xlfn.XLOOKUP($A932,ALGLIB_SSA_XAUUSD!$J$2:$J$1000,ALGLIB_SSA_XAUUSD!$M$2:$M$1000,"",0)</f>
        <v>4717.04</v>
      </c>
      <c r="L932">
        <f>_xlfn.XLOOKUP($A932,ALGLIB_SSA_XAUUSD!$J$2:$J$1000,ALGLIB_SSA_XAUUSD!$N$2:$N$1000,"",0)</f>
        <v>4717.7282100000002</v>
      </c>
      <c r="M932">
        <f>_xlfn.XLOOKUP($A932,ALGLIB_SSA_XAUUSD!$J$2:$J$1000,ALGLIB_SSA_XAUUSD!$O$2:$O$1000,"",0)</f>
        <v>4715.25371</v>
      </c>
      <c r="N932">
        <f>_xlfn.XLOOKUP($A932,ALGLIB_SSA_XAUUSD!$J$2:$J$1000,ALGLIB_SSA_XAUUSD!$P$2:$P$1000,"",0)</f>
        <v>4720.2438000000002</v>
      </c>
      <c r="O932">
        <f>_xlfn.XLOOKUP($A932,ALGLIB_SSA_XAUUSD!$J$2:$J$1000,ALGLIB_SSA_XAUUSD!$Q$2:$Q$1000,"",0)</f>
        <v>4712.7828099999997</v>
      </c>
      <c r="R932">
        <f t="shared" si="154"/>
        <v>1775676600</v>
      </c>
      <c r="S932" t="str">
        <f t="shared" si="155"/>
        <v>XAUUSD</v>
      </c>
      <c r="T932" t="str">
        <f t="shared" si="156"/>
        <v>M5</v>
      </c>
      <c r="U932">
        <f t="shared" si="157"/>
        <v>4717.04</v>
      </c>
      <c r="V932">
        <v>4714.6027199999999</v>
      </c>
      <c r="W932">
        <v>4721.8566899999996</v>
      </c>
      <c r="X932">
        <v>4717.7282100000002</v>
      </c>
      <c r="Y932">
        <v>4715.25371</v>
      </c>
      <c r="Z932">
        <f t="shared" si="158"/>
        <v>4731.2128700000003</v>
      </c>
      <c r="AA932">
        <f t="shared" si="159"/>
        <v>4720.2438000000002</v>
      </c>
      <c r="AB932">
        <f t="shared" si="160"/>
        <v>4705.4835949999997</v>
      </c>
      <c r="AC932">
        <f t="shared" si="161"/>
        <v>4712.7828099999997</v>
      </c>
      <c r="AF932">
        <f t="shared" si="162"/>
        <v>4717.7282100000002</v>
      </c>
      <c r="AG932">
        <f t="shared" si="163"/>
        <v>4731.2128700000003</v>
      </c>
      <c r="AH932">
        <f t="shared" si="164"/>
        <v>4705.4835949999997</v>
      </c>
    </row>
    <row r="933" spans="1:34" x14ac:dyDescent="0.55000000000000004">
      <c r="A933">
        <f>ALGLIB_SSA_XAUUSD!J933</f>
        <v>1775676900</v>
      </c>
      <c r="B933" t="str">
        <f>_xlfn.XLOOKUP($A933,ALGLIB_SSA_XAUUSD!$A$2:$A$1000,ALGLIB_SSA_XAUUSD!$B$2:$B$1000,"",0)</f>
        <v/>
      </c>
      <c r="C933" t="str">
        <f>_xlfn.XLOOKUP($A933,ALGLIB_SSA_XAUUSD!$A$2:$A$1000,ALGLIB_SSA_XAUUSD!$C$2:$C$1000,"",0)</f>
        <v/>
      </c>
      <c r="D933" s="1">
        <f>D926+(D938-D926)*7/12</f>
        <v>4724.1499999999996</v>
      </c>
      <c r="E933" s="1">
        <f>E926+(E938-E926)*7/12</f>
        <v>4714.3416066666668</v>
      </c>
      <c r="F933" s="1">
        <f>F926+(F938-F926)*7/12</f>
        <v>4721.3666533333335</v>
      </c>
      <c r="G933" s="1">
        <f>G926+(G938-G926)*7/12</f>
        <v>4730.7561800000003</v>
      </c>
      <c r="H933" s="1">
        <f>H926+(H938-H926)*7/12</f>
        <v>4705.1625208333335</v>
      </c>
      <c r="I933" t="str">
        <f>_xlfn.XLOOKUP($A933,ALGLIB_SSA_XAUUSD!$J$2:$J$1000,ALGLIB_SSA_XAUUSD!$K$2:$K$1000,"",0)</f>
        <v>XAUUSD</v>
      </c>
      <c r="J933" t="str">
        <f>_xlfn.XLOOKUP($A933,ALGLIB_SSA_XAUUSD!$J$2:$J$1000,ALGLIB_SSA_XAUUSD!$L$2:$L$1000,"",0)</f>
        <v>M5</v>
      </c>
      <c r="K933">
        <f>_xlfn.XLOOKUP($A933,ALGLIB_SSA_XAUUSD!$J$2:$J$1000,ALGLIB_SSA_XAUUSD!$M$2:$M$1000,"",0)</f>
        <v>4724.3500000000004</v>
      </c>
      <c r="L933">
        <f>_xlfn.XLOOKUP($A933,ALGLIB_SSA_XAUUSD!$J$2:$J$1000,ALGLIB_SSA_XAUUSD!$N$2:$N$1000,"",0)</f>
        <v>4720.8406599999998</v>
      </c>
      <c r="M933">
        <f>_xlfn.XLOOKUP($A933,ALGLIB_SSA_XAUUSD!$J$2:$J$1000,ALGLIB_SSA_XAUUSD!$O$2:$O$1000,"",0)</f>
        <v>4718.0471900000002</v>
      </c>
      <c r="N933">
        <f>_xlfn.XLOOKUP($A933,ALGLIB_SSA_XAUUSD!$J$2:$J$1000,ALGLIB_SSA_XAUUSD!$P$2:$P$1000,"",0)</f>
        <v>4722.8950999999997</v>
      </c>
      <c r="O933">
        <f>_xlfn.XLOOKUP($A933,ALGLIB_SSA_XAUUSD!$J$2:$J$1000,ALGLIB_SSA_XAUUSD!$Q$2:$Q$1000,"",0)</f>
        <v>4716.1627600000002</v>
      </c>
      <c r="R933">
        <f t="shared" si="154"/>
        <v>1775676900</v>
      </c>
      <c r="S933" t="str">
        <f t="shared" si="155"/>
        <v>XAUUSD</v>
      </c>
      <c r="T933" t="str">
        <f t="shared" si="156"/>
        <v>M5</v>
      </c>
      <c r="U933">
        <f t="shared" si="157"/>
        <v>4724.3500000000004</v>
      </c>
      <c r="V933">
        <v>4714.3416100000004</v>
      </c>
      <c r="W933">
        <v>4721.3666499999999</v>
      </c>
      <c r="X933">
        <v>4720.8406599999998</v>
      </c>
      <c r="Y933">
        <v>4718.0471900000002</v>
      </c>
      <c r="Z933">
        <f t="shared" si="158"/>
        <v>4730.7561800000003</v>
      </c>
      <c r="AA933">
        <f t="shared" si="159"/>
        <v>4722.8950999999997</v>
      </c>
      <c r="AB933">
        <f t="shared" si="160"/>
        <v>4705.1625208333335</v>
      </c>
      <c r="AC933">
        <f t="shared" si="161"/>
        <v>4716.1627600000002</v>
      </c>
      <c r="AF933">
        <f t="shared" si="162"/>
        <v>4720.8406599999998</v>
      </c>
      <c r="AG933">
        <f t="shared" si="163"/>
        <v>4730.7561800000003</v>
      </c>
      <c r="AH933">
        <f t="shared" si="164"/>
        <v>4705.1625208333335</v>
      </c>
    </row>
    <row r="934" spans="1:34" x14ac:dyDescent="0.55000000000000004">
      <c r="A934">
        <f>ALGLIB_SSA_XAUUSD!J934</f>
        <v>1775677200</v>
      </c>
      <c r="B934" t="str">
        <f>_xlfn.XLOOKUP($A934,ALGLIB_SSA_XAUUSD!$A$2:$A$1000,ALGLIB_SSA_XAUUSD!$B$2:$B$1000,"",0)</f>
        <v/>
      </c>
      <c r="C934" t="str">
        <f>_xlfn.XLOOKUP($A934,ALGLIB_SSA_XAUUSD!$A$2:$A$1000,ALGLIB_SSA_XAUUSD!$C$2:$C$1000,"",0)</f>
        <v/>
      </c>
      <c r="D934" s="1">
        <f>D926+(D938-D926)*8/12</f>
        <v>4723.18</v>
      </c>
      <c r="E934" s="1">
        <f>E926+(E938-E926)*8/12</f>
        <v>4714.0804933333329</v>
      </c>
      <c r="F934" s="1">
        <f>F926+(F938-F926)*8/12</f>
        <v>4720.8766166666665</v>
      </c>
      <c r="G934" s="1">
        <f>G926+(G938-G926)*8/12</f>
        <v>4730.2994900000003</v>
      </c>
      <c r="H934" s="1">
        <f>H926+(H938-H926)*8/12</f>
        <v>4704.8414466666663</v>
      </c>
      <c r="I934" t="str">
        <f>_xlfn.XLOOKUP($A934,ALGLIB_SSA_XAUUSD!$J$2:$J$1000,ALGLIB_SSA_XAUUSD!$K$2:$K$1000,"",0)</f>
        <v>XAUUSD</v>
      </c>
      <c r="J934" t="str">
        <f>_xlfn.XLOOKUP($A934,ALGLIB_SSA_XAUUSD!$J$2:$J$1000,ALGLIB_SSA_XAUUSD!$L$2:$L$1000,"",0)</f>
        <v>M5</v>
      </c>
      <c r="K934">
        <f>_xlfn.XLOOKUP($A934,ALGLIB_SSA_XAUUSD!$J$2:$J$1000,ALGLIB_SSA_XAUUSD!$M$2:$M$1000,"",0)</f>
        <v>4722.03</v>
      </c>
      <c r="L934">
        <f>_xlfn.XLOOKUP($A934,ALGLIB_SSA_XAUUSD!$J$2:$J$1000,ALGLIB_SSA_XAUUSD!$N$2:$N$1000,"",0)</f>
        <v>4723.7988400000004</v>
      </c>
      <c r="M934">
        <f>_xlfn.XLOOKUP($A934,ALGLIB_SSA_XAUUSD!$J$2:$J$1000,ALGLIB_SSA_XAUUSD!$O$2:$O$1000,"",0)</f>
        <v>4720.9230200000002</v>
      </c>
      <c r="N934">
        <f>_xlfn.XLOOKUP($A934,ALGLIB_SSA_XAUUSD!$J$2:$J$1000,ALGLIB_SSA_XAUUSD!$P$2:$P$1000,"",0)</f>
        <v>4725.5170099999996</v>
      </c>
      <c r="O934">
        <f>_xlfn.XLOOKUP($A934,ALGLIB_SSA_XAUUSD!$J$2:$J$1000,ALGLIB_SSA_XAUUSD!$Q$2:$Q$1000,"",0)</f>
        <v>4719.6027700000004</v>
      </c>
      <c r="R934">
        <f t="shared" si="154"/>
        <v>1775677200</v>
      </c>
      <c r="S934" t="str">
        <f t="shared" si="155"/>
        <v>XAUUSD</v>
      </c>
      <c r="T934" t="str">
        <f t="shared" si="156"/>
        <v>M5</v>
      </c>
      <c r="U934">
        <f t="shared" si="157"/>
        <v>4722.03</v>
      </c>
      <c r="V934">
        <v>4714.0804900000003</v>
      </c>
      <c r="W934">
        <v>4720.87662</v>
      </c>
      <c r="X934">
        <v>4723.7988400000004</v>
      </c>
      <c r="Y934">
        <v>4720.9230200000002</v>
      </c>
      <c r="Z934">
        <f t="shared" si="158"/>
        <v>4730.2994900000003</v>
      </c>
      <c r="AA934">
        <f t="shared" si="159"/>
        <v>4725.5170099999996</v>
      </c>
      <c r="AB934">
        <f t="shared" si="160"/>
        <v>4704.8414466666663</v>
      </c>
      <c r="AC934">
        <f t="shared" si="161"/>
        <v>4719.6027700000004</v>
      </c>
      <c r="AF934">
        <f t="shared" si="162"/>
        <v>4723.7988400000004</v>
      </c>
      <c r="AG934">
        <f t="shared" si="163"/>
        <v>4730.2994900000003</v>
      </c>
      <c r="AH934">
        <f t="shared" si="164"/>
        <v>4704.8414466666663</v>
      </c>
    </row>
    <row r="935" spans="1:34" x14ac:dyDescent="0.55000000000000004">
      <c r="A935">
        <f>ALGLIB_SSA_XAUUSD!J935</f>
        <v>1775677500</v>
      </c>
      <c r="B935" t="str">
        <f>_xlfn.XLOOKUP($A935,ALGLIB_SSA_XAUUSD!$A$2:$A$1000,ALGLIB_SSA_XAUUSD!$B$2:$B$1000,"",0)</f>
        <v/>
      </c>
      <c r="C935" t="str">
        <f>_xlfn.XLOOKUP($A935,ALGLIB_SSA_XAUUSD!$A$2:$A$1000,ALGLIB_SSA_XAUUSD!$C$2:$C$1000,"",0)</f>
        <v/>
      </c>
      <c r="D935" s="1">
        <f>D926+(D938-D926)*9/12</f>
        <v>4722.21</v>
      </c>
      <c r="E935" s="1">
        <f>E926+(E938-E926)*9/12</f>
        <v>4713.8193799999999</v>
      </c>
      <c r="F935" s="1">
        <f>F926+(F938-F926)*9/12</f>
        <v>4720.3865800000003</v>
      </c>
      <c r="G935" s="1">
        <f>G926+(G938-G926)*9/12</f>
        <v>4729.8428000000004</v>
      </c>
      <c r="H935" s="1">
        <f>H926+(H938-H926)*9/12</f>
        <v>4704.5203724999992</v>
      </c>
      <c r="I935" t="str">
        <f>_xlfn.XLOOKUP($A935,ALGLIB_SSA_XAUUSD!$J$2:$J$1000,ALGLIB_SSA_XAUUSD!$K$2:$K$1000,"",0)</f>
        <v>XAUUSD</v>
      </c>
      <c r="J935" t="str">
        <f>_xlfn.XLOOKUP($A935,ALGLIB_SSA_XAUUSD!$J$2:$J$1000,ALGLIB_SSA_XAUUSD!$L$2:$L$1000,"",0)</f>
        <v>M5</v>
      </c>
      <c r="K935">
        <f>_xlfn.XLOOKUP($A935,ALGLIB_SSA_XAUUSD!$J$2:$J$1000,ALGLIB_SSA_XAUUSD!$M$2:$M$1000,"",0)</f>
        <v>4725.92</v>
      </c>
      <c r="L935">
        <f>_xlfn.XLOOKUP($A935,ALGLIB_SSA_XAUUSD!$J$2:$J$1000,ALGLIB_SSA_XAUUSD!$N$2:$N$1000,"",0)</f>
        <v>4726.4465300000002</v>
      </c>
      <c r="M935">
        <f>_xlfn.XLOOKUP($A935,ALGLIB_SSA_XAUUSD!$J$2:$J$1000,ALGLIB_SSA_XAUUSD!$O$2:$O$1000,"",0)</f>
        <v>4723.6847699999998</v>
      </c>
      <c r="N935">
        <f>_xlfn.XLOOKUP($A935,ALGLIB_SSA_XAUUSD!$J$2:$J$1000,ALGLIB_SSA_XAUUSD!$P$2:$P$1000,"",0)</f>
        <v>4727.96029</v>
      </c>
      <c r="O935">
        <f>_xlfn.XLOOKUP($A935,ALGLIB_SSA_XAUUSD!$J$2:$J$1000,ALGLIB_SSA_XAUUSD!$Q$2:$Q$1000,"",0)</f>
        <v>4722.7379799999999</v>
      </c>
      <c r="R935">
        <f t="shared" si="154"/>
        <v>1775677500</v>
      </c>
      <c r="S935" t="str">
        <f t="shared" si="155"/>
        <v>XAUUSD</v>
      </c>
      <c r="T935" t="str">
        <f t="shared" si="156"/>
        <v>M5</v>
      </c>
      <c r="U935">
        <f t="shared" si="157"/>
        <v>4725.92</v>
      </c>
      <c r="V935">
        <v>4713.8193799999999</v>
      </c>
      <c r="W935">
        <v>4720.3865800000003</v>
      </c>
      <c r="X935">
        <v>4726.4465300000002</v>
      </c>
      <c r="Y935">
        <v>4723.6847699999998</v>
      </c>
      <c r="Z935">
        <f t="shared" si="158"/>
        <v>4729.8428000000004</v>
      </c>
      <c r="AA935">
        <f t="shared" si="159"/>
        <v>4727.96029</v>
      </c>
      <c r="AB935">
        <f t="shared" si="160"/>
        <v>4704.5203724999992</v>
      </c>
      <c r="AC935">
        <f t="shared" si="161"/>
        <v>4722.7379799999999</v>
      </c>
      <c r="AF935">
        <f t="shared" si="162"/>
        <v>4726.4465300000002</v>
      </c>
      <c r="AG935">
        <f t="shared" si="163"/>
        <v>4729.8428000000004</v>
      </c>
      <c r="AH935">
        <f t="shared" si="164"/>
        <v>4704.5203724999992</v>
      </c>
    </row>
    <row r="936" spans="1:34" x14ac:dyDescent="0.55000000000000004">
      <c r="A936">
        <f>ALGLIB_SSA_XAUUSD!J936</f>
        <v>1775677800</v>
      </c>
      <c r="B936" t="str">
        <f>_xlfn.XLOOKUP($A936,ALGLIB_SSA_XAUUSD!$A$2:$A$1000,ALGLIB_SSA_XAUUSD!$B$2:$B$1000,"",0)</f>
        <v/>
      </c>
      <c r="C936" t="str">
        <f>_xlfn.XLOOKUP($A936,ALGLIB_SSA_XAUUSD!$A$2:$A$1000,ALGLIB_SSA_XAUUSD!$C$2:$C$1000,"",0)</f>
        <v/>
      </c>
      <c r="D936" s="1">
        <f>D926+(D938-D926)*10/12</f>
        <v>4721.24</v>
      </c>
      <c r="E936" s="1">
        <f>E926+(E938-E926)*10/12</f>
        <v>4713.5582666666669</v>
      </c>
      <c r="F936" s="1">
        <f>F926+(F938-F926)*10/12</f>
        <v>4719.8965433333333</v>
      </c>
      <c r="G936" s="1">
        <f>G926+(G938-G926)*10/12</f>
        <v>4729.3861100000004</v>
      </c>
      <c r="H936" s="1">
        <f>H926+(H938-H926)*10/12</f>
        <v>4704.199298333333</v>
      </c>
      <c r="I936" t="str">
        <f>_xlfn.XLOOKUP($A936,ALGLIB_SSA_XAUUSD!$J$2:$J$1000,ALGLIB_SSA_XAUUSD!$K$2:$K$1000,"",0)</f>
        <v>XAUUSD</v>
      </c>
      <c r="J936" t="str">
        <f>_xlfn.XLOOKUP($A936,ALGLIB_SSA_XAUUSD!$J$2:$J$1000,ALGLIB_SSA_XAUUSD!$L$2:$L$1000,"",0)</f>
        <v>M5</v>
      </c>
      <c r="K936">
        <f>_xlfn.XLOOKUP($A936,ALGLIB_SSA_XAUUSD!$J$2:$J$1000,ALGLIB_SSA_XAUUSD!$M$2:$M$1000,"",0)</f>
        <v>4729.92</v>
      </c>
      <c r="L936">
        <f>_xlfn.XLOOKUP($A936,ALGLIB_SSA_XAUUSD!$J$2:$J$1000,ALGLIB_SSA_XAUUSD!$N$2:$N$1000,"",0)</f>
        <v>4728.4731000000002</v>
      </c>
      <c r="M936">
        <f>_xlfn.XLOOKUP($A936,ALGLIB_SSA_XAUUSD!$J$2:$J$1000,ALGLIB_SSA_XAUUSD!$O$2:$O$1000,"",0)</f>
        <v>4726.0789299999997</v>
      </c>
      <c r="N936">
        <f>_xlfn.XLOOKUP($A936,ALGLIB_SSA_XAUUSD!$J$2:$J$1000,ALGLIB_SSA_XAUUSD!$P$2:$P$1000,"",0)</f>
        <v>4729.9714999999997</v>
      </c>
      <c r="O936">
        <f>_xlfn.XLOOKUP($A936,ALGLIB_SSA_XAUUSD!$J$2:$J$1000,ALGLIB_SSA_XAUUSD!$Q$2:$Q$1000,"",0)</f>
        <v>4725.2857199999999</v>
      </c>
      <c r="R936">
        <f t="shared" si="154"/>
        <v>1775677800</v>
      </c>
      <c r="S936" t="str">
        <f t="shared" si="155"/>
        <v>XAUUSD</v>
      </c>
      <c r="T936" t="str">
        <f t="shared" si="156"/>
        <v>M5</v>
      </c>
      <c r="U936">
        <f t="shared" si="157"/>
        <v>4729.92</v>
      </c>
      <c r="V936">
        <v>4713.5582700000004</v>
      </c>
      <c r="W936">
        <v>4719.8965399999997</v>
      </c>
      <c r="X936">
        <v>4728.4731000000002</v>
      </c>
      <c r="Y936">
        <v>4726.0789299999997</v>
      </c>
      <c r="Z936">
        <f t="shared" si="158"/>
        <v>4729.3861100000004</v>
      </c>
      <c r="AA936">
        <f t="shared" si="159"/>
        <v>4729.9714999999997</v>
      </c>
      <c r="AB936">
        <f t="shared" si="160"/>
        <v>4704.199298333333</v>
      </c>
      <c r="AC936">
        <f t="shared" si="161"/>
        <v>4725.2857199999999</v>
      </c>
      <c r="AF936">
        <f t="shared" si="162"/>
        <v>4728.4731000000002</v>
      </c>
      <c r="AG936">
        <f t="shared" si="163"/>
        <v>4729.3861100000004</v>
      </c>
      <c r="AH936">
        <f t="shared" si="164"/>
        <v>4704.199298333333</v>
      </c>
    </row>
    <row r="937" spans="1:34" x14ac:dyDescent="0.55000000000000004">
      <c r="A937">
        <f>ALGLIB_SSA_XAUUSD!J937</f>
        <v>1775678100</v>
      </c>
      <c r="B937" t="str">
        <f>_xlfn.XLOOKUP($A937,ALGLIB_SSA_XAUUSD!$A$2:$A$1000,ALGLIB_SSA_XAUUSD!$B$2:$B$1000,"",0)</f>
        <v/>
      </c>
      <c r="C937" t="str">
        <f>_xlfn.XLOOKUP($A937,ALGLIB_SSA_XAUUSD!$A$2:$A$1000,ALGLIB_SSA_XAUUSD!$C$2:$C$1000,"",0)</f>
        <v/>
      </c>
      <c r="D937" s="1">
        <f>D926+(D938-D926)*11/12</f>
        <v>4720.2700000000004</v>
      </c>
      <c r="E937" s="1">
        <f>E926+(E938-E926)*11/12</f>
        <v>4713.297153333333</v>
      </c>
      <c r="F937" s="1">
        <f>F926+(F938-F926)*11/12</f>
        <v>4719.4065066666672</v>
      </c>
      <c r="G937" s="1">
        <f>G926+(G938-G926)*11/12</f>
        <v>4728.9294200000004</v>
      </c>
      <c r="H937" s="1">
        <f>H926+(H938-H926)*11/12</f>
        <v>4703.8782241666668</v>
      </c>
      <c r="I937" t="str">
        <f>_xlfn.XLOOKUP($A937,ALGLIB_SSA_XAUUSD!$J$2:$J$1000,ALGLIB_SSA_XAUUSD!$K$2:$K$1000,"",0)</f>
        <v>XAUUSD</v>
      </c>
      <c r="J937" t="str">
        <f>_xlfn.XLOOKUP($A937,ALGLIB_SSA_XAUUSD!$J$2:$J$1000,ALGLIB_SSA_XAUUSD!$L$2:$L$1000,"",0)</f>
        <v>M5</v>
      </c>
      <c r="K937">
        <f>_xlfn.XLOOKUP($A937,ALGLIB_SSA_XAUUSD!$J$2:$J$1000,ALGLIB_SSA_XAUUSD!$M$2:$M$1000,"",0)</f>
        <v>4730.9399999999996</v>
      </c>
      <c r="L937">
        <f>_xlfn.XLOOKUP($A937,ALGLIB_SSA_XAUUSD!$J$2:$J$1000,ALGLIB_SSA_XAUUSD!$N$2:$N$1000,"",0)</f>
        <v>4729.6244900000002</v>
      </c>
      <c r="M937">
        <f>_xlfn.XLOOKUP($A937,ALGLIB_SSA_XAUUSD!$J$2:$J$1000,ALGLIB_SSA_XAUUSD!$O$2:$O$1000,"",0)</f>
        <v>4727.8517099999999</v>
      </c>
      <c r="N937">
        <f>_xlfn.XLOOKUP($A937,ALGLIB_SSA_XAUUSD!$J$2:$J$1000,ALGLIB_SSA_XAUUSD!$P$2:$P$1000,"",0)</f>
        <v>4731.2588599999999</v>
      </c>
      <c r="O937">
        <f>_xlfn.XLOOKUP($A937,ALGLIB_SSA_XAUUSD!$J$2:$J$1000,ALGLIB_SSA_XAUUSD!$Q$2:$Q$1000,"",0)</f>
        <v>4726.9484700000003</v>
      </c>
      <c r="R937">
        <f t="shared" si="154"/>
        <v>1775678100</v>
      </c>
      <c r="S937" t="str">
        <f t="shared" si="155"/>
        <v>XAUUSD</v>
      </c>
      <c r="T937" t="str">
        <f t="shared" si="156"/>
        <v>M5</v>
      </c>
      <c r="U937">
        <f t="shared" si="157"/>
        <v>4730.9399999999996</v>
      </c>
      <c r="V937">
        <v>4713.2971500000003</v>
      </c>
      <c r="W937">
        <v>4719.4065099999998</v>
      </c>
      <c r="X937">
        <v>4729.6244900000002</v>
      </c>
      <c r="Y937">
        <v>4727.8517099999999</v>
      </c>
      <c r="Z937">
        <f t="shared" si="158"/>
        <v>4728.9294200000004</v>
      </c>
      <c r="AA937">
        <f t="shared" si="159"/>
        <v>4731.2588599999999</v>
      </c>
      <c r="AB937">
        <f t="shared" si="160"/>
        <v>4703.8782241666668</v>
      </c>
      <c r="AC937">
        <f t="shared" si="161"/>
        <v>4726.9484700000003</v>
      </c>
      <c r="AF937">
        <f t="shared" si="162"/>
        <v>4729.6244900000002</v>
      </c>
      <c r="AG937">
        <f t="shared" si="163"/>
        <v>4728.9294200000004</v>
      </c>
      <c r="AH937">
        <f t="shared" si="164"/>
        <v>4703.8782241666668</v>
      </c>
    </row>
    <row r="938" spans="1:34" x14ac:dyDescent="0.55000000000000004">
      <c r="A938">
        <f>ALGLIB_SSA_XAUUSD!J938</f>
        <v>1775678400</v>
      </c>
      <c r="B938" t="str">
        <f>_xlfn.XLOOKUP($A938,ALGLIB_SSA_XAUUSD!$A$2:$A$1000,ALGLIB_SSA_XAUUSD!$B$2:$B$1000,"",0)</f>
        <v>XAUUSD</v>
      </c>
      <c r="C938" t="str">
        <f>_xlfn.XLOOKUP($A938,ALGLIB_SSA_XAUUSD!$A$2:$A$1000,ALGLIB_SSA_XAUUSD!$C$2:$C$1000,"",0)</f>
        <v>H1</v>
      </c>
      <c r="D938" s="2">
        <f>_xlfn.XLOOKUP($A938,ALGLIB_SSA_XAUUSD!$A$2:$A$1000,ALGLIB_SSA_XAUUSD!$D$2:$D$1000,"",0)</f>
        <v>4719.3</v>
      </c>
      <c r="E938" s="2">
        <f>_xlfn.XLOOKUP($A938,ALGLIB_SSA_XAUUSD!$A$2:$A$1000,ALGLIB_SSA_XAUUSD!$E$2:$E$1000,"",0)</f>
        <v>4713.03604</v>
      </c>
      <c r="F938" s="2">
        <f>_xlfn.XLOOKUP($A938,ALGLIB_SSA_XAUUSD!$A$2:$A$1000,ALGLIB_SSA_XAUUSD!$F$2:$F$1000,"",0)</f>
        <v>4718.9164700000001</v>
      </c>
      <c r="G938" s="2">
        <f>_xlfn.XLOOKUP($A938,ALGLIB_SSA_XAUUSD!$A$2:$A$1000,ALGLIB_SSA_XAUUSD!$G$2:$G$1000,"",0)</f>
        <v>4728.4727300000004</v>
      </c>
      <c r="H938" s="2">
        <f>_xlfn.XLOOKUP($A938,ALGLIB_SSA_XAUUSD!$A$2:$A$1000,ALGLIB_SSA_XAUUSD!$H$2:$H$1000,"",0)</f>
        <v>4703.5571499999996</v>
      </c>
      <c r="I938" t="str">
        <f>_xlfn.XLOOKUP($A938,ALGLIB_SSA_XAUUSD!$J$2:$J$1000,ALGLIB_SSA_XAUUSD!$K$2:$K$1000,"",0)</f>
        <v>XAUUSD</v>
      </c>
      <c r="J938" t="str">
        <f>_xlfn.XLOOKUP($A938,ALGLIB_SSA_XAUUSD!$J$2:$J$1000,ALGLIB_SSA_XAUUSD!$L$2:$L$1000,"",0)</f>
        <v>M5</v>
      </c>
      <c r="K938">
        <f>_xlfn.XLOOKUP($A938,ALGLIB_SSA_XAUUSD!$J$2:$J$1000,ALGLIB_SSA_XAUUSD!$M$2:$M$1000,"",0)</f>
        <v>4731.8500000000004</v>
      </c>
      <c r="L938">
        <f>_xlfn.XLOOKUP($A938,ALGLIB_SSA_XAUUSD!$J$2:$J$1000,ALGLIB_SSA_XAUUSD!$N$2:$N$1000,"",0)</f>
        <v>4729.8218299999999</v>
      </c>
      <c r="M938">
        <f>_xlfn.XLOOKUP($A938,ALGLIB_SSA_XAUUSD!$J$2:$J$1000,ALGLIB_SSA_XAUUSD!$O$2:$O$1000,"",0)</f>
        <v>4728.8367699999999</v>
      </c>
      <c r="N938">
        <f>_xlfn.XLOOKUP($A938,ALGLIB_SSA_XAUUSD!$J$2:$J$1000,ALGLIB_SSA_XAUUSD!$P$2:$P$1000,"",0)</f>
        <v>4731.6648100000002</v>
      </c>
      <c r="O938">
        <f>_xlfn.XLOOKUP($A938,ALGLIB_SSA_XAUUSD!$J$2:$J$1000,ALGLIB_SSA_XAUUSD!$Q$2:$Q$1000,"",0)</f>
        <v>4727.5936899999997</v>
      </c>
      <c r="R938">
        <f t="shared" si="154"/>
        <v>1775678400</v>
      </c>
      <c r="S938" t="str">
        <f t="shared" si="155"/>
        <v>XAUUSD</v>
      </c>
      <c r="T938" t="str">
        <f t="shared" si="156"/>
        <v>M5</v>
      </c>
      <c r="U938">
        <f t="shared" si="157"/>
        <v>4731.8500000000004</v>
      </c>
      <c r="V938">
        <v>4713.03604</v>
      </c>
      <c r="W938">
        <v>4718.9164700000001</v>
      </c>
      <c r="X938">
        <v>4729.8218299999999</v>
      </c>
      <c r="Y938">
        <v>4728.8367699999999</v>
      </c>
      <c r="Z938">
        <f t="shared" si="158"/>
        <v>4728.4727300000004</v>
      </c>
      <c r="AA938">
        <f t="shared" si="159"/>
        <v>4731.6648100000002</v>
      </c>
      <c r="AB938">
        <f t="shared" si="160"/>
        <v>4703.5571499999996</v>
      </c>
      <c r="AC938">
        <f t="shared" si="161"/>
        <v>4727.5936899999997</v>
      </c>
      <c r="AF938">
        <f t="shared" si="162"/>
        <v>4729.8218299999999</v>
      </c>
      <c r="AG938">
        <f t="shared" si="163"/>
        <v>4728.4727300000004</v>
      </c>
      <c r="AH938">
        <f t="shared" si="164"/>
        <v>4703.5571499999996</v>
      </c>
    </row>
    <row r="939" spans="1:34" x14ac:dyDescent="0.55000000000000004">
      <c r="A939">
        <f>ALGLIB_SSA_XAUUSD!J939</f>
        <v>1775678700</v>
      </c>
      <c r="B939" t="str">
        <f>_xlfn.XLOOKUP($A939,ALGLIB_SSA_XAUUSD!$A$2:$A$1000,ALGLIB_SSA_XAUUSD!$B$2:$B$1000,"",0)</f>
        <v/>
      </c>
      <c r="C939" t="str">
        <f>_xlfn.XLOOKUP($A939,ALGLIB_SSA_XAUUSD!$A$2:$A$1000,ALGLIB_SSA_XAUUSD!$C$2:$C$1000,"",0)</f>
        <v/>
      </c>
      <c r="D939" s="1">
        <f>D938+(D950-D938)*1/12</f>
        <v>4719.166666666667</v>
      </c>
      <c r="E939" s="1">
        <f>E938+(E950-E938)*1/12</f>
        <v>4713.0610883333329</v>
      </c>
      <c r="F939" s="1">
        <f>F938+(F950-F938)*1/12</f>
        <v>4718.6839766666671</v>
      </c>
      <c r="G939" s="1">
        <f>G938+(G950-G938)*1/12</f>
        <v>4728.2729808333333</v>
      </c>
      <c r="H939" s="1">
        <f>H938+(H950-H938)*1/12</f>
        <v>4703.4201033333329</v>
      </c>
      <c r="I939" t="str">
        <f>_xlfn.XLOOKUP($A939,ALGLIB_SSA_XAUUSD!$J$2:$J$1000,ALGLIB_SSA_XAUUSD!$K$2:$K$1000,"",0)</f>
        <v>XAUUSD</v>
      </c>
      <c r="J939" t="str">
        <f>_xlfn.XLOOKUP($A939,ALGLIB_SSA_XAUUSD!$J$2:$J$1000,ALGLIB_SSA_XAUUSD!$L$2:$L$1000,"",0)</f>
        <v>M5</v>
      </c>
      <c r="K939">
        <f>_xlfn.XLOOKUP($A939,ALGLIB_SSA_XAUUSD!$J$2:$J$1000,ALGLIB_SSA_XAUUSD!$M$2:$M$1000,"",0)</f>
        <v>4727.76</v>
      </c>
      <c r="L939">
        <f>_xlfn.XLOOKUP($A939,ALGLIB_SSA_XAUUSD!$J$2:$J$1000,ALGLIB_SSA_XAUUSD!$N$2:$N$1000,"",0)</f>
        <v>4729.1377599999996</v>
      </c>
      <c r="M939">
        <f>_xlfn.XLOOKUP($A939,ALGLIB_SSA_XAUUSD!$J$2:$J$1000,ALGLIB_SSA_XAUUSD!$O$2:$O$1000,"",0)</f>
        <v>4728.9872699999996</v>
      </c>
      <c r="N939">
        <f>_xlfn.XLOOKUP($A939,ALGLIB_SSA_XAUUSD!$J$2:$J$1000,ALGLIB_SSA_XAUUSD!$P$2:$P$1000,"",0)</f>
        <v>4731.1715100000001</v>
      </c>
      <c r="O939">
        <f>_xlfn.XLOOKUP($A939,ALGLIB_SSA_XAUUSD!$J$2:$J$1000,ALGLIB_SSA_XAUUSD!$Q$2:$Q$1000,"",0)</f>
        <v>4727.2740299999996</v>
      </c>
      <c r="R939">
        <f t="shared" si="154"/>
        <v>1775678700</v>
      </c>
      <c r="S939" t="str">
        <f t="shared" si="155"/>
        <v>XAUUSD</v>
      </c>
      <c r="T939" t="str">
        <f t="shared" si="156"/>
        <v>M5</v>
      </c>
      <c r="U939">
        <f t="shared" si="157"/>
        <v>4727.76</v>
      </c>
      <c r="V939">
        <v>4713.0610900000001</v>
      </c>
      <c r="W939">
        <v>4718.6839799999998</v>
      </c>
      <c r="X939">
        <v>4729.1377599999996</v>
      </c>
      <c r="Y939">
        <v>4728.9872699999996</v>
      </c>
      <c r="Z939">
        <f t="shared" si="158"/>
        <v>4728.2729808333333</v>
      </c>
      <c r="AA939">
        <f t="shared" si="159"/>
        <v>4731.1715100000001</v>
      </c>
      <c r="AB939">
        <f t="shared" si="160"/>
        <v>4703.4201033333329</v>
      </c>
      <c r="AC939">
        <f t="shared" si="161"/>
        <v>4727.2740299999996</v>
      </c>
      <c r="AF939">
        <f t="shared" si="162"/>
        <v>4729.1377599999996</v>
      </c>
      <c r="AG939">
        <f t="shared" si="163"/>
        <v>4728.2729808333333</v>
      </c>
      <c r="AH939">
        <f t="shared" si="164"/>
        <v>4703.4201033333329</v>
      </c>
    </row>
    <row r="940" spans="1:34" x14ac:dyDescent="0.55000000000000004">
      <c r="A940">
        <f>ALGLIB_SSA_XAUUSD!J940</f>
        <v>1775679000</v>
      </c>
      <c r="B940" t="str">
        <f>_xlfn.XLOOKUP($A940,ALGLIB_SSA_XAUUSD!$A$2:$A$1000,ALGLIB_SSA_XAUUSD!$B$2:$B$1000,"",0)</f>
        <v/>
      </c>
      <c r="C940" t="str">
        <f>_xlfn.XLOOKUP($A940,ALGLIB_SSA_XAUUSD!$A$2:$A$1000,ALGLIB_SSA_XAUUSD!$C$2:$C$1000,"",0)</f>
        <v/>
      </c>
      <c r="D940" s="1">
        <f>D938+(D950-D938)*2/12</f>
        <v>4719.0333333333338</v>
      </c>
      <c r="E940" s="1">
        <f>E938+(E950-E938)*2/12</f>
        <v>4713.0861366666668</v>
      </c>
      <c r="F940" s="1">
        <f>F938+(F950-F938)*2/12</f>
        <v>4718.4514833333333</v>
      </c>
      <c r="G940" s="1">
        <f>G938+(G950-G938)*2/12</f>
        <v>4728.0732316666672</v>
      </c>
      <c r="H940" s="1">
        <f>H938+(H950-H938)*2/12</f>
        <v>4703.2830566666662</v>
      </c>
      <c r="I940" t="str">
        <f>_xlfn.XLOOKUP($A940,ALGLIB_SSA_XAUUSD!$J$2:$J$1000,ALGLIB_SSA_XAUUSD!$K$2:$K$1000,"",0)</f>
        <v>XAUUSD</v>
      </c>
      <c r="J940" t="str">
        <f>_xlfn.XLOOKUP($A940,ALGLIB_SSA_XAUUSD!$J$2:$J$1000,ALGLIB_SSA_XAUUSD!$L$2:$L$1000,"",0)</f>
        <v>M5</v>
      </c>
      <c r="K940">
        <f>_xlfn.XLOOKUP($A940,ALGLIB_SSA_XAUUSD!$J$2:$J$1000,ALGLIB_SSA_XAUUSD!$M$2:$M$1000,"",0)</f>
        <v>4728.0200000000004</v>
      </c>
      <c r="L940">
        <f>_xlfn.XLOOKUP($A940,ALGLIB_SSA_XAUUSD!$J$2:$J$1000,ALGLIB_SSA_XAUUSD!$N$2:$N$1000,"",0)</f>
        <v>4727.8953099999999</v>
      </c>
      <c r="M940">
        <f>_xlfn.XLOOKUP($A940,ALGLIB_SSA_XAUUSD!$J$2:$J$1000,ALGLIB_SSA_XAUUSD!$O$2:$O$1000,"",0)</f>
        <v>4728.4412899999998</v>
      </c>
      <c r="N940">
        <f>_xlfn.XLOOKUP($A940,ALGLIB_SSA_XAUUSD!$J$2:$J$1000,ALGLIB_SSA_XAUUSD!$P$2:$P$1000,"",0)</f>
        <v>4729.9288200000001</v>
      </c>
      <c r="O940">
        <f>_xlfn.XLOOKUP($A940,ALGLIB_SSA_XAUUSD!$J$2:$J$1000,ALGLIB_SSA_XAUUSD!$Q$2:$Q$1000,"",0)</f>
        <v>4726.2443300000004</v>
      </c>
      <c r="R940">
        <f t="shared" si="154"/>
        <v>1775679000</v>
      </c>
      <c r="S940" t="str">
        <f t="shared" si="155"/>
        <v>XAUUSD</v>
      </c>
      <c r="T940" t="str">
        <f t="shared" si="156"/>
        <v>M5</v>
      </c>
      <c r="U940">
        <f t="shared" si="157"/>
        <v>4728.0200000000004</v>
      </c>
      <c r="V940">
        <v>4713.0861400000003</v>
      </c>
      <c r="W940">
        <v>4718.4514799999997</v>
      </c>
      <c r="X940">
        <v>4727.8953099999999</v>
      </c>
      <c r="Y940">
        <v>4728.4412899999998</v>
      </c>
      <c r="Z940">
        <f t="shared" si="158"/>
        <v>4728.0732316666672</v>
      </c>
      <c r="AA940">
        <f t="shared" si="159"/>
        <v>4729.9288200000001</v>
      </c>
      <c r="AB940">
        <f t="shared" si="160"/>
        <v>4703.2830566666662</v>
      </c>
      <c r="AC940">
        <f t="shared" si="161"/>
        <v>4726.2443300000004</v>
      </c>
      <c r="AF940">
        <f t="shared" si="162"/>
        <v>4727.8953099999999</v>
      </c>
      <c r="AG940">
        <f t="shared" si="163"/>
        <v>4728.0732316666672</v>
      </c>
      <c r="AH940">
        <f t="shared" si="164"/>
        <v>4703.2830566666662</v>
      </c>
    </row>
    <row r="941" spans="1:34" x14ac:dyDescent="0.55000000000000004">
      <c r="A941">
        <f>ALGLIB_SSA_XAUUSD!J941</f>
        <v>1775679300</v>
      </c>
      <c r="B941" t="str">
        <f>_xlfn.XLOOKUP($A941,ALGLIB_SSA_XAUUSD!$A$2:$A$1000,ALGLIB_SSA_XAUUSD!$B$2:$B$1000,"",0)</f>
        <v/>
      </c>
      <c r="C941" t="str">
        <f>_xlfn.XLOOKUP($A941,ALGLIB_SSA_XAUUSD!$A$2:$A$1000,ALGLIB_SSA_XAUUSD!$C$2:$C$1000,"",0)</f>
        <v/>
      </c>
      <c r="D941" s="1">
        <f>D938+(D950-D938)*3/12</f>
        <v>4718.8999999999996</v>
      </c>
      <c r="E941" s="1">
        <f>E938+(E950-E938)*3/12</f>
        <v>4713.1111849999998</v>
      </c>
      <c r="F941" s="1">
        <f>F938+(F950-F938)*3/12</f>
        <v>4718.2189900000003</v>
      </c>
      <c r="G941" s="1">
        <f>G938+(G950-G938)*3/12</f>
        <v>4727.8734825000001</v>
      </c>
      <c r="H941" s="1">
        <f>H938+(H950-H938)*3/12</f>
        <v>4703.1460099999995</v>
      </c>
      <c r="I941" t="str">
        <f>_xlfn.XLOOKUP($A941,ALGLIB_SSA_XAUUSD!$J$2:$J$1000,ALGLIB_SSA_XAUUSD!$K$2:$K$1000,"",0)</f>
        <v>XAUUSD</v>
      </c>
      <c r="J941" t="str">
        <f>_xlfn.XLOOKUP($A941,ALGLIB_SSA_XAUUSD!$J$2:$J$1000,ALGLIB_SSA_XAUUSD!$L$2:$L$1000,"",0)</f>
        <v>M5</v>
      </c>
      <c r="K941">
        <f>_xlfn.XLOOKUP($A941,ALGLIB_SSA_XAUUSD!$J$2:$J$1000,ALGLIB_SSA_XAUUSD!$M$2:$M$1000,"",0)</f>
        <v>4724.5200000000004</v>
      </c>
      <c r="L941">
        <f>_xlfn.XLOOKUP($A941,ALGLIB_SSA_XAUUSD!$J$2:$J$1000,ALGLIB_SSA_XAUUSD!$N$2:$N$1000,"",0)</f>
        <v>4726.3604400000004</v>
      </c>
      <c r="M941">
        <f>_xlfn.XLOOKUP($A941,ALGLIB_SSA_XAUUSD!$J$2:$J$1000,ALGLIB_SSA_XAUUSD!$O$2:$O$1000,"",0)</f>
        <v>4727.4008599999997</v>
      </c>
      <c r="N941">
        <f>_xlfn.XLOOKUP($A941,ALGLIB_SSA_XAUUSD!$J$2:$J$1000,ALGLIB_SSA_XAUUSD!$P$2:$P$1000,"",0)</f>
        <v>4728.2837499999996</v>
      </c>
      <c r="O941">
        <f>_xlfn.XLOOKUP($A941,ALGLIB_SSA_XAUUSD!$J$2:$J$1000,ALGLIB_SSA_XAUUSD!$Q$2:$Q$1000,"",0)</f>
        <v>4724.8384699999997</v>
      </c>
      <c r="R941">
        <f t="shared" si="154"/>
        <v>1775679300</v>
      </c>
      <c r="S941" t="str">
        <f t="shared" si="155"/>
        <v>XAUUSD</v>
      </c>
      <c r="T941" t="str">
        <f t="shared" si="156"/>
        <v>M5</v>
      </c>
      <c r="U941">
        <f t="shared" si="157"/>
        <v>4724.5200000000004</v>
      </c>
      <c r="V941">
        <v>4713.1111899999996</v>
      </c>
      <c r="W941">
        <v>4718.2189900000003</v>
      </c>
      <c r="X941">
        <v>4726.3604400000004</v>
      </c>
      <c r="Y941">
        <v>4727.4008599999997</v>
      </c>
      <c r="Z941">
        <f t="shared" si="158"/>
        <v>4727.8734825000001</v>
      </c>
      <c r="AA941">
        <f t="shared" si="159"/>
        <v>4728.2837499999996</v>
      </c>
      <c r="AB941">
        <f t="shared" si="160"/>
        <v>4703.1460099999995</v>
      </c>
      <c r="AC941">
        <f t="shared" si="161"/>
        <v>4724.8384699999997</v>
      </c>
      <c r="AF941">
        <f t="shared" si="162"/>
        <v>4726.3604400000004</v>
      </c>
      <c r="AG941">
        <f t="shared" si="163"/>
        <v>4727.8734825000001</v>
      </c>
      <c r="AH941">
        <f t="shared" si="164"/>
        <v>4703.1460099999995</v>
      </c>
    </row>
    <row r="942" spans="1:34" x14ac:dyDescent="0.55000000000000004">
      <c r="A942">
        <f>ALGLIB_SSA_XAUUSD!J942</f>
        <v>1775679600</v>
      </c>
      <c r="B942" t="str">
        <f>_xlfn.XLOOKUP($A942,ALGLIB_SSA_XAUUSD!$A$2:$A$1000,ALGLIB_SSA_XAUUSD!$B$2:$B$1000,"",0)</f>
        <v/>
      </c>
      <c r="C942" t="str">
        <f>_xlfn.XLOOKUP($A942,ALGLIB_SSA_XAUUSD!$A$2:$A$1000,ALGLIB_SSA_XAUUSD!$C$2:$C$1000,"",0)</f>
        <v/>
      </c>
      <c r="D942" s="1">
        <f>D938+(D950-D938)*4/12</f>
        <v>4718.7666666666664</v>
      </c>
      <c r="E942" s="1">
        <f>E938+(E950-E938)*4/12</f>
        <v>4713.1362333333336</v>
      </c>
      <c r="F942" s="1">
        <f>F938+(F950-F938)*4/12</f>
        <v>4717.9864966666664</v>
      </c>
      <c r="G942" s="1">
        <f>G938+(G950-G938)*4/12</f>
        <v>4727.673733333334</v>
      </c>
      <c r="H942" s="1">
        <f>H938+(H950-H938)*4/12</f>
        <v>4703.0089633333328</v>
      </c>
      <c r="I942" t="str">
        <f>_xlfn.XLOOKUP($A942,ALGLIB_SSA_XAUUSD!$J$2:$J$1000,ALGLIB_SSA_XAUUSD!$K$2:$K$1000,"",0)</f>
        <v>XAUUSD</v>
      </c>
      <c r="J942" t="str">
        <f>_xlfn.XLOOKUP($A942,ALGLIB_SSA_XAUUSD!$J$2:$J$1000,ALGLIB_SSA_XAUUSD!$L$2:$L$1000,"",0)</f>
        <v>M5</v>
      </c>
      <c r="K942">
        <f>_xlfn.XLOOKUP($A942,ALGLIB_SSA_XAUUSD!$J$2:$J$1000,ALGLIB_SSA_XAUUSD!$M$2:$M$1000,"",0)</f>
        <v>4725.13</v>
      </c>
      <c r="L942">
        <f>_xlfn.XLOOKUP($A942,ALGLIB_SSA_XAUUSD!$J$2:$J$1000,ALGLIB_SSA_XAUUSD!$N$2:$N$1000,"",0)</f>
        <v>4724.8950800000002</v>
      </c>
      <c r="M942">
        <f>_xlfn.XLOOKUP($A942,ALGLIB_SSA_XAUUSD!$J$2:$J$1000,ALGLIB_SSA_XAUUSD!$O$2:$O$1000,"",0)</f>
        <v>4726.14797</v>
      </c>
      <c r="N942">
        <f>_xlfn.XLOOKUP($A942,ALGLIB_SSA_XAUUSD!$J$2:$J$1000,ALGLIB_SSA_XAUUSD!$P$2:$P$1000,"",0)</f>
        <v>4726.5141899999999</v>
      </c>
      <c r="O942">
        <f>_xlfn.XLOOKUP($A942,ALGLIB_SSA_XAUUSD!$J$2:$J$1000,ALGLIB_SSA_XAUUSD!$Q$2:$Q$1000,"",0)</f>
        <v>4723.4367599999996</v>
      </c>
      <c r="R942">
        <f t="shared" si="154"/>
        <v>1775679600</v>
      </c>
      <c r="S942" t="str">
        <f t="shared" si="155"/>
        <v>XAUUSD</v>
      </c>
      <c r="T942" t="str">
        <f t="shared" si="156"/>
        <v>M5</v>
      </c>
      <c r="U942">
        <f t="shared" si="157"/>
        <v>4725.13</v>
      </c>
      <c r="V942">
        <v>4713.1362300000001</v>
      </c>
      <c r="W942">
        <v>4717.9865</v>
      </c>
      <c r="X942">
        <v>4724.8950800000002</v>
      </c>
      <c r="Y942">
        <v>4726.14797</v>
      </c>
      <c r="Z942">
        <f t="shared" si="158"/>
        <v>4727.673733333334</v>
      </c>
      <c r="AA942">
        <f t="shared" si="159"/>
        <v>4726.5141899999999</v>
      </c>
      <c r="AB942">
        <f t="shared" si="160"/>
        <v>4703.0089633333328</v>
      </c>
      <c r="AC942">
        <f t="shared" si="161"/>
        <v>4723.4367599999996</v>
      </c>
      <c r="AF942">
        <f t="shared" si="162"/>
        <v>4724.8950800000002</v>
      </c>
      <c r="AG942">
        <f t="shared" si="163"/>
        <v>4727.673733333334</v>
      </c>
      <c r="AH942">
        <f t="shared" si="164"/>
        <v>4703.0089633333328</v>
      </c>
    </row>
    <row r="943" spans="1:34" x14ac:dyDescent="0.55000000000000004">
      <c r="A943">
        <f>ALGLIB_SSA_XAUUSD!J943</f>
        <v>1775679900</v>
      </c>
      <c r="B943" t="str">
        <f>_xlfn.XLOOKUP($A943,ALGLIB_SSA_XAUUSD!$A$2:$A$1000,ALGLIB_SSA_XAUUSD!$B$2:$B$1000,"",0)</f>
        <v/>
      </c>
      <c r="C943" t="str">
        <f>_xlfn.XLOOKUP($A943,ALGLIB_SSA_XAUUSD!$A$2:$A$1000,ALGLIB_SSA_XAUUSD!$C$2:$C$1000,"",0)</f>
        <v/>
      </c>
      <c r="D943" s="1">
        <f>D938+(D950-D938)*5/12</f>
        <v>4718.6333333333332</v>
      </c>
      <c r="E943" s="1">
        <f>E938+(E950-E938)*5/12</f>
        <v>4713.1612816666666</v>
      </c>
      <c r="F943" s="1">
        <f>F938+(F950-F938)*5/12</f>
        <v>4717.7540033333335</v>
      </c>
      <c r="G943" s="1">
        <f>G938+(G950-G938)*5/12</f>
        <v>4727.4739841666669</v>
      </c>
      <c r="H943" s="1">
        <f>H938+(H950-H938)*5/12</f>
        <v>4702.871916666666</v>
      </c>
      <c r="I943" t="str">
        <f>_xlfn.XLOOKUP($A943,ALGLIB_SSA_XAUUSD!$J$2:$J$1000,ALGLIB_SSA_XAUUSD!$K$2:$K$1000,"",0)</f>
        <v>XAUUSD</v>
      </c>
      <c r="J943" t="str">
        <f>_xlfn.XLOOKUP($A943,ALGLIB_SSA_XAUUSD!$J$2:$J$1000,ALGLIB_SSA_XAUUSD!$L$2:$L$1000,"",0)</f>
        <v>M5</v>
      </c>
      <c r="K943">
        <f>_xlfn.XLOOKUP($A943,ALGLIB_SSA_XAUUSD!$J$2:$J$1000,ALGLIB_SSA_XAUUSD!$M$2:$M$1000,"",0)</f>
        <v>4723.3</v>
      </c>
      <c r="L943">
        <f>_xlfn.XLOOKUP($A943,ALGLIB_SSA_XAUUSD!$J$2:$J$1000,ALGLIB_SSA_XAUUSD!$N$2:$N$1000,"",0)</f>
        <v>4723.69877</v>
      </c>
      <c r="M943">
        <f>_xlfn.XLOOKUP($A943,ALGLIB_SSA_XAUUSD!$J$2:$J$1000,ALGLIB_SSA_XAUUSD!$O$2:$O$1000,"",0)</f>
        <v>4724.9233700000004</v>
      </c>
      <c r="N943">
        <f>_xlfn.XLOOKUP($A943,ALGLIB_SSA_XAUUSD!$J$2:$J$1000,ALGLIB_SSA_XAUUSD!$P$2:$P$1000,"",0)</f>
        <v>4725.05069</v>
      </c>
      <c r="O943">
        <f>_xlfn.XLOOKUP($A943,ALGLIB_SSA_XAUUSD!$J$2:$J$1000,ALGLIB_SSA_XAUUSD!$Q$2:$Q$1000,"",0)</f>
        <v>4722.3233700000001</v>
      </c>
      <c r="R943">
        <f t="shared" si="154"/>
        <v>1775679900</v>
      </c>
      <c r="S943" t="str">
        <f t="shared" si="155"/>
        <v>XAUUSD</v>
      </c>
      <c r="T943" t="str">
        <f t="shared" si="156"/>
        <v>M5</v>
      </c>
      <c r="U943">
        <f t="shared" si="157"/>
        <v>4723.3</v>
      </c>
      <c r="V943">
        <v>4713.1612800000003</v>
      </c>
      <c r="W943">
        <v>4717.7539999999999</v>
      </c>
      <c r="X943">
        <v>4723.69877</v>
      </c>
      <c r="Y943">
        <v>4724.9233700000004</v>
      </c>
      <c r="Z943">
        <f t="shared" si="158"/>
        <v>4727.4739841666669</v>
      </c>
      <c r="AA943">
        <f t="shared" si="159"/>
        <v>4725.05069</v>
      </c>
      <c r="AB943">
        <f t="shared" si="160"/>
        <v>4702.871916666666</v>
      </c>
      <c r="AC943">
        <f t="shared" si="161"/>
        <v>4722.3233700000001</v>
      </c>
      <c r="AF943">
        <f t="shared" si="162"/>
        <v>4723.69877</v>
      </c>
      <c r="AG943">
        <f t="shared" si="163"/>
        <v>4727.4739841666669</v>
      </c>
      <c r="AH943">
        <f t="shared" si="164"/>
        <v>4702.871916666666</v>
      </c>
    </row>
    <row r="944" spans="1:34" x14ac:dyDescent="0.55000000000000004">
      <c r="A944">
        <f>ALGLIB_SSA_XAUUSD!J944</f>
        <v>1775680200</v>
      </c>
      <c r="B944" t="str">
        <f>_xlfn.XLOOKUP($A944,ALGLIB_SSA_XAUUSD!$A$2:$A$1000,ALGLIB_SSA_XAUUSD!$B$2:$B$1000,"",0)</f>
        <v/>
      </c>
      <c r="C944" t="str">
        <f>_xlfn.XLOOKUP($A944,ALGLIB_SSA_XAUUSD!$A$2:$A$1000,ALGLIB_SSA_XAUUSD!$C$2:$C$1000,"",0)</f>
        <v/>
      </c>
      <c r="D944" s="1">
        <f>D938+(D950-D938)*6/12</f>
        <v>4718.5</v>
      </c>
      <c r="E944" s="1">
        <f>E938+(E950-E938)*6/12</f>
        <v>4713.1863300000005</v>
      </c>
      <c r="F944" s="1">
        <f>F938+(F950-F938)*6/12</f>
        <v>4717.5215100000005</v>
      </c>
      <c r="G944" s="1">
        <f>G938+(G950-G938)*6/12</f>
        <v>4727.2742350000008</v>
      </c>
      <c r="H944" s="1">
        <f>H938+(H950-H938)*6/12</f>
        <v>4702.7348700000002</v>
      </c>
      <c r="I944" t="str">
        <f>_xlfn.XLOOKUP($A944,ALGLIB_SSA_XAUUSD!$J$2:$J$1000,ALGLIB_SSA_XAUUSD!$K$2:$K$1000,"",0)</f>
        <v>XAUUSD</v>
      </c>
      <c r="J944" t="str">
        <f>_xlfn.XLOOKUP($A944,ALGLIB_SSA_XAUUSD!$J$2:$J$1000,ALGLIB_SSA_XAUUSD!$L$2:$L$1000,"",0)</f>
        <v>M5</v>
      </c>
      <c r="K944">
        <f>_xlfn.XLOOKUP($A944,ALGLIB_SSA_XAUUSD!$J$2:$J$1000,ALGLIB_SSA_XAUUSD!$M$2:$M$1000,"",0)</f>
        <v>4723.8500000000004</v>
      </c>
      <c r="L944">
        <f>_xlfn.XLOOKUP($A944,ALGLIB_SSA_XAUUSD!$J$2:$J$1000,ALGLIB_SSA_XAUUSD!$N$2:$N$1000,"",0)</f>
        <v>4722.9103100000002</v>
      </c>
      <c r="M944">
        <f>_xlfn.XLOOKUP($A944,ALGLIB_SSA_XAUUSD!$J$2:$J$1000,ALGLIB_SSA_XAUUSD!$O$2:$O$1000,"",0)</f>
        <v>4723.9168399999999</v>
      </c>
      <c r="N944">
        <f>_xlfn.XLOOKUP($A944,ALGLIB_SSA_XAUUSD!$J$2:$J$1000,ALGLIB_SSA_XAUUSD!$P$2:$P$1000,"",0)</f>
        <v>4724.1271500000003</v>
      </c>
      <c r="O944">
        <f>_xlfn.XLOOKUP($A944,ALGLIB_SSA_XAUUSD!$J$2:$J$1000,ALGLIB_SSA_XAUUSD!$Q$2:$Q$1000,"",0)</f>
        <v>4721.6267099999995</v>
      </c>
      <c r="R944">
        <f t="shared" si="154"/>
        <v>1775680200</v>
      </c>
      <c r="S944" t="str">
        <f t="shared" si="155"/>
        <v>XAUUSD</v>
      </c>
      <c r="T944" t="str">
        <f t="shared" si="156"/>
        <v>M5</v>
      </c>
      <c r="U944">
        <f t="shared" si="157"/>
        <v>4723.8500000000004</v>
      </c>
      <c r="V944">
        <v>4713.1863300000005</v>
      </c>
      <c r="W944">
        <v>4717.5215099999996</v>
      </c>
      <c r="X944">
        <v>4722.9103100000002</v>
      </c>
      <c r="Y944">
        <v>4723.9168399999999</v>
      </c>
      <c r="Z944">
        <f t="shared" si="158"/>
        <v>4727.2742350000008</v>
      </c>
      <c r="AA944">
        <f t="shared" si="159"/>
        <v>4724.1271500000003</v>
      </c>
      <c r="AB944">
        <f t="shared" si="160"/>
        <v>4702.7348700000002</v>
      </c>
      <c r="AC944">
        <f t="shared" si="161"/>
        <v>4721.6267099999995</v>
      </c>
      <c r="AF944">
        <f t="shared" si="162"/>
        <v>4722.9103100000002</v>
      </c>
      <c r="AG944">
        <f t="shared" si="163"/>
        <v>4727.2742350000008</v>
      </c>
      <c r="AH944">
        <f t="shared" si="164"/>
        <v>4702.7348700000002</v>
      </c>
    </row>
    <row r="945" spans="1:34" x14ac:dyDescent="0.55000000000000004">
      <c r="A945">
        <f>ALGLIB_SSA_XAUUSD!J945</f>
        <v>1775680500</v>
      </c>
      <c r="B945" t="str">
        <f>_xlfn.XLOOKUP($A945,ALGLIB_SSA_XAUUSD!$A$2:$A$1000,ALGLIB_SSA_XAUUSD!$B$2:$B$1000,"",0)</f>
        <v/>
      </c>
      <c r="C945" t="str">
        <f>_xlfn.XLOOKUP($A945,ALGLIB_SSA_XAUUSD!$A$2:$A$1000,ALGLIB_SSA_XAUUSD!$C$2:$C$1000,"",0)</f>
        <v/>
      </c>
      <c r="D945" s="1">
        <f>D938+(D950-D938)*7/12</f>
        <v>4718.3666666666668</v>
      </c>
      <c r="E945" s="1">
        <f>E938+(E950-E938)*7/12</f>
        <v>4713.2113783333334</v>
      </c>
      <c r="F945" s="1">
        <f>F938+(F950-F938)*7/12</f>
        <v>4717.2890166666666</v>
      </c>
      <c r="G945" s="1">
        <f>G938+(G950-G938)*7/12</f>
        <v>4727.0744858333337</v>
      </c>
      <c r="H945" s="1">
        <f>H938+(H950-H938)*7/12</f>
        <v>4702.5978233333335</v>
      </c>
      <c r="I945" t="str">
        <f>_xlfn.XLOOKUP($A945,ALGLIB_SSA_XAUUSD!$J$2:$J$1000,ALGLIB_SSA_XAUUSD!$K$2:$K$1000,"",0)</f>
        <v>XAUUSD</v>
      </c>
      <c r="J945" t="str">
        <f>_xlfn.XLOOKUP($A945,ALGLIB_SSA_XAUUSD!$J$2:$J$1000,ALGLIB_SSA_XAUUSD!$L$2:$L$1000,"",0)</f>
        <v>M5</v>
      </c>
      <c r="K945">
        <f>_xlfn.XLOOKUP($A945,ALGLIB_SSA_XAUUSD!$J$2:$J$1000,ALGLIB_SSA_XAUUSD!$M$2:$M$1000,"",0)</f>
        <v>4722.8900000000003</v>
      </c>
      <c r="L945">
        <f>_xlfn.XLOOKUP($A945,ALGLIB_SSA_XAUUSD!$J$2:$J$1000,ALGLIB_SSA_XAUUSD!$N$2:$N$1000,"",0)</f>
        <v>4722.4712600000003</v>
      </c>
      <c r="M945">
        <f>_xlfn.XLOOKUP($A945,ALGLIB_SSA_XAUUSD!$J$2:$J$1000,ALGLIB_SSA_XAUUSD!$O$2:$O$1000,"",0)</f>
        <v>4723.1940500000001</v>
      </c>
      <c r="N945">
        <f>_xlfn.XLOOKUP($A945,ALGLIB_SSA_XAUUSD!$J$2:$J$1000,ALGLIB_SSA_XAUUSD!$P$2:$P$1000,"",0)</f>
        <v>4723.8307999999997</v>
      </c>
      <c r="O945">
        <f>_xlfn.XLOOKUP($A945,ALGLIB_SSA_XAUUSD!$J$2:$J$1000,ALGLIB_SSA_XAUUSD!$Q$2:$Q$1000,"",0)</f>
        <v>4721.3127699999995</v>
      </c>
      <c r="R945">
        <f t="shared" si="154"/>
        <v>1775680500</v>
      </c>
      <c r="S945" t="str">
        <f t="shared" si="155"/>
        <v>XAUUSD</v>
      </c>
      <c r="T945" t="str">
        <f t="shared" si="156"/>
        <v>M5</v>
      </c>
      <c r="U945">
        <f t="shared" si="157"/>
        <v>4722.8900000000003</v>
      </c>
      <c r="V945">
        <v>4713.2113799999997</v>
      </c>
      <c r="W945">
        <v>4717.2890200000002</v>
      </c>
      <c r="X945">
        <v>4722.4712600000003</v>
      </c>
      <c r="Y945">
        <v>4723.1940500000001</v>
      </c>
      <c r="Z945">
        <f t="shared" si="158"/>
        <v>4727.0744858333337</v>
      </c>
      <c r="AA945">
        <f t="shared" si="159"/>
        <v>4723.8307999999997</v>
      </c>
      <c r="AB945">
        <f t="shared" si="160"/>
        <v>4702.5978233333335</v>
      </c>
      <c r="AC945">
        <f t="shared" si="161"/>
        <v>4721.3127699999995</v>
      </c>
      <c r="AF945">
        <f t="shared" si="162"/>
        <v>4722.4712600000003</v>
      </c>
      <c r="AG945">
        <f t="shared" si="163"/>
        <v>4727.0744858333337</v>
      </c>
      <c r="AH945">
        <f t="shared" si="164"/>
        <v>4702.5978233333335</v>
      </c>
    </row>
    <row r="946" spans="1:34" x14ac:dyDescent="0.55000000000000004">
      <c r="A946">
        <f>ALGLIB_SSA_XAUUSD!J946</f>
        <v>1775680800</v>
      </c>
      <c r="B946" t="str">
        <f>_xlfn.XLOOKUP($A946,ALGLIB_SSA_XAUUSD!$A$2:$A$1000,ALGLIB_SSA_XAUUSD!$B$2:$B$1000,"",0)</f>
        <v/>
      </c>
      <c r="C946" t="str">
        <f>_xlfn.XLOOKUP($A946,ALGLIB_SSA_XAUUSD!$A$2:$A$1000,ALGLIB_SSA_XAUUSD!$C$2:$C$1000,"",0)</f>
        <v/>
      </c>
      <c r="D946" s="1">
        <f>D938+(D950-D938)*8/12</f>
        <v>4718.2333333333336</v>
      </c>
      <c r="E946" s="1">
        <f>E938+(E950-E938)*8/12</f>
        <v>4713.2364266666664</v>
      </c>
      <c r="F946" s="1">
        <f>F938+(F950-F938)*8/12</f>
        <v>4717.0565233333336</v>
      </c>
      <c r="G946" s="1">
        <f>G938+(G950-G938)*8/12</f>
        <v>4726.8747366666666</v>
      </c>
      <c r="H946" s="1">
        <f>H938+(H950-H938)*8/12</f>
        <v>4702.4607766666668</v>
      </c>
      <c r="I946" t="str">
        <f>_xlfn.XLOOKUP($A946,ALGLIB_SSA_XAUUSD!$J$2:$J$1000,ALGLIB_SSA_XAUUSD!$K$2:$K$1000,"",0)</f>
        <v>XAUUSD</v>
      </c>
      <c r="J946" t="str">
        <f>_xlfn.XLOOKUP($A946,ALGLIB_SSA_XAUUSD!$J$2:$J$1000,ALGLIB_SSA_XAUUSD!$L$2:$L$1000,"",0)</f>
        <v>M5</v>
      </c>
      <c r="K946">
        <f>_xlfn.XLOOKUP($A946,ALGLIB_SSA_XAUUSD!$J$2:$J$1000,ALGLIB_SSA_XAUUSD!$M$2:$M$1000,"",0)</f>
        <v>4722.43</v>
      </c>
      <c r="L946">
        <f>_xlfn.XLOOKUP($A946,ALGLIB_SSA_XAUUSD!$J$2:$J$1000,ALGLIB_SSA_XAUUSD!$N$2:$N$1000,"",0)</f>
        <v>4722.2353499999999</v>
      </c>
      <c r="M946">
        <f>_xlfn.XLOOKUP($A946,ALGLIB_SSA_XAUUSD!$J$2:$J$1000,ALGLIB_SSA_XAUUSD!$O$2:$O$1000,"",0)</f>
        <v>4722.7147000000004</v>
      </c>
      <c r="N946">
        <f>_xlfn.XLOOKUP($A946,ALGLIB_SSA_XAUUSD!$J$2:$J$1000,ALGLIB_SSA_XAUUSD!$P$2:$P$1000,"",0)</f>
        <v>4724.0691800000004</v>
      </c>
      <c r="O946">
        <f>_xlfn.XLOOKUP($A946,ALGLIB_SSA_XAUUSD!$J$2:$J$1000,ALGLIB_SSA_XAUUSD!$Q$2:$Q$1000,"",0)</f>
        <v>4721.1569099999997</v>
      </c>
      <c r="R946">
        <f t="shared" si="154"/>
        <v>1775680800</v>
      </c>
      <c r="S946" t="str">
        <f t="shared" si="155"/>
        <v>XAUUSD</v>
      </c>
      <c r="T946" t="str">
        <f t="shared" si="156"/>
        <v>M5</v>
      </c>
      <c r="U946">
        <f t="shared" si="157"/>
        <v>4722.43</v>
      </c>
      <c r="V946">
        <v>4713.2364299999999</v>
      </c>
      <c r="W946">
        <v>4717.0565200000001</v>
      </c>
      <c r="X946">
        <v>4722.2353499999999</v>
      </c>
      <c r="Y946">
        <v>4722.7147000000004</v>
      </c>
      <c r="Z946">
        <f t="shared" si="158"/>
        <v>4726.8747366666666</v>
      </c>
      <c r="AA946">
        <f t="shared" si="159"/>
        <v>4724.0691800000004</v>
      </c>
      <c r="AB946">
        <f t="shared" si="160"/>
        <v>4702.4607766666668</v>
      </c>
      <c r="AC946">
        <f t="shared" si="161"/>
        <v>4721.1569099999997</v>
      </c>
      <c r="AF946">
        <f t="shared" si="162"/>
        <v>4722.2353499999999</v>
      </c>
      <c r="AG946">
        <f t="shared" si="163"/>
        <v>4726.8747366666666</v>
      </c>
      <c r="AH946">
        <f t="shared" si="164"/>
        <v>4702.4607766666668</v>
      </c>
    </row>
    <row r="947" spans="1:34" x14ac:dyDescent="0.55000000000000004">
      <c r="A947">
        <f>ALGLIB_SSA_XAUUSD!J947</f>
        <v>1775681100</v>
      </c>
      <c r="B947" t="str">
        <f>_xlfn.XLOOKUP($A947,ALGLIB_SSA_XAUUSD!$A$2:$A$1000,ALGLIB_SSA_XAUUSD!$B$2:$B$1000,"",0)</f>
        <v/>
      </c>
      <c r="C947" t="str">
        <f>_xlfn.XLOOKUP($A947,ALGLIB_SSA_XAUUSD!$A$2:$A$1000,ALGLIB_SSA_XAUUSD!$C$2:$C$1000,"",0)</f>
        <v/>
      </c>
      <c r="D947" s="1">
        <f>D938+(D950-D938)*9/12</f>
        <v>4718.1000000000004</v>
      </c>
      <c r="E947" s="1">
        <f>E938+(E950-E938)*9/12</f>
        <v>4713.2614750000002</v>
      </c>
      <c r="F947" s="1">
        <f>F938+(F950-F938)*9/12</f>
        <v>4716.8240299999998</v>
      </c>
      <c r="G947" s="1">
        <f>G938+(G950-G938)*9/12</f>
        <v>4726.6749875000005</v>
      </c>
      <c r="H947" s="1">
        <f>H938+(H950-H938)*9/12</f>
        <v>4702.3237300000001</v>
      </c>
      <c r="I947" t="str">
        <f>_xlfn.XLOOKUP($A947,ALGLIB_SSA_XAUUSD!$J$2:$J$1000,ALGLIB_SSA_XAUUSD!$K$2:$K$1000,"",0)</f>
        <v>XAUUSD</v>
      </c>
      <c r="J947" t="str">
        <f>_xlfn.XLOOKUP($A947,ALGLIB_SSA_XAUUSD!$J$2:$J$1000,ALGLIB_SSA_XAUUSD!$L$2:$L$1000,"",0)</f>
        <v>M5</v>
      </c>
      <c r="K947">
        <f>_xlfn.XLOOKUP($A947,ALGLIB_SSA_XAUUSD!$J$2:$J$1000,ALGLIB_SSA_XAUUSD!$M$2:$M$1000,"",0)</f>
        <v>4720.17</v>
      </c>
      <c r="L947">
        <f>_xlfn.XLOOKUP($A947,ALGLIB_SSA_XAUUSD!$J$2:$J$1000,ALGLIB_SSA_XAUUSD!$N$2:$N$1000,"",0)</f>
        <v>4721.9773100000002</v>
      </c>
      <c r="M947">
        <f>_xlfn.XLOOKUP($A947,ALGLIB_SSA_XAUUSD!$J$2:$J$1000,ALGLIB_SSA_XAUUSD!$O$2:$O$1000,"",0)</f>
        <v>4722.3459999999995</v>
      </c>
      <c r="N947">
        <f>_xlfn.XLOOKUP($A947,ALGLIB_SSA_XAUUSD!$J$2:$J$1000,ALGLIB_SSA_XAUUSD!$P$2:$P$1000,"",0)</f>
        <v>4724.5929900000001</v>
      </c>
      <c r="O947">
        <f>_xlfn.XLOOKUP($A947,ALGLIB_SSA_XAUUSD!$J$2:$J$1000,ALGLIB_SSA_XAUUSD!$Q$2:$Q$1000,"",0)</f>
        <v>4720.84094</v>
      </c>
      <c r="R947">
        <f t="shared" si="154"/>
        <v>1775681100</v>
      </c>
      <c r="S947" t="str">
        <f t="shared" si="155"/>
        <v>XAUUSD</v>
      </c>
      <c r="T947" t="str">
        <f t="shared" si="156"/>
        <v>M5</v>
      </c>
      <c r="U947">
        <f t="shared" si="157"/>
        <v>4720.17</v>
      </c>
      <c r="V947">
        <v>4713.2614800000001</v>
      </c>
      <c r="W947">
        <v>4716.8240299999998</v>
      </c>
      <c r="X947">
        <v>4721.9773100000002</v>
      </c>
      <c r="Y947">
        <v>4722.3459999999995</v>
      </c>
      <c r="Z947">
        <f t="shared" si="158"/>
        <v>4726.6749875000005</v>
      </c>
      <c r="AA947">
        <f t="shared" si="159"/>
        <v>4724.5929900000001</v>
      </c>
      <c r="AB947">
        <f t="shared" si="160"/>
        <v>4702.3237300000001</v>
      </c>
      <c r="AC947">
        <f t="shared" si="161"/>
        <v>4720.84094</v>
      </c>
      <c r="AF947">
        <f t="shared" si="162"/>
        <v>4721.9773100000002</v>
      </c>
      <c r="AG947">
        <f t="shared" si="163"/>
        <v>4726.6749875000005</v>
      </c>
      <c r="AH947">
        <f t="shared" si="164"/>
        <v>4702.3237300000001</v>
      </c>
    </row>
    <row r="948" spans="1:34" x14ac:dyDescent="0.55000000000000004">
      <c r="A948">
        <f>ALGLIB_SSA_XAUUSD!J948</f>
        <v>1775681400</v>
      </c>
      <c r="B948" t="str">
        <f>_xlfn.XLOOKUP($A948,ALGLIB_SSA_XAUUSD!$A$2:$A$1000,ALGLIB_SSA_XAUUSD!$B$2:$B$1000,"",0)</f>
        <v/>
      </c>
      <c r="C948" t="str">
        <f>_xlfn.XLOOKUP($A948,ALGLIB_SSA_XAUUSD!$A$2:$A$1000,ALGLIB_SSA_XAUUSD!$C$2:$C$1000,"",0)</f>
        <v/>
      </c>
      <c r="D948" s="1">
        <f>D938+(D950-D938)*10/12</f>
        <v>4717.9666666666662</v>
      </c>
      <c r="E948" s="1">
        <f>E938+(E950-E938)*10/12</f>
        <v>4713.2865233333332</v>
      </c>
      <c r="F948" s="1">
        <f>F938+(F950-F938)*10/12</f>
        <v>4716.5915366666668</v>
      </c>
      <c r="G948" s="1">
        <f>G938+(G950-G938)*10/12</f>
        <v>4726.4752383333334</v>
      </c>
      <c r="H948" s="1">
        <f>H938+(H950-H938)*10/12</f>
        <v>4702.1866833333333</v>
      </c>
      <c r="I948" t="str">
        <f>_xlfn.XLOOKUP($A948,ALGLIB_SSA_XAUUSD!$J$2:$J$1000,ALGLIB_SSA_XAUUSD!$K$2:$K$1000,"",0)</f>
        <v>XAUUSD</v>
      </c>
      <c r="J948" t="str">
        <f>_xlfn.XLOOKUP($A948,ALGLIB_SSA_XAUUSD!$J$2:$J$1000,ALGLIB_SSA_XAUUSD!$L$2:$L$1000,"",0)</f>
        <v>M5</v>
      </c>
      <c r="K948">
        <f>_xlfn.XLOOKUP($A948,ALGLIB_SSA_XAUUSD!$J$2:$J$1000,ALGLIB_SSA_XAUUSD!$M$2:$M$1000,"",0)</f>
        <v>4719.0600000000004</v>
      </c>
      <c r="L948">
        <f>_xlfn.XLOOKUP($A948,ALGLIB_SSA_XAUUSD!$J$2:$J$1000,ALGLIB_SSA_XAUUSD!$N$2:$N$1000,"",0)</f>
        <v>4721.5456000000004</v>
      </c>
      <c r="M948">
        <f>_xlfn.XLOOKUP($A948,ALGLIB_SSA_XAUUSD!$J$2:$J$1000,ALGLIB_SSA_XAUUSD!$O$2:$O$1000,"",0)</f>
        <v>4721.9458000000004</v>
      </c>
      <c r="N948">
        <f>_xlfn.XLOOKUP($A948,ALGLIB_SSA_XAUUSD!$J$2:$J$1000,ALGLIB_SSA_XAUUSD!$P$2:$P$1000,"",0)</f>
        <v>4725.0539500000004</v>
      </c>
      <c r="O948">
        <f>_xlfn.XLOOKUP($A948,ALGLIB_SSA_XAUUSD!$J$2:$J$1000,ALGLIB_SSA_XAUUSD!$Q$2:$Q$1000,"",0)</f>
        <v>4720.1426700000002</v>
      </c>
      <c r="R948">
        <f t="shared" si="154"/>
        <v>1775681400</v>
      </c>
      <c r="S948" t="str">
        <f t="shared" si="155"/>
        <v>XAUUSD</v>
      </c>
      <c r="T948" t="str">
        <f t="shared" si="156"/>
        <v>M5</v>
      </c>
      <c r="U948">
        <f t="shared" si="157"/>
        <v>4719.0600000000004</v>
      </c>
      <c r="V948">
        <v>4713.2865199999997</v>
      </c>
      <c r="W948">
        <v>4716.5915400000004</v>
      </c>
      <c r="X948">
        <v>4721.5456000000004</v>
      </c>
      <c r="Y948">
        <v>4721.9458000000004</v>
      </c>
      <c r="Z948">
        <f t="shared" si="158"/>
        <v>4726.4752383333334</v>
      </c>
      <c r="AA948">
        <f t="shared" si="159"/>
        <v>4725.0539500000004</v>
      </c>
      <c r="AB948">
        <f t="shared" si="160"/>
        <v>4702.1866833333333</v>
      </c>
      <c r="AC948">
        <f t="shared" si="161"/>
        <v>4720.1426700000002</v>
      </c>
      <c r="AF948">
        <f t="shared" si="162"/>
        <v>4721.5456000000004</v>
      </c>
      <c r="AG948">
        <f t="shared" si="163"/>
        <v>4726.4752383333334</v>
      </c>
      <c r="AH948">
        <f t="shared" si="164"/>
        <v>4702.1866833333333</v>
      </c>
    </row>
    <row r="949" spans="1:34" x14ac:dyDescent="0.55000000000000004">
      <c r="A949">
        <f>ALGLIB_SSA_XAUUSD!J949</f>
        <v>1775681700</v>
      </c>
      <c r="B949" t="str">
        <f>_xlfn.XLOOKUP($A949,ALGLIB_SSA_XAUUSD!$A$2:$A$1000,ALGLIB_SSA_XAUUSD!$B$2:$B$1000,"",0)</f>
        <v/>
      </c>
      <c r="C949" t="str">
        <f>_xlfn.XLOOKUP($A949,ALGLIB_SSA_XAUUSD!$A$2:$A$1000,ALGLIB_SSA_XAUUSD!$C$2:$C$1000,"",0)</f>
        <v/>
      </c>
      <c r="D949" s="1">
        <f>D938+(D950-D938)*11/12</f>
        <v>4717.833333333333</v>
      </c>
      <c r="E949" s="1">
        <f>E938+(E950-E938)*11/12</f>
        <v>4713.3115716666671</v>
      </c>
      <c r="F949" s="1">
        <f>F938+(F950-F938)*11/12</f>
        <v>4716.3590433333329</v>
      </c>
      <c r="G949" s="1">
        <f>G938+(G950-G938)*11/12</f>
        <v>4726.2754891666673</v>
      </c>
      <c r="H949" s="1">
        <f>H938+(H950-H938)*11/12</f>
        <v>4702.0496366666666</v>
      </c>
      <c r="I949" t="str">
        <f>_xlfn.XLOOKUP($A949,ALGLIB_SSA_XAUUSD!$J$2:$J$1000,ALGLIB_SSA_XAUUSD!$K$2:$K$1000,"",0)</f>
        <v>XAUUSD</v>
      </c>
      <c r="J949" t="str">
        <f>_xlfn.XLOOKUP($A949,ALGLIB_SSA_XAUUSD!$J$2:$J$1000,ALGLIB_SSA_XAUUSD!$L$2:$L$1000,"",0)</f>
        <v>M5</v>
      </c>
      <c r="K949">
        <f>_xlfn.XLOOKUP($A949,ALGLIB_SSA_XAUUSD!$J$2:$J$1000,ALGLIB_SSA_XAUUSD!$M$2:$M$1000,"",0)</f>
        <v>4719.3</v>
      </c>
      <c r="L949">
        <f>_xlfn.XLOOKUP($A949,ALGLIB_SSA_XAUUSD!$J$2:$J$1000,ALGLIB_SSA_XAUUSD!$N$2:$N$1000,"",0)</f>
        <v>4720.80843</v>
      </c>
      <c r="M949">
        <f>_xlfn.XLOOKUP($A949,ALGLIB_SSA_XAUUSD!$J$2:$J$1000,ALGLIB_SSA_XAUUSD!$O$2:$O$1000,"",0)</f>
        <v>4721.3771200000001</v>
      </c>
      <c r="N949">
        <f>_xlfn.XLOOKUP($A949,ALGLIB_SSA_XAUUSD!$J$2:$J$1000,ALGLIB_SSA_XAUUSD!$P$2:$P$1000,"",0)</f>
        <v>4725.23434</v>
      </c>
      <c r="O949">
        <f>_xlfn.XLOOKUP($A949,ALGLIB_SSA_XAUUSD!$J$2:$J$1000,ALGLIB_SSA_XAUUSD!$Q$2:$Q$1000,"",0)</f>
        <v>4718.9312300000001</v>
      </c>
      <c r="R949">
        <f t="shared" si="154"/>
        <v>1775681700</v>
      </c>
      <c r="S949" t="str">
        <f t="shared" si="155"/>
        <v>XAUUSD</v>
      </c>
      <c r="T949" t="str">
        <f t="shared" si="156"/>
        <v>M5</v>
      </c>
      <c r="U949">
        <f t="shared" si="157"/>
        <v>4719.3</v>
      </c>
      <c r="V949">
        <v>4713.3115699999998</v>
      </c>
      <c r="W949">
        <v>4716.3590400000003</v>
      </c>
      <c r="X949">
        <v>4720.80843</v>
      </c>
      <c r="Y949">
        <v>4721.3771200000001</v>
      </c>
      <c r="Z949">
        <f t="shared" si="158"/>
        <v>4726.2754891666673</v>
      </c>
      <c r="AA949">
        <f t="shared" si="159"/>
        <v>4725.23434</v>
      </c>
      <c r="AB949">
        <f t="shared" si="160"/>
        <v>4702.0496366666666</v>
      </c>
      <c r="AC949">
        <f t="shared" si="161"/>
        <v>4718.9312300000001</v>
      </c>
      <c r="AF949">
        <f t="shared" si="162"/>
        <v>4720.80843</v>
      </c>
      <c r="AG949">
        <f t="shared" si="163"/>
        <v>4726.2754891666673</v>
      </c>
      <c r="AH949">
        <f t="shared" si="164"/>
        <v>4702.0496366666666</v>
      </c>
    </row>
    <row r="950" spans="1:34" x14ac:dyDescent="0.55000000000000004">
      <c r="A950">
        <f>ALGLIB_SSA_XAUUSD!J950</f>
        <v>1775685600</v>
      </c>
      <c r="B950" t="str">
        <f>_xlfn.XLOOKUP($A950,ALGLIB_SSA_XAUUSD!$A$2:$A$1000,ALGLIB_SSA_XAUUSD!$B$2:$B$1000,"",0)</f>
        <v>XAUUSD</v>
      </c>
      <c r="C950" t="str">
        <f>_xlfn.XLOOKUP($A950,ALGLIB_SSA_XAUUSD!$A$2:$A$1000,ALGLIB_SSA_XAUUSD!$C$2:$C$1000,"",0)</f>
        <v>H1</v>
      </c>
      <c r="D950" s="2">
        <f>_xlfn.XLOOKUP($A950,ALGLIB_SSA_XAUUSD!$A$2:$A$1000,ALGLIB_SSA_XAUUSD!$D$2:$D$1000,"",0)</f>
        <v>4717.7</v>
      </c>
      <c r="E950" s="2">
        <f>_xlfn.XLOOKUP($A950,ALGLIB_SSA_XAUUSD!$A$2:$A$1000,ALGLIB_SSA_XAUUSD!$E$2:$E$1000,"",0)</f>
        <v>4713.33662</v>
      </c>
      <c r="F950" s="2">
        <f>_xlfn.XLOOKUP($A950,ALGLIB_SSA_XAUUSD!$A$2:$A$1000,ALGLIB_SSA_XAUUSD!$F$2:$F$1000,"",0)</f>
        <v>4716.12655</v>
      </c>
      <c r="G950" s="2">
        <f>_xlfn.XLOOKUP($A950,ALGLIB_SSA_XAUUSD!$A$2:$A$1000,ALGLIB_SSA_XAUUSD!$G$2:$G$1000,"",0)</f>
        <v>4726.0757400000002</v>
      </c>
      <c r="H950" s="2">
        <f>_xlfn.XLOOKUP($A950,ALGLIB_SSA_XAUUSD!$A$2:$A$1000,ALGLIB_SSA_XAUUSD!$H$2:$H$1000,"",0)</f>
        <v>4701.9125899999999</v>
      </c>
      <c r="I950" t="str">
        <f>_xlfn.XLOOKUP($A950,ALGLIB_SSA_XAUUSD!$J$2:$J$1000,ALGLIB_SSA_XAUUSD!$K$2:$K$1000,"",0)</f>
        <v>XAUUSD</v>
      </c>
      <c r="J950" t="str">
        <f>_xlfn.XLOOKUP($A950,ALGLIB_SSA_XAUUSD!$J$2:$J$1000,ALGLIB_SSA_XAUUSD!$L$2:$L$1000,"",0)</f>
        <v>M5</v>
      </c>
      <c r="K950">
        <f>_xlfn.XLOOKUP($A950,ALGLIB_SSA_XAUUSD!$J$2:$J$1000,ALGLIB_SSA_XAUUSD!$M$2:$M$1000,"",0)</f>
        <v>4727.51</v>
      </c>
      <c r="L950">
        <f>_xlfn.XLOOKUP($A950,ALGLIB_SSA_XAUUSD!$J$2:$J$1000,ALGLIB_SSA_XAUUSD!$N$2:$N$1000,"",0)</f>
        <v>4719.7038499999999</v>
      </c>
      <c r="M950">
        <f>_xlfn.XLOOKUP($A950,ALGLIB_SSA_XAUUSD!$J$2:$J$1000,ALGLIB_SSA_XAUUSD!$O$2:$O$1000,"",0)</f>
        <v>4720.5404799999997</v>
      </c>
      <c r="N950">
        <f>_xlfn.XLOOKUP($A950,ALGLIB_SSA_XAUUSD!$J$2:$J$1000,ALGLIB_SSA_XAUUSD!$P$2:$P$1000,"",0)</f>
        <v>4724.9138300000004</v>
      </c>
      <c r="O950">
        <f>_xlfn.XLOOKUP($A950,ALGLIB_SSA_XAUUSD!$J$2:$J$1000,ALGLIB_SSA_XAUUSD!$Q$2:$Q$1000,"",0)</f>
        <v>4717.1239500000001</v>
      </c>
      <c r="R950">
        <f t="shared" si="154"/>
        <v>1775685600</v>
      </c>
      <c r="S950" t="str">
        <f t="shared" si="155"/>
        <v>XAUUSD</v>
      </c>
      <c r="T950" t="str">
        <f t="shared" si="156"/>
        <v>M5</v>
      </c>
      <c r="U950">
        <f t="shared" si="157"/>
        <v>4727.51</v>
      </c>
      <c r="V950">
        <v>4713.33662</v>
      </c>
      <c r="W950">
        <v>4716.12655</v>
      </c>
      <c r="X950">
        <v>4719.7038499999999</v>
      </c>
      <c r="Y950">
        <v>4720.5404799999997</v>
      </c>
      <c r="Z950">
        <f t="shared" si="158"/>
        <v>4726.0757400000002</v>
      </c>
      <c r="AA950">
        <f t="shared" si="159"/>
        <v>4724.9138300000004</v>
      </c>
      <c r="AB950">
        <f t="shared" si="160"/>
        <v>4701.9125899999999</v>
      </c>
      <c r="AC950">
        <f t="shared" si="161"/>
        <v>4717.1239500000001</v>
      </c>
      <c r="AF950">
        <f t="shared" si="162"/>
        <v>4719.7038499999999</v>
      </c>
      <c r="AG950">
        <f t="shared" si="163"/>
        <v>4726.0757400000002</v>
      </c>
      <c r="AH950">
        <f t="shared" si="164"/>
        <v>4701.9125899999999</v>
      </c>
    </row>
    <row r="951" spans="1:34" x14ac:dyDescent="0.55000000000000004">
      <c r="A951">
        <f>ALGLIB_SSA_XAUUSD!J951</f>
        <v>1775685900</v>
      </c>
      <c r="B951" t="str">
        <f>_xlfn.XLOOKUP($A951,ALGLIB_SSA_XAUUSD!$A$2:$A$1000,ALGLIB_SSA_XAUUSD!$B$2:$B$1000,"",0)</f>
        <v/>
      </c>
      <c r="C951" t="str">
        <f>_xlfn.XLOOKUP($A951,ALGLIB_SSA_XAUUSD!$A$2:$A$1000,ALGLIB_SSA_XAUUSD!$C$2:$C$1000,"",0)</f>
        <v/>
      </c>
      <c r="D951" s="1">
        <f>D950+(D962-D950)*1/12</f>
        <v>4717.53</v>
      </c>
      <c r="E951" s="1">
        <f>E950+(E962-E950)*1/12</f>
        <v>4713.5861008333331</v>
      </c>
      <c r="F951" s="1">
        <f>F950+(F962-F950)*1/12</f>
        <v>4716.1350433333337</v>
      </c>
      <c r="G951" s="1">
        <f>G950+(G962-G950)*1/12</f>
        <v>4726.0405441666671</v>
      </c>
      <c r="H951" s="1">
        <f>H950+(H962-H950)*1/12</f>
        <v>4701.9991816666661</v>
      </c>
      <c r="I951" t="str">
        <f>_xlfn.XLOOKUP($A951,ALGLIB_SSA_XAUUSD!$J$2:$J$1000,ALGLIB_SSA_XAUUSD!$K$2:$K$1000,"",0)</f>
        <v>XAUUSD</v>
      </c>
      <c r="J951" t="str">
        <f>_xlfn.XLOOKUP($A951,ALGLIB_SSA_XAUUSD!$J$2:$J$1000,ALGLIB_SSA_XAUUSD!$L$2:$L$1000,"",0)</f>
        <v>M5</v>
      </c>
      <c r="K951">
        <f>_xlfn.XLOOKUP($A951,ALGLIB_SSA_XAUUSD!$J$2:$J$1000,ALGLIB_SSA_XAUUSD!$M$2:$M$1000,"",0)</f>
        <v>4722.29</v>
      </c>
      <c r="L951">
        <f>_xlfn.XLOOKUP($A951,ALGLIB_SSA_XAUUSD!$J$2:$J$1000,ALGLIB_SSA_XAUUSD!$N$2:$N$1000,"",0)</f>
        <v>4718.08518</v>
      </c>
      <c r="M951">
        <f>_xlfn.XLOOKUP($A951,ALGLIB_SSA_XAUUSD!$J$2:$J$1000,ALGLIB_SSA_XAUUSD!$O$2:$O$1000,"",0)</f>
        <v>4719.3128299999998</v>
      </c>
      <c r="N951">
        <f>_xlfn.XLOOKUP($A951,ALGLIB_SSA_XAUUSD!$J$2:$J$1000,ALGLIB_SSA_XAUUSD!$P$2:$P$1000,"",0)</f>
        <v>4723.7262600000004</v>
      </c>
      <c r="O951">
        <f>_xlfn.XLOOKUP($A951,ALGLIB_SSA_XAUUSD!$J$2:$J$1000,ALGLIB_SSA_XAUUSD!$Q$2:$Q$1000,"",0)</f>
        <v>4714.7631000000001</v>
      </c>
      <c r="R951">
        <f t="shared" si="154"/>
        <v>1775685900</v>
      </c>
      <c r="S951" t="str">
        <f t="shared" si="155"/>
        <v>XAUUSD</v>
      </c>
      <c r="T951" t="str">
        <f t="shared" si="156"/>
        <v>M5</v>
      </c>
      <c r="U951">
        <f t="shared" si="157"/>
        <v>4722.29</v>
      </c>
      <c r="V951">
        <v>4713.5861000000004</v>
      </c>
      <c r="W951">
        <v>4716.1350400000001</v>
      </c>
      <c r="X951">
        <v>4718.08518</v>
      </c>
      <c r="Y951">
        <v>4719.3128299999998</v>
      </c>
      <c r="Z951">
        <f t="shared" si="158"/>
        <v>4726.0405441666671</v>
      </c>
      <c r="AA951">
        <f t="shared" si="159"/>
        <v>4723.7262600000004</v>
      </c>
      <c r="AB951">
        <f t="shared" si="160"/>
        <v>4701.9991816666661</v>
      </c>
      <c r="AC951">
        <f t="shared" si="161"/>
        <v>4714.7631000000001</v>
      </c>
      <c r="AF951">
        <f t="shared" si="162"/>
        <v>4718.08518</v>
      </c>
      <c r="AG951">
        <f t="shared" si="163"/>
        <v>4726.0405441666671</v>
      </c>
      <c r="AH951">
        <f t="shared" si="164"/>
        <v>4701.9991816666661</v>
      </c>
    </row>
    <row r="952" spans="1:34" x14ac:dyDescent="0.55000000000000004">
      <c r="A952">
        <f>ALGLIB_SSA_XAUUSD!J952</f>
        <v>1775686200</v>
      </c>
      <c r="B952" t="str">
        <f>_xlfn.XLOOKUP($A952,ALGLIB_SSA_XAUUSD!$A$2:$A$1000,ALGLIB_SSA_XAUUSD!$B$2:$B$1000,"",0)</f>
        <v/>
      </c>
      <c r="C952" t="str">
        <f>_xlfn.XLOOKUP($A952,ALGLIB_SSA_XAUUSD!$A$2:$A$1000,ALGLIB_SSA_XAUUSD!$C$2:$C$1000,"",0)</f>
        <v/>
      </c>
      <c r="D952" s="1">
        <f>D950+(D962-D950)*2/12</f>
        <v>4717.3599999999997</v>
      </c>
      <c r="E952" s="1">
        <f>E950+(E962-E950)*2/12</f>
        <v>4713.8355816666663</v>
      </c>
      <c r="F952" s="1">
        <f>F950+(F962-F950)*2/12</f>
        <v>4716.1435366666665</v>
      </c>
      <c r="G952" s="1">
        <f>G950+(G962-G950)*2/12</f>
        <v>4726.005348333334</v>
      </c>
      <c r="H952" s="1">
        <f>H950+(H962-H950)*2/12</f>
        <v>4702.0857733333332</v>
      </c>
      <c r="I952" t="str">
        <f>_xlfn.XLOOKUP($A952,ALGLIB_SSA_XAUUSD!$J$2:$J$1000,ALGLIB_SSA_XAUUSD!$K$2:$K$1000,"",0)</f>
        <v>XAUUSD</v>
      </c>
      <c r="J952" t="str">
        <f>_xlfn.XLOOKUP($A952,ALGLIB_SSA_XAUUSD!$J$2:$J$1000,ALGLIB_SSA_XAUUSD!$L$2:$L$1000,"",0)</f>
        <v>M5</v>
      </c>
      <c r="K952">
        <f>_xlfn.XLOOKUP($A952,ALGLIB_SSA_XAUUSD!$J$2:$J$1000,ALGLIB_SSA_XAUUSD!$M$2:$M$1000,"",0)</f>
        <v>4711.97</v>
      </c>
      <c r="L952">
        <f>_xlfn.XLOOKUP($A952,ALGLIB_SSA_XAUUSD!$J$2:$J$1000,ALGLIB_SSA_XAUUSD!$N$2:$N$1000,"",0)</f>
        <v>4716.2950099999998</v>
      </c>
      <c r="M952">
        <f>_xlfn.XLOOKUP($A952,ALGLIB_SSA_XAUUSD!$J$2:$J$1000,ALGLIB_SSA_XAUUSD!$O$2:$O$1000,"",0)</f>
        <v>4717.8039200000003</v>
      </c>
      <c r="N952">
        <f>_xlfn.XLOOKUP($A952,ALGLIB_SSA_XAUUSD!$J$2:$J$1000,ALGLIB_SSA_XAUUSD!$P$2:$P$1000,"",0)</f>
        <v>4721.8775400000004</v>
      </c>
      <c r="O952">
        <f>_xlfn.XLOOKUP($A952,ALGLIB_SSA_XAUUSD!$J$2:$J$1000,ALGLIB_SSA_XAUUSD!$Q$2:$Q$1000,"",0)</f>
        <v>4712.1874200000002</v>
      </c>
      <c r="R952">
        <f t="shared" si="154"/>
        <v>1775686200</v>
      </c>
      <c r="S952" t="str">
        <f t="shared" si="155"/>
        <v>XAUUSD</v>
      </c>
      <c r="T952" t="str">
        <f t="shared" si="156"/>
        <v>M5</v>
      </c>
      <c r="U952">
        <f t="shared" si="157"/>
        <v>4711.97</v>
      </c>
      <c r="V952">
        <v>4713.8355799999999</v>
      </c>
      <c r="W952">
        <v>4716.14354</v>
      </c>
      <c r="X952">
        <v>4716.2950099999998</v>
      </c>
      <c r="Y952">
        <v>4717.8039200000003</v>
      </c>
      <c r="Z952">
        <f t="shared" si="158"/>
        <v>4726.005348333334</v>
      </c>
      <c r="AA952">
        <f t="shared" si="159"/>
        <v>4721.8775400000004</v>
      </c>
      <c r="AB952">
        <f t="shared" si="160"/>
        <v>4702.0857733333332</v>
      </c>
      <c r="AC952">
        <f t="shared" si="161"/>
        <v>4712.1874200000002</v>
      </c>
      <c r="AF952">
        <f t="shared" si="162"/>
        <v>4716.2950099999998</v>
      </c>
      <c r="AG952">
        <f t="shared" si="163"/>
        <v>4726.005348333334</v>
      </c>
      <c r="AH952">
        <f t="shared" si="164"/>
        <v>4702.0857733333332</v>
      </c>
    </row>
    <row r="953" spans="1:34" x14ac:dyDescent="0.55000000000000004">
      <c r="A953">
        <f>ALGLIB_SSA_XAUUSD!J953</f>
        <v>1775686500</v>
      </c>
      <c r="B953" t="str">
        <f>_xlfn.XLOOKUP($A953,ALGLIB_SSA_XAUUSD!$A$2:$A$1000,ALGLIB_SSA_XAUUSD!$B$2:$B$1000,"",0)</f>
        <v/>
      </c>
      <c r="C953" t="str">
        <f>_xlfn.XLOOKUP($A953,ALGLIB_SSA_XAUUSD!$A$2:$A$1000,ALGLIB_SSA_XAUUSD!$C$2:$C$1000,"",0)</f>
        <v/>
      </c>
      <c r="D953" s="1">
        <f>D950+(D962-D950)*3/12</f>
        <v>4717.1899999999996</v>
      </c>
      <c r="E953" s="1">
        <f>E950+(E962-E950)*3/12</f>
        <v>4714.0850625000003</v>
      </c>
      <c r="F953" s="1">
        <f>F950+(F962-F950)*3/12</f>
        <v>4716.1520300000002</v>
      </c>
      <c r="G953" s="1">
        <f>G950+(G962-G950)*3/12</f>
        <v>4725.9701525</v>
      </c>
      <c r="H953" s="1">
        <f>H950+(H962-H950)*3/12</f>
        <v>4702.1723650000004</v>
      </c>
      <c r="I953" t="str">
        <f>_xlfn.XLOOKUP($A953,ALGLIB_SSA_XAUUSD!$J$2:$J$1000,ALGLIB_SSA_XAUUSD!$K$2:$K$1000,"",0)</f>
        <v>XAUUSD</v>
      </c>
      <c r="J953" t="str">
        <f>_xlfn.XLOOKUP($A953,ALGLIB_SSA_XAUUSD!$J$2:$J$1000,ALGLIB_SSA_XAUUSD!$L$2:$L$1000,"",0)</f>
        <v>M5</v>
      </c>
      <c r="K953">
        <f>_xlfn.XLOOKUP($A953,ALGLIB_SSA_XAUUSD!$J$2:$J$1000,ALGLIB_SSA_XAUUSD!$M$2:$M$1000,"",0)</f>
        <v>4711.67</v>
      </c>
      <c r="L953">
        <f>_xlfn.XLOOKUP($A953,ALGLIB_SSA_XAUUSD!$J$2:$J$1000,ALGLIB_SSA_XAUUSD!$N$2:$N$1000,"",0)</f>
        <v>4714.8555699999997</v>
      </c>
      <c r="M953">
        <f>_xlfn.XLOOKUP($A953,ALGLIB_SSA_XAUUSD!$J$2:$J$1000,ALGLIB_SSA_XAUUSD!$O$2:$O$1000,"",0)</f>
        <v>4716.3297499999999</v>
      </c>
      <c r="N953">
        <f>_xlfn.XLOOKUP($A953,ALGLIB_SSA_XAUUSD!$J$2:$J$1000,ALGLIB_SSA_XAUUSD!$P$2:$P$1000,"",0)</f>
        <v>4719.81149</v>
      </c>
      <c r="O953">
        <f>_xlfn.XLOOKUP($A953,ALGLIB_SSA_XAUUSD!$J$2:$J$1000,ALGLIB_SSA_XAUUSD!$Q$2:$Q$1000,"",0)</f>
        <v>4710.0498799999996</v>
      </c>
      <c r="R953">
        <f t="shared" si="154"/>
        <v>1775686500</v>
      </c>
      <c r="S953" t="str">
        <f t="shared" si="155"/>
        <v>XAUUSD</v>
      </c>
      <c r="T953" t="str">
        <f t="shared" si="156"/>
        <v>M5</v>
      </c>
      <c r="U953">
        <f t="shared" si="157"/>
        <v>4711.67</v>
      </c>
      <c r="V953">
        <v>4714.0850600000003</v>
      </c>
      <c r="W953">
        <v>4716.1520300000002</v>
      </c>
      <c r="X953">
        <v>4714.8555699999997</v>
      </c>
      <c r="Y953">
        <v>4716.3297499999999</v>
      </c>
      <c r="Z953">
        <f t="shared" si="158"/>
        <v>4725.9701525</v>
      </c>
      <c r="AA953">
        <f t="shared" si="159"/>
        <v>4719.81149</v>
      </c>
      <c r="AB953">
        <f t="shared" si="160"/>
        <v>4702.1723650000004</v>
      </c>
      <c r="AC953">
        <f t="shared" si="161"/>
        <v>4710.0498799999996</v>
      </c>
      <c r="AF953">
        <f t="shared" si="162"/>
        <v>4714.8555699999997</v>
      </c>
      <c r="AG953">
        <f t="shared" si="163"/>
        <v>4725.9701525</v>
      </c>
      <c r="AH953">
        <f t="shared" si="164"/>
        <v>4702.1723650000004</v>
      </c>
    </row>
    <row r="954" spans="1:34" x14ac:dyDescent="0.55000000000000004">
      <c r="A954">
        <f>ALGLIB_SSA_XAUUSD!J954</f>
        <v>1775686800</v>
      </c>
      <c r="B954" t="str">
        <f>_xlfn.XLOOKUP($A954,ALGLIB_SSA_XAUUSD!$A$2:$A$1000,ALGLIB_SSA_XAUUSD!$B$2:$B$1000,"",0)</f>
        <v/>
      </c>
      <c r="C954" t="str">
        <f>_xlfn.XLOOKUP($A954,ALGLIB_SSA_XAUUSD!$A$2:$A$1000,ALGLIB_SSA_XAUUSD!$C$2:$C$1000,"",0)</f>
        <v/>
      </c>
      <c r="D954" s="1">
        <f>D950+(D962-D950)*4/12</f>
        <v>4717.0199999999995</v>
      </c>
      <c r="E954" s="1">
        <f>E950+(E962-E950)*4/12</f>
        <v>4714.3345433333334</v>
      </c>
      <c r="F954" s="1">
        <f>F950+(F962-F950)*4/12</f>
        <v>4716.160523333333</v>
      </c>
      <c r="G954" s="1">
        <f>G950+(G962-G950)*4/12</f>
        <v>4725.9349566666669</v>
      </c>
      <c r="H954" s="1">
        <f>H950+(H962-H950)*4/12</f>
        <v>4702.2589566666666</v>
      </c>
      <c r="I954" t="str">
        <f>_xlfn.XLOOKUP($A954,ALGLIB_SSA_XAUUSD!$J$2:$J$1000,ALGLIB_SSA_XAUUSD!$K$2:$K$1000,"",0)</f>
        <v>XAUUSD</v>
      </c>
      <c r="J954" t="str">
        <f>_xlfn.XLOOKUP($A954,ALGLIB_SSA_XAUUSD!$J$2:$J$1000,ALGLIB_SSA_XAUUSD!$L$2:$L$1000,"",0)</f>
        <v>M5</v>
      </c>
      <c r="K954">
        <f>_xlfn.XLOOKUP($A954,ALGLIB_SSA_XAUUSD!$J$2:$J$1000,ALGLIB_SSA_XAUUSD!$M$2:$M$1000,"",0)</f>
        <v>4712.42</v>
      </c>
      <c r="L954">
        <f>_xlfn.XLOOKUP($A954,ALGLIB_SSA_XAUUSD!$J$2:$J$1000,ALGLIB_SSA_XAUUSD!$N$2:$N$1000,"",0)</f>
        <v>4713.9761200000003</v>
      </c>
      <c r="M954">
        <f>_xlfn.XLOOKUP($A954,ALGLIB_SSA_XAUUSD!$J$2:$J$1000,ALGLIB_SSA_XAUUSD!$O$2:$O$1000,"",0)</f>
        <v>4715.1529300000002</v>
      </c>
      <c r="N954">
        <f>_xlfn.XLOOKUP($A954,ALGLIB_SSA_XAUUSD!$J$2:$J$1000,ALGLIB_SSA_XAUUSD!$P$2:$P$1000,"",0)</f>
        <v>4718.02999</v>
      </c>
      <c r="O954">
        <f>_xlfn.XLOOKUP($A954,ALGLIB_SSA_XAUUSD!$J$2:$J$1000,ALGLIB_SSA_XAUUSD!$Q$2:$Q$1000,"",0)</f>
        <v>4708.6918100000003</v>
      </c>
      <c r="R954">
        <f t="shared" si="154"/>
        <v>1775686800</v>
      </c>
      <c r="S954" t="str">
        <f t="shared" si="155"/>
        <v>XAUUSD</v>
      </c>
      <c r="T954" t="str">
        <f t="shared" si="156"/>
        <v>M5</v>
      </c>
      <c r="U954">
        <f t="shared" si="157"/>
        <v>4712.42</v>
      </c>
      <c r="V954">
        <v>4714.3345399999998</v>
      </c>
      <c r="W954">
        <v>4716.1605200000004</v>
      </c>
      <c r="X954">
        <v>4713.9761200000003</v>
      </c>
      <c r="Y954">
        <v>4715.1529300000002</v>
      </c>
      <c r="Z954">
        <f t="shared" si="158"/>
        <v>4725.9349566666669</v>
      </c>
      <c r="AA954">
        <f t="shared" si="159"/>
        <v>4718.02999</v>
      </c>
      <c r="AB954">
        <f t="shared" si="160"/>
        <v>4702.2589566666666</v>
      </c>
      <c r="AC954">
        <f t="shared" si="161"/>
        <v>4708.6918100000003</v>
      </c>
      <c r="AF954">
        <f t="shared" si="162"/>
        <v>4713.9761200000003</v>
      </c>
      <c r="AG954">
        <f t="shared" si="163"/>
        <v>4725.9349566666669</v>
      </c>
      <c r="AH954">
        <f t="shared" si="164"/>
        <v>4702.2589566666666</v>
      </c>
    </row>
    <row r="955" spans="1:34" x14ac:dyDescent="0.55000000000000004">
      <c r="A955">
        <f>ALGLIB_SSA_XAUUSD!J955</f>
        <v>1775687100</v>
      </c>
      <c r="B955" t="str">
        <f>_xlfn.XLOOKUP($A955,ALGLIB_SSA_XAUUSD!$A$2:$A$1000,ALGLIB_SSA_XAUUSD!$B$2:$B$1000,"",0)</f>
        <v/>
      </c>
      <c r="C955" t="str">
        <f>_xlfn.XLOOKUP($A955,ALGLIB_SSA_XAUUSD!$A$2:$A$1000,ALGLIB_SSA_XAUUSD!$C$2:$C$1000,"",0)</f>
        <v/>
      </c>
      <c r="D955" s="1">
        <f>D950+(D962-D950)*5/12</f>
        <v>4716.8499999999995</v>
      </c>
      <c r="E955" s="1">
        <f>E950+(E962-E950)*5/12</f>
        <v>4714.5840241666665</v>
      </c>
      <c r="F955" s="1">
        <f>F950+(F962-F950)*5/12</f>
        <v>4716.1690166666667</v>
      </c>
      <c r="G955" s="1">
        <f>G950+(G962-G950)*5/12</f>
        <v>4725.8997608333339</v>
      </c>
      <c r="H955" s="1">
        <f>H950+(H962-H950)*5/12</f>
        <v>4702.3455483333328</v>
      </c>
      <c r="I955" t="str">
        <f>_xlfn.XLOOKUP($A955,ALGLIB_SSA_XAUUSD!$J$2:$J$1000,ALGLIB_SSA_XAUUSD!$K$2:$K$1000,"",0)</f>
        <v>XAUUSD</v>
      </c>
      <c r="J955" t="str">
        <f>_xlfn.XLOOKUP($A955,ALGLIB_SSA_XAUUSD!$J$2:$J$1000,ALGLIB_SSA_XAUUSD!$L$2:$L$1000,"",0)</f>
        <v>M5</v>
      </c>
      <c r="K955">
        <f>_xlfn.XLOOKUP($A955,ALGLIB_SSA_XAUUSD!$J$2:$J$1000,ALGLIB_SSA_XAUUSD!$M$2:$M$1000,"",0)</f>
        <v>4713.3100000000004</v>
      </c>
      <c r="L955">
        <f>_xlfn.XLOOKUP($A955,ALGLIB_SSA_XAUUSD!$J$2:$J$1000,ALGLIB_SSA_XAUUSD!$N$2:$N$1000,"",0)</f>
        <v>4713.7100899999996</v>
      </c>
      <c r="M955">
        <f>_xlfn.XLOOKUP($A955,ALGLIB_SSA_XAUUSD!$J$2:$J$1000,ALGLIB_SSA_XAUUSD!$O$2:$O$1000,"",0)</f>
        <v>4714.4315100000003</v>
      </c>
      <c r="N955">
        <f>_xlfn.XLOOKUP($A955,ALGLIB_SSA_XAUUSD!$J$2:$J$1000,ALGLIB_SSA_XAUUSD!$P$2:$P$1000,"",0)</f>
        <v>4716.9073799999996</v>
      </c>
      <c r="O955">
        <f>_xlfn.XLOOKUP($A955,ALGLIB_SSA_XAUUSD!$J$2:$J$1000,ALGLIB_SSA_XAUUSD!$Q$2:$Q$1000,"",0)</f>
        <v>4708.3400199999996</v>
      </c>
      <c r="R955">
        <f t="shared" si="154"/>
        <v>1775687100</v>
      </c>
      <c r="S955" t="str">
        <f t="shared" si="155"/>
        <v>XAUUSD</v>
      </c>
      <c r="T955" t="str">
        <f t="shared" si="156"/>
        <v>M5</v>
      </c>
      <c r="U955">
        <f t="shared" si="157"/>
        <v>4713.3100000000004</v>
      </c>
      <c r="V955">
        <v>4714.5840200000002</v>
      </c>
      <c r="W955">
        <v>4716.1690200000003</v>
      </c>
      <c r="X955">
        <v>4713.7100899999996</v>
      </c>
      <c r="Y955">
        <v>4714.4315100000003</v>
      </c>
      <c r="Z955">
        <f t="shared" si="158"/>
        <v>4725.8997608333339</v>
      </c>
      <c r="AA955">
        <f t="shared" si="159"/>
        <v>4716.9073799999996</v>
      </c>
      <c r="AB955">
        <f t="shared" si="160"/>
        <v>4702.3455483333328</v>
      </c>
      <c r="AC955">
        <f t="shared" si="161"/>
        <v>4708.3400199999996</v>
      </c>
      <c r="AF955">
        <f t="shared" si="162"/>
        <v>4713.7100899999996</v>
      </c>
      <c r="AG955">
        <f t="shared" si="163"/>
        <v>4725.8997608333339</v>
      </c>
      <c r="AH955">
        <f t="shared" si="164"/>
        <v>4702.3455483333328</v>
      </c>
    </row>
    <row r="956" spans="1:34" x14ac:dyDescent="0.55000000000000004">
      <c r="A956">
        <f>ALGLIB_SSA_XAUUSD!J956</f>
        <v>1775687400</v>
      </c>
      <c r="B956" t="str">
        <f>_xlfn.XLOOKUP($A956,ALGLIB_SSA_XAUUSD!$A$2:$A$1000,ALGLIB_SSA_XAUUSD!$B$2:$B$1000,"",0)</f>
        <v/>
      </c>
      <c r="C956" t="str">
        <f>_xlfn.XLOOKUP($A956,ALGLIB_SSA_XAUUSD!$A$2:$A$1000,ALGLIB_SSA_XAUUSD!$C$2:$C$1000,"",0)</f>
        <v/>
      </c>
      <c r="D956" s="1">
        <f>D950+(D962-D950)*6/12</f>
        <v>4716.68</v>
      </c>
      <c r="E956" s="1">
        <f>E950+(E962-E950)*6/12</f>
        <v>4714.8335050000005</v>
      </c>
      <c r="F956" s="1">
        <f>F950+(F962-F950)*6/12</f>
        <v>4716.1775099999995</v>
      </c>
      <c r="G956" s="1">
        <f>G950+(G962-G950)*6/12</f>
        <v>4725.8645649999999</v>
      </c>
      <c r="H956" s="1">
        <f>H950+(H962-H950)*6/12</f>
        <v>4702.4321399999999</v>
      </c>
      <c r="I956" t="str">
        <f>_xlfn.XLOOKUP($A956,ALGLIB_SSA_XAUUSD!$J$2:$J$1000,ALGLIB_SSA_XAUUSD!$K$2:$K$1000,"",0)</f>
        <v>XAUUSD</v>
      </c>
      <c r="J956" t="str">
        <f>_xlfn.XLOOKUP($A956,ALGLIB_SSA_XAUUSD!$J$2:$J$1000,ALGLIB_SSA_XAUUSD!$L$2:$L$1000,"",0)</f>
        <v>M5</v>
      </c>
      <c r="K956">
        <f>_xlfn.XLOOKUP($A956,ALGLIB_SSA_XAUUSD!$J$2:$J$1000,ALGLIB_SSA_XAUUSD!$M$2:$M$1000,"",0)</f>
        <v>4716.7</v>
      </c>
      <c r="L956">
        <f>_xlfn.XLOOKUP($A956,ALGLIB_SSA_XAUUSD!$J$2:$J$1000,ALGLIB_SSA_XAUUSD!$N$2:$N$1000,"",0)</f>
        <v>4713.95046</v>
      </c>
      <c r="M956">
        <f>_xlfn.XLOOKUP($A956,ALGLIB_SSA_XAUUSD!$J$2:$J$1000,ALGLIB_SSA_XAUUSD!$O$2:$O$1000,"",0)</f>
        <v>4714.1909900000001</v>
      </c>
      <c r="N956">
        <f>_xlfn.XLOOKUP($A956,ALGLIB_SSA_XAUUSD!$J$2:$J$1000,ALGLIB_SSA_XAUUSD!$P$2:$P$1000,"",0)</f>
        <v>4716.5631899999998</v>
      </c>
      <c r="O956">
        <f>_xlfn.XLOOKUP($A956,ALGLIB_SSA_XAUUSD!$J$2:$J$1000,ALGLIB_SSA_XAUUSD!$Q$2:$Q$1000,"",0)</f>
        <v>4708.80483</v>
      </c>
      <c r="R956">
        <f t="shared" si="154"/>
        <v>1775687400</v>
      </c>
      <c r="S956" t="str">
        <f t="shared" si="155"/>
        <v>XAUUSD</v>
      </c>
      <c r="T956" t="str">
        <f t="shared" si="156"/>
        <v>M5</v>
      </c>
      <c r="U956">
        <f t="shared" si="157"/>
        <v>4716.7</v>
      </c>
      <c r="V956">
        <v>4714.8335100000004</v>
      </c>
      <c r="W956">
        <v>4716.1775100000004</v>
      </c>
      <c r="X956">
        <v>4713.95046</v>
      </c>
      <c r="Y956">
        <v>4714.1909900000001</v>
      </c>
      <c r="Z956">
        <f t="shared" si="158"/>
        <v>4725.8645649999999</v>
      </c>
      <c r="AA956">
        <f t="shared" si="159"/>
        <v>4716.5631899999998</v>
      </c>
      <c r="AB956">
        <f t="shared" si="160"/>
        <v>4702.4321399999999</v>
      </c>
      <c r="AC956">
        <f t="shared" si="161"/>
        <v>4708.80483</v>
      </c>
      <c r="AF956">
        <f t="shared" si="162"/>
        <v>4713.95046</v>
      </c>
      <c r="AG956">
        <f t="shared" si="163"/>
        <v>4725.8645649999999</v>
      </c>
      <c r="AH956">
        <f t="shared" si="164"/>
        <v>4702.4321399999999</v>
      </c>
    </row>
    <row r="957" spans="1:34" x14ac:dyDescent="0.55000000000000004">
      <c r="A957">
        <f>ALGLIB_SSA_XAUUSD!J957</f>
        <v>1775687700</v>
      </c>
      <c r="B957" t="str">
        <f>_xlfn.XLOOKUP($A957,ALGLIB_SSA_XAUUSD!$A$2:$A$1000,ALGLIB_SSA_XAUUSD!$B$2:$B$1000,"",0)</f>
        <v/>
      </c>
      <c r="C957" t="str">
        <f>_xlfn.XLOOKUP($A957,ALGLIB_SSA_XAUUSD!$A$2:$A$1000,ALGLIB_SSA_XAUUSD!$C$2:$C$1000,"",0)</f>
        <v/>
      </c>
      <c r="D957" s="1">
        <f>D950+(D962-D950)*7/12</f>
        <v>4716.51</v>
      </c>
      <c r="E957" s="1">
        <f>E950+(E962-E950)*7/12</f>
        <v>4715.0829858333336</v>
      </c>
      <c r="F957" s="1">
        <f>F950+(F962-F950)*7/12</f>
        <v>4716.1860033333332</v>
      </c>
      <c r="G957" s="1">
        <f>G950+(G962-G950)*7/12</f>
        <v>4725.8293691666668</v>
      </c>
      <c r="H957" s="1">
        <f>H950+(H962-H950)*7/12</f>
        <v>4702.518731666667</v>
      </c>
      <c r="I957" t="str">
        <f>_xlfn.XLOOKUP($A957,ALGLIB_SSA_XAUUSD!$J$2:$J$1000,ALGLIB_SSA_XAUUSD!$K$2:$K$1000,"",0)</f>
        <v>XAUUSD</v>
      </c>
      <c r="J957" t="str">
        <f>_xlfn.XLOOKUP($A957,ALGLIB_SSA_XAUUSD!$J$2:$J$1000,ALGLIB_SSA_XAUUSD!$L$2:$L$1000,"",0)</f>
        <v>M5</v>
      </c>
      <c r="K957">
        <f>_xlfn.XLOOKUP($A957,ALGLIB_SSA_XAUUSD!$J$2:$J$1000,ALGLIB_SSA_XAUUSD!$M$2:$M$1000,"",0)</f>
        <v>4713.54</v>
      </c>
      <c r="L957">
        <f>_xlfn.XLOOKUP($A957,ALGLIB_SSA_XAUUSD!$J$2:$J$1000,ALGLIB_SSA_XAUUSD!$N$2:$N$1000,"",0)</f>
        <v>4714.3981999999996</v>
      </c>
      <c r="M957">
        <f>_xlfn.XLOOKUP($A957,ALGLIB_SSA_XAUUSD!$J$2:$J$1000,ALGLIB_SSA_XAUUSD!$O$2:$O$1000,"",0)</f>
        <v>4714.2945900000004</v>
      </c>
      <c r="N957">
        <f>_xlfn.XLOOKUP($A957,ALGLIB_SSA_XAUUSD!$J$2:$J$1000,ALGLIB_SSA_XAUUSD!$P$2:$P$1000,"",0)</f>
        <v>4716.7896600000004</v>
      </c>
      <c r="O957">
        <f>_xlfn.XLOOKUP($A957,ALGLIB_SSA_XAUUSD!$J$2:$J$1000,ALGLIB_SSA_XAUUSD!$Q$2:$Q$1000,"",0)</f>
        <v>4709.8871200000003</v>
      </c>
      <c r="R957">
        <f t="shared" si="154"/>
        <v>1775687700</v>
      </c>
      <c r="S957" t="str">
        <f t="shared" si="155"/>
        <v>XAUUSD</v>
      </c>
      <c r="T957" t="str">
        <f t="shared" si="156"/>
        <v>M5</v>
      </c>
      <c r="U957">
        <f t="shared" si="157"/>
        <v>4713.54</v>
      </c>
      <c r="V957">
        <v>4715.0829899999999</v>
      </c>
      <c r="W957">
        <v>4716.1859999999997</v>
      </c>
      <c r="X957">
        <v>4714.3981999999996</v>
      </c>
      <c r="Y957">
        <v>4714.2945900000004</v>
      </c>
      <c r="Z957">
        <f t="shared" si="158"/>
        <v>4725.8293691666668</v>
      </c>
      <c r="AA957">
        <f t="shared" si="159"/>
        <v>4716.7896600000004</v>
      </c>
      <c r="AB957">
        <f t="shared" si="160"/>
        <v>4702.518731666667</v>
      </c>
      <c r="AC957">
        <f t="shared" si="161"/>
        <v>4709.8871200000003</v>
      </c>
      <c r="AF957">
        <f t="shared" si="162"/>
        <v>4714.3981999999996</v>
      </c>
      <c r="AG957">
        <f t="shared" si="163"/>
        <v>4725.8293691666668</v>
      </c>
      <c r="AH957">
        <f t="shared" si="164"/>
        <v>4702.518731666667</v>
      </c>
    </row>
    <row r="958" spans="1:34" x14ac:dyDescent="0.55000000000000004">
      <c r="A958">
        <f>ALGLIB_SSA_XAUUSD!J958</f>
        <v>1775688000</v>
      </c>
      <c r="B958" t="str">
        <f>_xlfn.XLOOKUP($A958,ALGLIB_SSA_XAUUSD!$A$2:$A$1000,ALGLIB_SSA_XAUUSD!$B$2:$B$1000,"",0)</f>
        <v/>
      </c>
      <c r="C958" t="str">
        <f>_xlfn.XLOOKUP($A958,ALGLIB_SSA_XAUUSD!$A$2:$A$1000,ALGLIB_SSA_XAUUSD!$C$2:$C$1000,"",0)</f>
        <v/>
      </c>
      <c r="D958" s="1">
        <f>D950+(D962-D950)*8/12</f>
        <v>4716.34</v>
      </c>
      <c r="E958" s="1">
        <f>E950+(E962-E950)*8/12</f>
        <v>4715.3324666666667</v>
      </c>
      <c r="F958" s="1">
        <f>F950+(F962-F950)*8/12</f>
        <v>4716.194496666667</v>
      </c>
      <c r="G958" s="1">
        <f>G950+(G962-G950)*8/12</f>
        <v>4725.7941733333337</v>
      </c>
      <c r="H958" s="1">
        <f>H950+(H962-H950)*8/12</f>
        <v>4702.6053233333332</v>
      </c>
      <c r="I958" t="str">
        <f>_xlfn.XLOOKUP($A958,ALGLIB_SSA_XAUUSD!$J$2:$J$1000,ALGLIB_SSA_XAUUSD!$K$2:$K$1000,"",0)</f>
        <v>XAUUSD</v>
      </c>
      <c r="J958" t="str">
        <f>_xlfn.XLOOKUP($A958,ALGLIB_SSA_XAUUSD!$J$2:$J$1000,ALGLIB_SSA_XAUUSD!$L$2:$L$1000,"",0)</f>
        <v>M5</v>
      </c>
      <c r="K958">
        <f>_xlfn.XLOOKUP($A958,ALGLIB_SSA_XAUUSD!$J$2:$J$1000,ALGLIB_SSA_XAUUSD!$M$2:$M$1000,"",0)</f>
        <v>4712.92</v>
      </c>
      <c r="L958">
        <f>_xlfn.XLOOKUP($A958,ALGLIB_SSA_XAUUSD!$J$2:$J$1000,ALGLIB_SSA_XAUUSD!$N$2:$N$1000,"",0)</f>
        <v>4714.8585199999998</v>
      </c>
      <c r="M958">
        <f>_xlfn.XLOOKUP($A958,ALGLIB_SSA_XAUUSD!$J$2:$J$1000,ALGLIB_SSA_XAUUSD!$O$2:$O$1000,"",0)</f>
        <v>4714.5765600000004</v>
      </c>
      <c r="N958">
        <f>_xlfn.XLOOKUP($A958,ALGLIB_SSA_XAUUSD!$J$2:$J$1000,ALGLIB_SSA_XAUUSD!$P$2:$P$1000,"",0)</f>
        <v>4717.2867299999998</v>
      </c>
      <c r="O958">
        <f>_xlfn.XLOOKUP($A958,ALGLIB_SSA_XAUUSD!$J$2:$J$1000,ALGLIB_SSA_XAUUSD!$Q$2:$Q$1000,"",0)</f>
        <v>4711.0015700000004</v>
      </c>
      <c r="R958">
        <f t="shared" si="154"/>
        <v>1775688000</v>
      </c>
      <c r="S958" t="str">
        <f t="shared" si="155"/>
        <v>XAUUSD</v>
      </c>
      <c r="T958" t="str">
        <f t="shared" si="156"/>
        <v>M5</v>
      </c>
      <c r="U958">
        <f t="shared" si="157"/>
        <v>4712.92</v>
      </c>
      <c r="V958">
        <v>4715.3324700000003</v>
      </c>
      <c r="W958">
        <v>4716.1944999999996</v>
      </c>
      <c r="X958">
        <v>4714.8585199999998</v>
      </c>
      <c r="Y958">
        <v>4714.5765600000004</v>
      </c>
      <c r="Z958">
        <f t="shared" si="158"/>
        <v>4725.7941733333337</v>
      </c>
      <c r="AA958">
        <f t="shared" si="159"/>
        <v>4717.2867299999998</v>
      </c>
      <c r="AB958">
        <f t="shared" si="160"/>
        <v>4702.6053233333332</v>
      </c>
      <c r="AC958">
        <f t="shared" si="161"/>
        <v>4711.0015700000004</v>
      </c>
      <c r="AF958">
        <f t="shared" si="162"/>
        <v>4714.8585199999998</v>
      </c>
      <c r="AG958">
        <f t="shared" si="163"/>
        <v>4725.7941733333337</v>
      </c>
      <c r="AH958">
        <f t="shared" si="164"/>
        <v>4702.6053233333332</v>
      </c>
    </row>
    <row r="959" spans="1:34" x14ac:dyDescent="0.55000000000000004">
      <c r="A959">
        <f>ALGLIB_SSA_XAUUSD!J959</f>
        <v>1775688300</v>
      </c>
      <c r="B959" t="str">
        <f>_xlfn.XLOOKUP($A959,ALGLIB_SSA_XAUUSD!$A$2:$A$1000,ALGLIB_SSA_XAUUSD!$B$2:$B$1000,"",0)</f>
        <v/>
      </c>
      <c r="C959" t="str">
        <f>_xlfn.XLOOKUP($A959,ALGLIB_SSA_XAUUSD!$A$2:$A$1000,ALGLIB_SSA_XAUUSD!$C$2:$C$1000,"",0)</f>
        <v/>
      </c>
      <c r="D959" s="1">
        <f>D950+(D962-D950)*9/12</f>
        <v>4716.17</v>
      </c>
      <c r="E959" s="1">
        <f>E950+(E962-E950)*9/12</f>
        <v>4715.5819474999998</v>
      </c>
      <c r="F959" s="1">
        <f>F950+(F962-F950)*9/12</f>
        <v>4716.2029899999998</v>
      </c>
      <c r="G959" s="1">
        <f>G950+(G962-G950)*9/12</f>
        <v>4725.7589775000006</v>
      </c>
      <c r="H959" s="1">
        <f>H950+(H962-H950)*9/12</f>
        <v>4702.6919149999994</v>
      </c>
      <c r="I959" t="str">
        <f>_xlfn.XLOOKUP($A959,ALGLIB_SSA_XAUUSD!$J$2:$J$1000,ALGLIB_SSA_XAUUSD!$K$2:$K$1000,"",0)</f>
        <v>XAUUSD</v>
      </c>
      <c r="J959" t="str">
        <f>_xlfn.XLOOKUP($A959,ALGLIB_SSA_XAUUSD!$J$2:$J$1000,ALGLIB_SSA_XAUUSD!$L$2:$L$1000,"",0)</f>
        <v>M5</v>
      </c>
      <c r="K959">
        <f>_xlfn.XLOOKUP($A959,ALGLIB_SSA_XAUUSD!$J$2:$J$1000,ALGLIB_SSA_XAUUSD!$M$2:$M$1000,"",0)</f>
        <v>4715.3999999999996</v>
      </c>
      <c r="L959">
        <f>_xlfn.XLOOKUP($A959,ALGLIB_SSA_XAUUSD!$J$2:$J$1000,ALGLIB_SSA_XAUUSD!$N$2:$N$1000,"",0)</f>
        <v>4715.0875999999998</v>
      </c>
      <c r="M959">
        <f>_xlfn.XLOOKUP($A959,ALGLIB_SSA_XAUUSD!$J$2:$J$1000,ALGLIB_SSA_XAUUSD!$O$2:$O$1000,"",0)</f>
        <v>4714.8320800000001</v>
      </c>
      <c r="N959">
        <f>_xlfn.XLOOKUP($A959,ALGLIB_SSA_XAUUSD!$J$2:$J$1000,ALGLIB_SSA_XAUUSD!$P$2:$P$1000,"",0)</f>
        <v>4717.7783200000003</v>
      </c>
      <c r="O959">
        <f>_xlfn.XLOOKUP($A959,ALGLIB_SSA_XAUUSD!$J$2:$J$1000,ALGLIB_SSA_XAUUSD!$Q$2:$Q$1000,"",0)</f>
        <v>4711.7916400000004</v>
      </c>
      <c r="R959">
        <f t="shared" si="154"/>
        <v>1775688300</v>
      </c>
      <c r="S959" t="str">
        <f t="shared" si="155"/>
        <v>XAUUSD</v>
      </c>
      <c r="T959" t="str">
        <f t="shared" si="156"/>
        <v>M5</v>
      </c>
      <c r="U959">
        <f t="shared" si="157"/>
        <v>4715.3999999999996</v>
      </c>
      <c r="V959">
        <v>4715.5819499999998</v>
      </c>
      <c r="W959">
        <v>4716.2029899999998</v>
      </c>
      <c r="X959">
        <v>4715.0875999999998</v>
      </c>
      <c r="Y959">
        <v>4714.8320800000001</v>
      </c>
      <c r="Z959">
        <f t="shared" si="158"/>
        <v>4725.7589775000006</v>
      </c>
      <c r="AA959">
        <f t="shared" si="159"/>
        <v>4717.7783200000003</v>
      </c>
      <c r="AB959">
        <f t="shared" si="160"/>
        <v>4702.6919149999994</v>
      </c>
      <c r="AC959">
        <f t="shared" si="161"/>
        <v>4711.7916400000004</v>
      </c>
      <c r="AF959">
        <f t="shared" si="162"/>
        <v>4715.0875999999998</v>
      </c>
      <c r="AG959">
        <f t="shared" si="163"/>
        <v>4725.7589775000006</v>
      </c>
      <c r="AH959">
        <f t="shared" si="164"/>
        <v>4702.6919149999994</v>
      </c>
    </row>
    <row r="960" spans="1:34" x14ac:dyDescent="0.55000000000000004">
      <c r="A960">
        <f>ALGLIB_SSA_XAUUSD!J960</f>
        <v>1775688600</v>
      </c>
      <c r="B960" t="str">
        <f>_xlfn.XLOOKUP($A960,ALGLIB_SSA_XAUUSD!$A$2:$A$1000,ALGLIB_SSA_XAUUSD!$B$2:$B$1000,"",0)</f>
        <v/>
      </c>
      <c r="C960" t="str">
        <f>_xlfn.XLOOKUP($A960,ALGLIB_SSA_XAUUSD!$A$2:$A$1000,ALGLIB_SSA_XAUUSD!$C$2:$C$1000,"",0)</f>
        <v/>
      </c>
      <c r="D960" s="1">
        <f>D950+(D962-D950)*10/12</f>
        <v>4716</v>
      </c>
      <c r="E960" s="1">
        <f>E950+(E962-E950)*10/12</f>
        <v>4715.831428333333</v>
      </c>
      <c r="F960" s="1">
        <f>F950+(F962-F950)*10/12</f>
        <v>4716.2114833333335</v>
      </c>
      <c r="G960" s="1">
        <f>G950+(G962-G950)*10/12</f>
        <v>4725.7237816666675</v>
      </c>
      <c r="H960" s="1">
        <f>H950+(H962-H950)*10/12</f>
        <v>4702.7785066666665</v>
      </c>
      <c r="I960" t="str">
        <f>_xlfn.XLOOKUP($A960,ALGLIB_SSA_XAUUSD!$J$2:$J$1000,ALGLIB_SSA_XAUUSD!$K$2:$K$1000,"",0)</f>
        <v>XAUUSD</v>
      </c>
      <c r="J960" t="str">
        <f>_xlfn.XLOOKUP($A960,ALGLIB_SSA_XAUUSD!$J$2:$J$1000,ALGLIB_SSA_XAUUSD!$L$2:$L$1000,"",0)</f>
        <v>M5</v>
      </c>
      <c r="K960">
        <f>_xlfn.XLOOKUP($A960,ALGLIB_SSA_XAUUSD!$J$2:$J$1000,ALGLIB_SSA_XAUUSD!$M$2:$M$1000,"",0)</f>
        <v>4716.68</v>
      </c>
      <c r="L960">
        <f>_xlfn.XLOOKUP($A960,ALGLIB_SSA_XAUUSD!$J$2:$J$1000,ALGLIB_SSA_XAUUSD!$N$2:$N$1000,"",0)</f>
        <v>4714.8722500000003</v>
      </c>
      <c r="M960">
        <f>_xlfn.XLOOKUP($A960,ALGLIB_SSA_XAUUSD!$J$2:$J$1000,ALGLIB_SSA_XAUUSD!$O$2:$O$1000,"",0)</f>
        <v>4714.8521700000001</v>
      </c>
      <c r="N960">
        <f>_xlfn.XLOOKUP($A960,ALGLIB_SSA_XAUUSD!$J$2:$J$1000,ALGLIB_SSA_XAUUSD!$P$2:$P$1000,"",0)</f>
        <v>4718.0196699999997</v>
      </c>
      <c r="O960">
        <f>_xlfn.XLOOKUP($A960,ALGLIB_SSA_XAUUSD!$J$2:$J$1000,ALGLIB_SSA_XAUUSD!$Q$2:$Q$1000,"",0)</f>
        <v>4711.9679400000005</v>
      </c>
      <c r="R960">
        <f t="shared" si="154"/>
        <v>1775688600</v>
      </c>
      <c r="S960" t="str">
        <f t="shared" si="155"/>
        <v>XAUUSD</v>
      </c>
      <c r="T960" t="str">
        <f t="shared" si="156"/>
        <v>M5</v>
      </c>
      <c r="U960">
        <f t="shared" si="157"/>
        <v>4716.68</v>
      </c>
      <c r="V960">
        <v>4715.8314300000002</v>
      </c>
      <c r="W960">
        <v>4716.2114799999999</v>
      </c>
      <c r="X960">
        <v>4714.8722500000003</v>
      </c>
      <c r="Y960">
        <v>4714.8521700000001</v>
      </c>
      <c r="Z960">
        <f t="shared" si="158"/>
        <v>4725.7237816666675</v>
      </c>
      <c r="AA960">
        <f t="shared" si="159"/>
        <v>4718.0196699999997</v>
      </c>
      <c r="AB960">
        <f t="shared" si="160"/>
        <v>4702.7785066666665</v>
      </c>
      <c r="AC960">
        <f t="shared" si="161"/>
        <v>4711.9679400000005</v>
      </c>
      <c r="AF960">
        <f t="shared" si="162"/>
        <v>4714.8722500000003</v>
      </c>
      <c r="AG960">
        <f t="shared" si="163"/>
        <v>4725.7237816666675</v>
      </c>
      <c r="AH960">
        <f t="shared" si="164"/>
        <v>4702.7785066666665</v>
      </c>
    </row>
    <row r="961" spans="1:34" x14ac:dyDescent="0.55000000000000004">
      <c r="A961">
        <f>ALGLIB_SSA_XAUUSD!J961</f>
        <v>1775688900</v>
      </c>
      <c r="B961" t="str">
        <f>_xlfn.XLOOKUP($A961,ALGLIB_SSA_XAUUSD!$A$2:$A$1000,ALGLIB_SSA_XAUUSD!$B$2:$B$1000,"",0)</f>
        <v/>
      </c>
      <c r="C961" t="str">
        <f>_xlfn.XLOOKUP($A961,ALGLIB_SSA_XAUUSD!$A$2:$A$1000,ALGLIB_SSA_XAUUSD!$C$2:$C$1000,"",0)</f>
        <v/>
      </c>
      <c r="D961" s="1">
        <f>D950+(D962-D950)*11/12</f>
        <v>4715.83</v>
      </c>
      <c r="E961" s="1">
        <f>E950+(E962-E950)*11/12</f>
        <v>4716.080909166667</v>
      </c>
      <c r="F961" s="1">
        <f>F950+(F962-F950)*11/12</f>
        <v>4716.2199766666663</v>
      </c>
      <c r="G961" s="1">
        <f>G950+(G962-G950)*11/12</f>
        <v>4725.6885858333335</v>
      </c>
      <c r="H961" s="1">
        <f>H950+(H962-H950)*11/12</f>
        <v>4702.8650983333337</v>
      </c>
      <c r="I961" t="str">
        <f>_xlfn.XLOOKUP($A961,ALGLIB_SSA_XAUUSD!$J$2:$J$1000,ALGLIB_SSA_XAUUSD!$K$2:$K$1000,"",0)</f>
        <v>XAUUSD</v>
      </c>
      <c r="J961" t="str">
        <f>_xlfn.XLOOKUP($A961,ALGLIB_SSA_XAUUSD!$J$2:$J$1000,ALGLIB_SSA_XAUUSD!$L$2:$L$1000,"",0)</f>
        <v>M5</v>
      </c>
      <c r="K961">
        <f>_xlfn.XLOOKUP($A961,ALGLIB_SSA_XAUUSD!$J$2:$J$1000,ALGLIB_SSA_XAUUSD!$M$2:$M$1000,"",0)</f>
        <v>4717.7</v>
      </c>
      <c r="L961">
        <f>_xlfn.XLOOKUP($A961,ALGLIB_SSA_XAUUSD!$J$2:$J$1000,ALGLIB_SSA_XAUUSD!$N$2:$N$1000,"",0)</f>
        <v>4714.1823199999999</v>
      </c>
      <c r="M961">
        <f>_xlfn.XLOOKUP($A961,ALGLIB_SSA_XAUUSD!$J$2:$J$1000,ALGLIB_SSA_XAUUSD!$O$2:$O$1000,"",0)</f>
        <v>4714.5172400000001</v>
      </c>
      <c r="N961">
        <f>_xlfn.XLOOKUP($A961,ALGLIB_SSA_XAUUSD!$J$2:$J$1000,ALGLIB_SSA_XAUUSD!$P$2:$P$1000,"",0)</f>
        <v>4717.8017399999999</v>
      </c>
      <c r="O961">
        <f>_xlfn.XLOOKUP($A961,ALGLIB_SSA_XAUUSD!$J$2:$J$1000,ALGLIB_SSA_XAUUSD!$Q$2:$Q$1000,"",0)</f>
        <v>4711.4114799999998</v>
      </c>
      <c r="R961">
        <f t="shared" si="154"/>
        <v>1775688900</v>
      </c>
      <c r="S961" t="str">
        <f t="shared" si="155"/>
        <v>XAUUSD</v>
      </c>
      <c r="T961" t="str">
        <f t="shared" si="156"/>
        <v>M5</v>
      </c>
      <c r="U961">
        <f t="shared" si="157"/>
        <v>4717.7</v>
      </c>
      <c r="V961">
        <v>4716.0809099999997</v>
      </c>
      <c r="W961">
        <v>4716.2199799999999</v>
      </c>
      <c r="X961">
        <v>4714.1823199999999</v>
      </c>
      <c r="Y961">
        <v>4714.5172400000001</v>
      </c>
      <c r="Z961">
        <f t="shared" si="158"/>
        <v>4725.6885858333335</v>
      </c>
      <c r="AA961">
        <f t="shared" si="159"/>
        <v>4717.8017399999999</v>
      </c>
      <c r="AB961">
        <f t="shared" si="160"/>
        <v>4702.8650983333337</v>
      </c>
      <c r="AC961">
        <f t="shared" si="161"/>
        <v>4711.4114799999998</v>
      </c>
      <c r="AF961">
        <f t="shared" si="162"/>
        <v>4714.1823199999999</v>
      </c>
      <c r="AG961">
        <f t="shared" si="163"/>
        <v>4725.6885858333335</v>
      </c>
      <c r="AH961">
        <f t="shared" si="164"/>
        <v>4702.8650983333337</v>
      </c>
    </row>
    <row r="962" spans="1:34" x14ac:dyDescent="0.55000000000000004">
      <c r="A962">
        <f>ALGLIB_SSA_XAUUSD!J962</f>
        <v>1775689200</v>
      </c>
      <c r="B962" t="str">
        <f>_xlfn.XLOOKUP($A962,ALGLIB_SSA_XAUUSD!$A$2:$A$1000,ALGLIB_SSA_XAUUSD!$B$2:$B$1000,"",0)</f>
        <v>XAUUSD</v>
      </c>
      <c r="C962" t="str">
        <f>_xlfn.XLOOKUP($A962,ALGLIB_SSA_XAUUSD!$A$2:$A$1000,ALGLIB_SSA_XAUUSD!$C$2:$C$1000,"",0)</f>
        <v>H1</v>
      </c>
      <c r="D962" s="2">
        <f>_xlfn.XLOOKUP($A962,ALGLIB_SSA_XAUUSD!$A$2:$A$1000,ALGLIB_SSA_XAUUSD!$D$2:$D$1000,"",0)</f>
        <v>4715.66</v>
      </c>
      <c r="E962" s="2">
        <f>_xlfn.XLOOKUP($A962,ALGLIB_SSA_XAUUSD!$A$2:$A$1000,ALGLIB_SSA_XAUUSD!$E$2:$E$1000,"",0)</f>
        <v>4716.3303900000001</v>
      </c>
      <c r="F962" s="2">
        <f>_xlfn.XLOOKUP($A962,ALGLIB_SSA_XAUUSD!$A$2:$A$1000,ALGLIB_SSA_XAUUSD!$F$2:$F$1000,"",0)</f>
        <v>4716.22847</v>
      </c>
      <c r="G962" s="2">
        <f>_xlfn.XLOOKUP($A962,ALGLIB_SSA_XAUUSD!$A$2:$A$1000,ALGLIB_SSA_XAUUSD!$G$2:$G$1000,"",0)</f>
        <v>4725.6533900000004</v>
      </c>
      <c r="H962" s="2">
        <f>_xlfn.XLOOKUP($A962,ALGLIB_SSA_XAUUSD!$A$2:$A$1000,ALGLIB_SSA_XAUUSD!$H$2:$H$1000,"",0)</f>
        <v>4702.9516899999999</v>
      </c>
      <c r="I962" t="str">
        <f>_xlfn.XLOOKUP($A962,ALGLIB_SSA_XAUUSD!$J$2:$J$1000,ALGLIB_SSA_XAUUSD!$K$2:$K$1000,"",0)</f>
        <v>XAUUSD</v>
      </c>
      <c r="J962" t="str">
        <f>_xlfn.XLOOKUP($A962,ALGLIB_SSA_XAUUSD!$J$2:$J$1000,ALGLIB_SSA_XAUUSD!$L$2:$L$1000,"",0)</f>
        <v>M5</v>
      </c>
      <c r="K962">
        <f>_xlfn.XLOOKUP($A962,ALGLIB_SSA_XAUUSD!$J$2:$J$1000,ALGLIB_SSA_XAUUSD!$M$2:$M$1000,"",0)</f>
        <v>4715.09</v>
      </c>
      <c r="L962">
        <f>_xlfn.XLOOKUP($A962,ALGLIB_SSA_XAUUSD!$J$2:$J$1000,ALGLIB_SSA_XAUUSD!$N$2:$N$1000,"",0)</f>
        <v>4713.1441599999998</v>
      </c>
      <c r="M962">
        <f>_xlfn.XLOOKUP($A962,ALGLIB_SSA_XAUUSD!$J$2:$J$1000,ALGLIB_SSA_XAUUSD!$O$2:$O$1000,"",0)</f>
        <v>4713.8307000000004</v>
      </c>
      <c r="N962">
        <f>_xlfn.XLOOKUP($A962,ALGLIB_SSA_XAUUSD!$J$2:$J$1000,ALGLIB_SSA_XAUUSD!$P$2:$P$1000,"",0)</f>
        <v>4717.0881499999996</v>
      </c>
      <c r="O962">
        <f>_xlfn.XLOOKUP($A962,ALGLIB_SSA_XAUUSD!$J$2:$J$1000,ALGLIB_SSA_XAUUSD!$Q$2:$Q$1000,"",0)</f>
        <v>4710.2698</v>
      </c>
      <c r="R962">
        <f t="shared" si="154"/>
        <v>1775689200</v>
      </c>
      <c r="S962" t="str">
        <f t="shared" si="155"/>
        <v>XAUUSD</v>
      </c>
      <c r="T962" t="str">
        <f t="shared" si="156"/>
        <v>M5</v>
      </c>
      <c r="U962">
        <f t="shared" si="157"/>
        <v>4715.09</v>
      </c>
      <c r="V962">
        <v>4716.3303900000001</v>
      </c>
      <c r="W962">
        <v>4716.22847</v>
      </c>
      <c r="X962">
        <v>4713.1441599999998</v>
      </c>
      <c r="Y962">
        <v>4713.8307000000004</v>
      </c>
      <c r="Z962">
        <f t="shared" si="158"/>
        <v>4725.6533900000004</v>
      </c>
      <c r="AA962">
        <f t="shared" si="159"/>
        <v>4717.0881499999996</v>
      </c>
      <c r="AB962">
        <f t="shared" si="160"/>
        <v>4702.9516899999999</v>
      </c>
      <c r="AC962">
        <f t="shared" si="161"/>
        <v>4710.2698</v>
      </c>
      <c r="AF962">
        <f t="shared" si="162"/>
        <v>4713.1441599999998</v>
      </c>
      <c r="AG962">
        <f t="shared" si="163"/>
        <v>4725.6533900000004</v>
      </c>
      <c r="AH962">
        <f t="shared" si="164"/>
        <v>4702.9516899999999</v>
      </c>
    </row>
    <row r="963" spans="1:34" x14ac:dyDescent="0.55000000000000004">
      <c r="A963">
        <f>ALGLIB_SSA_XAUUSD!J963</f>
        <v>1775689500</v>
      </c>
      <c r="B963" t="str">
        <f>_xlfn.XLOOKUP($A963,ALGLIB_SSA_XAUUSD!$A$2:$A$1000,ALGLIB_SSA_XAUUSD!$B$2:$B$1000,"",0)</f>
        <v/>
      </c>
      <c r="C963" t="str">
        <f>_xlfn.XLOOKUP($A963,ALGLIB_SSA_XAUUSD!$A$2:$A$1000,ALGLIB_SSA_XAUUSD!$C$2:$C$1000,"",0)</f>
        <v/>
      </c>
      <c r="D963" s="1">
        <f>D962+(D974-D962)*1/12</f>
        <v>4714.9241666666667</v>
      </c>
      <c r="E963" s="1">
        <f>E962+(E974-E962)*1/12</f>
        <v>4716.6886783333339</v>
      </c>
      <c r="F963" s="1">
        <f>F962+(F974-F962)*1/12</f>
        <v>4716.4118608333338</v>
      </c>
      <c r="G963" s="1">
        <f>G962+(G974-G962)*1/12</f>
        <v>4725.7738525000004</v>
      </c>
      <c r="H963" s="1">
        <f>H962+(H974-H962)*1/12</f>
        <v>4703.1624883333334</v>
      </c>
      <c r="I963" t="str">
        <f>_xlfn.XLOOKUP($A963,ALGLIB_SSA_XAUUSD!$J$2:$J$1000,ALGLIB_SSA_XAUUSD!$K$2:$K$1000,"",0)</f>
        <v>XAUUSD</v>
      </c>
      <c r="J963" t="str">
        <f>_xlfn.XLOOKUP($A963,ALGLIB_SSA_XAUUSD!$J$2:$J$1000,ALGLIB_SSA_XAUUSD!$L$2:$L$1000,"",0)</f>
        <v>M5</v>
      </c>
      <c r="K963">
        <f>_xlfn.XLOOKUP($A963,ALGLIB_SSA_XAUUSD!$J$2:$J$1000,ALGLIB_SSA_XAUUSD!$M$2:$M$1000,"",0)</f>
        <v>4707.4799999999996</v>
      </c>
      <c r="L963">
        <f>_xlfn.XLOOKUP($A963,ALGLIB_SSA_XAUUSD!$J$2:$J$1000,ALGLIB_SSA_XAUUSD!$N$2:$N$1000,"",0)</f>
        <v>4712.04666</v>
      </c>
      <c r="M963">
        <f>_xlfn.XLOOKUP($A963,ALGLIB_SSA_XAUUSD!$J$2:$J$1000,ALGLIB_SSA_XAUUSD!$O$2:$O$1000,"",0)</f>
        <v>4712.9386800000002</v>
      </c>
      <c r="N963">
        <f>_xlfn.XLOOKUP($A963,ALGLIB_SSA_XAUUSD!$J$2:$J$1000,ALGLIB_SSA_XAUUSD!$P$2:$P$1000,"",0)</f>
        <v>4716.0624200000002</v>
      </c>
      <c r="O963">
        <f>_xlfn.XLOOKUP($A963,ALGLIB_SSA_XAUUSD!$J$2:$J$1000,ALGLIB_SSA_XAUUSD!$Q$2:$Q$1000,"",0)</f>
        <v>4709.0119199999999</v>
      </c>
      <c r="R963">
        <f t="shared" ref="R963:R986" si="165">A963</f>
        <v>1775689500</v>
      </c>
      <c r="S963" t="str">
        <f t="shared" ref="S963:S986" si="166">I963</f>
        <v>XAUUSD</v>
      </c>
      <c r="T963" t="str">
        <f t="shared" ref="T963:T986" si="167">J963</f>
        <v>M5</v>
      </c>
      <c r="U963">
        <f t="shared" ref="U963:U986" si="168">K963</f>
        <v>4707.4799999999996</v>
      </c>
      <c r="V963">
        <v>4716.6886800000002</v>
      </c>
      <c r="W963">
        <v>4716.4118600000002</v>
      </c>
      <c r="X963">
        <v>4712.04666</v>
      </c>
      <c r="Y963">
        <v>4712.9386800000002</v>
      </c>
      <c r="Z963">
        <f t="shared" ref="Z963:Z1000" si="169">G963</f>
        <v>4725.7738525000004</v>
      </c>
      <c r="AA963">
        <f t="shared" ref="AA963:AA986" si="170">N963</f>
        <v>4716.0624200000002</v>
      </c>
      <c r="AB963">
        <f t="shared" ref="AB963:AB1000" si="171">H963</f>
        <v>4703.1624883333334</v>
      </c>
      <c r="AC963">
        <f t="shared" ref="AC963:AC986" si="172">O963</f>
        <v>4709.0119199999999</v>
      </c>
      <c r="AF963">
        <f t="shared" ref="AF963:AF986" si="173">X963</f>
        <v>4712.04666</v>
      </c>
      <c r="AG963">
        <f t="shared" ref="AG963:AG986" si="174">Z963</f>
        <v>4725.7738525000004</v>
      </c>
      <c r="AH963">
        <f t="shared" ref="AH963:AH986" si="175">AB963</f>
        <v>4703.1624883333334</v>
      </c>
    </row>
    <row r="964" spans="1:34" x14ac:dyDescent="0.55000000000000004">
      <c r="A964">
        <f>ALGLIB_SSA_XAUUSD!J964</f>
        <v>1775689800</v>
      </c>
      <c r="B964" t="str">
        <f>_xlfn.XLOOKUP($A964,ALGLIB_SSA_XAUUSD!$A$2:$A$1000,ALGLIB_SSA_XAUUSD!$B$2:$B$1000,"",0)</f>
        <v/>
      </c>
      <c r="C964" t="str">
        <f>_xlfn.XLOOKUP($A964,ALGLIB_SSA_XAUUSD!$A$2:$A$1000,ALGLIB_SSA_XAUUSD!$C$2:$C$1000,"",0)</f>
        <v/>
      </c>
      <c r="D964" s="1">
        <f>D962+(D974-D962)*2/12</f>
        <v>4714.1883333333335</v>
      </c>
      <c r="E964" s="1">
        <f>E962+(E974-E962)*2/12</f>
        <v>4717.0469666666668</v>
      </c>
      <c r="F964" s="1">
        <f>F962+(F974-F962)*2/12</f>
        <v>4716.5952516666666</v>
      </c>
      <c r="G964" s="1">
        <f>G962+(G974-G962)*2/12</f>
        <v>4725.8943150000005</v>
      </c>
      <c r="H964" s="1">
        <f>H962+(H974-H962)*2/12</f>
        <v>4703.3732866666669</v>
      </c>
      <c r="I964" t="str">
        <f>_xlfn.XLOOKUP($A964,ALGLIB_SSA_XAUUSD!$J$2:$J$1000,ALGLIB_SSA_XAUUSD!$K$2:$K$1000,"",0)</f>
        <v>XAUUSD</v>
      </c>
      <c r="J964" t="str">
        <f>_xlfn.XLOOKUP($A964,ALGLIB_SSA_XAUUSD!$J$2:$J$1000,ALGLIB_SSA_XAUUSD!$L$2:$L$1000,"",0)</f>
        <v>M5</v>
      </c>
      <c r="K964">
        <f>_xlfn.XLOOKUP($A964,ALGLIB_SSA_XAUUSD!$J$2:$J$1000,ALGLIB_SSA_XAUUSD!$M$2:$M$1000,"",0)</f>
        <v>4708.6499999999996</v>
      </c>
      <c r="L964">
        <f>_xlfn.XLOOKUP($A964,ALGLIB_SSA_XAUUSD!$J$2:$J$1000,ALGLIB_SSA_XAUUSD!$N$2:$N$1000,"",0)</f>
        <v>4711.3429699999997</v>
      </c>
      <c r="M964">
        <f>_xlfn.XLOOKUP($A964,ALGLIB_SSA_XAUUSD!$J$2:$J$1000,ALGLIB_SSA_XAUUSD!$O$2:$O$1000,"",0)</f>
        <v>4712.1408199999996</v>
      </c>
      <c r="N964">
        <f>_xlfn.XLOOKUP($A964,ALGLIB_SSA_XAUUSD!$J$2:$J$1000,ALGLIB_SSA_XAUUSD!$P$2:$P$1000,"",0)</f>
        <v>4714.9593100000002</v>
      </c>
      <c r="O964">
        <f>_xlfn.XLOOKUP($A964,ALGLIB_SSA_XAUUSD!$J$2:$J$1000,ALGLIB_SSA_XAUUSD!$Q$2:$Q$1000,"",0)</f>
        <v>4708.0540099999998</v>
      </c>
      <c r="R964">
        <f t="shared" si="165"/>
        <v>1775689800</v>
      </c>
      <c r="S964" t="str">
        <f t="shared" si="166"/>
        <v>XAUUSD</v>
      </c>
      <c r="T964" t="str">
        <f t="shared" si="167"/>
        <v>M5</v>
      </c>
      <c r="U964">
        <f t="shared" si="168"/>
        <v>4708.6499999999996</v>
      </c>
      <c r="V964">
        <v>4717.0469700000003</v>
      </c>
      <c r="W964">
        <v>4716.5952500000003</v>
      </c>
      <c r="X964">
        <v>4711.3429699999997</v>
      </c>
      <c r="Y964">
        <v>4712.1408199999996</v>
      </c>
      <c r="Z964">
        <f t="shared" si="169"/>
        <v>4725.8943150000005</v>
      </c>
      <c r="AA964">
        <f t="shared" si="170"/>
        <v>4714.9593100000002</v>
      </c>
      <c r="AB964">
        <f t="shared" si="171"/>
        <v>4703.3732866666669</v>
      </c>
      <c r="AC964">
        <f t="shared" si="172"/>
        <v>4708.0540099999998</v>
      </c>
      <c r="AF964">
        <f t="shared" si="173"/>
        <v>4711.3429699999997</v>
      </c>
      <c r="AG964">
        <f t="shared" si="174"/>
        <v>4725.8943150000005</v>
      </c>
      <c r="AH964">
        <f t="shared" si="175"/>
        <v>4703.3732866666669</v>
      </c>
    </row>
    <row r="965" spans="1:34" x14ac:dyDescent="0.55000000000000004">
      <c r="A965">
        <f>ALGLIB_SSA_XAUUSD!J965</f>
        <v>1775690100</v>
      </c>
      <c r="B965" t="str">
        <f>_xlfn.XLOOKUP($A965,ALGLIB_SSA_XAUUSD!$A$2:$A$1000,ALGLIB_SSA_XAUUSD!$B$2:$B$1000,"",0)</f>
        <v/>
      </c>
      <c r="C965" t="str">
        <f>_xlfn.XLOOKUP($A965,ALGLIB_SSA_XAUUSD!$A$2:$A$1000,ALGLIB_SSA_XAUUSD!$C$2:$C$1000,"",0)</f>
        <v/>
      </c>
      <c r="D965" s="1">
        <f>D962+(D974-D962)*3/12</f>
        <v>4713.4524999999994</v>
      </c>
      <c r="E965" s="1">
        <f>E962+(E974-E962)*3/12</f>
        <v>4717.4052549999997</v>
      </c>
      <c r="F965" s="1">
        <f>F962+(F974-F962)*3/12</f>
        <v>4716.7786424999995</v>
      </c>
      <c r="G965" s="1">
        <f>G962+(G974-G962)*3/12</f>
        <v>4726.0147775000005</v>
      </c>
      <c r="H965" s="1">
        <f>H962+(H974-H962)*3/12</f>
        <v>4703.5840850000004</v>
      </c>
      <c r="I965" t="str">
        <f>_xlfn.XLOOKUP($A965,ALGLIB_SSA_XAUUSD!$J$2:$J$1000,ALGLIB_SSA_XAUUSD!$K$2:$K$1000,"",0)</f>
        <v>XAUUSD</v>
      </c>
      <c r="J965" t="str">
        <f>_xlfn.XLOOKUP($A965,ALGLIB_SSA_XAUUSD!$J$2:$J$1000,ALGLIB_SSA_XAUUSD!$L$2:$L$1000,"",0)</f>
        <v>M5</v>
      </c>
      <c r="K965">
        <f>_xlfn.XLOOKUP($A965,ALGLIB_SSA_XAUUSD!$J$2:$J$1000,ALGLIB_SSA_XAUUSD!$M$2:$M$1000,"",0)</f>
        <v>4713.1400000000003</v>
      </c>
      <c r="L965">
        <f>_xlfn.XLOOKUP($A965,ALGLIB_SSA_XAUUSD!$J$2:$J$1000,ALGLIB_SSA_XAUUSD!$N$2:$N$1000,"",0)</f>
        <v>4711.1959900000002</v>
      </c>
      <c r="M965">
        <f>_xlfn.XLOOKUP($A965,ALGLIB_SSA_XAUUSD!$J$2:$J$1000,ALGLIB_SSA_XAUUSD!$O$2:$O$1000,"",0)</f>
        <v>4711.6684100000002</v>
      </c>
      <c r="N965">
        <f>_xlfn.XLOOKUP($A965,ALGLIB_SSA_XAUUSD!$J$2:$J$1000,ALGLIB_SSA_XAUUSD!$P$2:$P$1000,"",0)</f>
        <v>4714.1898199999996</v>
      </c>
      <c r="O965">
        <f>_xlfn.XLOOKUP($A965,ALGLIB_SSA_XAUUSD!$J$2:$J$1000,ALGLIB_SSA_XAUUSD!$Q$2:$Q$1000,"",0)</f>
        <v>4707.7310500000003</v>
      </c>
      <c r="R965">
        <f t="shared" si="165"/>
        <v>1775690100</v>
      </c>
      <c r="S965" t="str">
        <f t="shared" si="166"/>
        <v>XAUUSD</v>
      </c>
      <c r="T965" t="str">
        <f t="shared" si="167"/>
        <v>M5</v>
      </c>
      <c r="U965">
        <f t="shared" si="168"/>
        <v>4713.1400000000003</v>
      </c>
      <c r="V965">
        <v>4717.4052499999998</v>
      </c>
      <c r="W965">
        <v>4716.7786400000005</v>
      </c>
      <c r="X965">
        <v>4711.1959900000002</v>
      </c>
      <c r="Y965">
        <v>4711.6684100000002</v>
      </c>
      <c r="Z965">
        <f t="shared" si="169"/>
        <v>4726.0147775000005</v>
      </c>
      <c r="AA965">
        <f t="shared" si="170"/>
        <v>4714.1898199999996</v>
      </c>
      <c r="AB965">
        <f t="shared" si="171"/>
        <v>4703.5840850000004</v>
      </c>
      <c r="AC965">
        <f t="shared" si="172"/>
        <v>4707.7310500000003</v>
      </c>
      <c r="AF965">
        <f t="shared" si="173"/>
        <v>4711.1959900000002</v>
      </c>
      <c r="AG965">
        <f t="shared" si="174"/>
        <v>4726.0147775000005</v>
      </c>
      <c r="AH965">
        <f t="shared" si="175"/>
        <v>4703.5840850000004</v>
      </c>
    </row>
    <row r="966" spans="1:34" x14ac:dyDescent="0.55000000000000004">
      <c r="A966">
        <f>ALGLIB_SSA_XAUUSD!J966</f>
        <v>1775690400</v>
      </c>
      <c r="B966" t="str">
        <f>_xlfn.XLOOKUP($A966,ALGLIB_SSA_XAUUSD!$A$2:$A$1000,ALGLIB_SSA_XAUUSD!$B$2:$B$1000,"",0)</f>
        <v/>
      </c>
      <c r="C966" t="str">
        <f>_xlfn.XLOOKUP($A966,ALGLIB_SSA_XAUUSD!$A$2:$A$1000,ALGLIB_SSA_XAUUSD!$C$2:$C$1000,"",0)</f>
        <v/>
      </c>
      <c r="D966" s="1">
        <f>D962+(D974-D962)*4/12</f>
        <v>4712.7166666666662</v>
      </c>
      <c r="E966" s="1">
        <f>E962+(E974-E962)*4/12</f>
        <v>4717.7635433333335</v>
      </c>
      <c r="F966" s="1">
        <f>F962+(F974-F962)*4/12</f>
        <v>4716.9620333333332</v>
      </c>
      <c r="G966" s="1">
        <f>G962+(G974-G962)*4/12</f>
        <v>4726.1352400000005</v>
      </c>
      <c r="H966" s="1">
        <f>H962+(H974-H962)*4/12</f>
        <v>4703.794883333333</v>
      </c>
      <c r="I966" t="str">
        <f>_xlfn.XLOOKUP($A966,ALGLIB_SSA_XAUUSD!$J$2:$J$1000,ALGLIB_SSA_XAUUSD!$K$2:$K$1000,"",0)</f>
        <v>XAUUSD</v>
      </c>
      <c r="J966" t="str">
        <f>_xlfn.XLOOKUP($A966,ALGLIB_SSA_XAUUSD!$J$2:$J$1000,ALGLIB_SSA_XAUUSD!$L$2:$L$1000,"",0)</f>
        <v>M5</v>
      </c>
      <c r="K966">
        <f>_xlfn.XLOOKUP($A966,ALGLIB_SSA_XAUUSD!$J$2:$J$1000,ALGLIB_SSA_XAUUSD!$M$2:$M$1000,"",0)</f>
        <v>4713.45</v>
      </c>
      <c r="L966">
        <f>_xlfn.XLOOKUP($A966,ALGLIB_SSA_XAUUSD!$J$2:$J$1000,ALGLIB_SSA_XAUUSD!$N$2:$N$1000,"",0)</f>
        <v>4711.5189300000002</v>
      </c>
      <c r="M966">
        <f>_xlfn.XLOOKUP($A966,ALGLIB_SSA_XAUUSD!$J$2:$J$1000,ALGLIB_SSA_XAUUSD!$O$2:$O$1000,"",0)</f>
        <v>4711.5936700000002</v>
      </c>
      <c r="N966">
        <f>_xlfn.XLOOKUP($A966,ALGLIB_SSA_XAUUSD!$J$2:$J$1000,ALGLIB_SSA_XAUUSD!$P$2:$P$1000,"",0)</f>
        <v>4713.8849399999999</v>
      </c>
      <c r="O966">
        <f>_xlfn.XLOOKUP($A966,ALGLIB_SSA_XAUUSD!$J$2:$J$1000,ALGLIB_SSA_XAUUSD!$Q$2:$Q$1000,"",0)</f>
        <v>4708.1534600000005</v>
      </c>
      <c r="R966">
        <f t="shared" si="165"/>
        <v>1775690400</v>
      </c>
      <c r="S966" t="str">
        <f t="shared" si="166"/>
        <v>XAUUSD</v>
      </c>
      <c r="T966" t="str">
        <f t="shared" si="167"/>
        <v>M5</v>
      </c>
      <c r="U966">
        <f t="shared" si="168"/>
        <v>4713.45</v>
      </c>
      <c r="V966">
        <v>4717.7635399999999</v>
      </c>
      <c r="W966">
        <v>4716.9620299999997</v>
      </c>
      <c r="X966">
        <v>4711.5189300000002</v>
      </c>
      <c r="Y966">
        <v>4711.5936700000002</v>
      </c>
      <c r="Z966">
        <f t="shared" si="169"/>
        <v>4726.1352400000005</v>
      </c>
      <c r="AA966">
        <f t="shared" si="170"/>
        <v>4713.8849399999999</v>
      </c>
      <c r="AB966">
        <f t="shared" si="171"/>
        <v>4703.794883333333</v>
      </c>
      <c r="AC966">
        <f t="shared" si="172"/>
        <v>4708.1534600000005</v>
      </c>
      <c r="AF966">
        <f t="shared" si="173"/>
        <v>4711.5189300000002</v>
      </c>
      <c r="AG966">
        <f t="shared" si="174"/>
        <v>4726.1352400000005</v>
      </c>
      <c r="AH966">
        <f t="shared" si="175"/>
        <v>4703.794883333333</v>
      </c>
    </row>
    <row r="967" spans="1:34" x14ac:dyDescent="0.55000000000000004">
      <c r="A967">
        <f>ALGLIB_SSA_XAUUSD!J967</f>
        <v>1775690700</v>
      </c>
      <c r="B967" t="str">
        <f>_xlfn.XLOOKUP($A967,ALGLIB_SSA_XAUUSD!$A$2:$A$1000,ALGLIB_SSA_XAUUSD!$B$2:$B$1000,"",0)</f>
        <v/>
      </c>
      <c r="C967" t="str">
        <f>_xlfn.XLOOKUP($A967,ALGLIB_SSA_XAUUSD!$A$2:$A$1000,ALGLIB_SSA_XAUUSD!$C$2:$C$1000,"",0)</f>
        <v/>
      </c>
      <c r="D967" s="1">
        <f>D962+(D974-D962)*5/12</f>
        <v>4711.9808333333331</v>
      </c>
      <c r="E967" s="1">
        <f>E962+(E974-E962)*5/12</f>
        <v>4718.1218316666673</v>
      </c>
      <c r="F967" s="1">
        <f>F962+(F974-F962)*5/12</f>
        <v>4717.145424166667</v>
      </c>
      <c r="G967" s="1">
        <f>G962+(G974-G962)*5/12</f>
        <v>4726.2557025000006</v>
      </c>
      <c r="H967" s="1">
        <f>H962+(H974-H962)*5/12</f>
        <v>4704.0056816666665</v>
      </c>
      <c r="I967" t="str">
        <f>_xlfn.XLOOKUP($A967,ALGLIB_SSA_XAUUSD!$J$2:$J$1000,ALGLIB_SSA_XAUUSD!$K$2:$K$1000,"",0)</f>
        <v>XAUUSD</v>
      </c>
      <c r="J967" t="str">
        <f>_xlfn.XLOOKUP($A967,ALGLIB_SSA_XAUUSD!$J$2:$J$1000,ALGLIB_SSA_XAUUSD!$L$2:$L$1000,"",0)</f>
        <v>M5</v>
      </c>
      <c r="K967">
        <f>_xlfn.XLOOKUP($A967,ALGLIB_SSA_XAUUSD!$J$2:$J$1000,ALGLIB_SSA_XAUUSD!$M$2:$M$1000,"",0)</f>
        <v>4710.1499999999996</v>
      </c>
      <c r="L967">
        <f>_xlfn.XLOOKUP($A967,ALGLIB_SSA_XAUUSD!$J$2:$J$1000,ALGLIB_SSA_XAUUSD!$N$2:$N$1000,"",0)</f>
        <v>4712.1841000000004</v>
      </c>
      <c r="M967">
        <f>_xlfn.XLOOKUP($A967,ALGLIB_SSA_XAUUSD!$J$2:$J$1000,ALGLIB_SSA_XAUUSD!$O$2:$O$1000,"",0)</f>
        <v>4711.8888800000004</v>
      </c>
      <c r="N967">
        <f>_xlfn.XLOOKUP($A967,ALGLIB_SSA_XAUUSD!$J$2:$J$1000,ALGLIB_SSA_XAUUSD!$P$2:$P$1000,"",0)</f>
        <v>4714.0187999999998</v>
      </c>
      <c r="O967">
        <f>_xlfn.XLOOKUP($A967,ALGLIB_SSA_XAUUSD!$J$2:$J$1000,ALGLIB_SSA_XAUUSD!$Q$2:$Q$1000,"",0)</f>
        <v>4709.1030000000001</v>
      </c>
      <c r="R967">
        <f t="shared" si="165"/>
        <v>1775690700</v>
      </c>
      <c r="S967" t="str">
        <f t="shared" si="166"/>
        <v>XAUUSD</v>
      </c>
      <c r="T967" t="str">
        <f t="shared" si="167"/>
        <v>M5</v>
      </c>
      <c r="U967">
        <f t="shared" si="168"/>
        <v>4710.1499999999996</v>
      </c>
      <c r="V967">
        <v>4718.12183</v>
      </c>
      <c r="W967">
        <v>4717.1454199999998</v>
      </c>
      <c r="X967">
        <v>4712.1841000000004</v>
      </c>
      <c r="Y967">
        <v>4711.8888800000004</v>
      </c>
      <c r="Z967">
        <f t="shared" si="169"/>
        <v>4726.2557025000006</v>
      </c>
      <c r="AA967">
        <f t="shared" si="170"/>
        <v>4714.0187999999998</v>
      </c>
      <c r="AB967">
        <f t="shared" si="171"/>
        <v>4704.0056816666665</v>
      </c>
      <c r="AC967">
        <f t="shared" si="172"/>
        <v>4709.1030000000001</v>
      </c>
      <c r="AF967">
        <f t="shared" si="173"/>
        <v>4712.1841000000004</v>
      </c>
      <c r="AG967">
        <f t="shared" si="174"/>
        <v>4726.2557025000006</v>
      </c>
      <c r="AH967">
        <f t="shared" si="175"/>
        <v>4704.0056816666665</v>
      </c>
    </row>
    <row r="968" spans="1:34" x14ac:dyDescent="0.55000000000000004">
      <c r="A968">
        <f>ALGLIB_SSA_XAUUSD!J968</f>
        <v>1775691000</v>
      </c>
      <c r="B968" t="str">
        <f>_xlfn.XLOOKUP($A968,ALGLIB_SSA_XAUUSD!$A$2:$A$1000,ALGLIB_SSA_XAUUSD!$B$2:$B$1000,"",0)</f>
        <v/>
      </c>
      <c r="C968" t="str">
        <f>_xlfn.XLOOKUP($A968,ALGLIB_SSA_XAUUSD!$A$2:$A$1000,ALGLIB_SSA_XAUUSD!$C$2:$C$1000,"",0)</f>
        <v/>
      </c>
      <c r="D968" s="1">
        <f>D962+(D974-D962)*6/12</f>
        <v>4711.2449999999999</v>
      </c>
      <c r="E968" s="1">
        <f>E962+(E974-E962)*6/12</f>
        <v>4718.4801200000002</v>
      </c>
      <c r="F968" s="1">
        <f>F962+(F974-F962)*6/12</f>
        <v>4717.3288149999998</v>
      </c>
      <c r="G968" s="1">
        <f>G962+(G974-G962)*6/12</f>
        <v>4726.3761649999997</v>
      </c>
      <c r="H968" s="1">
        <f>H962+(H974-H962)*6/12</f>
        <v>4704.21648</v>
      </c>
      <c r="I968" t="str">
        <f>_xlfn.XLOOKUP($A968,ALGLIB_SSA_XAUUSD!$J$2:$J$1000,ALGLIB_SSA_XAUUSD!$K$2:$K$1000,"",0)</f>
        <v>XAUUSD</v>
      </c>
      <c r="J968" t="str">
        <f>_xlfn.XLOOKUP($A968,ALGLIB_SSA_XAUUSD!$J$2:$J$1000,ALGLIB_SSA_XAUUSD!$L$2:$L$1000,"",0)</f>
        <v>M5</v>
      </c>
      <c r="K968">
        <f>_xlfn.XLOOKUP($A968,ALGLIB_SSA_XAUUSD!$J$2:$J$1000,ALGLIB_SSA_XAUUSD!$M$2:$M$1000,"",0)</f>
        <v>4710.71</v>
      </c>
      <c r="L968">
        <f>_xlfn.XLOOKUP($A968,ALGLIB_SSA_XAUUSD!$J$2:$J$1000,ALGLIB_SSA_XAUUSD!$N$2:$N$1000,"",0)</f>
        <v>4713.0355799999998</v>
      </c>
      <c r="M968">
        <f>_xlfn.XLOOKUP($A968,ALGLIB_SSA_XAUUSD!$J$2:$J$1000,ALGLIB_SSA_XAUUSD!$O$2:$O$1000,"",0)</f>
        <v>4712.4622300000001</v>
      </c>
      <c r="N968">
        <f>_xlfn.XLOOKUP($A968,ALGLIB_SSA_XAUUSD!$J$2:$J$1000,ALGLIB_SSA_XAUUSD!$P$2:$P$1000,"",0)</f>
        <v>4714.5491300000003</v>
      </c>
      <c r="O968">
        <f>_xlfn.XLOOKUP($A968,ALGLIB_SSA_XAUUSD!$J$2:$J$1000,ALGLIB_SSA_XAUUSD!$Q$2:$Q$1000,"",0)</f>
        <v>4710.2986799999999</v>
      </c>
      <c r="R968">
        <f t="shared" si="165"/>
        <v>1775691000</v>
      </c>
      <c r="S968" t="str">
        <f t="shared" si="166"/>
        <v>XAUUSD</v>
      </c>
      <c r="T968" t="str">
        <f t="shared" si="167"/>
        <v>M5</v>
      </c>
      <c r="U968">
        <f t="shared" si="168"/>
        <v>4710.71</v>
      </c>
      <c r="V968">
        <v>4718.4801200000002</v>
      </c>
      <c r="W968">
        <v>4717.3288199999997</v>
      </c>
      <c r="X968">
        <v>4713.0355799999998</v>
      </c>
      <c r="Y968">
        <v>4712.4622300000001</v>
      </c>
      <c r="Z968">
        <f t="shared" si="169"/>
        <v>4726.3761649999997</v>
      </c>
      <c r="AA968">
        <f t="shared" si="170"/>
        <v>4714.5491300000003</v>
      </c>
      <c r="AB968">
        <f t="shared" si="171"/>
        <v>4704.21648</v>
      </c>
      <c r="AC968">
        <f t="shared" si="172"/>
        <v>4710.2986799999999</v>
      </c>
      <c r="AF968">
        <f t="shared" si="173"/>
        <v>4713.0355799999998</v>
      </c>
      <c r="AG968">
        <f t="shared" si="174"/>
        <v>4726.3761649999997</v>
      </c>
      <c r="AH968">
        <f t="shared" si="175"/>
        <v>4704.21648</v>
      </c>
    </row>
    <row r="969" spans="1:34" x14ac:dyDescent="0.55000000000000004">
      <c r="A969">
        <f>ALGLIB_SSA_XAUUSD!J969</f>
        <v>1775691300</v>
      </c>
      <c r="B969" t="str">
        <f>_xlfn.XLOOKUP($A969,ALGLIB_SSA_XAUUSD!$A$2:$A$1000,ALGLIB_SSA_XAUUSD!$B$2:$B$1000,"",0)</f>
        <v/>
      </c>
      <c r="C969" t="str">
        <f>_xlfn.XLOOKUP($A969,ALGLIB_SSA_XAUUSD!$A$2:$A$1000,ALGLIB_SSA_XAUUSD!$C$2:$C$1000,"",0)</f>
        <v/>
      </c>
      <c r="D969" s="1">
        <f>D962+(D974-D962)*7/12</f>
        <v>4710.5091666666667</v>
      </c>
      <c r="E969" s="1">
        <f>E962+(E974-E962)*7/12</f>
        <v>4718.8384083333331</v>
      </c>
      <c r="F969" s="1">
        <f>F962+(F974-F962)*7/12</f>
        <v>4717.5122058333327</v>
      </c>
      <c r="G969" s="1">
        <f>G962+(G974-G962)*7/12</f>
        <v>4726.4966274999997</v>
      </c>
      <c r="H969" s="1">
        <f>H962+(H974-H962)*7/12</f>
        <v>4704.4272783333336</v>
      </c>
      <c r="I969" t="str">
        <f>_xlfn.XLOOKUP($A969,ALGLIB_SSA_XAUUSD!$J$2:$J$1000,ALGLIB_SSA_XAUUSD!$K$2:$K$1000,"",0)</f>
        <v>XAUUSD</v>
      </c>
      <c r="J969" t="str">
        <f>_xlfn.XLOOKUP($A969,ALGLIB_SSA_XAUUSD!$J$2:$J$1000,ALGLIB_SSA_XAUUSD!$L$2:$L$1000,"",0)</f>
        <v>M5</v>
      </c>
      <c r="K969">
        <f>_xlfn.XLOOKUP($A969,ALGLIB_SSA_XAUUSD!$J$2:$J$1000,ALGLIB_SSA_XAUUSD!$M$2:$M$1000,"",0)</f>
        <v>4712.8</v>
      </c>
      <c r="L969">
        <f>_xlfn.XLOOKUP($A969,ALGLIB_SSA_XAUUSD!$J$2:$J$1000,ALGLIB_SSA_XAUUSD!$N$2:$N$1000,"",0)</f>
        <v>4713.7610000000004</v>
      </c>
      <c r="M969">
        <f>_xlfn.XLOOKUP($A969,ALGLIB_SSA_XAUUSD!$J$2:$J$1000,ALGLIB_SSA_XAUUSD!$O$2:$O$1000,"",0)</f>
        <v>4713.1116199999997</v>
      </c>
      <c r="N969">
        <f>_xlfn.XLOOKUP($A969,ALGLIB_SSA_XAUUSD!$J$2:$J$1000,ALGLIB_SSA_XAUUSD!$P$2:$P$1000,"",0)</f>
        <v>4715.3045199999997</v>
      </c>
      <c r="O969">
        <f>_xlfn.XLOOKUP($A969,ALGLIB_SSA_XAUUSD!$J$2:$J$1000,ALGLIB_SSA_XAUUSD!$Q$2:$Q$1000,"",0)</f>
        <v>4711.4084300000004</v>
      </c>
      <c r="R969">
        <f t="shared" si="165"/>
        <v>1775691300</v>
      </c>
      <c r="S969" t="str">
        <f t="shared" si="166"/>
        <v>XAUUSD</v>
      </c>
      <c r="T969" t="str">
        <f t="shared" si="167"/>
        <v>M5</v>
      </c>
      <c r="U969">
        <f t="shared" si="168"/>
        <v>4712.8</v>
      </c>
      <c r="V969">
        <v>4718.8384100000003</v>
      </c>
      <c r="W969">
        <v>4717.5122099999999</v>
      </c>
      <c r="X969">
        <v>4713.7610000000004</v>
      </c>
      <c r="Y969">
        <v>4713.1116199999997</v>
      </c>
      <c r="Z969">
        <f t="shared" si="169"/>
        <v>4726.4966274999997</v>
      </c>
      <c r="AA969">
        <f t="shared" si="170"/>
        <v>4715.3045199999997</v>
      </c>
      <c r="AB969">
        <f t="shared" si="171"/>
        <v>4704.4272783333336</v>
      </c>
      <c r="AC969">
        <f t="shared" si="172"/>
        <v>4711.4084300000004</v>
      </c>
      <c r="AF969">
        <f t="shared" si="173"/>
        <v>4713.7610000000004</v>
      </c>
      <c r="AG969">
        <f t="shared" si="174"/>
        <v>4726.4966274999997</v>
      </c>
      <c r="AH969">
        <f t="shared" si="175"/>
        <v>4704.4272783333336</v>
      </c>
    </row>
    <row r="970" spans="1:34" x14ac:dyDescent="0.55000000000000004">
      <c r="A970">
        <f>ALGLIB_SSA_XAUUSD!J970</f>
        <v>1775691600</v>
      </c>
      <c r="B970" t="str">
        <f>_xlfn.XLOOKUP($A970,ALGLIB_SSA_XAUUSD!$A$2:$A$1000,ALGLIB_SSA_XAUUSD!$B$2:$B$1000,"",0)</f>
        <v/>
      </c>
      <c r="C970" t="str">
        <f>_xlfn.XLOOKUP($A970,ALGLIB_SSA_XAUUSD!$A$2:$A$1000,ALGLIB_SSA_XAUUSD!$C$2:$C$1000,"",0)</f>
        <v/>
      </c>
      <c r="D970" s="1">
        <f>D962+(D974-D962)*8/12</f>
        <v>4709.7733333333335</v>
      </c>
      <c r="E970" s="1">
        <f>E962+(E974-E962)*8/12</f>
        <v>4719.1966966666669</v>
      </c>
      <c r="F970" s="1">
        <f>F962+(F974-F962)*8/12</f>
        <v>4717.6955966666665</v>
      </c>
      <c r="G970" s="1">
        <f>G962+(G974-G962)*8/12</f>
        <v>4726.6170899999997</v>
      </c>
      <c r="H970" s="1">
        <f>H962+(H974-H962)*8/12</f>
        <v>4704.6380766666671</v>
      </c>
      <c r="I970" t="str">
        <f>_xlfn.XLOOKUP($A970,ALGLIB_SSA_XAUUSD!$J$2:$J$1000,ALGLIB_SSA_XAUUSD!$K$2:$K$1000,"",0)</f>
        <v>XAUUSD</v>
      </c>
      <c r="J970" t="str">
        <f>_xlfn.XLOOKUP($A970,ALGLIB_SSA_XAUUSD!$J$2:$J$1000,ALGLIB_SSA_XAUUSD!$L$2:$L$1000,"",0)</f>
        <v>M5</v>
      </c>
      <c r="K970">
        <f>_xlfn.XLOOKUP($A970,ALGLIB_SSA_XAUUSD!$J$2:$J$1000,ALGLIB_SSA_XAUUSD!$M$2:$M$1000,"",0)</f>
        <v>4713.59</v>
      </c>
      <c r="L970">
        <f>_xlfn.XLOOKUP($A970,ALGLIB_SSA_XAUUSD!$J$2:$J$1000,ALGLIB_SSA_XAUUSD!$N$2:$N$1000,"",0)</f>
        <v>4714.0163899999998</v>
      </c>
      <c r="M970">
        <f>_xlfn.XLOOKUP($A970,ALGLIB_SSA_XAUUSD!$J$2:$J$1000,ALGLIB_SSA_XAUUSD!$O$2:$O$1000,"",0)</f>
        <v>4713.5640000000003</v>
      </c>
      <c r="N970">
        <f>_xlfn.XLOOKUP($A970,ALGLIB_SSA_XAUUSD!$J$2:$J$1000,ALGLIB_SSA_XAUUSD!$P$2:$P$1000,"",0)</f>
        <v>4715.9395100000002</v>
      </c>
      <c r="O970">
        <f>_xlfn.XLOOKUP($A970,ALGLIB_SSA_XAUUSD!$J$2:$J$1000,ALGLIB_SSA_XAUUSD!$Q$2:$Q$1000,"",0)</f>
        <v>4711.9626099999996</v>
      </c>
      <c r="R970">
        <f t="shared" si="165"/>
        <v>1775691600</v>
      </c>
      <c r="S970" t="str">
        <f t="shared" si="166"/>
        <v>XAUUSD</v>
      </c>
      <c r="T970" t="str">
        <f t="shared" si="167"/>
        <v>M5</v>
      </c>
      <c r="U970">
        <f t="shared" si="168"/>
        <v>4713.59</v>
      </c>
      <c r="V970">
        <v>4719.1967000000004</v>
      </c>
      <c r="W970">
        <v>4717.6956</v>
      </c>
      <c r="X970">
        <v>4714.0163899999998</v>
      </c>
      <c r="Y970">
        <v>4713.5640000000003</v>
      </c>
      <c r="Z970">
        <f t="shared" si="169"/>
        <v>4726.6170899999997</v>
      </c>
      <c r="AA970">
        <f t="shared" si="170"/>
        <v>4715.9395100000002</v>
      </c>
      <c r="AB970">
        <f t="shared" si="171"/>
        <v>4704.6380766666671</v>
      </c>
      <c r="AC970">
        <f t="shared" si="172"/>
        <v>4711.9626099999996</v>
      </c>
      <c r="AF970">
        <f t="shared" si="173"/>
        <v>4714.0163899999998</v>
      </c>
      <c r="AG970">
        <f t="shared" si="174"/>
        <v>4726.6170899999997</v>
      </c>
      <c r="AH970">
        <f t="shared" si="175"/>
        <v>4704.6380766666671</v>
      </c>
    </row>
    <row r="971" spans="1:34" x14ac:dyDescent="0.55000000000000004">
      <c r="A971">
        <f>ALGLIB_SSA_XAUUSD!J971</f>
        <v>1775691900</v>
      </c>
      <c r="B971" t="str">
        <f>_xlfn.XLOOKUP($A971,ALGLIB_SSA_XAUUSD!$A$2:$A$1000,ALGLIB_SSA_XAUUSD!$B$2:$B$1000,"",0)</f>
        <v/>
      </c>
      <c r="C971" t="str">
        <f>_xlfn.XLOOKUP($A971,ALGLIB_SSA_XAUUSD!$A$2:$A$1000,ALGLIB_SSA_XAUUSD!$C$2:$C$1000,"",0)</f>
        <v/>
      </c>
      <c r="D971" s="1">
        <f>D962+(D974-D962)*9/12</f>
        <v>4709.0375000000004</v>
      </c>
      <c r="E971" s="1">
        <f>E962+(E974-E962)*9/12</f>
        <v>4719.5549850000007</v>
      </c>
      <c r="F971" s="1">
        <f>F962+(F974-F962)*9/12</f>
        <v>4717.8789875000002</v>
      </c>
      <c r="G971" s="1">
        <f>G962+(G974-G962)*9/12</f>
        <v>4726.7375524999998</v>
      </c>
      <c r="H971" s="1">
        <f>H962+(H974-H962)*9/12</f>
        <v>4704.8488749999997</v>
      </c>
      <c r="I971" t="str">
        <f>_xlfn.XLOOKUP($A971,ALGLIB_SSA_XAUUSD!$J$2:$J$1000,ALGLIB_SSA_XAUUSD!$K$2:$K$1000,"",0)</f>
        <v>XAUUSD</v>
      </c>
      <c r="J971" t="str">
        <f>_xlfn.XLOOKUP($A971,ALGLIB_SSA_XAUUSD!$J$2:$J$1000,ALGLIB_SSA_XAUUSD!$L$2:$L$1000,"",0)</f>
        <v>M5</v>
      </c>
      <c r="K971">
        <f>_xlfn.XLOOKUP($A971,ALGLIB_SSA_XAUUSD!$J$2:$J$1000,ALGLIB_SSA_XAUUSD!$M$2:$M$1000,"",0)</f>
        <v>4717.7</v>
      </c>
      <c r="L971">
        <f>_xlfn.XLOOKUP($A971,ALGLIB_SSA_XAUUSD!$J$2:$J$1000,ALGLIB_SSA_XAUUSD!$N$2:$N$1000,"",0)</f>
        <v>4713.5798299999997</v>
      </c>
      <c r="M971">
        <f>_xlfn.XLOOKUP($A971,ALGLIB_SSA_XAUUSD!$J$2:$J$1000,ALGLIB_SSA_XAUUSD!$O$2:$O$1000,"",0)</f>
        <v>4713.5719200000003</v>
      </c>
      <c r="N971">
        <f>_xlfn.XLOOKUP($A971,ALGLIB_SSA_XAUUSD!$J$2:$J$1000,ALGLIB_SSA_XAUUSD!$P$2:$P$1000,"",0)</f>
        <v>4716.12428</v>
      </c>
      <c r="O971">
        <f>_xlfn.XLOOKUP($A971,ALGLIB_SSA_XAUUSD!$J$2:$J$1000,ALGLIB_SSA_XAUUSD!$Q$2:$Q$1000,"",0)</f>
        <v>4711.6226500000002</v>
      </c>
      <c r="R971">
        <f t="shared" si="165"/>
        <v>1775691900</v>
      </c>
      <c r="S971" t="str">
        <f t="shared" si="166"/>
        <v>XAUUSD</v>
      </c>
      <c r="T971" t="str">
        <f t="shared" si="167"/>
        <v>M5</v>
      </c>
      <c r="U971">
        <f t="shared" si="168"/>
        <v>4717.7</v>
      </c>
      <c r="V971">
        <v>4719.5549899999996</v>
      </c>
      <c r="W971">
        <v>4717.8789900000002</v>
      </c>
      <c r="X971">
        <v>4713.5798299999997</v>
      </c>
      <c r="Y971">
        <v>4713.5719200000003</v>
      </c>
      <c r="Z971">
        <f t="shared" si="169"/>
        <v>4726.7375524999998</v>
      </c>
      <c r="AA971">
        <f t="shared" si="170"/>
        <v>4716.12428</v>
      </c>
      <c r="AB971">
        <f t="shared" si="171"/>
        <v>4704.8488749999997</v>
      </c>
      <c r="AC971">
        <f t="shared" si="172"/>
        <v>4711.6226500000002</v>
      </c>
      <c r="AF971">
        <f t="shared" si="173"/>
        <v>4713.5798299999997</v>
      </c>
      <c r="AG971">
        <f t="shared" si="174"/>
        <v>4726.7375524999998</v>
      </c>
      <c r="AH971">
        <f t="shared" si="175"/>
        <v>4704.8488749999997</v>
      </c>
    </row>
    <row r="972" spans="1:34" x14ac:dyDescent="0.55000000000000004">
      <c r="A972">
        <f>ALGLIB_SSA_XAUUSD!J972</f>
        <v>1775692200</v>
      </c>
      <c r="B972" t="str">
        <f>_xlfn.XLOOKUP($A972,ALGLIB_SSA_XAUUSD!$A$2:$A$1000,ALGLIB_SSA_XAUUSD!$B$2:$B$1000,"",0)</f>
        <v/>
      </c>
      <c r="C972" t="str">
        <f>_xlfn.XLOOKUP($A972,ALGLIB_SSA_XAUUSD!$A$2:$A$1000,ALGLIB_SSA_XAUUSD!$C$2:$C$1000,"",0)</f>
        <v/>
      </c>
      <c r="D972" s="1">
        <f>D962+(D974-D962)*10/12</f>
        <v>4708.3016666666663</v>
      </c>
      <c r="E972" s="1">
        <f>E962+(E974-E962)*10/12</f>
        <v>4719.9132733333336</v>
      </c>
      <c r="F972" s="1">
        <f>F962+(F974-F962)*10/12</f>
        <v>4718.0623783333331</v>
      </c>
      <c r="G972" s="1">
        <f>G962+(G974-G962)*10/12</f>
        <v>4726.8580149999998</v>
      </c>
      <c r="H972" s="1">
        <f>H962+(H974-H962)*10/12</f>
        <v>4705.0596733333332</v>
      </c>
      <c r="I972" t="str">
        <f>_xlfn.XLOOKUP($A972,ALGLIB_SSA_XAUUSD!$J$2:$J$1000,ALGLIB_SSA_XAUUSD!$K$2:$K$1000,"",0)</f>
        <v>XAUUSD</v>
      </c>
      <c r="J972" t="str">
        <f>_xlfn.XLOOKUP($A972,ALGLIB_SSA_XAUUSD!$J$2:$J$1000,ALGLIB_SSA_XAUUSD!$L$2:$L$1000,"",0)</f>
        <v>M5</v>
      </c>
      <c r="K972">
        <f>_xlfn.XLOOKUP($A972,ALGLIB_SSA_XAUUSD!$J$2:$J$1000,ALGLIB_SSA_XAUUSD!$M$2:$M$1000,"",0)</f>
        <v>4715.08</v>
      </c>
      <c r="L972">
        <f>_xlfn.XLOOKUP($A972,ALGLIB_SSA_XAUUSD!$J$2:$J$1000,ALGLIB_SSA_XAUUSD!$N$2:$N$1000,"",0)</f>
        <v>4712.3145299999996</v>
      </c>
      <c r="M972">
        <f>_xlfn.XLOOKUP($A972,ALGLIB_SSA_XAUUSD!$J$2:$J$1000,ALGLIB_SSA_XAUUSD!$O$2:$O$1000,"",0)</f>
        <v>4712.9432200000001</v>
      </c>
      <c r="N972">
        <f>_xlfn.XLOOKUP($A972,ALGLIB_SSA_XAUUSD!$J$2:$J$1000,ALGLIB_SSA_XAUUSD!$P$2:$P$1000,"",0)</f>
        <v>4715.6140100000002</v>
      </c>
      <c r="O972">
        <f>_xlfn.XLOOKUP($A972,ALGLIB_SSA_XAUUSD!$J$2:$J$1000,ALGLIB_SSA_XAUUSD!$Q$2:$Q$1000,"",0)</f>
        <v>4710.3112899999996</v>
      </c>
      <c r="R972">
        <f t="shared" si="165"/>
        <v>1775692200</v>
      </c>
      <c r="S972" t="str">
        <f t="shared" si="166"/>
        <v>XAUUSD</v>
      </c>
      <c r="T972" t="str">
        <f t="shared" si="167"/>
        <v>M5</v>
      </c>
      <c r="U972">
        <f t="shared" si="168"/>
        <v>4715.08</v>
      </c>
      <c r="V972">
        <v>4719.91327</v>
      </c>
      <c r="W972">
        <v>4718.0623800000003</v>
      </c>
      <c r="X972">
        <v>4712.3145299999996</v>
      </c>
      <c r="Y972">
        <v>4712.9432200000001</v>
      </c>
      <c r="Z972">
        <f t="shared" si="169"/>
        <v>4726.8580149999998</v>
      </c>
      <c r="AA972">
        <f t="shared" si="170"/>
        <v>4715.6140100000002</v>
      </c>
      <c r="AB972">
        <f t="shared" si="171"/>
        <v>4705.0596733333332</v>
      </c>
      <c r="AC972">
        <f t="shared" si="172"/>
        <v>4710.3112899999996</v>
      </c>
      <c r="AF972">
        <f t="shared" si="173"/>
        <v>4712.3145299999996</v>
      </c>
      <c r="AG972">
        <f t="shared" si="174"/>
        <v>4726.8580149999998</v>
      </c>
      <c r="AH972">
        <f t="shared" si="175"/>
        <v>4705.0596733333332</v>
      </c>
    </row>
    <row r="973" spans="1:34" x14ac:dyDescent="0.55000000000000004">
      <c r="A973">
        <f>ALGLIB_SSA_XAUUSD!J973</f>
        <v>1775692500</v>
      </c>
      <c r="B973" t="str">
        <f>_xlfn.XLOOKUP($A973,ALGLIB_SSA_XAUUSD!$A$2:$A$1000,ALGLIB_SSA_XAUUSD!$B$2:$B$1000,"",0)</f>
        <v/>
      </c>
      <c r="C973" t="str">
        <f>_xlfn.XLOOKUP($A973,ALGLIB_SSA_XAUUSD!$A$2:$A$1000,ALGLIB_SSA_XAUUSD!$C$2:$C$1000,"",0)</f>
        <v/>
      </c>
      <c r="D973" s="1">
        <f>D962+(D974-D962)*11/12</f>
        <v>4707.5658333333331</v>
      </c>
      <c r="E973" s="1">
        <f>E962+(E974-E962)*11/12</f>
        <v>4720.2715616666665</v>
      </c>
      <c r="F973" s="1">
        <f>F962+(F974-F962)*11/12</f>
        <v>4718.2457691666659</v>
      </c>
      <c r="G973" s="1">
        <f>G962+(G974-G962)*11/12</f>
        <v>4726.9784774999998</v>
      </c>
      <c r="H973" s="1">
        <f>H962+(H974-H962)*11/12</f>
        <v>4705.2704716666667</v>
      </c>
      <c r="I973" t="str">
        <f>_xlfn.XLOOKUP($A973,ALGLIB_SSA_XAUUSD!$J$2:$J$1000,ALGLIB_SSA_XAUUSD!$K$2:$K$1000,"",0)</f>
        <v>XAUUSD</v>
      </c>
      <c r="J973" t="str">
        <f>_xlfn.XLOOKUP($A973,ALGLIB_SSA_XAUUSD!$J$2:$J$1000,ALGLIB_SSA_XAUUSD!$L$2:$L$1000,"",0)</f>
        <v>M5</v>
      </c>
      <c r="K973">
        <f>_xlfn.XLOOKUP($A973,ALGLIB_SSA_XAUUSD!$J$2:$J$1000,ALGLIB_SSA_XAUUSD!$M$2:$M$1000,"",0)</f>
        <v>4715.66</v>
      </c>
      <c r="L973">
        <f>_xlfn.XLOOKUP($A973,ALGLIB_SSA_XAUUSD!$J$2:$J$1000,ALGLIB_SSA_XAUUSD!$N$2:$N$1000,"",0)</f>
        <v>4710.5830800000003</v>
      </c>
      <c r="M973">
        <f>_xlfn.XLOOKUP($A973,ALGLIB_SSA_XAUUSD!$J$2:$J$1000,ALGLIB_SSA_XAUUSD!$O$2:$O$1000,"",0)</f>
        <v>4711.7631499999998</v>
      </c>
      <c r="N973">
        <f>_xlfn.XLOOKUP($A973,ALGLIB_SSA_XAUUSD!$J$2:$J$1000,ALGLIB_SSA_XAUUSD!$P$2:$P$1000,"",0)</f>
        <v>4714.4553299999998</v>
      </c>
      <c r="O973">
        <f>_xlfn.XLOOKUP($A973,ALGLIB_SSA_XAUUSD!$J$2:$J$1000,ALGLIB_SSA_XAUUSD!$Q$2:$Q$1000,"",0)</f>
        <v>4708.3122000000003</v>
      </c>
      <c r="R973">
        <f t="shared" si="165"/>
        <v>1775692500</v>
      </c>
      <c r="S973" t="str">
        <f t="shared" si="166"/>
        <v>XAUUSD</v>
      </c>
      <c r="T973" t="str">
        <f t="shared" si="167"/>
        <v>M5</v>
      </c>
      <c r="U973">
        <f t="shared" si="168"/>
        <v>4715.66</v>
      </c>
      <c r="V973">
        <v>4720.2715600000001</v>
      </c>
      <c r="W973">
        <v>4718.2457700000004</v>
      </c>
      <c r="X973">
        <v>4710.5830800000003</v>
      </c>
      <c r="Y973">
        <v>4711.7631499999998</v>
      </c>
      <c r="Z973">
        <f t="shared" si="169"/>
        <v>4726.9784774999998</v>
      </c>
      <c r="AA973">
        <f t="shared" si="170"/>
        <v>4714.4553299999998</v>
      </c>
      <c r="AB973">
        <f t="shared" si="171"/>
        <v>4705.2704716666667</v>
      </c>
      <c r="AC973">
        <f t="shared" si="172"/>
        <v>4708.3122000000003</v>
      </c>
      <c r="AF973">
        <f t="shared" si="173"/>
        <v>4710.5830800000003</v>
      </c>
      <c r="AG973">
        <f t="shared" si="174"/>
        <v>4726.9784774999998</v>
      </c>
      <c r="AH973">
        <f t="shared" si="175"/>
        <v>4705.2704716666667</v>
      </c>
    </row>
    <row r="974" spans="1:34" x14ac:dyDescent="0.55000000000000004">
      <c r="A974">
        <f>ALGLIB_SSA_XAUUSD!J974</f>
        <v>1775692800</v>
      </c>
      <c r="B974" t="str">
        <f>_xlfn.XLOOKUP($A974,ALGLIB_SSA_XAUUSD!$A$2:$A$1000,ALGLIB_SSA_XAUUSD!$B$2:$B$1000,"",0)</f>
        <v>XAUUSD</v>
      </c>
      <c r="C974" t="str">
        <f>_xlfn.XLOOKUP($A974,ALGLIB_SSA_XAUUSD!$A$2:$A$1000,ALGLIB_SSA_XAUUSD!$C$2:$C$1000,"",0)</f>
        <v>H1</v>
      </c>
      <c r="D974" s="2">
        <f>_xlfn.XLOOKUP($A974,ALGLIB_SSA_XAUUSD!$A$2:$A$1000,ALGLIB_SSA_XAUUSD!$D$2:$D$1000,"",0)</f>
        <v>4706.83</v>
      </c>
      <c r="E974" s="2">
        <f>_xlfn.XLOOKUP($A974,ALGLIB_SSA_XAUUSD!$A$2:$A$1000,ALGLIB_SSA_XAUUSD!$E$2:$E$1000,"",0)</f>
        <v>4720.6298500000003</v>
      </c>
      <c r="F974" s="2">
        <f>_xlfn.XLOOKUP($A974,ALGLIB_SSA_XAUUSD!$A$2:$A$1000,ALGLIB_SSA_XAUUSD!$F$2:$F$1000,"",0)</f>
        <v>4718.4291599999997</v>
      </c>
      <c r="G974" s="2">
        <f>_xlfn.XLOOKUP($A974,ALGLIB_SSA_XAUUSD!$A$2:$A$1000,ALGLIB_SSA_XAUUSD!$G$2:$G$1000,"",0)</f>
        <v>4727.0989399999999</v>
      </c>
      <c r="H974" s="2">
        <f>_xlfn.XLOOKUP($A974,ALGLIB_SSA_XAUUSD!$A$2:$A$1000,ALGLIB_SSA_XAUUSD!$H$2:$H$1000,"",0)</f>
        <v>4705.4812700000002</v>
      </c>
      <c r="I974" t="str">
        <f>_xlfn.XLOOKUP($A974,ALGLIB_SSA_XAUUSD!$J$2:$J$1000,ALGLIB_SSA_XAUUSD!$K$2:$K$1000,"",0)</f>
        <v>XAUUSD</v>
      </c>
      <c r="J974" t="str">
        <f>_xlfn.XLOOKUP($A974,ALGLIB_SSA_XAUUSD!$J$2:$J$1000,ALGLIB_SSA_XAUUSD!$L$2:$L$1000,"",0)</f>
        <v>M5</v>
      </c>
      <c r="K974">
        <f>_xlfn.XLOOKUP($A974,ALGLIB_SSA_XAUUSD!$J$2:$J$1000,ALGLIB_SSA_XAUUSD!$M$2:$M$1000,"",0)</f>
        <v>4705.3599999999997</v>
      </c>
      <c r="L974">
        <f>_xlfn.XLOOKUP($A974,ALGLIB_SSA_XAUUSD!$J$2:$J$1000,ALGLIB_SSA_XAUUSD!$N$2:$N$1000,"",0)</f>
        <v>4708.5802599999997</v>
      </c>
      <c r="M974">
        <f>_xlfn.XLOOKUP($A974,ALGLIB_SSA_XAUUSD!$J$2:$J$1000,ALGLIB_SSA_XAUUSD!$O$2:$O$1000,"",0)</f>
        <v>4710.1717099999996</v>
      </c>
      <c r="N974">
        <f>_xlfn.XLOOKUP($A974,ALGLIB_SSA_XAUUSD!$J$2:$J$1000,ALGLIB_SSA_XAUUSD!$P$2:$P$1000,"",0)</f>
        <v>4712.8370999999997</v>
      </c>
      <c r="O974">
        <f>_xlfn.XLOOKUP($A974,ALGLIB_SSA_XAUUSD!$J$2:$J$1000,ALGLIB_SSA_XAUUSD!$Q$2:$Q$1000,"",0)</f>
        <v>4705.9211400000004</v>
      </c>
      <c r="R974">
        <f t="shared" si="165"/>
        <v>1775692800</v>
      </c>
      <c r="S974" t="str">
        <f t="shared" si="166"/>
        <v>XAUUSD</v>
      </c>
      <c r="T974" t="str">
        <f t="shared" si="167"/>
        <v>M5</v>
      </c>
      <c r="U974">
        <f t="shared" si="168"/>
        <v>4705.3599999999997</v>
      </c>
      <c r="V974">
        <v>4720.6298500000003</v>
      </c>
      <c r="W974">
        <v>4718.4291599999997</v>
      </c>
      <c r="X974">
        <v>4708.5802599999997</v>
      </c>
      <c r="Y974">
        <v>4710.1717099999996</v>
      </c>
      <c r="Z974">
        <f t="shared" si="169"/>
        <v>4727.0989399999999</v>
      </c>
      <c r="AA974">
        <f t="shared" si="170"/>
        <v>4712.8370999999997</v>
      </c>
      <c r="AB974">
        <f t="shared" si="171"/>
        <v>4705.4812700000002</v>
      </c>
      <c r="AC974">
        <f t="shared" si="172"/>
        <v>4705.9211400000004</v>
      </c>
      <c r="AF974">
        <f t="shared" si="173"/>
        <v>4708.5802599999997</v>
      </c>
      <c r="AG974">
        <f t="shared" si="174"/>
        <v>4727.0989399999999</v>
      </c>
      <c r="AH974">
        <f t="shared" si="175"/>
        <v>4705.4812700000002</v>
      </c>
    </row>
    <row r="975" spans="1:34" x14ac:dyDescent="0.55000000000000004">
      <c r="A975">
        <f>ALGLIB_SSA_XAUUSD!J975</f>
        <v>1775693100</v>
      </c>
      <c r="B975" t="str">
        <f>_xlfn.XLOOKUP($A975,ALGLIB_SSA_XAUUSD!$A$2:$A$1000,ALGLIB_SSA_XAUUSD!$B$2:$B$1000,"",0)</f>
        <v/>
      </c>
      <c r="C975" t="str">
        <f>_xlfn.XLOOKUP($A975,ALGLIB_SSA_XAUUSD!$A$2:$A$1000,ALGLIB_SSA_XAUUSD!$C$2:$C$1000,"",0)</f>
        <v/>
      </c>
      <c r="D975" s="1">
        <f>D974+(D986-D974)*1/12</f>
        <v>4708.55</v>
      </c>
      <c r="E975" s="1">
        <f>E974+(E986-E974)*1/12</f>
        <v>4721.1353175000004</v>
      </c>
      <c r="F975" s="1">
        <f>F974+(F986-F974)*1/12</f>
        <v>4718.7735891666662</v>
      </c>
      <c r="G975" s="1">
        <f>G974+(G986-G974)*1/12</f>
        <v>4727.3234633333332</v>
      </c>
      <c r="H975" s="1">
        <f>H974+(H986-H974)*1/12</f>
        <v>4705.7792158333332</v>
      </c>
      <c r="I975" t="str">
        <f>_xlfn.XLOOKUP($A975,ALGLIB_SSA_XAUUSD!$J$2:$J$1000,ALGLIB_SSA_XAUUSD!$K$2:$K$1000,"",0)</f>
        <v>XAUUSD</v>
      </c>
      <c r="J975" t="str">
        <f>_xlfn.XLOOKUP($A975,ALGLIB_SSA_XAUUSD!$J$2:$J$1000,ALGLIB_SSA_XAUUSD!$L$2:$L$1000,"",0)</f>
        <v>M5</v>
      </c>
      <c r="K975">
        <f>_xlfn.XLOOKUP($A975,ALGLIB_SSA_XAUUSD!$J$2:$J$1000,ALGLIB_SSA_XAUUSD!$M$2:$M$1000,"",0)</f>
        <v>4700.6099999999997</v>
      </c>
      <c r="L975">
        <f>_xlfn.XLOOKUP($A975,ALGLIB_SSA_XAUUSD!$J$2:$J$1000,ALGLIB_SSA_XAUUSD!$N$2:$N$1000,"",0)</f>
        <v>4706.8173699999998</v>
      </c>
      <c r="M975">
        <f>_xlfn.XLOOKUP($A975,ALGLIB_SSA_XAUUSD!$J$2:$J$1000,ALGLIB_SSA_XAUUSD!$O$2:$O$1000,"",0)</f>
        <v>4708.4945399999997</v>
      </c>
      <c r="N975">
        <f>_xlfn.XLOOKUP($A975,ALGLIB_SSA_XAUUSD!$J$2:$J$1000,ALGLIB_SSA_XAUUSD!$P$2:$P$1000,"",0)</f>
        <v>4711.07593</v>
      </c>
      <c r="O975">
        <f>_xlfn.XLOOKUP($A975,ALGLIB_SSA_XAUUSD!$J$2:$J$1000,ALGLIB_SSA_XAUUSD!$Q$2:$Q$1000,"",0)</f>
        <v>4703.7196599999997</v>
      </c>
      <c r="R975">
        <f t="shared" si="165"/>
        <v>1775693100</v>
      </c>
      <c r="S975" t="str">
        <f t="shared" si="166"/>
        <v>XAUUSD</v>
      </c>
      <c r="T975" t="str">
        <f t="shared" si="167"/>
        <v>M5</v>
      </c>
      <c r="U975">
        <f t="shared" si="168"/>
        <v>4700.6099999999997</v>
      </c>
      <c r="V975">
        <v>4721.1353200000003</v>
      </c>
      <c r="W975">
        <v>4718.7735899999998</v>
      </c>
      <c r="X975">
        <v>4706.8173699999998</v>
      </c>
      <c r="Y975">
        <v>4708.4945399999997</v>
      </c>
      <c r="Z975">
        <f t="shared" si="169"/>
        <v>4727.3234633333332</v>
      </c>
      <c r="AA975">
        <f t="shared" si="170"/>
        <v>4711.07593</v>
      </c>
      <c r="AB975">
        <f t="shared" si="171"/>
        <v>4705.7792158333332</v>
      </c>
      <c r="AC975">
        <f t="shared" si="172"/>
        <v>4703.7196599999997</v>
      </c>
      <c r="AF975">
        <f t="shared" si="173"/>
        <v>4706.8173699999998</v>
      </c>
      <c r="AG975">
        <f t="shared" si="174"/>
        <v>4727.3234633333332</v>
      </c>
      <c r="AH975">
        <f t="shared" si="175"/>
        <v>4705.7792158333332</v>
      </c>
    </row>
    <row r="976" spans="1:34" x14ac:dyDescent="0.55000000000000004">
      <c r="A976">
        <f>ALGLIB_SSA_XAUUSD!J976</f>
        <v>1775693400</v>
      </c>
      <c r="B976" t="str">
        <f>_xlfn.XLOOKUP($A976,ALGLIB_SSA_XAUUSD!$A$2:$A$1000,ALGLIB_SSA_XAUUSD!$B$2:$B$1000,"",0)</f>
        <v/>
      </c>
      <c r="C976" t="str">
        <f>_xlfn.XLOOKUP($A976,ALGLIB_SSA_XAUUSD!$A$2:$A$1000,ALGLIB_SSA_XAUUSD!$C$2:$C$1000,"",0)</f>
        <v/>
      </c>
      <c r="D976" s="1">
        <f>D974+(D986-D974)*2/12</f>
        <v>4710.2700000000004</v>
      </c>
      <c r="E976" s="1">
        <f>E974+(E986-E974)*2/12</f>
        <v>4721.6407850000005</v>
      </c>
      <c r="F976" s="1">
        <f>F974+(F986-F974)*2/12</f>
        <v>4719.1180183333327</v>
      </c>
      <c r="G976" s="1">
        <f>G974+(G986-G974)*2/12</f>
        <v>4727.5479866666665</v>
      </c>
      <c r="H976" s="1">
        <f>H974+(H986-H974)*2/12</f>
        <v>4706.0771616666671</v>
      </c>
      <c r="I976" t="str">
        <f>_xlfn.XLOOKUP($A976,ALGLIB_SSA_XAUUSD!$J$2:$J$1000,ALGLIB_SSA_XAUUSD!$K$2:$K$1000,"",0)</f>
        <v>XAUUSD</v>
      </c>
      <c r="J976" t="str">
        <f>_xlfn.XLOOKUP($A976,ALGLIB_SSA_XAUUSD!$J$2:$J$1000,ALGLIB_SSA_XAUUSD!$L$2:$L$1000,"",0)</f>
        <v>M5</v>
      </c>
      <c r="K976">
        <f>_xlfn.XLOOKUP($A976,ALGLIB_SSA_XAUUSD!$J$2:$J$1000,ALGLIB_SSA_XAUUSD!$M$2:$M$1000,"",0)</f>
        <v>4702.29</v>
      </c>
      <c r="L976">
        <f>_xlfn.XLOOKUP($A976,ALGLIB_SSA_XAUUSD!$J$2:$J$1000,ALGLIB_SSA_XAUUSD!$N$2:$N$1000,"",0)</f>
        <v>4705.7225200000003</v>
      </c>
      <c r="M976">
        <f>_xlfn.XLOOKUP($A976,ALGLIB_SSA_XAUUSD!$J$2:$J$1000,ALGLIB_SSA_XAUUSD!$O$2:$O$1000,"",0)</f>
        <v>4707.1085300000004</v>
      </c>
      <c r="N976">
        <f>_xlfn.XLOOKUP($A976,ALGLIB_SSA_XAUUSD!$J$2:$J$1000,ALGLIB_SSA_XAUUSD!$P$2:$P$1000,"",0)</f>
        <v>4709.6772300000002</v>
      </c>
      <c r="O976">
        <f>_xlfn.XLOOKUP($A976,ALGLIB_SSA_XAUUSD!$J$2:$J$1000,ALGLIB_SSA_XAUUSD!$Q$2:$Q$1000,"",0)</f>
        <v>4702.2288600000002</v>
      </c>
      <c r="R976">
        <f t="shared" si="165"/>
        <v>1775693400</v>
      </c>
      <c r="S976" t="str">
        <f t="shared" si="166"/>
        <v>XAUUSD</v>
      </c>
      <c r="T976" t="str">
        <f t="shared" si="167"/>
        <v>M5</v>
      </c>
      <c r="U976">
        <f t="shared" si="168"/>
        <v>4702.29</v>
      </c>
      <c r="V976">
        <v>4721.6407900000004</v>
      </c>
      <c r="W976">
        <v>4719.1180199999999</v>
      </c>
      <c r="X976">
        <v>4705.7225200000003</v>
      </c>
      <c r="Y976">
        <v>4707.1085300000004</v>
      </c>
      <c r="Z976">
        <f t="shared" si="169"/>
        <v>4727.5479866666665</v>
      </c>
      <c r="AA976">
        <f t="shared" si="170"/>
        <v>4709.6772300000002</v>
      </c>
      <c r="AB976">
        <f t="shared" si="171"/>
        <v>4706.0771616666671</v>
      </c>
      <c r="AC976">
        <f t="shared" si="172"/>
        <v>4702.2288600000002</v>
      </c>
      <c r="AF976">
        <f t="shared" si="173"/>
        <v>4705.7225200000003</v>
      </c>
      <c r="AG976">
        <f t="shared" si="174"/>
        <v>4727.5479866666665</v>
      </c>
      <c r="AH976">
        <f t="shared" si="175"/>
        <v>4706.0771616666671</v>
      </c>
    </row>
    <row r="977" spans="1:34" x14ac:dyDescent="0.55000000000000004">
      <c r="A977">
        <f>ALGLIB_SSA_XAUUSD!J977</f>
        <v>1775693700</v>
      </c>
      <c r="B977" t="str">
        <f>_xlfn.XLOOKUP($A977,ALGLIB_SSA_XAUUSD!$A$2:$A$1000,ALGLIB_SSA_XAUUSD!$B$2:$B$1000,"",0)</f>
        <v/>
      </c>
      <c r="C977" t="str">
        <f>_xlfn.XLOOKUP($A977,ALGLIB_SSA_XAUUSD!$A$2:$A$1000,ALGLIB_SSA_XAUUSD!$C$2:$C$1000,"",0)</f>
        <v/>
      </c>
      <c r="D977" s="1">
        <f>D974+(D986-D974)*3/12</f>
        <v>4711.99</v>
      </c>
      <c r="E977" s="1">
        <f>E974+(E986-E974)*3/12</f>
        <v>4722.1462525000006</v>
      </c>
      <c r="F977" s="1">
        <f>F974+(F986-F974)*3/12</f>
        <v>4719.4624475000001</v>
      </c>
      <c r="G977" s="1">
        <f>G974+(G986-G974)*3/12</f>
        <v>4727.7725099999998</v>
      </c>
      <c r="H977" s="1">
        <f>H974+(H986-H974)*3/12</f>
        <v>4706.3751075</v>
      </c>
      <c r="I977" t="str">
        <f>_xlfn.XLOOKUP($A977,ALGLIB_SSA_XAUUSD!$J$2:$J$1000,ALGLIB_SSA_XAUUSD!$K$2:$K$1000,"",0)</f>
        <v>XAUUSD</v>
      </c>
      <c r="J977" t="str">
        <f>_xlfn.XLOOKUP($A977,ALGLIB_SSA_XAUUSD!$J$2:$J$1000,ALGLIB_SSA_XAUUSD!$L$2:$L$1000,"",0)</f>
        <v>M5</v>
      </c>
      <c r="K977">
        <f>_xlfn.XLOOKUP($A977,ALGLIB_SSA_XAUUSD!$J$2:$J$1000,ALGLIB_SSA_XAUUSD!$M$2:$M$1000,"",0)</f>
        <v>4704.1499999999996</v>
      </c>
      <c r="L977">
        <f>_xlfn.XLOOKUP($A977,ALGLIB_SSA_XAUUSD!$J$2:$J$1000,ALGLIB_SSA_XAUUSD!$N$2:$N$1000,"",0)</f>
        <v>4705.51944</v>
      </c>
      <c r="M977">
        <f>_xlfn.XLOOKUP($A977,ALGLIB_SSA_XAUUSD!$J$2:$J$1000,ALGLIB_SSA_XAUUSD!$O$2:$O$1000,"",0)</f>
        <v>4706.3139899999996</v>
      </c>
      <c r="N977">
        <f>_xlfn.XLOOKUP($A977,ALGLIB_SSA_XAUUSD!$J$2:$J$1000,ALGLIB_SSA_XAUUSD!$P$2:$P$1000,"",0)</f>
        <v>4709.0008600000001</v>
      </c>
      <c r="O977">
        <f>_xlfn.XLOOKUP($A977,ALGLIB_SSA_XAUUSD!$J$2:$J$1000,ALGLIB_SSA_XAUUSD!$Q$2:$Q$1000,"",0)</f>
        <v>4701.7628000000004</v>
      </c>
      <c r="R977">
        <f t="shared" si="165"/>
        <v>1775693700</v>
      </c>
      <c r="S977" t="str">
        <f t="shared" si="166"/>
        <v>XAUUSD</v>
      </c>
      <c r="T977" t="str">
        <f t="shared" si="167"/>
        <v>M5</v>
      </c>
      <c r="U977">
        <f t="shared" si="168"/>
        <v>4704.1499999999996</v>
      </c>
      <c r="V977">
        <v>4722.1462499999998</v>
      </c>
      <c r="W977">
        <v>4719.46245</v>
      </c>
      <c r="X977">
        <v>4705.51944</v>
      </c>
      <c r="Y977">
        <v>4706.3139899999996</v>
      </c>
      <c r="Z977">
        <f t="shared" si="169"/>
        <v>4727.7725099999998</v>
      </c>
      <c r="AA977">
        <f t="shared" si="170"/>
        <v>4709.0008600000001</v>
      </c>
      <c r="AB977">
        <f t="shared" si="171"/>
        <v>4706.3751075</v>
      </c>
      <c r="AC977">
        <f t="shared" si="172"/>
        <v>4701.7628000000004</v>
      </c>
      <c r="AF977">
        <f t="shared" si="173"/>
        <v>4705.51944</v>
      </c>
      <c r="AG977">
        <f t="shared" si="174"/>
        <v>4727.7725099999998</v>
      </c>
      <c r="AH977">
        <f t="shared" si="175"/>
        <v>4706.3751075</v>
      </c>
    </row>
    <row r="978" spans="1:34" x14ac:dyDescent="0.55000000000000004">
      <c r="A978">
        <f>ALGLIB_SSA_XAUUSD!J978</f>
        <v>1775694000</v>
      </c>
      <c r="B978" t="str">
        <f>_xlfn.XLOOKUP($A978,ALGLIB_SSA_XAUUSD!$A$2:$A$1000,ALGLIB_SSA_XAUUSD!$B$2:$B$1000,"",0)</f>
        <v/>
      </c>
      <c r="C978" t="str">
        <f>_xlfn.XLOOKUP($A978,ALGLIB_SSA_XAUUSD!$A$2:$A$1000,ALGLIB_SSA_XAUUSD!$C$2:$C$1000,"",0)</f>
        <v/>
      </c>
      <c r="D978" s="1">
        <f>D974+(D986-D974)*4/12</f>
        <v>4713.71</v>
      </c>
      <c r="E978" s="1">
        <f>E974+(E986-E974)*4/12</f>
        <v>4722.6517199999998</v>
      </c>
      <c r="F978" s="1">
        <f>F974+(F986-F974)*4/12</f>
        <v>4719.8068766666665</v>
      </c>
      <c r="G978" s="1">
        <f>G974+(G986-G974)*4/12</f>
        <v>4727.9970333333331</v>
      </c>
      <c r="H978" s="1">
        <f>H974+(H986-H974)*4/12</f>
        <v>4706.6730533333339</v>
      </c>
      <c r="I978" t="str">
        <f>_xlfn.XLOOKUP($A978,ALGLIB_SSA_XAUUSD!$J$2:$J$1000,ALGLIB_SSA_XAUUSD!$K$2:$K$1000,"",0)</f>
        <v>XAUUSD</v>
      </c>
      <c r="J978" t="str">
        <f>_xlfn.XLOOKUP($A978,ALGLIB_SSA_XAUUSD!$J$2:$J$1000,ALGLIB_SSA_XAUUSD!$L$2:$L$1000,"",0)</f>
        <v>M5</v>
      </c>
      <c r="K978">
        <f>_xlfn.XLOOKUP($A978,ALGLIB_SSA_XAUUSD!$J$2:$J$1000,ALGLIB_SSA_XAUUSD!$M$2:$M$1000,"",0)</f>
        <v>4710.76</v>
      </c>
      <c r="L978">
        <f>_xlfn.XLOOKUP($A978,ALGLIB_SSA_XAUUSD!$J$2:$J$1000,ALGLIB_SSA_XAUUSD!$N$2:$N$1000,"",0)</f>
        <v>4706.2543400000004</v>
      </c>
      <c r="M978">
        <f>_xlfn.XLOOKUP($A978,ALGLIB_SSA_XAUUSD!$J$2:$J$1000,ALGLIB_SSA_XAUUSD!$O$2:$O$1000,"",0)</f>
        <v>4706.2841600000002</v>
      </c>
      <c r="N978">
        <f>_xlfn.XLOOKUP($A978,ALGLIB_SSA_XAUUSD!$J$2:$J$1000,ALGLIB_SSA_XAUUSD!$P$2:$P$1000,"",0)</f>
        <v>4709.2233100000003</v>
      </c>
      <c r="O978">
        <f>_xlfn.XLOOKUP($A978,ALGLIB_SSA_XAUUSD!$J$2:$J$1000,ALGLIB_SSA_XAUUSD!$Q$2:$Q$1000,"",0)</f>
        <v>4702.3966</v>
      </c>
      <c r="R978">
        <f t="shared" si="165"/>
        <v>1775694000</v>
      </c>
      <c r="S978" t="str">
        <f t="shared" si="166"/>
        <v>XAUUSD</v>
      </c>
      <c r="T978" t="str">
        <f t="shared" si="167"/>
        <v>M5</v>
      </c>
      <c r="U978">
        <f t="shared" si="168"/>
        <v>4710.76</v>
      </c>
      <c r="V978">
        <v>4722.6517199999998</v>
      </c>
      <c r="W978">
        <v>4719.8068800000001</v>
      </c>
      <c r="X978">
        <v>4706.2543400000004</v>
      </c>
      <c r="Y978">
        <v>4706.2841600000002</v>
      </c>
      <c r="Z978">
        <f t="shared" si="169"/>
        <v>4727.9970333333331</v>
      </c>
      <c r="AA978">
        <f t="shared" si="170"/>
        <v>4709.2233100000003</v>
      </c>
      <c r="AB978">
        <f t="shared" si="171"/>
        <v>4706.6730533333339</v>
      </c>
      <c r="AC978">
        <f t="shared" si="172"/>
        <v>4702.3966</v>
      </c>
      <c r="AF978">
        <f t="shared" si="173"/>
        <v>4706.2543400000004</v>
      </c>
      <c r="AG978">
        <f t="shared" si="174"/>
        <v>4727.9970333333331</v>
      </c>
      <c r="AH978">
        <f t="shared" si="175"/>
        <v>4706.6730533333339</v>
      </c>
    </row>
    <row r="979" spans="1:34" x14ac:dyDescent="0.55000000000000004">
      <c r="A979">
        <f>ALGLIB_SSA_XAUUSD!J979</f>
        <v>1775694300</v>
      </c>
      <c r="B979" t="str">
        <f>_xlfn.XLOOKUP($A979,ALGLIB_SSA_XAUUSD!$A$2:$A$1000,ALGLIB_SSA_XAUUSD!$B$2:$B$1000,"",0)</f>
        <v/>
      </c>
      <c r="C979" t="str">
        <f>_xlfn.XLOOKUP($A979,ALGLIB_SSA_XAUUSD!$A$2:$A$1000,ALGLIB_SSA_XAUUSD!$C$2:$C$1000,"",0)</f>
        <v/>
      </c>
      <c r="D979" s="1">
        <f>D974+(D986-D974)*5/12</f>
        <v>4715.43</v>
      </c>
      <c r="E979" s="1">
        <f>E974+(E986-E974)*5/12</f>
        <v>4723.1571875</v>
      </c>
      <c r="F979" s="1">
        <f>F974+(F986-F974)*5/12</f>
        <v>4720.151305833333</v>
      </c>
      <c r="G979" s="1">
        <f>G974+(G986-G974)*5/12</f>
        <v>4728.2215566666664</v>
      </c>
      <c r="H979" s="1">
        <f>H974+(H986-H974)*5/12</f>
        <v>4706.9709991666668</v>
      </c>
      <c r="I979" t="str">
        <f>_xlfn.XLOOKUP($A979,ALGLIB_SSA_XAUUSD!$J$2:$J$1000,ALGLIB_SSA_XAUUSD!$K$2:$K$1000,"",0)</f>
        <v>XAUUSD</v>
      </c>
      <c r="J979" t="str">
        <f>_xlfn.XLOOKUP($A979,ALGLIB_SSA_XAUUSD!$J$2:$J$1000,ALGLIB_SSA_XAUUSD!$L$2:$L$1000,"",0)</f>
        <v>M5</v>
      </c>
      <c r="K979">
        <f>_xlfn.XLOOKUP($A979,ALGLIB_SSA_XAUUSD!$J$2:$J$1000,ALGLIB_SSA_XAUUSD!$M$2:$M$1000,"",0)</f>
        <v>4706.45</v>
      </c>
      <c r="L979">
        <f>_xlfn.XLOOKUP($A979,ALGLIB_SSA_XAUUSD!$J$2:$J$1000,ALGLIB_SSA_XAUUSD!$N$2:$N$1000,"",0)</f>
        <v>4707.7115899999999</v>
      </c>
      <c r="M979">
        <f>_xlfn.XLOOKUP($A979,ALGLIB_SSA_XAUUSD!$J$2:$J$1000,ALGLIB_SSA_XAUUSD!$O$2:$O$1000,"",0)</f>
        <v>4706.9978700000001</v>
      </c>
      <c r="N979">
        <f>_xlfn.XLOOKUP($A979,ALGLIB_SSA_XAUUSD!$J$2:$J$1000,ALGLIB_SSA_XAUUSD!$P$2:$P$1000,"",0)</f>
        <v>4710.2626099999998</v>
      </c>
      <c r="O979">
        <f>_xlfn.XLOOKUP($A979,ALGLIB_SSA_XAUUSD!$J$2:$J$1000,ALGLIB_SSA_XAUUSD!$Q$2:$Q$1000,"",0)</f>
        <v>4703.9778800000004</v>
      </c>
      <c r="R979">
        <f t="shared" si="165"/>
        <v>1775694300</v>
      </c>
      <c r="S979" t="str">
        <f t="shared" si="166"/>
        <v>XAUUSD</v>
      </c>
      <c r="T979" t="str">
        <f t="shared" si="167"/>
        <v>M5</v>
      </c>
      <c r="U979">
        <f t="shared" si="168"/>
        <v>4706.45</v>
      </c>
      <c r="V979">
        <v>4723.1571899999999</v>
      </c>
      <c r="W979">
        <v>4720.1513100000002</v>
      </c>
      <c r="X979">
        <v>4707.7115899999999</v>
      </c>
      <c r="Y979">
        <v>4706.9978700000001</v>
      </c>
      <c r="Z979">
        <f t="shared" si="169"/>
        <v>4728.2215566666664</v>
      </c>
      <c r="AA979">
        <f t="shared" si="170"/>
        <v>4710.2626099999998</v>
      </c>
      <c r="AB979">
        <f t="shared" si="171"/>
        <v>4706.9709991666668</v>
      </c>
      <c r="AC979">
        <f t="shared" si="172"/>
        <v>4703.9778800000004</v>
      </c>
      <c r="AF979">
        <f t="shared" si="173"/>
        <v>4707.7115899999999</v>
      </c>
      <c r="AG979">
        <f t="shared" si="174"/>
        <v>4728.2215566666664</v>
      </c>
      <c r="AH979">
        <f t="shared" si="175"/>
        <v>4706.9709991666668</v>
      </c>
    </row>
    <row r="980" spans="1:34" x14ac:dyDescent="0.55000000000000004">
      <c r="A980">
        <f>ALGLIB_SSA_XAUUSD!J980</f>
        <v>1775694600</v>
      </c>
      <c r="B980" t="str">
        <f>_xlfn.XLOOKUP($A980,ALGLIB_SSA_XAUUSD!$A$2:$A$1000,ALGLIB_SSA_XAUUSD!$B$2:$B$1000,"",0)</f>
        <v/>
      </c>
      <c r="C980" t="str">
        <f>_xlfn.XLOOKUP($A980,ALGLIB_SSA_XAUUSD!$A$2:$A$1000,ALGLIB_SSA_XAUUSD!$C$2:$C$1000,"",0)</f>
        <v/>
      </c>
      <c r="D980" s="1">
        <f>D974+(D986-D974)*6/12</f>
        <v>4717.1499999999996</v>
      </c>
      <c r="E980" s="1">
        <f>E974+(E986-E974)*6/12</f>
        <v>4723.6626550000001</v>
      </c>
      <c r="F980" s="1">
        <f>F974+(F986-F974)*6/12</f>
        <v>4720.4957350000004</v>
      </c>
      <c r="G980" s="1">
        <f>G974+(G986-G974)*6/12</f>
        <v>4728.4460799999997</v>
      </c>
      <c r="H980" s="1">
        <f>H974+(H986-H974)*6/12</f>
        <v>4707.2689449999998</v>
      </c>
      <c r="I980" t="str">
        <f>_xlfn.XLOOKUP($A980,ALGLIB_SSA_XAUUSD!$J$2:$J$1000,ALGLIB_SSA_XAUUSD!$K$2:$K$1000,"",0)</f>
        <v>XAUUSD</v>
      </c>
      <c r="J980" t="str">
        <f>_xlfn.XLOOKUP($A980,ALGLIB_SSA_XAUUSD!$J$2:$J$1000,ALGLIB_SSA_XAUUSD!$L$2:$L$1000,"",0)</f>
        <v>M5</v>
      </c>
      <c r="K980">
        <f>_xlfn.XLOOKUP($A980,ALGLIB_SSA_XAUUSD!$J$2:$J$1000,ALGLIB_SSA_XAUUSD!$M$2:$M$1000,"",0)</f>
        <v>4712.43</v>
      </c>
      <c r="L980">
        <f>_xlfn.XLOOKUP($A980,ALGLIB_SSA_XAUUSD!$J$2:$J$1000,ALGLIB_SSA_XAUUSD!$N$2:$N$1000,"",0)</f>
        <v>4709.6893</v>
      </c>
      <c r="M980">
        <f>_xlfn.XLOOKUP($A980,ALGLIB_SSA_XAUUSD!$J$2:$J$1000,ALGLIB_SSA_XAUUSD!$O$2:$O$1000,"",0)</f>
        <v>4708.3435900000004</v>
      </c>
      <c r="N980">
        <f>_xlfn.XLOOKUP($A980,ALGLIB_SSA_XAUUSD!$J$2:$J$1000,ALGLIB_SSA_XAUUSD!$P$2:$P$1000,"",0)</f>
        <v>4711.9561700000004</v>
      </c>
      <c r="O980">
        <f>_xlfn.XLOOKUP($A980,ALGLIB_SSA_XAUUSD!$J$2:$J$1000,ALGLIB_SSA_XAUUSD!$Q$2:$Q$1000,"",0)</f>
        <v>4706.0835800000004</v>
      </c>
      <c r="R980">
        <f t="shared" si="165"/>
        <v>1775694600</v>
      </c>
      <c r="S980" t="str">
        <f t="shared" si="166"/>
        <v>XAUUSD</v>
      </c>
      <c r="T980" t="str">
        <f t="shared" si="167"/>
        <v>M5</v>
      </c>
      <c r="U980">
        <f t="shared" si="168"/>
        <v>4712.43</v>
      </c>
      <c r="V980">
        <v>4723.66266</v>
      </c>
      <c r="W980">
        <v>4720.4957400000003</v>
      </c>
      <c r="X980">
        <v>4709.6893</v>
      </c>
      <c r="Y980">
        <v>4708.3435900000004</v>
      </c>
      <c r="Z980">
        <f t="shared" si="169"/>
        <v>4728.4460799999997</v>
      </c>
      <c r="AA980">
        <f t="shared" si="170"/>
        <v>4711.9561700000004</v>
      </c>
      <c r="AB980">
        <f t="shared" si="171"/>
        <v>4707.2689449999998</v>
      </c>
      <c r="AC980">
        <f t="shared" si="172"/>
        <v>4706.0835800000004</v>
      </c>
      <c r="AF980">
        <f t="shared" si="173"/>
        <v>4709.6893</v>
      </c>
      <c r="AG980">
        <f t="shared" si="174"/>
        <v>4728.4460799999997</v>
      </c>
      <c r="AH980">
        <f t="shared" si="175"/>
        <v>4707.2689449999998</v>
      </c>
    </row>
    <row r="981" spans="1:34" x14ac:dyDescent="0.55000000000000004">
      <c r="A981">
        <f>ALGLIB_SSA_XAUUSD!J981</f>
        <v>1775694900</v>
      </c>
      <c r="B981" t="str">
        <f>_xlfn.XLOOKUP($A981,ALGLIB_SSA_XAUUSD!$A$2:$A$1000,ALGLIB_SSA_XAUUSD!$B$2:$B$1000,"",0)</f>
        <v/>
      </c>
      <c r="C981" t="str">
        <f>_xlfn.XLOOKUP($A981,ALGLIB_SSA_XAUUSD!$A$2:$A$1000,ALGLIB_SSA_XAUUSD!$C$2:$C$1000,"",0)</f>
        <v/>
      </c>
      <c r="D981" s="1">
        <f>D974+(D986-D974)*7/12</f>
        <v>4718.87</v>
      </c>
      <c r="E981" s="1">
        <f>E974+(E986-E974)*7/12</f>
        <v>4724.1681225000002</v>
      </c>
      <c r="F981" s="1">
        <f>F974+(F986-F974)*7/12</f>
        <v>4720.8401641666669</v>
      </c>
      <c r="G981" s="1">
        <f>G974+(G986-G974)*7/12</f>
        <v>4728.670603333333</v>
      </c>
      <c r="H981" s="1">
        <f>H974+(H986-H974)*7/12</f>
        <v>4707.5668908333337</v>
      </c>
      <c r="I981" t="str">
        <f>_xlfn.XLOOKUP($A981,ALGLIB_SSA_XAUUSD!$J$2:$J$1000,ALGLIB_SSA_XAUUSD!$K$2:$K$1000,"",0)</f>
        <v>XAUUSD</v>
      </c>
      <c r="J981" t="str">
        <f>_xlfn.XLOOKUP($A981,ALGLIB_SSA_XAUUSD!$J$2:$J$1000,ALGLIB_SSA_XAUUSD!$L$2:$L$1000,"",0)</f>
        <v>M5</v>
      </c>
      <c r="K981">
        <f>_xlfn.XLOOKUP($A981,ALGLIB_SSA_XAUUSD!$J$2:$J$1000,ALGLIB_SSA_XAUUSD!$M$2:$M$1000,"",0)</f>
        <v>4713.18</v>
      </c>
      <c r="L981">
        <f>_xlfn.XLOOKUP($A981,ALGLIB_SSA_XAUUSD!$J$2:$J$1000,ALGLIB_SSA_XAUUSD!$N$2:$N$1000,"",0)</f>
        <v>4711.7185300000001</v>
      </c>
      <c r="M981">
        <f>_xlfn.XLOOKUP($A981,ALGLIB_SSA_XAUUSD!$J$2:$J$1000,ALGLIB_SSA_XAUUSD!$O$2:$O$1000,"",0)</f>
        <v>4710.0310600000003</v>
      </c>
      <c r="N981">
        <f>_xlfn.XLOOKUP($A981,ALGLIB_SSA_XAUUSD!$J$2:$J$1000,ALGLIB_SSA_XAUUSD!$P$2:$P$1000,"",0)</f>
        <v>4713.9459399999996</v>
      </c>
      <c r="O981">
        <f>_xlfn.XLOOKUP($A981,ALGLIB_SSA_XAUUSD!$J$2:$J$1000,ALGLIB_SSA_XAUUSD!$Q$2:$Q$1000,"",0)</f>
        <v>4708.2601599999998</v>
      </c>
      <c r="R981">
        <f t="shared" si="165"/>
        <v>1775694900</v>
      </c>
      <c r="S981" t="str">
        <f t="shared" si="166"/>
        <v>XAUUSD</v>
      </c>
      <c r="T981" t="str">
        <f t="shared" si="167"/>
        <v>M5</v>
      </c>
      <c r="U981">
        <f t="shared" si="168"/>
        <v>4713.18</v>
      </c>
      <c r="V981">
        <v>4724.1681200000003</v>
      </c>
      <c r="W981">
        <v>4720.8401599999997</v>
      </c>
      <c r="X981">
        <v>4711.7185300000001</v>
      </c>
      <c r="Y981">
        <v>4710.0310600000003</v>
      </c>
      <c r="Z981">
        <f t="shared" si="169"/>
        <v>4728.670603333333</v>
      </c>
      <c r="AA981">
        <f t="shared" si="170"/>
        <v>4713.9459399999996</v>
      </c>
      <c r="AB981">
        <f t="shared" si="171"/>
        <v>4707.5668908333337</v>
      </c>
      <c r="AC981">
        <f t="shared" si="172"/>
        <v>4708.2601599999998</v>
      </c>
      <c r="AF981">
        <f t="shared" si="173"/>
        <v>4711.7185300000001</v>
      </c>
      <c r="AG981">
        <f t="shared" si="174"/>
        <v>4728.670603333333</v>
      </c>
      <c r="AH981">
        <f t="shared" si="175"/>
        <v>4707.5668908333337</v>
      </c>
    </row>
    <row r="982" spans="1:34" x14ac:dyDescent="0.55000000000000004">
      <c r="A982">
        <f>ALGLIB_SSA_XAUUSD!J982</f>
        <v>1775695200</v>
      </c>
      <c r="B982" t="str">
        <f>_xlfn.XLOOKUP($A982,ALGLIB_SSA_XAUUSD!$A$2:$A$1000,ALGLIB_SSA_XAUUSD!$B$2:$B$1000,"",0)</f>
        <v/>
      </c>
      <c r="C982" t="str">
        <f>_xlfn.XLOOKUP($A982,ALGLIB_SSA_XAUUSD!$A$2:$A$1000,ALGLIB_SSA_XAUUSD!$C$2:$C$1000,"",0)</f>
        <v/>
      </c>
      <c r="D982" s="1">
        <f>D974+(D986-D974)*8/12</f>
        <v>4720.59</v>
      </c>
      <c r="E982" s="1">
        <f>E974+(E986-E974)*8/12</f>
        <v>4724.6735900000003</v>
      </c>
      <c r="F982" s="1">
        <f>F974+(F986-F974)*8/12</f>
        <v>4721.1845933333334</v>
      </c>
      <c r="G982" s="1">
        <f>G974+(G986-G974)*8/12</f>
        <v>4728.8951266666663</v>
      </c>
      <c r="H982" s="1">
        <f>H974+(H986-H974)*8/12</f>
        <v>4707.8648366666666</v>
      </c>
      <c r="I982" t="str">
        <f>_xlfn.XLOOKUP($A982,ALGLIB_SSA_XAUUSD!$J$2:$J$1000,ALGLIB_SSA_XAUUSD!$K$2:$K$1000,"",0)</f>
        <v>XAUUSD</v>
      </c>
      <c r="J982" t="str">
        <f>_xlfn.XLOOKUP($A982,ALGLIB_SSA_XAUUSD!$J$2:$J$1000,ALGLIB_SSA_XAUUSD!$L$2:$L$1000,"",0)</f>
        <v>M5</v>
      </c>
      <c r="K982">
        <f>_xlfn.XLOOKUP($A982,ALGLIB_SSA_XAUUSD!$J$2:$J$1000,ALGLIB_SSA_XAUUSD!$M$2:$M$1000,"",0)</f>
        <v>4718.38</v>
      </c>
      <c r="L982">
        <f>_xlfn.XLOOKUP($A982,ALGLIB_SSA_XAUUSD!$J$2:$J$1000,ALGLIB_SSA_XAUUSD!$N$2:$N$1000,"",0)</f>
        <v>4713.4407600000004</v>
      </c>
      <c r="M982">
        <f>_xlfn.XLOOKUP($A982,ALGLIB_SSA_XAUUSD!$J$2:$J$1000,ALGLIB_SSA_XAUUSD!$O$2:$O$1000,"",0)</f>
        <v>4711.7359100000003</v>
      </c>
      <c r="N982">
        <f>_xlfn.XLOOKUP($A982,ALGLIB_SSA_XAUUSD!$J$2:$J$1000,ALGLIB_SSA_XAUUSD!$P$2:$P$1000,"",0)</f>
        <v>4715.8671599999998</v>
      </c>
      <c r="O982">
        <f>_xlfn.XLOOKUP($A982,ALGLIB_SSA_XAUUSD!$J$2:$J$1000,ALGLIB_SSA_XAUUSD!$Q$2:$Q$1000,"",0)</f>
        <v>4709.96263</v>
      </c>
      <c r="R982">
        <f t="shared" si="165"/>
        <v>1775695200</v>
      </c>
      <c r="S982" t="str">
        <f t="shared" si="166"/>
        <v>XAUUSD</v>
      </c>
      <c r="T982" t="str">
        <f t="shared" si="167"/>
        <v>M5</v>
      </c>
      <c r="U982">
        <f t="shared" si="168"/>
        <v>4718.38</v>
      </c>
      <c r="V982">
        <v>4724.6735900000003</v>
      </c>
      <c r="W982">
        <v>4721.1845899999998</v>
      </c>
      <c r="X982">
        <v>4713.4407600000004</v>
      </c>
      <c r="Y982">
        <v>4711.7359100000003</v>
      </c>
      <c r="Z982">
        <f t="shared" si="169"/>
        <v>4728.8951266666663</v>
      </c>
      <c r="AA982">
        <f t="shared" si="170"/>
        <v>4715.8671599999998</v>
      </c>
      <c r="AB982">
        <f t="shared" si="171"/>
        <v>4707.8648366666666</v>
      </c>
      <c r="AC982">
        <f t="shared" si="172"/>
        <v>4709.96263</v>
      </c>
      <c r="AF982">
        <f t="shared" si="173"/>
        <v>4713.4407600000004</v>
      </c>
      <c r="AG982">
        <f t="shared" si="174"/>
        <v>4728.8951266666663</v>
      </c>
      <c r="AH982">
        <f t="shared" si="175"/>
        <v>4707.8648366666666</v>
      </c>
    </row>
    <row r="983" spans="1:34" x14ac:dyDescent="0.55000000000000004">
      <c r="A983">
        <f>ALGLIB_SSA_XAUUSD!J983</f>
        <v>1775695500</v>
      </c>
      <c r="B983" t="str">
        <f>_xlfn.XLOOKUP($A983,ALGLIB_SSA_XAUUSD!$A$2:$A$1000,ALGLIB_SSA_XAUUSD!$B$2:$B$1000,"",0)</f>
        <v/>
      </c>
      <c r="C983" t="str">
        <f>_xlfn.XLOOKUP($A983,ALGLIB_SSA_XAUUSD!$A$2:$A$1000,ALGLIB_SSA_XAUUSD!$C$2:$C$1000,"",0)</f>
        <v/>
      </c>
      <c r="D983" s="1">
        <f>D974+(D986-D974)*9/12</f>
        <v>4722.3100000000004</v>
      </c>
      <c r="E983" s="1">
        <f>E974+(E986-E974)*9/12</f>
        <v>4725.1790574999995</v>
      </c>
      <c r="F983" s="1">
        <f>F974+(F986-F974)*9/12</f>
        <v>4721.5290224999999</v>
      </c>
      <c r="G983" s="1">
        <f>G974+(G986-G974)*9/12</f>
        <v>4729.1196499999996</v>
      </c>
      <c r="H983" s="1">
        <f>H974+(H986-H974)*9/12</f>
        <v>4708.1627825000005</v>
      </c>
      <c r="I983" t="str">
        <f>_xlfn.XLOOKUP($A983,ALGLIB_SSA_XAUUSD!$J$2:$J$1000,ALGLIB_SSA_XAUUSD!$K$2:$K$1000,"",0)</f>
        <v>XAUUSD</v>
      </c>
      <c r="J983" t="str">
        <f>_xlfn.XLOOKUP($A983,ALGLIB_SSA_XAUUSD!$J$2:$J$1000,ALGLIB_SSA_XAUUSD!$L$2:$L$1000,"",0)</f>
        <v>M5</v>
      </c>
      <c r="K983">
        <f>_xlfn.XLOOKUP($A983,ALGLIB_SSA_XAUUSD!$J$2:$J$1000,ALGLIB_SSA_XAUUSD!$M$2:$M$1000,"",0)</f>
        <v>4715.6000000000004</v>
      </c>
      <c r="L983">
        <f>_xlfn.XLOOKUP($A983,ALGLIB_SSA_XAUUSD!$J$2:$J$1000,ALGLIB_SSA_XAUUSD!$N$2:$N$1000,"",0)</f>
        <v>4714.5217199999997</v>
      </c>
      <c r="M983">
        <f>_xlfn.XLOOKUP($A983,ALGLIB_SSA_XAUUSD!$J$2:$J$1000,ALGLIB_SSA_XAUUSD!$O$2:$O$1000,"",0)</f>
        <v>4713.1288100000002</v>
      </c>
      <c r="N983">
        <f>_xlfn.XLOOKUP($A983,ALGLIB_SSA_XAUUSD!$J$2:$J$1000,ALGLIB_SSA_XAUUSD!$P$2:$P$1000,"",0)</f>
        <v>4717.3659699999998</v>
      </c>
      <c r="O983">
        <f>_xlfn.XLOOKUP($A983,ALGLIB_SSA_XAUUSD!$J$2:$J$1000,ALGLIB_SSA_XAUUSD!$Q$2:$Q$1000,"",0)</f>
        <v>4710.8537200000001</v>
      </c>
      <c r="R983">
        <f t="shared" si="165"/>
        <v>1775695500</v>
      </c>
      <c r="S983" t="str">
        <f t="shared" si="166"/>
        <v>XAUUSD</v>
      </c>
      <c r="T983" t="str">
        <f t="shared" si="167"/>
        <v>M5</v>
      </c>
      <c r="U983">
        <f t="shared" si="168"/>
        <v>4715.6000000000004</v>
      </c>
      <c r="V983">
        <v>4725.1790600000004</v>
      </c>
      <c r="W983">
        <v>4721.5290199999999</v>
      </c>
      <c r="X983">
        <v>4714.5217199999997</v>
      </c>
      <c r="Y983">
        <v>4713.1288100000002</v>
      </c>
      <c r="Z983">
        <f t="shared" si="169"/>
        <v>4729.1196499999996</v>
      </c>
      <c r="AA983">
        <f t="shared" si="170"/>
        <v>4717.3659699999998</v>
      </c>
      <c r="AB983">
        <f t="shared" si="171"/>
        <v>4708.1627825000005</v>
      </c>
      <c r="AC983">
        <f t="shared" si="172"/>
        <v>4710.8537200000001</v>
      </c>
      <c r="AF983">
        <f t="shared" si="173"/>
        <v>4714.5217199999997</v>
      </c>
      <c r="AG983">
        <f t="shared" si="174"/>
        <v>4729.1196499999996</v>
      </c>
      <c r="AH983">
        <f t="shared" si="175"/>
        <v>4708.1627825000005</v>
      </c>
    </row>
    <row r="984" spans="1:34" x14ac:dyDescent="0.55000000000000004">
      <c r="A984">
        <f>ALGLIB_SSA_XAUUSD!J984</f>
        <v>1775695800</v>
      </c>
      <c r="B984" t="str">
        <f>_xlfn.XLOOKUP($A984,ALGLIB_SSA_XAUUSD!$A$2:$A$1000,ALGLIB_SSA_XAUUSD!$B$2:$B$1000,"",0)</f>
        <v/>
      </c>
      <c r="C984" t="str">
        <f>_xlfn.XLOOKUP($A984,ALGLIB_SSA_XAUUSD!$A$2:$A$1000,ALGLIB_SSA_XAUUSD!$C$2:$C$1000,"",0)</f>
        <v/>
      </c>
      <c r="D984" s="1">
        <f>D974+(D986-D974)*10/12</f>
        <v>4724.0300000000007</v>
      </c>
      <c r="E984" s="1">
        <f>E974+(E986-E974)*10/12</f>
        <v>4725.6845249999997</v>
      </c>
      <c r="F984" s="1">
        <f>F974+(F986-F974)*10/12</f>
        <v>4721.8734516666664</v>
      </c>
      <c r="G984" s="1">
        <f>G974+(G986-G974)*10/12</f>
        <v>4729.3441733333329</v>
      </c>
      <c r="H984" s="1">
        <f>H974+(H986-H974)*10/12</f>
        <v>4708.4607283333335</v>
      </c>
      <c r="I984" t="str">
        <f>_xlfn.XLOOKUP($A984,ALGLIB_SSA_XAUUSD!$J$2:$J$1000,ALGLIB_SSA_XAUUSD!$K$2:$K$1000,"",0)</f>
        <v>XAUUSD</v>
      </c>
      <c r="J984" t="str">
        <f>_xlfn.XLOOKUP($A984,ALGLIB_SSA_XAUUSD!$J$2:$J$1000,ALGLIB_SSA_XAUUSD!$L$2:$L$1000,"",0)</f>
        <v>M5</v>
      </c>
      <c r="K984">
        <f>_xlfn.XLOOKUP($A984,ALGLIB_SSA_XAUUSD!$J$2:$J$1000,ALGLIB_SSA_XAUUSD!$M$2:$M$1000,"",0)</f>
        <v>4709.4399999999996</v>
      </c>
      <c r="L984">
        <f>_xlfn.XLOOKUP($A984,ALGLIB_SSA_XAUUSD!$J$2:$J$1000,ALGLIB_SSA_XAUUSD!$N$2:$N$1000,"",0)</f>
        <v>4714.9207299999998</v>
      </c>
      <c r="M984">
        <f>_xlfn.XLOOKUP($A984,ALGLIB_SSA_XAUUSD!$J$2:$J$1000,ALGLIB_SSA_XAUUSD!$O$2:$O$1000,"",0)</f>
        <v>4714.02477</v>
      </c>
      <c r="N984">
        <f>_xlfn.XLOOKUP($A984,ALGLIB_SSA_XAUUSD!$J$2:$J$1000,ALGLIB_SSA_XAUUSD!$P$2:$P$1000,"",0)</f>
        <v>4718.2574599999998</v>
      </c>
      <c r="O984">
        <f>_xlfn.XLOOKUP($A984,ALGLIB_SSA_XAUUSD!$J$2:$J$1000,ALGLIB_SSA_XAUUSD!$Q$2:$Q$1000,"",0)</f>
        <v>4710.8123900000001</v>
      </c>
      <c r="R984">
        <f t="shared" si="165"/>
        <v>1775695800</v>
      </c>
      <c r="S984" t="str">
        <f t="shared" si="166"/>
        <v>XAUUSD</v>
      </c>
      <c r="T984" t="str">
        <f t="shared" si="167"/>
        <v>M5</v>
      </c>
      <c r="U984">
        <f t="shared" si="168"/>
        <v>4709.4399999999996</v>
      </c>
      <c r="V984">
        <v>4725.6845199999998</v>
      </c>
      <c r="W984">
        <v>4721.87345</v>
      </c>
      <c r="X984">
        <v>4714.9207299999998</v>
      </c>
      <c r="Y984">
        <v>4714.02477</v>
      </c>
      <c r="Z984">
        <f t="shared" si="169"/>
        <v>4729.3441733333329</v>
      </c>
      <c r="AA984">
        <f t="shared" si="170"/>
        <v>4718.2574599999998</v>
      </c>
      <c r="AB984">
        <f t="shared" si="171"/>
        <v>4708.4607283333335</v>
      </c>
      <c r="AC984">
        <f t="shared" si="172"/>
        <v>4710.8123900000001</v>
      </c>
      <c r="AF984">
        <f t="shared" si="173"/>
        <v>4714.9207299999998</v>
      </c>
      <c r="AG984">
        <f t="shared" si="174"/>
        <v>4729.3441733333329</v>
      </c>
      <c r="AH984">
        <f t="shared" si="175"/>
        <v>4708.4607283333335</v>
      </c>
    </row>
    <row r="985" spans="1:34" x14ac:dyDescent="0.55000000000000004">
      <c r="A985">
        <f>ALGLIB_SSA_XAUUSD!J985</f>
        <v>1775696100</v>
      </c>
      <c r="B985" t="str">
        <f>_xlfn.XLOOKUP($A985,ALGLIB_SSA_XAUUSD!$A$2:$A$1000,ALGLIB_SSA_XAUUSD!$B$2:$B$1000,"",0)</f>
        <v/>
      </c>
      <c r="C985" t="str">
        <f>_xlfn.XLOOKUP($A985,ALGLIB_SSA_XAUUSD!$A$2:$A$1000,ALGLIB_SSA_XAUUSD!$C$2:$C$1000,"",0)</f>
        <v/>
      </c>
      <c r="D985" s="1">
        <f>D974+(D986-D974)*11/12</f>
        <v>4725.75</v>
      </c>
      <c r="E985" s="1">
        <f>E974+(E986-E974)*11/12</f>
        <v>4726.1899924999998</v>
      </c>
      <c r="F985" s="1">
        <f>F974+(F986-F974)*11/12</f>
        <v>4722.2178808333338</v>
      </c>
      <c r="G985" s="1">
        <f>G974+(G986-G974)*11/12</f>
        <v>4729.5686966666663</v>
      </c>
      <c r="H985" s="1">
        <f>H974+(H986-H974)*11/12</f>
        <v>4708.7586741666673</v>
      </c>
      <c r="I985" t="str">
        <f>_xlfn.XLOOKUP($A985,ALGLIB_SSA_XAUUSD!$J$2:$J$1000,ALGLIB_SSA_XAUUSD!$K$2:$K$1000,"",0)</f>
        <v>XAUUSD</v>
      </c>
      <c r="J985" t="str">
        <f>_xlfn.XLOOKUP($A985,ALGLIB_SSA_XAUUSD!$J$2:$J$1000,ALGLIB_SSA_XAUUSD!$L$2:$L$1000,"",0)</f>
        <v>M5</v>
      </c>
      <c r="K985">
        <f>_xlfn.XLOOKUP($A985,ALGLIB_SSA_XAUUSD!$J$2:$J$1000,ALGLIB_SSA_XAUUSD!$M$2:$M$1000,"",0)</f>
        <v>4706.83</v>
      </c>
      <c r="L985">
        <f>_xlfn.XLOOKUP($A985,ALGLIB_SSA_XAUUSD!$J$2:$J$1000,ALGLIB_SSA_XAUUSD!$N$2:$N$1000,"",0)</f>
        <v>4714.8494300000002</v>
      </c>
      <c r="M985">
        <f>_xlfn.XLOOKUP($A985,ALGLIB_SSA_XAUUSD!$J$2:$J$1000,ALGLIB_SSA_XAUUSD!$O$2:$O$1000,"",0)</f>
        <v>4714.4371000000001</v>
      </c>
      <c r="N985">
        <f>_xlfn.XLOOKUP($A985,ALGLIB_SSA_XAUUSD!$J$2:$J$1000,ALGLIB_SSA_XAUUSD!$P$2:$P$1000,"",0)</f>
        <v>4718.5699299999997</v>
      </c>
      <c r="O985">
        <f>_xlfn.XLOOKUP($A985,ALGLIB_SSA_XAUUSD!$J$2:$J$1000,ALGLIB_SSA_XAUUSD!$Q$2:$Q$1000,"",0)</f>
        <v>4710.0617300000004</v>
      </c>
      <c r="R985">
        <f t="shared" si="165"/>
        <v>1775696100</v>
      </c>
      <c r="S985" t="str">
        <f t="shared" si="166"/>
        <v>XAUUSD</v>
      </c>
      <c r="T985" t="str">
        <f t="shared" si="167"/>
        <v>M5</v>
      </c>
      <c r="U985">
        <f t="shared" si="168"/>
        <v>4706.83</v>
      </c>
      <c r="V985">
        <v>4726.1899899999999</v>
      </c>
      <c r="W985">
        <v>4722.2178800000002</v>
      </c>
      <c r="X985">
        <v>4714.8494300000002</v>
      </c>
      <c r="Y985">
        <v>4714.4371000000001</v>
      </c>
      <c r="Z985">
        <f t="shared" si="169"/>
        <v>4729.5686966666663</v>
      </c>
      <c r="AA985">
        <f t="shared" si="170"/>
        <v>4718.5699299999997</v>
      </c>
      <c r="AB985">
        <f t="shared" si="171"/>
        <v>4708.7586741666673</v>
      </c>
      <c r="AC985">
        <f t="shared" si="172"/>
        <v>4710.0617300000004</v>
      </c>
      <c r="AF985">
        <f t="shared" si="173"/>
        <v>4714.8494300000002</v>
      </c>
      <c r="AG985">
        <f t="shared" si="174"/>
        <v>4729.5686966666663</v>
      </c>
      <c r="AH985">
        <f t="shared" si="175"/>
        <v>4708.7586741666673</v>
      </c>
    </row>
    <row r="986" spans="1:34" x14ac:dyDescent="0.55000000000000004">
      <c r="A986">
        <f>ALGLIB_SSA_XAUUSD!J986</f>
        <v>1775696400</v>
      </c>
      <c r="B986" t="str">
        <f>_xlfn.XLOOKUP($A986,ALGLIB_SSA_XAUUSD!$A$2:$A$1000,ALGLIB_SSA_XAUUSD!$B$2:$B$1000,"",0)</f>
        <v>XAUUSD</v>
      </c>
      <c r="C986" t="str">
        <f>_xlfn.XLOOKUP($A986,ALGLIB_SSA_XAUUSD!$A$2:$A$1000,ALGLIB_SSA_XAUUSD!$C$2:$C$1000,"",0)</f>
        <v>H1</v>
      </c>
      <c r="D986" s="2">
        <f>_xlfn.XLOOKUP($A986,ALGLIB_SSA_XAUUSD!$A$2:$A$1000,ALGLIB_SSA_XAUUSD!$D$2:$D$1000,"",0)</f>
        <v>4727.47</v>
      </c>
      <c r="E986" s="2">
        <f>_xlfn.XLOOKUP($A986,ALGLIB_SSA_XAUUSD!$A$2:$A$1000,ALGLIB_SSA_XAUUSD!$E$2:$E$1000,"",0)</f>
        <v>4726.6954599999999</v>
      </c>
      <c r="F986" s="2">
        <f>_xlfn.XLOOKUP($A986,ALGLIB_SSA_XAUUSD!$A$2:$A$1000,ALGLIB_SSA_XAUUSD!$F$2:$F$1000,"",0)</f>
        <v>4722.5623100000003</v>
      </c>
      <c r="G986" s="2">
        <f>_xlfn.XLOOKUP($A986,ALGLIB_SSA_XAUUSD!$A$2:$A$1000,ALGLIB_SSA_XAUUSD!$G$2:$G$1000,"",0)</f>
        <v>4729.7932199999996</v>
      </c>
      <c r="H986" s="2">
        <f>_xlfn.XLOOKUP($A986,ALGLIB_SSA_XAUUSD!$A$2:$A$1000,ALGLIB_SSA_XAUUSD!$H$2:$H$1000,"",0)</f>
        <v>4709.0566200000003</v>
      </c>
      <c r="I986" t="str">
        <f>_xlfn.XLOOKUP($A986,ALGLIB_SSA_XAUUSD!$J$2:$J$1000,ALGLIB_SSA_XAUUSD!$K$2:$K$1000,"",0)</f>
        <v>XAUUSD</v>
      </c>
      <c r="J986" t="str">
        <f>_xlfn.XLOOKUP($A986,ALGLIB_SSA_XAUUSD!$J$2:$J$1000,ALGLIB_SSA_XAUUSD!$L$2:$L$1000,"",0)</f>
        <v>M5</v>
      </c>
      <c r="K986">
        <f>_xlfn.XLOOKUP($A986,ALGLIB_SSA_XAUUSD!$J$2:$J$1000,ALGLIB_SSA_XAUUSD!$M$2:$M$1000,"",0)</f>
        <v>4712.88</v>
      </c>
      <c r="L986">
        <f>_xlfn.XLOOKUP($A986,ALGLIB_SSA_XAUUSD!$J$2:$J$1000,ALGLIB_SSA_XAUUSD!$N$2:$N$1000,"",0)</f>
        <v>4714.57791</v>
      </c>
      <c r="M986">
        <f>_xlfn.XLOOKUP($A986,ALGLIB_SSA_XAUUSD!$J$2:$J$1000,ALGLIB_SSA_XAUUSD!$O$2:$O$1000,"",0)</f>
        <v>4714.5074999999997</v>
      </c>
      <c r="N986">
        <f>_xlfn.XLOOKUP($A986,ALGLIB_SSA_XAUUSD!$J$2:$J$1000,ALGLIB_SSA_XAUUSD!$P$2:$P$1000,"",0)</f>
        <v>4718.5633900000003</v>
      </c>
      <c r="O986">
        <f>_xlfn.XLOOKUP($A986,ALGLIB_SSA_XAUUSD!$J$2:$J$1000,ALGLIB_SSA_XAUUSD!$Q$2:$Q$1000,"",0)</f>
        <v>4708.9425799999999</v>
      </c>
      <c r="R986">
        <f t="shared" si="165"/>
        <v>1775696400</v>
      </c>
      <c r="S986" t="str">
        <f t="shared" si="166"/>
        <v>XAUUSD</v>
      </c>
      <c r="T986" t="str">
        <f t="shared" si="167"/>
        <v>M5</v>
      </c>
      <c r="U986">
        <f t="shared" si="168"/>
        <v>4712.88</v>
      </c>
      <c r="V986">
        <v>4726.6954599999999</v>
      </c>
      <c r="W986">
        <v>4722.5623100000003</v>
      </c>
      <c r="X986">
        <v>4714.57791</v>
      </c>
      <c r="Y986">
        <v>4714.5074999999997</v>
      </c>
      <c r="Z986">
        <f t="shared" si="169"/>
        <v>4729.7932199999996</v>
      </c>
      <c r="AA986">
        <f t="shared" si="170"/>
        <v>4718.5633900000003</v>
      </c>
      <c r="AB986">
        <f t="shared" si="171"/>
        <v>4709.0566200000003</v>
      </c>
      <c r="AC986">
        <f t="shared" si="172"/>
        <v>4708.9425799999999</v>
      </c>
      <c r="AF986">
        <f t="shared" si="173"/>
        <v>4714.57791</v>
      </c>
      <c r="AG986">
        <f t="shared" si="174"/>
        <v>4729.7932199999996</v>
      </c>
      <c r="AH986">
        <f t="shared" si="175"/>
        <v>4709.0566200000003</v>
      </c>
    </row>
    <row r="987" spans="1:34" x14ac:dyDescent="0.55000000000000004">
      <c r="A987">
        <f>ALGLIB_SSA_XAUUSD!J987</f>
        <v>1775696700</v>
      </c>
      <c r="B987" t="str">
        <f>_xlfn.XLOOKUP($A987,ALGLIB_SSA_XAUUSD!$A$2:$A$1000,ALGLIB_SSA_XAUUSD!$B$2:$B$1000,"",0)</f>
        <v/>
      </c>
      <c r="C987" t="str">
        <f>_xlfn.XLOOKUP($A987,ALGLIB_SSA_XAUUSD!$A$2:$A$1000,ALGLIB_SSA_XAUUSD!$C$2:$C$1000,"",0)</f>
        <v/>
      </c>
      <c r="D987" t="str">
        <f>_xlfn.XLOOKUP($A987,ALGLIB_SSA_XAUUSD!$A$2:$A$1000,ALGLIB_SSA_XAUUSD!$D$2:$D$1000,"",0)</f>
        <v/>
      </c>
      <c r="E987" t="str">
        <f>_xlfn.XLOOKUP($A987,ALGLIB_SSA_XAUUSD!$A$2:$A$1000,ALGLIB_SSA_XAUUSD!$E$2:$E$1000,"",0)</f>
        <v/>
      </c>
      <c r="F987" t="str">
        <f>_xlfn.XLOOKUP($A987,ALGLIB_SSA_XAUUSD!$A$2:$A$1000,ALGLIB_SSA_XAUUSD!$F$2:$F$1000,"",0)</f>
        <v/>
      </c>
      <c r="G987" t="str">
        <f>_xlfn.XLOOKUP($A987,ALGLIB_SSA_XAUUSD!$A$2:$A$1000,ALGLIB_SSA_XAUUSD!$G$2:$G$1000,"",0)</f>
        <v/>
      </c>
      <c r="H987" t="str">
        <f>_xlfn.XLOOKUP($A987,ALGLIB_SSA_XAUUSD!$A$2:$A$1000,ALGLIB_SSA_XAUUSD!$H$2:$H$1000,"",0)</f>
        <v/>
      </c>
      <c r="I987" t="str">
        <f>_xlfn.XLOOKUP($A987,ALGLIB_SSA_XAUUSD!$J$2:$J$1000,ALGLIB_SSA_XAUUSD!$K$2:$K$1000,"",0)</f>
        <v>XAUUSD</v>
      </c>
      <c r="J987" t="str">
        <f>_xlfn.XLOOKUP($A987,ALGLIB_SSA_XAUUSD!$J$2:$J$1000,ALGLIB_SSA_XAUUSD!$L$2:$L$1000,"",0)</f>
        <v>M5</v>
      </c>
      <c r="K987">
        <f>_xlfn.XLOOKUP($A987,ALGLIB_SSA_XAUUSD!$J$2:$J$1000,ALGLIB_SSA_XAUUSD!$M$2:$M$1000,"",0)</f>
        <v>4716.1099999999997</v>
      </c>
      <c r="L987">
        <f>_xlfn.XLOOKUP($A987,ALGLIB_SSA_XAUUSD!$J$2:$J$1000,ALGLIB_SSA_XAUUSD!$N$2:$N$1000,"",0)</f>
        <v>4714.2182700000003</v>
      </c>
      <c r="M987">
        <f>_xlfn.XLOOKUP($A987,ALGLIB_SSA_XAUUSD!$J$2:$J$1000,ALGLIB_SSA_XAUUSD!$O$2:$O$1000,"",0)</f>
        <v>4714.3628900000003</v>
      </c>
      <c r="N987">
        <f>_xlfn.XLOOKUP($A987,ALGLIB_SSA_XAUUSD!$J$2:$J$1000,ALGLIB_SSA_XAUUSD!$P$2:$P$1000,"",0)</f>
        <v>4718.3112300000003</v>
      </c>
      <c r="O987">
        <f>_xlfn.XLOOKUP($A987,ALGLIB_SSA_XAUUSD!$J$2:$J$1000,ALGLIB_SSA_XAUUSD!$Q$2:$Q$1000,"",0)</f>
        <v>4707.9848199999997</v>
      </c>
      <c r="V987" t="s">
        <v>20</v>
      </c>
      <c r="W987" t="s">
        <v>20</v>
      </c>
      <c r="Z987" t="str">
        <f t="shared" si="169"/>
        <v/>
      </c>
      <c r="AB987" t="str">
        <f t="shared" si="171"/>
        <v/>
      </c>
    </row>
    <row r="988" spans="1:34" x14ac:dyDescent="0.55000000000000004">
      <c r="A988">
        <f>ALGLIB_SSA_XAUUSD!J988</f>
        <v>1775697000</v>
      </c>
      <c r="B988" t="str">
        <f>_xlfn.XLOOKUP($A988,ALGLIB_SSA_XAUUSD!$A$2:$A$1000,ALGLIB_SSA_XAUUSD!$B$2:$B$1000,"",0)</f>
        <v/>
      </c>
      <c r="C988" t="str">
        <f>_xlfn.XLOOKUP($A988,ALGLIB_SSA_XAUUSD!$A$2:$A$1000,ALGLIB_SSA_XAUUSD!$C$2:$C$1000,"",0)</f>
        <v/>
      </c>
      <c r="D988" t="str">
        <f>_xlfn.XLOOKUP($A988,ALGLIB_SSA_XAUUSD!$A$2:$A$1000,ALGLIB_SSA_XAUUSD!$D$2:$D$1000,"",0)</f>
        <v/>
      </c>
      <c r="E988" t="str">
        <f>_xlfn.XLOOKUP($A988,ALGLIB_SSA_XAUUSD!$A$2:$A$1000,ALGLIB_SSA_XAUUSD!$E$2:$E$1000,"",0)</f>
        <v/>
      </c>
      <c r="F988" t="str">
        <f>_xlfn.XLOOKUP($A988,ALGLIB_SSA_XAUUSD!$A$2:$A$1000,ALGLIB_SSA_XAUUSD!$F$2:$F$1000,"",0)</f>
        <v/>
      </c>
      <c r="G988" t="str">
        <f>_xlfn.XLOOKUP($A988,ALGLIB_SSA_XAUUSD!$A$2:$A$1000,ALGLIB_SSA_XAUUSD!$G$2:$G$1000,"",0)</f>
        <v/>
      </c>
      <c r="H988" t="str">
        <f>_xlfn.XLOOKUP($A988,ALGLIB_SSA_XAUUSD!$A$2:$A$1000,ALGLIB_SSA_XAUUSD!$H$2:$H$1000,"",0)</f>
        <v/>
      </c>
      <c r="I988" t="str">
        <f>_xlfn.XLOOKUP($A988,ALGLIB_SSA_XAUUSD!$J$2:$J$1000,ALGLIB_SSA_XAUUSD!$K$2:$K$1000,"",0)</f>
        <v>XAUUSD</v>
      </c>
      <c r="J988" t="str">
        <f>_xlfn.XLOOKUP($A988,ALGLIB_SSA_XAUUSD!$J$2:$J$1000,ALGLIB_SSA_XAUUSD!$L$2:$L$1000,"",0)</f>
        <v>M5</v>
      </c>
      <c r="K988">
        <f>_xlfn.XLOOKUP($A988,ALGLIB_SSA_XAUUSD!$J$2:$J$1000,ALGLIB_SSA_XAUUSD!$M$2:$M$1000,"",0)</f>
        <v>4720.74</v>
      </c>
      <c r="L988">
        <f>_xlfn.XLOOKUP($A988,ALGLIB_SSA_XAUUSD!$J$2:$J$1000,ALGLIB_SSA_XAUUSD!$N$2:$N$1000,"",0)</f>
        <v>4713.9330499999996</v>
      </c>
      <c r="M988">
        <f>_xlfn.XLOOKUP($A988,ALGLIB_SSA_XAUUSD!$J$2:$J$1000,ALGLIB_SSA_XAUUSD!$O$2:$O$1000,"",0)</f>
        <v>4714.14797</v>
      </c>
      <c r="N988">
        <f>_xlfn.XLOOKUP($A988,ALGLIB_SSA_XAUUSD!$J$2:$J$1000,ALGLIB_SSA_XAUUSD!$P$2:$P$1000,"",0)</f>
        <v>4718.0206099999996</v>
      </c>
      <c r="O988">
        <f>_xlfn.XLOOKUP($A988,ALGLIB_SSA_XAUUSD!$J$2:$J$1000,ALGLIB_SSA_XAUUSD!$Q$2:$Q$1000,"",0)</f>
        <v>4707.3361599999998</v>
      </c>
      <c r="V988" t="s">
        <v>20</v>
      </c>
      <c r="W988" t="s">
        <v>20</v>
      </c>
      <c r="Z988" t="str">
        <f t="shared" si="169"/>
        <v/>
      </c>
      <c r="AB988" t="str">
        <f t="shared" si="171"/>
        <v/>
      </c>
    </row>
    <row r="989" spans="1:34" x14ac:dyDescent="0.55000000000000004">
      <c r="A989">
        <f>ALGLIB_SSA_XAUUSD!J989</f>
        <v>1775697300</v>
      </c>
      <c r="B989" t="str">
        <f>_xlfn.XLOOKUP($A989,ALGLIB_SSA_XAUUSD!$A$2:$A$1000,ALGLIB_SSA_XAUUSD!$B$2:$B$1000,"",0)</f>
        <v/>
      </c>
      <c r="C989" t="str">
        <f>_xlfn.XLOOKUP($A989,ALGLIB_SSA_XAUUSD!$A$2:$A$1000,ALGLIB_SSA_XAUUSD!$C$2:$C$1000,"",0)</f>
        <v/>
      </c>
      <c r="D989" t="str">
        <f>_xlfn.XLOOKUP($A989,ALGLIB_SSA_XAUUSD!$A$2:$A$1000,ALGLIB_SSA_XAUUSD!$D$2:$D$1000,"",0)</f>
        <v/>
      </c>
      <c r="E989" t="str">
        <f>_xlfn.XLOOKUP($A989,ALGLIB_SSA_XAUUSD!$A$2:$A$1000,ALGLIB_SSA_XAUUSD!$E$2:$E$1000,"",0)</f>
        <v/>
      </c>
      <c r="F989" t="str">
        <f>_xlfn.XLOOKUP($A989,ALGLIB_SSA_XAUUSD!$A$2:$A$1000,ALGLIB_SSA_XAUUSD!$F$2:$F$1000,"",0)</f>
        <v/>
      </c>
      <c r="G989" t="str">
        <f>_xlfn.XLOOKUP($A989,ALGLIB_SSA_XAUUSD!$A$2:$A$1000,ALGLIB_SSA_XAUUSD!$G$2:$G$1000,"",0)</f>
        <v/>
      </c>
      <c r="H989" t="str">
        <f>_xlfn.XLOOKUP($A989,ALGLIB_SSA_XAUUSD!$A$2:$A$1000,ALGLIB_SSA_XAUUSD!$H$2:$H$1000,"",0)</f>
        <v/>
      </c>
      <c r="I989" t="str">
        <f>_xlfn.XLOOKUP($A989,ALGLIB_SSA_XAUUSD!$J$2:$J$1000,ALGLIB_SSA_XAUUSD!$K$2:$K$1000,"",0)</f>
        <v>XAUUSD</v>
      </c>
      <c r="J989" t="str">
        <f>_xlfn.XLOOKUP($A989,ALGLIB_SSA_XAUUSD!$J$2:$J$1000,ALGLIB_SSA_XAUUSD!$L$2:$L$1000,"",0)</f>
        <v>M5</v>
      </c>
      <c r="K989">
        <f>_xlfn.XLOOKUP($A989,ALGLIB_SSA_XAUUSD!$J$2:$J$1000,ALGLIB_SSA_XAUUSD!$M$2:$M$1000,"",0)</f>
        <v>4720.84</v>
      </c>
      <c r="L989">
        <f>_xlfn.XLOOKUP($A989,ALGLIB_SSA_XAUUSD!$J$2:$J$1000,ALGLIB_SSA_XAUUSD!$N$2:$N$1000,"",0)</f>
        <v>4713.7846</v>
      </c>
      <c r="M989">
        <f>_xlfn.XLOOKUP($A989,ALGLIB_SSA_XAUUSD!$J$2:$J$1000,ALGLIB_SSA_XAUUSD!$O$2:$O$1000,"",0)</f>
        <v>4713.9662799999996</v>
      </c>
      <c r="N989">
        <f>_xlfn.XLOOKUP($A989,ALGLIB_SSA_XAUUSD!$J$2:$J$1000,ALGLIB_SSA_XAUUSD!$P$2:$P$1000,"",0)</f>
        <v>4717.8002800000004</v>
      </c>
      <c r="O989">
        <f>_xlfn.XLOOKUP($A989,ALGLIB_SSA_XAUUSD!$J$2:$J$1000,ALGLIB_SSA_XAUUSD!$Q$2:$Q$1000,"",0)</f>
        <v>4707.17382</v>
      </c>
      <c r="V989" t="s">
        <v>20</v>
      </c>
      <c r="W989" t="s">
        <v>20</v>
      </c>
      <c r="Z989" t="str">
        <f t="shared" si="169"/>
        <v/>
      </c>
      <c r="AB989" t="str">
        <f t="shared" si="171"/>
        <v/>
      </c>
    </row>
    <row r="990" spans="1:34" x14ac:dyDescent="0.55000000000000004">
      <c r="A990">
        <f>ALGLIB_SSA_XAUUSD!J990</f>
        <v>1775697600</v>
      </c>
      <c r="B990" t="str">
        <f>_xlfn.XLOOKUP($A990,ALGLIB_SSA_XAUUSD!$A$2:$A$1000,ALGLIB_SSA_XAUUSD!$B$2:$B$1000,"",0)</f>
        <v/>
      </c>
      <c r="C990" t="str">
        <f>_xlfn.XLOOKUP($A990,ALGLIB_SSA_XAUUSD!$A$2:$A$1000,ALGLIB_SSA_XAUUSD!$C$2:$C$1000,"",0)</f>
        <v/>
      </c>
      <c r="D990" t="str">
        <f>_xlfn.XLOOKUP($A990,ALGLIB_SSA_XAUUSD!$A$2:$A$1000,ALGLIB_SSA_XAUUSD!$D$2:$D$1000,"",0)</f>
        <v/>
      </c>
      <c r="E990" t="str">
        <f>_xlfn.XLOOKUP($A990,ALGLIB_SSA_XAUUSD!$A$2:$A$1000,ALGLIB_SSA_XAUUSD!$E$2:$E$1000,"",0)</f>
        <v/>
      </c>
      <c r="F990" t="str">
        <f>_xlfn.XLOOKUP($A990,ALGLIB_SSA_XAUUSD!$A$2:$A$1000,ALGLIB_SSA_XAUUSD!$F$2:$F$1000,"",0)</f>
        <v/>
      </c>
      <c r="G990" t="str">
        <f>_xlfn.XLOOKUP($A990,ALGLIB_SSA_XAUUSD!$A$2:$A$1000,ALGLIB_SSA_XAUUSD!$G$2:$G$1000,"",0)</f>
        <v/>
      </c>
      <c r="H990" t="str">
        <f>_xlfn.XLOOKUP($A990,ALGLIB_SSA_XAUUSD!$A$2:$A$1000,ALGLIB_SSA_XAUUSD!$H$2:$H$1000,"",0)</f>
        <v/>
      </c>
      <c r="I990" t="str">
        <f>_xlfn.XLOOKUP($A990,ALGLIB_SSA_XAUUSD!$J$2:$J$1000,ALGLIB_SSA_XAUUSD!$K$2:$K$1000,"",0)</f>
        <v>XAUUSD</v>
      </c>
      <c r="J990" t="str">
        <f>_xlfn.XLOOKUP($A990,ALGLIB_SSA_XAUUSD!$J$2:$J$1000,ALGLIB_SSA_XAUUSD!$L$2:$L$1000,"",0)</f>
        <v>M5</v>
      </c>
      <c r="K990">
        <f>_xlfn.XLOOKUP($A990,ALGLIB_SSA_XAUUSD!$J$2:$J$1000,ALGLIB_SSA_XAUUSD!$M$2:$M$1000,"",0)</f>
        <v>4711.79</v>
      </c>
      <c r="L990">
        <f>_xlfn.XLOOKUP($A990,ALGLIB_SSA_XAUUSD!$J$2:$J$1000,ALGLIB_SSA_XAUUSD!$N$2:$N$1000,"",0)</f>
        <v>4713.8724599999996</v>
      </c>
      <c r="M990">
        <f>_xlfn.XLOOKUP($A990,ALGLIB_SSA_XAUUSD!$J$2:$J$1000,ALGLIB_SSA_XAUUSD!$O$2:$O$1000,"",0)</f>
        <v>4713.9193699999996</v>
      </c>
      <c r="N990">
        <f>_xlfn.XLOOKUP($A990,ALGLIB_SSA_XAUUSD!$J$2:$J$1000,ALGLIB_SSA_XAUUSD!$P$2:$P$1000,"",0)</f>
        <v>4717.7747399999998</v>
      </c>
      <c r="O990">
        <f>_xlfn.XLOOKUP($A990,ALGLIB_SSA_XAUUSD!$J$2:$J$1000,ALGLIB_SSA_XAUUSD!$Q$2:$Q$1000,"",0)</f>
        <v>4707.4680500000004</v>
      </c>
      <c r="V990" t="s">
        <v>20</v>
      </c>
      <c r="W990" t="s">
        <v>20</v>
      </c>
      <c r="Z990" t="str">
        <f t="shared" si="169"/>
        <v/>
      </c>
      <c r="AB990" t="str">
        <f t="shared" si="171"/>
        <v/>
      </c>
    </row>
    <row r="991" spans="1:34" x14ac:dyDescent="0.55000000000000004">
      <c r="A991">
        <f>ALGLIB_SSA_XAUUSD!J991</f>
        <v>1775697900</v>
      </c>
      <c r="B991" t="str">
        <f>_xlfn.XLOOKUP($A991,ALGLIB_SSA_XAUUSD!$A$2:$A$1000,ALGLIB_SSA_XAUUSD!$B$2:$B$1000,"",0)</f>
        <v/>
      </c>
      <c r="C991" t="str">
        <f>_xlfn.XLOOKUP($A991,ALGLIB_SSA_XAUUSD!$A$2:$A$1000,ALGLIB_SSA_XAUUSD!$C$2:$C$1000,"",0)</f>
        <v/>
      </c>
      <c r="D991" t="str">
        <f>_xlfn.XLOOKUP($A991,ALGLIB_SSA_XAUUSD!$A$2:$A$1000,ALGLIB_SSA_XAUUSD!$D$2:$D$1000,"",0)</f>
        <v/>
      </c>
      <c r="E991" t="str">
        <f>_xlfn.XLOOKUP($A991,ALGLIB_SSA_XAUUSD!$A$2:$A$1000,ALGLIB_SSA_XAUUSD!$E$2:$E$1000,"",0)</f>
        <v/>
      </c>
      <c r="F991" t="str">
        <f>_xlfn.XLOOKUP($A991,ALGLIB_SSA_XAUUSD!$A$2:$A$1000,ALGLIB_SSA_XAUUSD!$F$2:$F$1000,"",0)</f>
        <v/>
      </c>
      <c r="G991" t="str">
        <f>_xlfn.XLOOKUP($A991,ALGLIB_SSA_XAUUSD!$A$2:$A$1000,ALGLIB_SSA_XAUUSD!$G$2:$G$1000,"",0)</f>
        <v/>
      </c>
      <c r="H991" t="str">
        <f>_xlfn.XLOOKUP($A991,ALGLIB_SSA_XAUUSD!$A$2:$A$1000,ALGLIB_SSA_XAUUSD!$H$2:$H$1000,"",0)</f>
        <v/>
      </c>
      <c r="I991" t="str">
        <f>_xlfn.XLOOKUP($A991,ALGLIB_SSA_XAUUSD!$J$2:$J$1000,ALGLIB_SSA_XAUUSD!$K$2:$K$1000,"",0)</f>
        <v>XAUUSD</v>
      </c>
      <c r="J991" t="str">
        <f>_xlfn.XLOOKUP($A991,ALGLIB_SSA_XAUUSD!$J$2:$J$1000,ALGLIB_SSA_XAUUSD!$L$2:$L$1000,"",0)</f>
        <v>M5</v>
      </c>
      <c r="K991">
        <f>_xlfn.XLOOKUP($A991,ALGLIB_SSA_XAUUSD!$J$2:$J$1000,ALGLIB_SSA_XAUUSD!$M$2:$M$1000,"",0)</f>
        <v>4704.93</v>
      </c>
      <c r="L991">
        <f>_xlfn.XLOOKUP($A991,ALGLIB_SSA_XAUUSD!$J$2:$J$1000,ALGLIB_SSA_XAUUSD!$N$2:$N$1000,"",0)</f>
        <v>4714.5318799999995</v>
      </c>
      <c r="M991">
        <f>_xlfn.XLOOKUP($A991,ALGLIB_SSA_XAUUSD!$J$2:$J$1000,ALGLIB_SSA_XAUUSD!$O$2:$O$1000,"",0)</f>
        <v>4714.2256299999999</v>
      </c>
      <c r="N991">
        <f>_xlfn.XLOOKUP($A991,ALGLIB_SSA_XAUUSD!$J$2:$J$1000,ALGLIB_SSA_XAUUSD!$P$2:$P$1000,"",0)</f>
        <v>4718.1056200000003</v>
      </c>
      <c r="O991">
        <f>_xlfn.XLOOKUP($A991,ALGLIB_SSA_XAUUSD!$J$2:$J$1000,ALGLIB_SSA_XAUUSD!$Q$2:$Q$1000,"",0)</f>
        <v>4708.4302699999998</v>
      </c>
      <c r="V991" t="s">
        <v>20</v>
      </c>
      <c r="W991" t="s">
        <v>20</v>
      </c>
      <c r="Z991" t="str">
        <f t="shared" si="169"/>
        <v/>
      </c>
      <c r="AB991" t="str">
        <f t="shared" si="171"/>
        <v/>
      </c>
    </row>
    <row r="992" spans="1:34" x14ac:dyDescent="0.55000000000000004">
      <c r="A992">
        <f>ALGLIB_SSA_XAUUSD!J992</f>
        <v>1775698200</v>
      </c>
      <c r="B992" t="str">
        <f>_xlfn.XLOOKUP($A992,ALGLIB_SSA_XAUUSD!$A$2:$A$1000,ALGLIB_SSA_XAUUSD!$B$2:$B$1000,"",0)</f>
        <v/>
      </c>
      <c r="C992" t="str">
        <f>_xlfn.XLOOKUP($A992,ALGLIB_SSA_XAUUSD!$A$2:$A$1000,ALGLIB_SSA_XAUUSD!$C$2:$C$1000,"",0)</f>
        <v/>
      </c>
      <c r="D992" t="str">
        <f>_xlfn.XLOOKUP($A992,ALGLIB_SSA_XAUUSD!$A$2:$A$1000,ALGLIB_SSA_XAUUSD!$D$2:$D$1000,"",0)</f>
        <v/>
      </c>
      <c r="E992" t="str">
        <f>_xlfn.XLOOKUP($A992,ALGLIB_SSA_XAUUSD!$A$2:$A$1000,ALGLIB_SSA_XAUUSD!$E$2:$E$1000,"",0)</f>
        <v/>
      </c>
      <c r="F992" t="str">
        <f>_xlfn.XLOOKUP($A992,ALGLIB_SSA_XAUUSD!$A$2:$A$1000,ALGLIB_SSA_XAUUSD!$F$2:$F$1000,"",0)</f>
        <v/>
      </c>
      <c r="G992" t="str">
        <f>_xlfn.XLOOKUP($A992,ALGLIB_SSA_XAUUSD!$A$2:$A$1000,ALGLIB_SSA_XAUUSD!$G$2:$G$1000,"",0)</f>
        <v/>
      </c>
      <c r="H992" t="str">
        <f>_xlfn.XLOOKUP($A992,ALGLIB_SSA_XAUUSD!$A$2:$A$1000,ALGLIB_SSA_XAUUSD!$H$2:$H$1000,"",0)</f>
        <v/>
      </c>
      <c r="I992" t="str">
        <f>_xlfn.XLOOKUP($A992,ALGLIB_SSA_XAUUSD!$J$2:$J$1000,ALGLIB_SSA_XAUUSD!$K$2:$K$1000,"",0)</f>
        <v>XAUUSD</v>
      </c>
      <c r="J992" t="str">
        <f>_xlfn.XLOOKUP($A992,ALGLIB_SSA_XAUUSD!$J$2:$J$1000,ALGLIB_SSA_XAUUSD!$L$2:$L$1000,"",0)</f>
        <v>M5</v>
      </c>
      <c r="K992">
        <f>_xlfn.XLOOKUP($A992,ALGLIB_SSA_XAUUSD!$J$2:$J$1000,ALGLIB_SSA_XAUUSD!$M$2:$M$1000,"",0)</f>
        <v>4718.3999999999996</v>
      </c>
      <c r="L992">
        <f>_xlfn.XLOOKUP($A992,ALGLIB_SSA_XAUUSD!$J$2:$J$1000,ALGLIB_SSA_XAUUSD!$N$2:$N$1000,"",0)</f>
        <v>4716.0091400000001</v>
      </c>
      <c r="M992">
        <f>_xlfn.XLOOKUP($A992,ALGLIB_SSA_XAUUSD!$J$2:$J$1000,ALGLIB_SSA_XAUUSD!$O$2:$O$1000,"",0)</f>
        <v>4715.1173799999997</v>
      </c>
      <c r="N992">
        <f>_xlfn.XLOOKUP($A992,ALGLIB_SSA_XAUUSD!$J$2:$J$1000,ALGLIB_SSA_XAUUSD!$P$2:$P$1000,"",0)</f>
        <v>4719.1020799999997</v>
      </c>
      <c r="O992">
        <f>_xlfn.XLOOKUP($A992,ALGLIB_SSA_XAUUSD!$J$2:$J$1000,ALGLIB_SSA_XAUUSD!$Q$2:$Q$1000,"",0)</f>
        <v>4710.21072</v>
      </c>
      <c r="V992" t="s">
        <v>20</v>
      </c>
      <c r="W992" t="s">
        <v>20</v>
      </c>
      <c r="Z992" t="str">
        <f t="shared" si="169"/>
        <v/>
      </c>
      <c r="AB992" t="str">
        <f t="shared" si="171"/>
        <v/>
      </c>
    </row>
    <row r="993" spans="1:28" x14ac:dyDescent="0.55000000000000004">
      <c r="A993">
        <f>ALGLIB_SSA_XAUUSD!J993</f>
        <v>1775698500</v>
      </c>
      <c r="B993" t="str">
        <f>_xlfn.XLOOKUP($A993,ALGLIB_SSA_XAUUSD!$A$2:$A$1000,ALGLIB_SSA_XAUUSD!$B$2:$B$1000,"",0)</f>
        <v/>
      </c>
      <c r="C993" t="str">
        <f>_xlfn.XLOOKUP($A993,ALGLIB_SSA_XAUUSD!$A$2:$A$1000,ALGLIB_SSA_XAUUSD!$C$2:$C$1000,"",0)</f>
        <v/>
      </c>
      <c r="D993" t="str">
        <f>_xlfn.XLOOKUP($A993,ALGLIB_SSA_XAUUSD!$A$2:$A$1000,ALGLIB_SSA_XAUUSD!$D$2:$D$1000,"",0)</f>
        <v/>
      </c>
      <c r="E993" t="str">
        <f>_xlfn.XLOOKUP($A993,ALGLIB_SSA_XAUUSD!$A$2:$A$1000,ALGLIB_SSA_XAUUSD!$E$2:$E$1000,"",0)</f>
        <v/>
      </c>
      <c r="F993" t="str">
        <f>_xlfn.XLOOKUP($A993,ALGLIB_SSA_XAUUSD!$A$2:$A$1000,ALGLIB_SSA_XAUUSD!$F$2:$F$1000,"",0)</f>
        <v/>
      </c>
      <c r="G993" t="str">
        <f>_xlfn.XLOOKUP($A993,ALGLIB_SSA_XAUUSD!$A$2:$A$1000,ALGLIB_SSA_XAUUSD!$G$2:$G$1000,"",0)</f>
        <v/>
      </c>
      <c r="H993" t="str">
        <f>_xlfn.XLOOKUP($A993,ALGLIB_SSA_XAUUSD!$A$2:$A$1000,ALGLIB_SSA_XAUUSD!$H$2:$H$1000,"",0)</f>
        <v/>
      </c>
      <c r="I993" t="str">
        <f>_xlfn.XLOOKUP($A993,ALGLIB_SSA_XAUUSD!$J$2:$J$1000,ALGLIB_SSA_XAUUSD!$K$2:$K$1000,"",0)</f>
        <v>XAUUSD</v>
      </c>
      <c r="J993" t="str">
        <f>_xlfn.XLOOKUP($A993,ALGLIB_SSA_XAUUSD!$J$2:$J$1000,ALGLIB_SSA_XAUUSD!$L$2:$L$1000,"",0)</f>
        <v>M5</v>
      </c>
      <c r="K993">
        <f>_xlfn.XLOOKUP($A993,ALGLIB_SSA_XAUUSD!$J$2:$J$1000,ALGLIB_SSA_XAUUSD!$M$2:$M$1000,"",0)</f>
        <v>4718.8100000000004</v>
      </c>
      <c r="L993">
        <f>_xlfn.XLOOKUP($A993,ALGLIB_SSA_XAUUSD!$J$2:$J$1000,ALGLIB_SSA_XAUUSD!$N$2:$N$1000,"",0)</f>
        <v>4717.7376400000003</v>
      </c>
      <c r="M993">
        <f>_xlfn.XLOOKUP($A993,ALGLIB_SSA_XAUUSD!$J$2:$J$1000,ALGLIB_SSA_XAUUSD!$O$2:$O$1000,"",0)</f>
        <v>4716.4275100000004</v>
      </c>
      <c r="N993">
        <f>_xlfn.XLOOKUP($A993,ALGLIB_SSA_XAUUSD!$J$2:$J$1000,ALGLIB_SSA_XAUUSD!$P$2:$P$1000,"",0)</f>
        <v>4720.4697999999999</v>
      </c>
      <c r="O993">
        <f>_xlfn.XLOOKUP($A993,ALGLIB_SSA_XAUUSD!$J$2:$J$1000,ALGLIB_SSA_XAUUSD!$Q$2:$Q$1000,"",0)</f>
        <v>4712.6809800000001</v>
      </c>
      <c r="V993" t="s">
        <v>20</v>
      </c>
      <c r="W993" t="s">
        <v>20</v>
      </c>
      <c r="Z993" t="str">
        <f t="shared" si="169"/>
        <v/>
      </c>
      <c r="AB993" t="str">
        <f t="shared" si="171"/>
        <v/>
      </c>
    </row>
    <row r="994" spans="1:28" x14ac:dyDescent="0.55000000000000004">
      <c r="A994">
        <f>ALGLIB_SSA_XAUUSD!J994</f>
        <v>1775698800</v>
      </c>
      <c r="B994" t="str">
        <f>_xlfn.XLOOKUP($A994,ALGLIB_SSA_XAUUSD!$A$2:$A$1000,ALGLIB_SSA_XAUUSD!$B$2:$B$1000,"",0)</f>
        <v/>
      </c>
      <c r="C994" t="str">
        <f>_xlfn.XLOOKUP($A994,ALGLIB_SSA_XAUUSD!$A$2:$A$1000,ALGLIB_SSA_XAUUSD!$C$2:$C$1000,"",0)</f>
        <v/>
      </c>
      <c r="D994" t="str">
        <f>_xlfn.XLOOKUP($A994,ALGLIB_SSA_XAUUSD!$A$2:$A$1000,ALGLIB_SSA_XAUUSD!$D$2:$D$1000,"",0)</f>
        <v/>
      </c>
      <c r="E994" t="str">
        <f>_xlfn.XLOOKUP($A994,ALGLIB_SSA_XAUUSD!$A$2:$A$1000,ALGLIB_SSA_XAUUSD!$E$2:$E$1000,"",0)</f>
        <v/>
      </c>
      <c r="F994" t="str">
        <f>_xlfn.XLOOKUP($A994,ALGLIB_SSA_XAUUSD!$A$2:$A$1000,ALGLIB_SSA_XAUUSD!$F$2:$F$1000,"",0)</f>
        <v/>
      </c>
      <c r="G994" t="str">
        <f>_xlfn.XLOOKUP($A994,ALGLIB_SSA_XAUUSD!$A$2:$A$1000,ALGLIB_SSA_XAUUSD!$G$2:$G$1000,"",0)</f>
        <v/>
      </c>
      <c r="H994" t="str">
        <f>_xlfn.XLOOKUP($A994,ALGLIB_SSA_XAUUSD!$A$2:$A$1000,ALGLIB_SSA_XAUUSD!$H$2:$H$1000,"",0)</f>
        <v/>
      </c>
      <c r="I994" t="str">
        <f>_xlfn.XLOOKUP($A994,ALGLIB_SSA_XAUUSD!$J$2:$J$1000,ALGLIB_SSA_XAUUSD!$K$2:$K$1000,"",0)</f>
        <v>XAUUSD</v>
      </c>
      <c r="J994" t="str">
        <f>_xlfn.XLOOKUP($A994,ALGLIB_SSA_XAUUSD!$J$2:$J$1000,ALGLIB_SSA_XAUUSD!$L$2:$L$1000,"",0)</f>
        <v>M5</v>
      </c>
      <c r="K994">
        <f>_xlfn.XLOOKUP($A994,ALGLIB_SSA_XAUUSD!$J$2:$J$1000,ALGLIB_SSA_XAUUSD!$M$2:$M$1000,"",0)</f>
        <v>4717.71</v>
      </c>
      <c r="L994">
        <f>_xlfn.XLOOKUP($A994,ALGLIB_SSA_XAUUSD!$J$2:$J$1000,ALGLIB_SSA_XAUUSD!$N$2:$N$1000,"",0)</f>
        <v>4719.5542299999997</v>
      </c>
      <c r="M994">
        <f>_xlfn.XLOOKUP($A994,ALGLIB_SSA_XAUUSD!$J$2:$J$1000,ALGLIB_SSA_XAUUSD!$O$2:$O$1000,"",0)</f>
        <v>4717.9908699999996</v>
      </c>
      <c r="N994">
        <f>_xlfn.XLOOKUP($A994,ALGLIB_SSA_XAUUSD!$J$2:$J$1000,ALGLIB_SSA_XAUUSD!$P$2:$P$1000,"",0)</f>
        <v>4722.0633699999998</v>
      </c>
      <c r="O994">
        <f>_xlfn.XLOOKUP($A994,ALGLIB_SSA_XAUUSD!$J$2:$J$1000,ALGLIB_SSA_XAUUSD!$Q$2:$Q$1000,"",0)</f>
        <v>4715.2369200000003</v>
      </c>
      <c r="V994" t="s">
        <v>20</v>
      </c>
      <c r="W994" t="s">
        <v>20</v>
      </c>
      <c r="Z994" t="str">
        <f t="shared" si="169"/>
        <v/>
      </c>
      <c r="AB994" t="str">
        <f t="shared" si="171"/>
        <v/>
      </c>
    </row>
    <row r="995" spans="1:28" x14ac:dyDescent="0.55000000000000004">
      <c r="A995">
        <f>ALGLIB_SSA_XAUUSD!J995</f>
        <v>1775699100</v>
      </c>
      <c r="B995" t="str">
        <f>_xlfn.XLOOKUP($A995,ALGLIB_SSA_XAUUSD!$A$2:$A$1000,ALGLIB_SSA_XAUUSD!$B$2:$B$1000,"",0)</f>
        <v/>
      </c>
      <c r="C995" t="str">
        <f>_xlfn.XLOOKUP($A995,ALGLIB_SSA_XAUUSD!$A$2:$A$1000,ALGLIB_SSA_XAUUSD!$C$2:$C$1000,"",0)</f>
        <v/>
      </c>
      <c r="D995" t="str">
        <f>_xlfn.XLOOKUP($A995,ALGLIB_SSA_XAUUSD!$A$2:$A$1000,ALGLIB_SSA_XAUUSD!$D$2:$D$1000,"",0)</f>
        <v/>
      </c>
      <c r="E995" t="str">
        <f>_xlfn.XLOOKUP($A995,ALGLIB_SSA_XAUUSD!$A$2:$A$1000,ALGLIB_SSA_XAUUSD!$E$2:$E$1000,"",0)</f>
        <v/>
      </c>
      <c r="F995" t="str">
        <f>_xlfn.XLOOKUP($A995,ALGLIB_SSA_XAUUSD!$A$2:$A$1000,ALGLIB_SSA_XAUUSD!$F$2:$F$1000,"",0)</f>
        <v/>
      </c>
      <c r="G995" t="str">
        <f>_xlfn.XLOOKUP($A995,ALGLIB_SSA_XAUUSD!$A$2:$A$1000,ALGLIB_SSA_XAUUSD!$G$2:$G$1000,"",0)</f>
        <v/>
      </c>
      <c r="H995" t="str">
        <f>_xlfn.XLOOKUP($A995,ALGLIB_SSA_XAUUSD!$A$2:$A$1000,ALGLIB_SSA_XAUUSD!$H$2:$H$1000,"",0)</f>
        <v/>
      </c>
      <c r="I995" t="str">
        <f>_xlfn.XLOOKUP($A995,ALGLIB_SSA_XAUUSD!$J$2:$J$1000,ALGLIB_SSA_XAUUSD!$K$2:$K$1000,"",0)</f>
        <v>XAUUSD</v>
      </c>
      <c r="J995" t="str">
        <f>_xlfn.XLOOKUP($A995,ALGLIB_SSA_XAUUSD!$J$2:$J$1000,ALGLIB_SSA_XAUUSD!$L$2:$L$1000,"",0)</f>
        <v>M5</v>
      </c>
      <c r="K995">
        <f>_xlfn.XLOOKUP($A995,ALGLIB_SSA_XAUUSD!$J$2:$J$1000,ALGLIB_SSA_XAUUSD!$M$2:$M$1000,"",0)</f>
        <v>4722.28</v>
      </c>
      <c r="L995">
        <f>_xlfn.XLOOKUP($A995,ALGLIB_SSA_XAUUSD!$J$2:$J$1000,ALGLIB_SSA_XAUUSD!$N$2:$N$1000,"",0)</f>
        <v>4721.3807299999999</v>
      </c>
      <c r="M995">
        <f>_xlfn.XLOOKUP($A995,ALGLIB_SSA_XAUUSD!$J$2:$J$1000,ALGLIB_SSA_XAUUSD!$O$2:$O$1000,"",0)</f>
        <v>4719.6858000000002</v>
      </c>
      <c r="N995">
        <f>_xlfn.XLOOKUP($A995,ALGLIB_SSA_XAUUSD!$J$2:$J$1000,ALGLIB_SSA_XAUUSD!$P$2:$P$1000,"",0)</f>
        <v>4723.6817099999998</v>
      </c>
      <c r="O995">
        <f>_xlfn.XLOOKUP($A995,ALGLIB_SSA_XAUUSD!$J$2:$J$1000,ALGLIB_SSA_XAUUSD!$Q$2:$Q$1000,"",0)</f>
        <v>4717.6485199999997</v>
      </c>
      <c r="V995" t="s">
        <v>20</v>
      </c>
      <c r="W995" t="s">
        <v>20</v>
      </c>
      <c r="Z995" t="str">
        <f t="shared" si="169"/>
        <v/>
      </c>
      <c r="AB995" t="str">
        <f t="shared" si="171"/>
        <v/>
      </c>
    </row>
    <row r="996" spans="1:28" x14ac:dyDescent="0.55000000000000004">
      <c r="A996">
        <f>ALGLIB_SSA_XAUUSD!J996</f>
        <v>1775699400</v>
      </c>
      <c r="B996" t="str">
        <f>_xlfn.XLOOKUP($A996,ALGLIB_SSA_XAUUSD!$A$2:$A$1000,ALGLIB_SSA_XAUUSD!$B$2:$B$1000,"",0)</f>
        <v/>
      </c>
      <c r="C996" t="str">
        <f>_xlfn.XLOOKUP($A996,ALGLIB_SSA_XAUUSD!$A$2:$A$1000,ALGLIB_SSA_XAUUSD!$C$2:$C$1000,"",0)</f>
        <v/>
      </c>
      <c r="D996" t="str">
        <f>_xlfn.XLOOKUP($A996,ALGLIB_SSA_XAUUSD!$A$2:$A$1000,ALGLIB_SSA_XAUUSD!$D$2:$D$1000,"",0)</f>
        <v/>
      </c>
      <c r="E996" t="str">
        <f>_xlfn.XLOOKUP($A996,ALGLIB_SSA_XAUUSD!$A$2:$A$1000,ALGLIB_SSA_XAUUSD!$E$2:$E$1000,"",0)</f>
        <v/>
      </c>
      <c r="F996" t="str">
        <f>_xlfn.XLOOKUP($A996,ALGLIB_SSA_XAUUSD!$A$2:$A$1000,ALGLIB_SSA_XAUUSD!$F$2:$F$1000,"",0)</f>
        <v/>
      </c>
      <c r="G996" t="str">
        <f>_xlfn.XLOOKUP($A996,ALGLIB_SSA_XAUUSD!$A$2:$A$1000,ALGLIB_SSA_XAUUSD!$G$2:$G$1000,"",0)</f>
        <v/>
      </c>
      <c r="H996" t="str">
        <f>_xlfn.XLOOKUP($A996,ALGLIB_SSA_XAUUSD!$A$2:$A$1000,ALGLIB_SSA_XAUUSD!$H$2:$H$1000,"",0)</f>
        <v/>
      </c>
      <c r="I996" t="str">
        <f>_xlfn.XLOOKUP($A996,ALGLIB_SSA_XAUUSD!$J$2:$J$1000,ALGLIB_SSA_XAUUSD!$K$2:$K$1000,"",0)</f>
        <v>XAUUSD</v>
      </c>
      <c r="J996" t="str">
        <f>_xlfn.XLOOKUP($A996,ALGLIB_SSA_XAUUSD!$J$2:$J$1000,ALGLIB_SSA_XAUUSD!$L$2:$L$1000,"",0)</f>
        <v>M5</v>
      </c>
      <c r="K996">
        <f>_xlfn.XLOOKUP($A996,ALGLIB_SSA_XAUUSD!$J$2:$J$1000,ALGLIB_SSA_XAUUSD!$M$2:$M$1000,"",0)</f>
        <v>4723.6099999999997</v>
      </c>
      <c r="L996">
        <f>_xlfn.XLOOKUP($A996,ALGLIB_SSA_XAUUSD!$J$2:$J$1000,ALGLIB_SSA_XAUUSD!$N$2:$N$1000,"",0)</f>
        <v>4722.8700200000003</v>
      </c>
      <c r="M996">
        <f>_xlfn.XLOOKUP($A996,ALGLIB_SSA_XAUUSD!$J$2:$J$1000,ALGLIB_SSA_XAUUSD!$O$2:$O$1000,"",0)</f>
        <v>4721.2779099999998</v>
      </c>
      <c r="N996">
        <f>_xlfn.XLOOKUP($A996,ALGLIB_SSA_XAUUSD!$J$2:$J$1000,ALGLIB_SSA_XAUUSD!$P$2:$P$1000,"",0)</f>
        <v>4725.1296700000003</v>
      </c>
      <c r="O996">
        <f>_xlfn.XLOOKUP($A996,ALGLIB_SSA_XAUUSD!$J$2:$J$1000,ALGLIB_SSA_XAUUSD!$Q$2:$Q$1000,"",0)</f>
        <v>4719.6911799999998</v>
      </c>
      <c r="V996" t="s">
        <v>20</v>
      </c>
      <c r="W996" t="s">
        <v>20</v>
      </c>
      <c r="Z996" t="str">
        <f t="shared" si="169"/>
        <v/>
      </c>
      <c r="AB996" t="str">
        <f t="shared" si="171"/>
        <v/>
      </c>
    </row>
    <row r="997" spans="1:28" x14ac:dyDescent="0.55000000000000004">
      <c r="A997">
        <f>ALGLIB_SSA_XAUUSD!J997</f>
        <v>1775699700</v>
      </c>
      <c r="B997" t="str">
        <f>_xlfn.XLOOKUP($A997,ALGLIB_SSA_XAUUSD!$A$2:$A$1000,ALGLIB_SSA_XAUUSD!$B$2:$B$1000,"",0)</f>
        <v/>
      </c>
      <c r="C997" t="str">
        <f>_xlfn.XLOOKUP($A997,ALGLIB_SSA_XAUUSD!$A$2:$A$1000,ALGLIB_SSA_XAUUSD!$C$2:$C$1000,"",0)</f>
        <v/>
      </c>
      <c r="D997" t="str">
        <f>_xlfn.XLOOKUP($A997,ALGLIB_SSA_XAUUSD!$A$2:$A$1000,ALGLIB_SSA_XAUUSD!$D$2:$D$1000,"",0)</f>
        <v/>
      </c>
      <c r="E997" t="str">
        <f>_xlfn.XLOOKUP($A997,ALGLIB_SSA_XAUUSD!$A$2:$A$1000,ALGLIB_SSA_XAUUSD!$E$2:$E$1000,"",0)</f>
        <v/>
      </c>
      <c r="F997" t="str">
        <f>_xlfn.XLOOKUP($A997,ALGLIB_SSA_XAUUSD!$A$2:$A$1000,ALGLIB_SSA_XAUUSD!$F$2:$F$1000,"",0)</f>
        <v/>
      </c>
      <c r="G997" t="str">
        <f>_xlfn.XLOOKUP($A997,ALGLIB_SSA_XAUUSD!$A$2:$A$1000,ALGLIB_SSA_XAUUSD!$G$2:$G$1000,"",0)</f>
        <v/>
      </c>
      <c r="H997" t="str">
        <f>_xlfn.XLOOKUP($A997,ALGLIB_SSA_XAUUSD!$A$2:$A$1000,ALGLIB_SSA_XAUUSD!$H$2:$H$1000,"",0)</f>
        <v/>
      </c>
      <c r="I997" t="str">
        <f>_xlfn.XLOOKUP($A997,ALGLIB_SSA_XAUUSD!$J$2:$J$1000,ALGLIB_SSA_XAUUSD!$K$2:$K$1000,"",0)</f>
        <v>XAUUSD</v>
      </c>
      <c r="J997" t="str">
        <f>_xlfn.XLOOKUP($A997,ALGLIB_SSA_XAUUSD!$J$2:$J$1000,ALGLIB_SSA_XAUUSD!$L$2:$L$1000,"",0)</f>
        <v>M5</v>
      </c>
      <c r="K997">
        <f>_xlfn.XLOOKUP($A997,ALGLIB_SSA_XAUUSD!$J$2:$J$1000,ALGLIB_SSA_XAUUSD!$M$2:$M$1000,"",0)</f>
        <v>4727.47</v>
      </c>
      <c r="L997">
        <f>_xlfn.XLOOKUP($A997,ALGLIB_SSA_XAUUSD!$J$2:$J$1000,ALGLIB_SSA_XAUUSD!$N$2:$N$1000,"",0)</f>
        <v>4723.8673500000004</v>
      </c>
      <c r="M997">
        <f>_xlfn.XLOOKUP($A997,ALGLIB_SSA_XAUUSD!$J$2:$J$1000,ALGLIB_SSA_XAUUSD!$O$2:$O$1000,"",0)</f>
        <v>4722.5726299999997</v>
      </c>
      <c r="N997">
        <f>_xlfn.XLOOKUP($A997,ALGLIB_SSA_XAUUSD!$J$2:$J$1000,ALGLIB_SSA_XAUUSD!$P$2:$P$1000,"",0)</f>
        <v>4726.2400600000001</v>
      </c>
      <c r="O997">
        <f>_xlfn.XLOOKUP($A997,ALGLIB_SSA_XAUUSD!$J$2:$J$1000,ALGLIB_SSA_XAUUSD!$Q$2:$Q$1000,"",0)</f>
        <v>4721.07683</v>
      </c>
      <c r="V997" t="s">
        <v>20</v>
      </c>
      <c r="W997" t="s">
        <v>20</v>
      </c>
      <c r="Z997" t="str">
        <f t="shared" si="169"/>
        <v/>
      </c>
      <c r="AB997" t="str">
        <f t="shared" si="171"/>
        <v/>
      </c>
    </row>
    <row r="998" spans="1:28" x14ac:dyDescent="0.55000000000000004">
      <c r="A998">
        <f>ALGLIB_SSA_XAUUSD!J998</f>
        <v>1775700000</v>
      </c>
      <c r="B998" t="str">
        <f>_xlfn.XLOOKUP($A998,ALGLIB_SSA_XAUUSD!$A$2:$A$1000,ALGLIB_SSA_XAUUSD!$B$2:$B$1000,"",0)</f>
        <v/>
      </c>
      <c r="C998" t="str">
        <f>_xlfn.XLOOKUP($A998,ALGLIB_SSA_XAUUSD!$A$2:$A$1000,ALGLIB_SSA_XAUUSD!$C$2:$C$1000,"",0)</f>
        <v/>
      </c>
      <c r="D998" t="str">
        <f>_xlfn.XLOOKUP($A998,ALGLIB_SSA_XAUUSD!$A$2:$A$1000,ALGLIB_SSA_XAUUSD!$D$2:$D$1000,"",0)</f>
        <v/>
      </c>
      <c r="E998" t="str">
        <f>_xlfn.XLOOKUP($A998,ALGLIB_SSA_XAUUSD!$A$2:$A$1000,ALGLIB_SSA_XAUUSD!$E$2:$E$1000,"",0)</f>
        <v/>
      </c>
      <c r="F998" t="str">
        <f>_xlfn.XLOOKUP($A998,ALGLIB_SSA_XAUUSD!$A$2:$A$1000,ALGLIB_SSA_XAUUSD!$F$2:$F$1000,"",0)</f>
        <v/>
      </c>
      <c r="G998" t="str">
        <f>_xlfn.XLOOKUP($A998,ALGLIB_SSA_XAUUSD!$A$2:$A$1000,ALGLIB_SSA_XAUUSD!$G$2:$G$1000,"",0)</f>
        <v/>
      </c>
      <c r="H998" t="str">
        <f>_xlfn.XLOOKUP($A998,ALGLIB_SSA_XAUUSD!$A$2:$A$1000,ALGLIB_SSA_XAUUSD!$H$2:$H$1000,"",0)</f>
        <v/>
      </c>
      <c r="I998" t="str">
        <f>_xlfn.XLOOKUP($A998,ALGLIB_SSA_XAUUSD!$J$2:$J$1000,ALGLIB_SSA_XAUUSD!$K$2:$K$1000,"",0)</f>
        <v>XAUUSD</v>
      </c>
      <c r="J998" t="str">
        <f>_xlfn.XLOOKUP($A998,ALGLIB_SSA_XAUUSD!$J$2:$J$1000,ALGLIB_SSA_XAUUSD!$L$2:$L$1000,"",0)</f>
        <v>M5</v>
      </c>
      <c r="K998">
        <f>_xlfn.XLOOKUP($A998,ALGLIB_SSA_XAUUSD!$J$2:$J$1000,ALGLIB_SSA_XAUUSD!$M$2:$M$1000,"",0)</f>
        <v>4722.1099999999997</v>
      </c>
      <c r="L998">
        <f>_xlfn.XLOOKUP($A998,ALGLIB_SSA_XAUUSD!$J$2:$J$1000,ALGLIB_SSA_XAUUSD!$N$2:$N$1000,"",0)</f>
        <v>4724.0564700000004</v>
      </c>
      <c r="M998">
        <f>_xlfn.XLOOKUP($A998,ALGLIB_SSA_XAUUSD!$J$2:$J$1000,ALGLIB_SSA_XAUUSD!$O$2:$O$1000,"",0)</f>
        <v>4723.3145500000001</v>
      </c>
      <c r="N998">
        <f>_xlfn.XLOOKUP($A998,ALGLIB_SSA_XAUUSD!$J$2:$J$1000,ALGLIB_SSA_XAUUSD!$P$2:$P$1000,"",0)</f>
        <v>4726.7379799999999</v>
      </c>
      <c r="O998">
        <f>_xlfn.XLOOKUP($A998,ALGLIB_SSA_XAUUSD!$J$2:$J$1000,ALGLIB_SSA_XAUUSD!$Q$2:$Q$1000,"",0)</f>
        <v>4721.8292199999996</v>
      </c>
      <c r="V998" t="s">
        <v>20</v>
      </c>
      <c r="W998" t="s">
        <v>20</v>
      </c>
      <c r="Z998" t="str">
        <f t="shared" si="169"/>
        <v/>
      </c>
      <c r="AB998" t="str">
        <f t="shared" si="171"/>
        <v/>
      </c>
    </row>
    <row r="999" spans="1:28" x14ac:dyDescent="0.55000000000000004">
      <c r="A999">
        <f>ALGLIB_SSA_XAUUSD!J999</f>
        <v>1775700300</v>
      </c>
      <c r="B999" t="str">
        <f>_xlfn.XLOOKUP($A999,ALGLIB_SSA_XAUUSD!$A$2:$A$1000,ALGLIB_SSA_XAUUSD!$B$2:$B$1000,"",0)</f>
        <v/>
      </c>
      <c r="C999" t="str">
        <f>_xlfn.XLOOKUP($A999,ALGLIB_SSA_XAUUSD!$A$2:$A$1000,ALGLIB_SSA_XAUUSD!$C$2:$C$1000,"",0)</f>
        <v/>
      </c>
      <c r="D999" t="str">
        <f>_xlfn.XLOOKUP($A999,ALGLIB_SSA_XAUUSD!$A$2:$A$1000,ALGLIB_SSA_XAUUSD!$D$2:$D$1000,"",0)</f>
        <v/>
      </c>
      <c r="E999" t="str">
        <f>_xlfn.XLOOKUP($A999,ALGLIB_SSA_XAUUSD!$A$2:$A$1000,ALGLIB_SSA_XAUUSD!$E$2:$E$1000,"",0)</f>
        <v/>
      </c>
      <c r="F999" t="str">
        <f>_xlfn.XLOOKUP($A999,ALGLIB_SSA_XAUUSD!$A$2:$A$1000,ALGLIB_SSA_XAUUSD!$F$2:$F$1000,"",0)</f>
        <v/>
      </c>
      <c r="G999" t="str">
        <f>_xlfn.XLOOKUP($A999,ALGLIB_SSA_XAUUSD!$A$2:$A$1000,ALGLIB_SSA_XAUUSD!$G$2:$G$1000,"",0)</f>
        <v/>
      </c>
      <c r="H999" t="str">
        <f>_xlfn.XLOOKUP($A999,ALGLIB_SSA_XAUUSD!$A$2:$A$1000,ALGLIB_SSA_XAUUSD!$H$2:$H$1000,"",0)</f>
        <v/>
      </c>
      <c r="I999" t="str">
        <f>_xlfn.XLOOKUP($A999,ALGLIB_SSA_XAUUSD!$J$2:$J$1000,ALGLIB_SSA_XAUUSD!$K$2:$K$1000,"",0)</f>
        <v>XAUUSD</v>
      </c>
      <c r="J999" t="str">
        <f>_xlfn.XLOOKUP($A999,ALGLIB_SSA_XAUUSD!$J$2:$J$1000,ALGLIB_SSA_XAUUSD!$L$2:$L$1000,"",0)</f>
        <v>M5</v>
      </c>
      <c r="K999">
        <f>_xlfn.XLOOKUP($A999,ALGLIB_SSA_XAUUSD!$J$2:$J$1000,ALGLIB_SSA_XAUUSD!$M$2:$M$1000,"",0)</f>
        <v>4722.18</v>
      </c>
      <c r="L999">
        <f>_xlfn.XLOOKUP($A999,ALGLIB_SSA_XAUUSD!$J$2:$J$1000,ALGLIB_SSA_XAUUSD!$N$2:$N$1000,"",0)</f>
        <v>4723.9224700000004</v>
      </c>
      <c r="M999">
        <f>_xlfn.XLOOKUP($A999,ALGLIB_SSA_XAUUSD!$J$2:$J$1000,ALGLIB_SSA_XAUUSD!$O$2:$O$1000,"",0)</f>
        <v>4723.6185100000002</v>
      </c>
      <c r="N999">
        <f>_xlfn.XLOOKUP($A999,ALGLIB_SSA_XAUUSD!$J$2:$J$1000,ALGLIB_SSA_XAUUSD!$P$2:$P$1000,"",0)</f>
        <v>4726.5528599999998</v>
      </c>
      <c r="O999">
        <f>_xlfn.XLOOKUP($A999,ALGLIB_SSA_XAUUSD!$J$2:$J$1000,ALGLIB_SSA_XAUUSD!$Q$2:$Q$1000,"",0)</f>
        <v>4722.1272900000004</v>
      </c>
      <c r="V999" t="s">
        <v>20</v>
      </c>
      <c r="W999" t="s">
        <v>20</v>
      </c>
      <c r="Z999" t="str">
        <f t="shared" si="169"/>
        <v/>
      </c>
      <c r="AB999" t="str">
        <f t="shared" si="171"/>
        <v/>
      </c>
    </row>
    <row r="1000" spans="1:28" x14ac:dyDescent="0.55000000000000004">
      <c r="A1000">
        <f>ALGLIB_SSA_XAUUSD!J1000</f>
        <v>1775700600</v>
      </c>
      <c r="B1000" t="str">
        <f>_xlfn.XLOOKUP($A1000,ALGLIB_SSA_XAUUSD!$A$2:$A$1000,ALGLIB_SSA_XAUUSD!$B$2:$B$1000,"",0)</f>
        <v/>
      </c>
      <c r="C1000" t="str">
        <f>_xlfn.XLOOKUP($A1000,ALGLIB_SSA_XAUUSD!$A$2:$A$1000,ALGLIB_SSA_XAUUSD!$C$2:$C$1000,"",0)</f>
        <v/>
      </c>
      <c r="D1000" t="str">
        <f>_xlfn.XLOOKUP($A1000,ALGLIB_SSA_XAUUSD!$A$2:$A$1000,ALGLIB_SSA_XAUUSD!$D$2:$D$1000,"",0)</f>
        <v/>
      </c>
      <c r="E1000" t="str">
        <f>_xlfn.XLOOKUP($A1000,ALGLIB_SSA_XAUUSD!$A$2:$A$1000,ALGLIB_SSA_XAUUSD!$E$2:$E$1000,"",0)</f>
        <v/>
      </c>
      <c r="F1000" t="str">
        <f>_xlfn.XLOOKUP($A1000,ALGLIB_SSA_XAUUSD!$A$2:$A$1000,ALGLIB_SSA_XAUUSD!$F$2:$F$1000,"",0)</f>
        <v/>
      </c>
      <c r="G1000" t="str">
        <f>_xlfn.XLOOKUP($A1000,ALGLIB_SSA_XAUUSD!$A$2:$A$1000,ALGLIB_SSA_XAUUSD!$G$2:$G$1000,"",0)</f>
        <v/>
      </c>
      <c r="H1000" t="str">
        <f>_xlfn.XLOOKUP($A1000,ALGLIB_SSA_XAUUSD!$A$2:$A$1000,ALGLIB_SSA_XAUUSD!$H$2:$H$1000,"",0)</f>
        <v/>
      </c>
      <c r="I1000" t="str">
        <f>_xlfn.XLOOKUP($A1000,ALGLIB_SSA_XAUUSD!$J$2:$J$1000,ALGLIB_SSA_XAUUSD!$K$2:$K$1000,"",0)</f>
        <v>XAUUSD</v>
      </c>
      <c r="J1000" t="str">
        <f>_xlfn.XLOOKUP($A1000,ALGLIB_SSA_XAUUSD!$J$2:$J$1000,ALGLIB_SSA_XAUUSD!$L$2:$L$1000,"",0)</f>
        <v>M5</v>
      </c>
      <c r="K1000">
        <f>_xlfn.XLOOKUP($A1000,ALGLIB_SSA_XAUUSD!$J$2:$J$1000,ALGLIB_SSA_XAUUSD!$M$2:$M$1000,"",0)</f>
        <v>4723.05</v>
      </c>
      <c r="L1000">
        <f>_xlfn.XLOOKUP($A1000,ALGLIB_SSA_XAUUSD!$J$2:$J$1000,ALGLIB_SSA_XAUUSD!$N$2:$N$1000,"",0)</f>
        <v>4723.7445500000003</v>
      </c>
      <c r="M1000">
        <f>_xlfn.XLOOKUP($A1000,ALGLIB_SSA_XAUUSD!$J$2:$J$1000,ALGLIB_SSA_XAUUSD!$O$2:$O$1000,"",0)</f>
        <v>4723.6815299999998</v>
      </c>
      <c r="N1000">
        <f>_xlfn.XLOOKUP($A1000,ALGLIB_SSA_XAUUSD!$J$2:$J$1000,ALGLIB_SSA_XAUUSD!$P$2:$P$1000,"",0)</f>
        <v>4726.01955</v>
      </c>
      <c r="O1000">
        <f>_xlfn.XLOOKUP($A1000,ALGLIB_SSA_XAUUSD!$J$2:$J$1000,ALGLIB_SSA_XAUUSD!$Q$2:$Q$1000,"",0)</f>
        <v>4722.0633399999997</v>
      </c>
      <c r="V1000" t="s">
        <v>20</v>
      </c>
      <c r="W1000" t="s">
        <v>20</v>
      </c>
      <c r="Z1000" t="str">
        <f t="shared" si="169"/>
        <v/>
      </c>
      <c r="AB1000" t="str">
        <f t="shared" si="171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ALGLIB_SSA_XAUUSD</vt:lpstr>
      <vt:lpstr>Mapped_H1_M5_Interporate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modified xsi:type="dcterms:W3CDTF">2026-04-10T11:37:57Z</dcterms:modified>
</cp:coreProperties>
</file>